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" yWindow="135" windowWidth="23010" windowHeight="459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K73" i="30" l="1"/>
  <c r="M78" i="30" s="1"/>
  <c r="J73" i="30"/>
  <c r="I73" i="30"/>
  <c r="K72" i="30"/>
  <c r="J72" i="30"/>
  <c r="I72" i="30"/>
  <c r="M81" i="30"/>
  <c r="M79" i="30"/>
  <c r="M77" i="30"/>
  <c r="M75" i="30"/>
  <c r="M73" i="30"/>
  <c r="M71" i="30"/>
  <c r="M69" i="30"/>
  <c r="M67" i="30"/>
  <c r="H67" i="30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W67" i="30"/>
  <c r="AX67" i="30"/>
  <c r="M68" i="30" l="1"/>
  <c r="M72" i="30"/>
  <c r="M76" i="30"/>
  <c r="M80" i="30"/>
  <c r="M70" i="30"/>
  <c r="M74" i="30"/>
  <c r="C10" i="39"/>
  <c r="L33" i="48" l="1"/>
  <c r="L32" i="48"/>
  <c r="L31" i="48"/>
  <c r="L30" i="48"/>
  <c r="L29" i="48"/>
  <c r="L28" i="48"/>
  <c r="L27" i="48"/>
  <c r="L26" i="48"/>
  <c r="L25" i="48"/>
  <c r="L24" i="48"/>
  <c r="L23" i="48"/>
  <c r="L22" i="48"/>
  <c r="L21" i="48"/>
  <c r="H33" i="48"/>
  <c r="H32" i="48"/>
  <c r="H31" i="48"/>
  <c r="H30" i="48"/>
  <c r="H29" i="48"/>
  <c r="H28" i="48"/>
  <c r="H27" i="48"/>
  <c r="H26" i="48"/>
  <c r="H25" i="48"/>
  <c r="F33" i="48"/>
  <c r="F32" i="48"/>
  <c r="F31" i="48"/>
  <c r="F30" i="48"/>
  <c r="F29" i="48"/>
  <c r="F28" i="48"/>
  <c r="F27" i="48"/>
  <c r="F26" i="48"/>
  <c r="F25" i="48"/>
  <c r="D33" i="48"/>
  <c r="D32" i="48"/>
  <c r="D31" i="48"/>
  <c r="D30" i="48"/>
  <c r="D29" i="48"/>
  <c r="D28" i="48"/>
  <c r="D27" i="48"/>
  <c r="D26" i="48"/>
  <c r="M431" i="41" l="1"/>
  <c r="K431" i="41"/>
  <c r="I431" i="41"/>
  <c r="G431" i="41"/>
  <c r="M430" i="41"/>
  <c r="K430" i="41"/>
  <c r="I430" i="41"/>
  <c r="G430" i="41"/>
  <c r="M426" i="41"/>
  <c r="K426" i="41"/>
  <c r="I426" i="41"/>
  <c r="G426" i="41"/>
  <c r="C426" i="41"/>
  <c r="M425" i="41"/>
  <c r="K425" i="41"/>
  <c r="I425" i="41"/>
  <c r="G425" i="41"/>
  <c r="C425" i="4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L20" i="48" l="1"/>
  <c r="L19" i="48"/>
  <c r="L18" i="48"/>
  <c r="H24" i="48"/>
  <c r="H23" i="48"/>
  <c r="H22" i="48"/>
  <c r="H21" i="48"/>
  <c r="H20" i="48"/>
  <c r="H19" i="48"/>
  <c r="F24" i="48"/>
  <c r="F23" i="48"/>
  <c r="F22" i="48"/>
  <c r="F21" i="48"/>
  <c r="F20" i="48"/>
  <c r="D25" i="48"/>
  <c r="D24" i="48"/>
  <c r="D23" i="48"/>
  <c r="D22" i="48"/>
  <c r="D21" i="48"/>
  <c r="D20" i="48"/>
  <c r="M418" i="41"/>
  <c r="K418" i="41"/>
  <c r="I418" i="41"/>
  <c r="G418" i="41"/>
  <c r="M417" i="41"/>
  <c r="K417" i="41"/>
  <c r="I417" i="41"/>
  <c r="G417" i="41"/>
  <c r="M413" i="41"/>
  <c r="K413" i="41"/>
  <c r="I413" i="41"/>
  <c r="G413" i="41"/>
  <c r="C413" i="41"/>
  <c r="M412" i="41"/>
  <c r="K412" i="41"/>
  <c r="I412" i="41"/>
  <c r="G412" i="41"/>
  <c r="C412" i="41"/>
  <c r="I50" i="36" l="1"/>
  <c r="J50" i="36"/>
  <c r="K50" i="36"/>
  <c r="I51" i="36"/>
  <c r="J51" i="36"/>
  <c r="K51" i="36"/>
  <c r="I53" i="30"/>
  <c r="J53" i="30"/>
  <c r="K53" i="30"/>
  <c r="I98" i="8"/>
  <c r="J98" i="8"/>
  <c r="K98" i="8"/>
  <c r="I99" i="8"/>
  <c r="J99" i="8"/>
  <c r="K99" i="8"/>
  <c r="L17" i="48" l="1"/>
  <c r="L16" i="48"/>
  <c r="L15" i="48"/>
  <c r="L14" i="48"/>
  <c r="L13" i="48"/>
  <c r="L12" i="48"/>
  <c r="L11" i="48"/>
  <c r="H18" i="48"/>
  <c r="H17" i="48"/>
  <c r="H16" i="48"/>
  <c r="H15" i="48"/>
  <c r="H14" i="48"/>
  <c r="H13" i="48"/>
  <c r="H12" i="48"/>
  <c r="F19" i="48"/>
  <c r="F18" i="48"/>
  <c r="F17" i="48"/>
  <c r="F16" i="48"/>
  <c r="F15" i="48"/>
  <c r="F14" i="48"/>
  <c r="F13" i="48"/>
  <c r="F12" i="48"/>
  <c r="D19" i="48"/>
  <c r="D18" i="48"/>
  <c r="D17" i="48"/>
  <c r="D16" i="48"/>
  <c r="D15" i="48"/>
  <c r="D14" i="48"/>
  <c r="D13" i="48"/>
  <c r="J30" i="37" l="1"/>
  <c r="I30" i="37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W27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R27" i="32"/>
  <c r="AM30" i="30"/>
  <c r="AM31" i="30"/>
  <c r="AM32" i="30"/>
  <c r="AM33" i="30"/>
  <c r="AM34" i="30"/>
  <c r="AM35" i="30"/>
  <c r="AM36" i="30"/>
  <c r="AM37" i="30"/>
  <c r="AM38" i="30"/>
  <c r="AM39" i="30"/>
  <c r="AM40" i="30"/>
  <c r="AM41" i="30"/>
  <c r="K63" i="8" l="1"/>
  <c r="J63" i="8"/>
  <c r="I63" i="8"/>
  <c r="M405" i="41" l="1"/>
  <c r="K405" i="41"/>
  <c r="I405" i="41"/>
  <c r="G405" i="41"/>
  <c r="M404" i="41"/>
  <c r="K404" i="41"/>
  <c r="I404" i="41"/>
  <c r="G404" i="41"/>
  <c r="M400" i="41"/>
  <c r="K400" i="41"/>
  <c r="I400" i="41"/>
  <c r="G400" i="41"/>
  <c r="C400" i="41"/>
  <c r="M399" i="41"/>
  <c r="K399" i="41"/>
  <c r="I399" i="41"/>
  <c r="G399" i="41"/>
  <c r="C399" i="41"/>
  <c r="L10" i="48" l="1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K27" i="8" l="1"/>
  <c r="J27" i="8"/>
  <c r="I27" i="8"/>
  <c r="O34" i="48" l="1"/>
  <c r="N34" i="48"/>
  <c r="M34" i="48"/>
  <c r="L35" i="48"/>
  <c r="J35" i="48"/>
  <c r="H35" i="48"/>
  <c r="F35" i="48"/>
  <c r="D35" i="48"/>
  <c r="L34" i="48"/>
  <c r="J34" i="48"/>
  <c r="H34" i="48"/>
  <c r="F34" i="48"/>
  <c r="D34" i="48"/>
  <c r="L4" i="48"/>
  <c r="F5" i="48"/>
  <c r="D5" i="48"/>
  <c r="J4" i="48"/>
  <c r="H4" i="48"/>
  <c r="F4" i="48"/>
  <c r="D4" i="48"/>
  <c r="M392" i="41" l="1"/>
  <c r="K392" i="41"/>
  <c r="I392" i="41"/>
  <c r="G392" i="41"/>
  <c r="M391" i="41"/>
  <c r="K391" i="41"/>
  <c r="I391" i="41"/>
  <c r="G391" i="41"/>
  <c r="M387" i="41"/>
  <c r="K387" i="41"/>
  <c r="I387" i="41"/>
  <c r="G387" i="41"/>
  <c r="C387" i="41"/>
  <c r="M386" i="41"/>
  <c r="K386" i="41"/>
  <c r="I386" i="41"/>
  <c r="G386" i="41"/>
  <c r="C386" i="41"/>
  <c r="P22" i="32"/>
  <c r="U22" i="32" s="1"/>
  <c r="Z22" i="32" s="1"/>
  <c r="AE22" i="32" s="1"/>
  <c r="AJ22" i="32" s="1"/>
  <c r="AO22" i="32" s="1"/>
  <c r="AT22" i="32" s="1"/>
  <c r="U22" i="31"/>
  <c r="Z22" i="31" s="1"/>
  <c r="AE22" i="31" s="1"/>
  <c r="AJ22" i="31" s="1"/>
  <c r="AO22" i="31" s="1"/>
  <c r="AT22" i="31" s="1"/>
  <c r="P22" i="3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M379" i="41" l="1"/>
  <c r="K379" i="41"/>
  <c r="I379" i="41"/>
  <c r="G379" i="41"/>
  <c r="M378" i="41"/>
  <c r="K378" i="41"/>
  <c r="I378" i="41"/>
  <c r="G378" i="41"/>
  <c r="M374" i="41"/>
  <c r="K374" i="41"/>
  <c r="I374" i="41"/>
  <c r="G374" i="41"/>
  <c r="C374" i="41"/>
  <c r="M373" i="41"/>
  <c r="K373" i="41"/>
  <c r="I373" i="41"/>
  <c r="G373" i="41"/>
  <c r="C373" i="41"/>
  <c r="K91" i="30" l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68" i="31"/>
  <c r="J68" i="31"/>
  <c r="I68" i="31"/>
  <c r="L67" i="30" l="1"/>
  <c r="B29" i="39" s="1"/>
  <c r="M366" i="41"/>
  <c r="K366" i="41"/>
  <c r="I366" i="41"/>
  <c r="G366" i="41"/>
  <c r="M365" i="41"/>
  <c r="K365" i="41"/>
  <c r="I365" i="41"/>
  <c r="G365" i="41"/>
  <c r="M361" i="41"/>
  <c r="K361" i="41"/>
  <c r="I361" i="41"/>
  <c r="G361" i="41"/>
  <c r="C361" i="41"/>
  <c r="M360" i="41"/>
  <c r="K360" i="41"/>
  <c r="I360" i="41"/>
  <c r="G360" i="41"/>
  <c r="C360" i="41"/>
  <c r="K105" i="33"/>
  <c r="J105" i="33"/>
  <c r="I105" i="33"/>
  <c r="K48" i="31"/>
  <c r="J48" i="31"/>
  <c r="I48" i="31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I11" i="39" s="1"/>
  <c r="V21" i="5"/>
  <c r="V14" i="5"/>
  <c r="V7" i="5"/>
  <c r="V6" i="5"/>
  <c r="S28" i="5"/>
  <c r="S21" i="5"/>
  <c r="S14" i="5"/>
  <c r="S7" i="5"/>
  <c r="S6" i="5"/>
  <c r="P28" i="5"/>
  <c r="I9" i="39" s="1"/>
  <c r="P21" i="5"/>
  <c r="P14" i="5"/>
  <c r="P7" i="5"/>
  <c r="P6" i="5"/>
  <c r="M28" i="5"/>
  <c r="I8" i="39" s="1"/>
  <c r="M21" i="5"/>
  <c r="M14" i="5"/>
  <c r="M7" i="5"/>
  <c r="M6" i="5"/>
  <c r="G28" i="5"/>
  <c r="I6" i="39" s="1"/>
  <c r="G21" i="5"/>
  <c r="G14" i="5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K7" i="31" l="1"/>
  <c r="J7" i="31"/>
  <c r="I7" i="31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5" i="3"/>
  <c r="S28" i="3"/>
  <c r="B10" i="39" s="1"/>
  <c r="S21" i="3"/>
  <c r="S14" i="3"/>
  <c r="S7" i="3"/>
  <c r="S6" i="3"/>
  <c r="M28" i="3"/>
  <c r="B8" i="39" s="1"/>
  <c r="M21" i="3"/>
  <c r="M14" i="3"/>
  <c r="M7" i="3"/>
  <c r="M6" i="3"/>
  <c r="G6" i="3"/>
  <c r="J6" i="3"/>
  <c r="J28" i="3"/>
  <c r="B7" i="39" s="1"/>
  <c r="J21" i="3"/>
  <c r="J14" i="3"/>
  <c r="J7" i="3"/>
  <c r="G28" i="3"/>
  <c r="B6" i="39" s="1"/>
  <c r="G21" i="3"/>
  <c r="G14" i="3"/>
  <c r="G7" i="3"/>
  <c r="P28" i="3" l="1"/>
  <c r="B9" i="39" s="1"/>
  <c r="V28" i="3"/>
  <c r="B11" i="39" s="1"/>
  <c r="P14" i="3"/>
  <c r="V14" i="3"/>
  <c r="V6" i="3"/>
  <c r="P6" i="3"/>
  <c r="P21" i="3"/>
  <c r="V21" i="3"/>
  <c r="P7" i="3"/>
  <c r="V7" i="3"/>
  <c r="L7" i="8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132" i="8" l="1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40" i="48" l="1"/>
  <c r="L39" i="48"/>
  <c r="L38" i="48"/>
  <c r="L37" i="48"/>
  <c r="L36" i="48"/>
  <c r="D40" i="48"/>
  <c r="D39" i="48"/>
  <c r="D38" i="48"/>
  <c r="D37" i="48"/>
  <c r="D36" i="48"/>
  <c r="F40" i="48"/>
  <c r="F39" i="48"/>
  <c r="F38" i="48"/>
  <c r="F37" i="48"/>
  <c r="F36" i="48"/>
  <c r="H40" i="48"/>
  <c r="H39" i="48"/>
  <c r="H38" i="48"/>
  <c r="H37" i="48"/>
  <c r="H36" i="48"/>
  <c r="J40" i="48"/>
  <c r="J39" i="48"/>
  <c r="J38" i="48"/>
  <c r="J37" i="48"/>
  <c r="J36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7" i="32"/>
  <c r="J37" i="32"/>
  <c r="I37" i="32"/>
  <c r="AW41" i="30"/>
  <c r="AR41" i="30"/>
  <c r="AH41" i="30"/>
  <c r="AC41" i="30"/>
  <c r="X41" i="30"/>
  <c r="S41" i="30"/>
  <c r="AW40" i="30"/>
  <c r="AR40" i="30"/>
  <c r="AH40" i="30"/>
  <c r="AC40" i="30"/>
  <c r="X40" i="30"/>
  <c r="S40" i="30"/>
  <c r="AW39" i="30"/>
  <c r="AR39" i="30"/>
  <c r="AH39" i="30"/>
  <c r="AC39" i="30"/>
  <c r="X39" i="30"/>
  <c r="S39" i="30"/>
  <c r="AW38" i="30"/>
  <c r="AR38" i="30"/>
  <c r="AH38" i="30"/>
  <c r="AC38" i="30"/>
  <c r="X38" i="30"/>
  <c r="S38" i="30"/>
  <c r="AW37" i="30"/>
  <c r="AR37" i="30"/>
  <c r="AH37" i="30"/>
  <c r="AC37" i="30"/>
  <c r="X37" i="30"/>
  <c r="S37" i="30"/>
  <c r="AW36" i="30"/>
  <c r="AR36" i="30"/>
  <c r="AH36" i="30"/>
  <c r="AC36" i="30"/>
  <c r="X36" i="30"/>
  <c r="S36" i="30"/>
  <c r="AW35" i="30"/>
  <c r="AR35" i="30"/>
  <c r="AH35" i="30"/>
  <c r="AC35" i="30"/>
  <c r="X35" i="30"/>
  <c r="S35" i="30"/>
  <c r="AW34" i="30"/>
  <c r="AR34" i="30"/>
  <c r="AH34" i="30"/>
  <c r="AC34" i="30"/>
  <c r="X34" i="30"/>
  <c r="S34" i="30"/>
  <c r="AW33" i="30"/>
  <c r="AR33" i="30"/>
  <c r="AH33" i="30"/>
  <c r="AC33" i="30"/>
  <c r="X33" i="30"/>
  <c r="S33" i="30"/>
  <c r="AW32" i="30"/>
  <c r="AR32" i="30"/>
  <c r="AH32" i="30"/>
  <c r="AC32" i="30"/>
  <c r="X32" i="30"/>
  <c r="S32" i="30"/>
  <c r="K32" i="30"/>
  <c r="J32" i="30"/>
  <c r="I32" i="30"/>
  <c r="AW31" i="30"/>
  <c r="AR31" i="30"/>
  <c r="AH31" i="30"/>
  <c r="AC31" i="30"/>
  <c r="X31" i="30"/>
  <c r="S31" i="30"/>
  <c r="K31" i="30"/>
  <c r="J31" i="30"/>
  <c r="I31" i="30"/>
  <c r="AW30" i="30"/>
  <c r="AR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L7" i="32" l="1"/>
  <c r="M21" i="37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J76" i="32"/>
  <c r="K76" i="32"/>
  <c r="K138" i="33" l="1"/>
  <c r="I76" i="32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R43" i="6"/>
  <c r="AB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F7" i="7" l="1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3" i="37" l="1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41" i="48"/>
  <c r="H41" i="48"/>
  <c r="J41" i="48"/>
  <c r="D41" i="48"/>
  <c r="L41" i="48"/>
  <c r="J42" i="48"/>
  <c r="H42" i="48"/>
  <c r="L42" i="48"/>
  <c r="D42" i="48"/>
  <c r="K93" i="37" l="1"/>
  <c r="J93" i="37"/>
  <c r="I93" i="37"/>
  <c r="J95" i="34" l="1"/>
  <c r="K96" i="34"/>
  <c r="I96" i="34"/>
  <c r="K171" i="33"/>
  <c r="I171" i="33"/>
  <c r="I88" i="31"/>
  <c r="K88" i="31"/>
  <c r="J88" i="31"/>
  <c r="K95" i="34" l="1"/>
  <c r="I95" i="34"/>
  <c r="J96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5" i="34" l="1"/>
  <c r="I35" i="34"/>
  <c r="J34" i="34"/>
  <c r="I36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l="1"/>
  <c r="I7" i="39" s="1"/>
  <c r="I135" i="33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131" i="37"/>
  <c r="I131" i="37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J134" i="35"/>
  <c r="I134" i="35"/>
  <c r="S31" i="35"/>
  <c r="J133" i="35"/>
  <c r="I133" i="35"/>
  <c r="S30" i="35"/>
  <c r="K132" i="35"/>
  <c r="J132" i="35"/>
  <c r="I132" i="35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7" i="5" l="1"/>
  <c r="X48" i="1"/>
  <c r="V48" i="1" s="1"/>
  <c r="X34" i="1"/>
  <c r="V34" i="1" s="1"/>
  <c r="X42" i="1"/>
  <c r="V42" i="1" s="1"/>
  <c r="G8" i="6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27" i="8"/>
  <c r="J21" i="5"/>
  <c r="M121" i="37"/>
  <c r="J14" i="5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12" i="6"/>
  <c r="R12" i="6"/>
  <c r="R9" i="6"/>
  <c r="AB9" i="6"/>
  <c r="R13" i="6"/>
  <c r="AB13" i="6"/>
  <c r="R10" i="6"/>
  <c r="AB10" i="6"/>
  <c r="R14" i="6"/>
  <c r="AB14" i="6"/>
  <c r="AB11" i="6"/>
  <c r="R11" i="6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B30" i="39" s="1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B36" i="39" s="1"/>
  <c r="K128" i="30"/>
  <c r="M136" i="30" s="1"/>
  <c r="I221" i="33"/>
  <c r="I225" i="33"/>
  <c r="I233" i="33"/>
  <c r="L67" i="36"/>
  <c r="B35" i="39" s="1"/>
  <c r="I229" i="33"/>
  <c r="J131" i="32"/>
  <c r="J135" i="32"/>
  <c r="AZ20" i="31"/>
  <c r="J221" i="33"/>
  <c r="J225" i="33"/>
  <c r="J229" i="33"/>
  <c r="J233" i="33"/>
  <c r="L67" i="34"/>
  <c r="B33" i="39" s="1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B34" i="39" s="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40" i="6" l="1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G8" i="7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G30" i="6"/>
  <c r="AD30" i="7"/>
  <c r="G30" i="7"/>
  <c r="AD23" i="6"/>
  <c r="G23" i="6"/>
  <c r="AH23" i="7"/>
  <c r="G23" i="7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<sst xmlns="http://schemas.openxmlformats.org/spreadsheetml/2006/main" count="7917" uniqueCount="1046">
  <si>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</si>
  <si>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</si>
  <si>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</si>
  <si>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</si>
  <si>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</si>
  <si>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</si>
  <si>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</si>
  <si>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</si>
  <si>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</si>
  <si>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</si>
  <si>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</si>
  <si>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</si>
  <si>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</si>
  <si>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</si>
  <si>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</si>
  <si>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</si>
  <si>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</si>
  <si>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</si>
  <si>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</si>
  <si>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</si>
  <si>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</si>
  <si>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</si>
  <si>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</si>
  <si>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</si>
  <si>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</si>
  <si>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</si>
  <si>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</si>
  <si>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</si>
  <si>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</si>
  <si>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</si>
  <si>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</si>
  <si>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</si>
  <si>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</si>
  <si>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</si>
  <si>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</si>
  <si>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</si>
  <si>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</si>
  <si>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</si>
  <si>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</si>
  <si>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</si>
  <si>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</si>
  <si>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</si>
  <si>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</si>
  <si>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</si>
  <si>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</si>
  <si>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</si>
  <si>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</si>
  <si>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</si>
  <si>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</si>
  <si>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</si>
  <si>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</si>
  <si>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</si>
  <si>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</si>
  <si>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</si>
  <si>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</si>
  <si>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</si>
  <si>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</si>
  <si>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</si>
  <si>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</si>
  <si>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</si>
  <si>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</si>
  <si>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</si>
  <si>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</si>
  <si>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</si>
  <si>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</si>
  <si>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</si>
  <si>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</si>
  <si>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</si>
  <si>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</si>
  <si>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</si>
  <si>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</si>
  <si>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</si>
  <si>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</si>
  <si>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</si>
  <si>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</si>
  <si>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</si>
  <si>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</si>
  <si>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</si>
  <si>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</si>
  <si>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</si>
  <si>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</si>
  <si>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</si>
  <si>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</si>
  <si>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</si>
  <si>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</si>
  <si>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</si>
  <si>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</si>
  <si>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</si>
  <si>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</si>
  <si>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</si>
  <si>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</si>
  <si>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</si>
  <si>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</si>
  <si>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</si>
  <si>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</si>
  <si>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</si>
  <si>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</si>
  <si>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</si>
  <si>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</si>
  <si>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</si>
  <si>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</si>
  <si>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</si>
  <si>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</si>
  <si>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</si>
  <si>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</si>
  <si>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</si>
  <si>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</si>
  <si>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</si>
  <si>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</si>
  <si>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</si>
  <si>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</si>
  <si>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</si>
  <si>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</si>
  <si>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</si>
  <si>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</si>
  <si>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</si>
  <si>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</si>
  <si>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</si>
  <si>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</si>
  <si>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</si>
  <si>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</si>
  <si>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</si>
  <si>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</si>
  <si>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</si>
  <si>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</si>
  <si>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</si>
  <si>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</si>
  <si>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</si>
  <si>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</si>
  <si>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</si>
  <si>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</si>
  <si>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</si>
  <si>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</si>
  <si>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</si>
  <si>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</si>
  <si>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</si>
  <si>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</si>
  <si>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</si>
  <si>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</si>
  <si>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</si>
  <si>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</si>
  <si>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</si>
  <si>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</si>
  <si>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</si>
  <si>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</si>
  <si>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</si>
  <si>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</si>
  <si>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</si>
  <si>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</si>
  <si>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</si>
  <si>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</si>
  <si>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</si>
  <si>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</si>
  <si>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</si>
  <si>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</si>
  <si>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</si>
  <si>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</si>
  <si>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</si>
  <si>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</si>
  <si>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</si>
  <si>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</si>
  <si>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</si>
  <si>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</si>
  <si>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</si>
  <si>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</si>
  <si>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</si>
  <si>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</si>
  <si>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</si>
  <si>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</si>
  <si>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</si>
  <si>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</si>
  <si>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</si>
  <si>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</si>
  <si>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</si>
  <si>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</si>
  <si>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</si>
  <si>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</si>
  <si>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</si>
  <si>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</si>
  <si>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</si>
  <si>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</si>
  <si>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</si>
  <si>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</si>
  <si>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</si>
  <si>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</si>
  <si>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</si>
  <si>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</si>
  <si>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</si>
  <si>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</si>
  <si>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</si>
  <si>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</si>
  <si>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</si>
  <si>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</si>
  <si>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</si>
  <si>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</si>
  <si>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</si>
  <si>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</si>
  <si>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</si>
  <si>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</si>
  <si>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</si>
  <si>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</si>
  <si>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</si>
  <si>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</si>
  <si>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</si>
  <si>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</si>
  <si>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</si>
  <si>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</si>
  <si>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</si>
  <si>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</si>
  <si>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</si>
  <si>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</si>
  <si>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</si>
  <si>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</si>
  <si>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</si>
  <si>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</si>
  <si>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</si>
  <si>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</si>
  <si>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</si>
  <si>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</si>
  <si>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</si>
  <si>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</si>
  <si>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</si>
  <si>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</si>
  <si>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</si>
  <si>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</si>
  <si>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</si>
  <si>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</si>
  <si>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</si>
  <si>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</si>
  <si>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</si>
  <si>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</si>
  <si>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</si>
  <si>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</si>
  <si>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</si>
  <si>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</si>
  <si>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</si>
  <si>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</si>
  <si>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</si>
  <si>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</si>
  <si>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</si>
  <si>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</si>
  <si>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</si>
  <si>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</si>
  <si>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</si>
  <si>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</si>
  <si>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</si>
  <si>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</si>
  <si>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</si>
  <si>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</si>
  <si>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</si>
  <si>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</si>
  <si>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</si>
  <si>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</si>
  <si>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</si>
  <si>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</si>
  <si>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</si>
  <si>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</si>
  <si>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</si>
  <si>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</si>
  <si>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</si>
  <si>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</si>
  <si>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</si>
  <si>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</si>
  <si>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</si>
  <si>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</si>
  <si>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</si>
  <si>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</si>
  <si>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</si>
  <si>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</si>
  <si>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</si>
  <si>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</si>
  <si>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</si>
  <si>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</si>
  <si>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</si>
  <si>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</si>
  <si>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</si>
  <si>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</si>
  <si>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</si>
  <si>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</si>
  <si>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</si>
  <si>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</si>
  <si>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</si>
  <si>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</si>
  <si>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</si>
  <si>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</si>
  <si>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</si>
  <si>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</si>
  <si>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</si>
  <si>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</si>
  <si>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</si>
  <si>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</si>
  <si>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</si>
  <si>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</si>
  <si>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</si>
  <si>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</si>
  <si>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</si>
  <si>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</si>
  <si>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</si>
  <si>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</si>
  <si>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</si>
  <si>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</si>
  <si>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</si>
  <si>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</si>
  <si>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</si>
  <si>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</si>
  <si>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</si>
  <si>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</si>
  <si>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</si>
  <si>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</si>
  <si>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</si>
  <si>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</si>
  <si>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</si>
  <si>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</si>
  <si>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</si>
  <si>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</si>
  <si>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</si>
  <si>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</si>
  <si>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</si>
  <si>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</si>
  <si>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</si>
  <si>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</si>
  <si>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</si>
  <si>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</si>
  <si>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</si>
  <si>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</si>
  <si>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</si>
  <si>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</si>
  <si>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</si>
  <si>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</si>
  <si>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</si>
  <si>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</si>
  <si>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</si>
  <si>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</si>
  <si>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</si>
  <si>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</si>
  <si>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</si>
  <si>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</si>
  <si>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</si>
  <si>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</si>
  <si>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</si>
  <si>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</si>
  <si>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</si>
  <si>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</si>
  <si>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</si>
  <si>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</si>
  <si>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</si>
  <si>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</si>
  <si>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</si>
  <si>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</si>
  <si>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</si>
  <si>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</si>
  <si>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</si>
  <si>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</si>
  <si>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</si>
  <si>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</si>
  <si>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</si>
  <si>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</si>
  <si>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</si>
  <si>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</si>
  <si>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</si>
  <si>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</si>
  <si>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</si>
  <si>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</si>
  <si>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</si>
  <si>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</si>
  <si>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</si>
  <si>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</si>
  <si>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</si>
  <si>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壽喜燒牛丼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</si>
  <si>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</si>
  <si>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</si>
  <si>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</si>
  <si>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</si>
  <si>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</si>
  <si>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</si>
  <si>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</si>
  <si>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</si>
  <si>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</si>
  <si>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</si>
  <si>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</si>
  <si>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</si>
  <si>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</si>
  <si>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</si>
  <si>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</si>
  <si>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</si>
  <si>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</si>
  <si>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</si>
  <si>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</si>
  <si>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</si>
  <si>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</si>
  <si>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</si>
  <si>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</si>
  <si>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</si>
  <si>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</si>
  <si>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</si>
  <si>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</si>
  <si>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</si>
  <si>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</si>
  <si>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</si>
  <si>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</si>
  <si>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</si>
  <si>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</si>
  <si>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</si>
  <si>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</si>
  <si>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</si>
  <si>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</si>
  <si>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</si>
  <si>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</si>
  <si>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</si>
  <si>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</si>
  <si>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</si>
  <si>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</si>
  <si>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</si>
  <si>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</si>
  <si>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</si>
  <si>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</si>
  <si>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</si>
  <si>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</si>
  <si>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</si>
  <si>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</si>
  <si>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</si>
  <si>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</si>
  <si>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</si>
  <si>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</si>
  <si>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</si>
  <si>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</si>
  <si>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</si>
  <si>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</si>
  <si>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</si>
  <si>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</si>
  <si>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</si>
  <si>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</si>
  <si>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</si>
  <si>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</si>
  <si>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</si>
  <si>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</si>
  <si>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</si>
  <si>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</si>
  <si>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</si>
  <si>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</si>
  <si>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</si>
  <si>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</si>
  <si>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</si>
  <si>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</si>
  <si>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</si>
  <si>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</si>
  <si>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</si>
  <si>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</si>
  <si>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</si>
  <si>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</si>
  <si>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</si>
  <si>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</si>
  <si>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</si>
  <si>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</si>
  <si>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</si>
  <si>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</si>
  <si>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</si>
  <si>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</si>
  <si>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</si>
  <si>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</si>
  <si>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</si>
  <si>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</si>
  <si>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</si>
  <si>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</si>
  <si>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</si>
  <si>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</si>
  <si>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</si>
  <si>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</si>
  <si>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</si>
  <si>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</si>
  <si>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</si>
  <si>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</si>
  <si>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</si>
  <si>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</si>
  <si>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</si>
  <si>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</si>
  <si>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</si>
  <si>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</si>
  <si>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</si>
  <si>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</si>
  <si>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</si>
  <si>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</si>
  <si>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</si>
  <si>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</si>
  <si>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</si>
  <si>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</si>
  <si>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</si>
  <si>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</si>
  <si>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</si>
  <si>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</si>
  <si>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</si>
  <si>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</si>
  <si>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</si>
  <si>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</si>
  <si>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</si>
  <si>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</si>
  <si>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</si>
  <si>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</si>
  <si>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</si>
  <si>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</si>
  <si>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</si>
  <si>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</si>
  <si>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</si>
  <si>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</si>
  <si>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</si>
  <si>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</si>
  <si>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</si>
  <si>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</si>
  <si>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</si>
  <si>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</si>
  <si>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</si>
  <si>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</si>
  <si>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</si>
  <si>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</si>
  <si>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</si>
  <si>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</si>
  <si>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</si>
  <si>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</si>
  <si>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</si>
  <si>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</si>
  <si>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</si>
  <si>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</si>
  <si>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</si>
  <si>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</si>
  <si>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</si>
  <si>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</si>
  <si>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</si>
  <si>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</si>
  <si>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</si>
  <si>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</si>
  <si>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</si>
  <si>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</si>
  <si>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</si>
  <si>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</si>
  <si>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</si>
  <si>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</si>
  <si>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</si>
  <si>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</si>
  <si>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</si>
  <si>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</si>
  <si>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</si>
  <si>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</si>
  <si>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</si>
  <si>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</si>
  <si>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</si>
  <si>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</si>
  <si>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</si>
  <si>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</si>
  <si>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</si>
  <si>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</si>
  <si>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</si>
  <si>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</si>
  <si>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</si>
  <si>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</si>
  <si>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</si>
  <si>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</si>
  <si>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</si>
  <si>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</si>
  <si>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</si>
  <si>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</si>
  <si>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</si>
  <si>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</si>
  <si>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</si>
  <si>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</si>
  <si>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</si>
  <si>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</si>
  <si>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</si>
  <si>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</si>
  <si>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</si>
  <si>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</si>
  <si>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</si>
  <si>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</si>
  <si>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</si>
  <si>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</si>
  <si>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</si>
  <si>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</si>
  <si>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</si>
  <si>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</si>
  <si>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</si>
  <si>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</si>
  <si>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</si>
  <si>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</si>
  <si>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</si>
  <si>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</si>
  <si>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</si>
  <si>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</si>
  <si>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</si>
  <si>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</si>
  <si>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</si>
  <si>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</si>
  <si>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</si>
  <si>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</si>
  <si>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</si>
  <si>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</si>
  <si>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</si>
  <si>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</si>
  <si>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</si>
  <si>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</si>
  <si>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</si>
  <si>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</si>
  <si>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</si>
  <si>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</si>
  <si>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</si>
  <si>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</si>
  <si>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</si>
  <si>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</si>
  <si>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</si>
  <si>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</si>
  <si>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</si>
  <si>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</si>
  <si>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</si>
  <si>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</si>
  <si>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</si>
  <si>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</si>
  <si>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</si>
  <si>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</si>
  <si>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</si>
  <si>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</si>
  <si>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</si>
  <si>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</si>
  <si>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</si>
  <si>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</si>
  <si>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</si>
  <si>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</si>
  <si>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</si>
  <si>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</si>
  <si>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</si>
  <si>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</si>
  <si>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</si>
  <si>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</si>
  <si>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</si>
  <si>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</si>
  <si>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</si>
  <si>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</si>
  <si>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</si>
  <si>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</si>
  <si>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</si>
  <si>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</si>
  <si>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</si>
  <si>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</si>
  <si>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</si>
  <si>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</si>
  <si>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</si>
  <si>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</si>
  <si>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</si>
  <si>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</si>
  <si>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</si>
  <si>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</si>
  <si>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</si>
  <si>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</si>
  <si>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</si>
  <si>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</si>
  <si>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</si>
  <si>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</si>
  <si>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</si>
  <si>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</si>
  <si>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</si>
  <si>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</si>
  <si>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</si>
  <si>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</si>
  <si>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</si>
  <si>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</si>
  <si>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</si>
  <si>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</si>
  <si>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</si>
  <si>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</si>
  <si>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</si>
  <si>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</si>
  <si>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</si>
  <si>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</si>
  <si>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</si>
  <si>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</si>
  <si>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</si>
  <si>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</si>
  <si>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</si>
  <si>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</si>
  <si>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</si>
  <si>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</si>
  <si>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</si>
  <si>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</si>
  <si>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</si>
  <si>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</si>
  <si>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</si>
  <si>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</si>
  <si>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</si>
  <si>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</si>
  <si>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</si>
  <si>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</si>
  <si>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</si>
  <si>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</si>
  <si>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</si>
  <si>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</si>
  <si>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</si>
  <si>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</si>
  <si>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</si>
  <si>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</si>
  <si>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</si>
  <si>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</si>
  <si>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</si>
  <si>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</si>
  <si>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</si>
  <si>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</si>
  <si>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</si>
  <si>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</si>
  <si>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</si>
  <si>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</si>
  <si>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</si>
  <si>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</si>
  <si>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</si>
  <si>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</si>
  <si>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</si>
  <si>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</si>
  <si>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</si>
  <si>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</si>
  <si>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</si>
  <si>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</si>
  <si>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</si>
  <si>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</si>
  <si>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</si>
  <si>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</si>
  <si>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</si>
  <si>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</si>
  <si>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</si>
  <si>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</si>
  <si>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</si>
  <si>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</si>
  <si>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</si>
  <si>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</si>
  <si>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</si>
  <si>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</si>
  <si>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</si>
  <si>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</si>
  <si>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</si>
  <si>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</si>
  <si>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</si>
  <si>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</si>
  <si>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</si>
  <si>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</si>
  <si>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</si>
  <si>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</si>
  <si>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</si>
  <si>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</si>
  <si>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</si>
  <si>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</si>
  <si>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</si>
  <si>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</si>
  <si>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</si>
  <si>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</si>
  <si>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</si>
  <si>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</si>
  <si>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</si>
  <si>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</si>
  <si>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</si>
  <si>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</si>
  <si>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</si>
  <si>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</si>
  <si>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</si>
  <si>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</si>
  <si>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</si>
  <si>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</si>
  <si>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</si>
  <si>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</si>
  <si>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</si>
  <si>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</si>
  <si>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</si>
  <si>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</si>
  <si>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</si>
  <si>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</si>
  <si>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</si>
  <si>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</si>
  <si>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</si>
  <si>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</si>
  <si>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</si>
  <si>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</si>
  <si>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</si>
  <si>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</si>
  <si>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</si>
  <si>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</si>
  <si>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</si>
  <si>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</si>
  <si>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</si>
  <si>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</si>
  <si>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</si>
  <si>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</si>
  <si>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</si>
  <si>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</si>
  <si>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</si>
  <si>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</si>
  <si>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</si>
  <si>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</si>
  <si>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</si>
  <si>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</si>
  <si>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確認備料量是否正確，調整出料率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</si>
  <si>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</si>
  <si>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</si>
  <si>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</si>
  <si>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</si>
  <si>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</si>
  <si>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</si>
  <si>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</si>
  <si>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</si>
  <si>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</si>
  <si>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</si>
  <si>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</si>
  <si>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二配炒蒙古烤肉蔬菜</t>
  </si>
  <si>
    <t>二配大飯糰滷肉飯加蛋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</si>
  <si>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</si>
  <si>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</si>
  <si>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</si>
  <si>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</si>
  <si>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</si>
  <si>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</si>
  <si>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</si>
  <si>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</si>
  <si>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</si>
  <si>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</si>
  <si>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</si>
  <si>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</si>
  <si>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</si>
  <si>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</si>
  <si>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</si>
  <si>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</si>
  <si>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</si>
  <si>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</si>
  <si>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</si>
  <si>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</si>
  <si>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</si>
  <si>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</si>
  <si>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</si>
  <si>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</si>
  <si>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</si>
  <si>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</si>
  <si>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</si>
  <si>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</si>
  <si>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</si>
  <si>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</si>
  <si>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</si>
  <si>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</si>
  <si>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</si>
  <si>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</si>
  <si>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</si>
  <si>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</si>
  <si>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</si>
  <si>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</si>
  <si>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</si>
  <si>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</si>
  <si>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</si>
  <si>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</si>
  <si>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</si>
  <si>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</si>
  <si>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</si>
  <si>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</si>
  <si>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</si>
  <si>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</si>
  <si>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</si>
  <si>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</si>
  <si>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</si>
  <si>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</si>
  <si>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</si>
  <si>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</si>
  <si>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</si>
  <si>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</si>
  <si>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</si>
  <si>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</si>
  <si>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</si>
  <si>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</si>
  <si>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</si>
  <si>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</si>
  <si>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</si>
  <si>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</si>
  <si>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</si>
  <si>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</si>
  <si>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</si>
  <si>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二配歐姆蛋(111年版)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</si>
  <si>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</si>
  <si>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</si>
  <si>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</si>
  <si>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</si>
  <si>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</si>
  <si>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二配雞肉香料咖哩</t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</si>
  <si>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</si>
  <si>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</si>
  <si>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</si>
  <si>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</si>
  <si>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</si>
  <si>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</si>
  <si>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</si>
  <si>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</si>
  <si>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</si>
  <si>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</si>
  <si>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</si>
  <si>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</si>
  <si>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</si>
  <si>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</si>
  <si>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</si>
  <si>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</si>
  <si>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</si>
  <si>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紅運烏魚子紹興飯糰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</si>
  <si>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</si>
  <si>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</si>
  <si>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</si>
  <si>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</si>
  <si>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</si>
  <si>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</si>
  <si>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</si>
  <si>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</si>
  <si>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二配炒解凍11N培根片</t>
  </si>
  <si>
    <t>蟹味可樂餅風炸飯糰</t>
  </si>
  <si>
    <t>二配北海道秋鮭親子飯糰</t>
  </si>
  <si>
    <t>二配解凍-醬油漬鮭魚卵</t>
  </si>
  <si>
    <t>二配濃辛辣咖哩醬(114年)</t>
  </si>
  <si>
    <r>
      <t>（７）</t>
    </r>
    <r>
      <rPr>
        <b/>
        <sz val="12"/>
        <color rgb="FF000000"/>
        <rFont val="Meiryo UI"/>
        <family val="2"/>
      </rPr>
      <t>原因別分析(2/24-3/2)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</si>
  <si>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原因別分析(3/3-3/9)</t>
    </r>
    <phoneticPr fontId="11" type="noConversion"/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</si>
  <si>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</si>
  <si>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</si>
  <si>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</si>
  <si>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</si>
  <si>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</si>
  <si>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</si>
  <si>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</si>
  <si>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</si>
  <si>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</si>
  <si>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</si>
  <si>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</si>
  <si>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</si>
  <si>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</si>
  <si>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雙倍德腸飯卷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</si>
  <si>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</si>
  <si>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</si>
  <si>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</si>
  <si>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</si>
  <si>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</si>
  <si>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二配濃起司燻腸紅醬焗烤飯</t>
  </si>
  <si>
    <t>二配西班牙風味海鮮燉飯</t>
  </si>
  <si>
    <t>日式野菜烘蛋燴飯</t>
  </si>
  <si>
    <t>二配失控起司薯餅焗飯</t>
  </si>
  <si>
    <t>二配鮭魚蛋炒飯</t>
  </si>
  <si>
    <t>二配鐵板豆腐燴蛋蓋飯</t>
  </si>
  <si>
    <t>日式中濃醬炭火漢堡排飯</t>
  </si>
  <si>
    <t>－</t>
    <phoneticPr fontId="11" type="noConversion"/>
  </si>
  <si>
    <t>辣腐乳麻醬拌麵</t>
  </si>
  <si>
    <t>賣相要求</t>
  </si>
  <si>
    <t>二配烤鹹蛋黃碎</t>
  </si>
  <si>
    <t>確認糖鹽度判定範圍，以中線作為判定標準</t>
  </si>
  <si>
    <t>糖鹽度在設定範圍內，但偏低，導致產出量多</t>
  </si>
  <si>
    <r>
      <t>（７）</t>
    </r>
    <r>
      <rPr>
        <b/>
        <sz val="12"/>
        <color rgb="FF000000"/>
        <rFont val="Meiryo UI"/>
        <family val="2"/>
      </rPr>
      <t>原因別分析(3/10-3/16)</t>
    </r>
    <phoneticPr fontId="11" type="noConversion"/>
  </si>
  <si>
    <t>媽媽煮藝-香滷牛肚絲</t>
  </si>
  <si>
    <t>對比上週差異小</t>
    <phoneticPr fontId="11" type="noConversion"/>
  </si>
  <si>
    <t>二配蒸海鮮醬(料)</t>
  </si>
  <si>
    <t>蒸-醬香雞肉絲CL(全)</t>
  </si>
  <si>
    <t>原物料的大小、長短差異</t>
  </si>
  <si>
    <t>半成品均勻度影響放料量</t>
  </si>
  <si>
    <t>半成品使用前先攪拌均勻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</si>
  <si>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</si>
  <si>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</si>
  <si>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回饋研發，後續開發列入考量，設定放料重量範圍。</t>
  </si>
  <si>
    <t>原物料大小片差異</t>
  </si>
  <si>
    <t>二配112年拌鹽烤豬肉片</t>
  </si>
  <si>
    <t>二配鮮蝦旬彩炊飯飯糰</t>
  </si>
  <si>
    <t>銀鮭美乃滋脆卷</t>
  </si>
  <si>
    <t>壹號醬壽喜燒牛丼</t>
  </si>
  <si>
    <t>▲</t>
    <phoneticPr fontId="11" type="noConversion"/>
  </si>
  <si>
    <t>▼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</si>
  <si>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原因別分析(3/17-3/23)</t>
    </r>
    <phoneticPr fontId="11" type="noConversion"/>
  </si>
  <si>
    <t>二配燴蛋飯-炒肉燥</t>
  </si>
  <si>
    <t>煮辣腐乳醬</t>
  </si>
  <si>
    <t>炒壽喜燒牛五花</t>
  </si>
  <si>
    <t>烤墨西哥雞丁</t>
  </si>
  <si>
    <t>切3cm-炙烤牛五花(飯卷)</t>
  </si>
  <si>
    <t>二配鹽蔥燒肉飯糰</t>
  </si>
  <si>
    <t>煮愛恨椒麻湯凍</t>
  </si>
  <si>
    <t>二配煮鐵板豆腐</t>
  </si>
  <si>
    <t>炒蒜香高麗菜</t>
  </si>
  <si>
    <t>二配蒸-全熟雞肉絲CL(升)</t>
  </si>
  <si>
    <t>二配雞肉飯飯糰</t>
  </si>
  <si>
    <t>原物料的大小、長短差異導致取樣易有不穩定的狀況</t>
  </si>
  <si>
    <t>原物料的大小長短、油花分布不同導致相同賣相的需求下用量不一樣。</t>
  </si>
  <si>
    <t>半成品糾結影響放料量</t>
  </si>
  <si>
    <t>W4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</si>
  <si>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原因別分析(3/24-3/30)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</si>
  <si>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</si>
  <si>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</si>
  <si>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</si>
  <si>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</si>
  <si>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</si>
  <si>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</si>
  <si>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</si>
  <si>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</si>
  <si>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</si>
  <si>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</si>
  <si>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</si>
  <si>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</si>
  <si>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辣炒酸菜絲</t>
  </si>
  <si>
    <t>烤冷凍蒜丁</t>
  </si>
  <si>
    <t>製程不穩</t>
    <phoneticPr fontId="11" type="noConversion"/>
  </si>
  <si>
    <t>確認備料量是否正確，調整出料率</t>
    <phoneticPr fontId="11" type="noConversion"/>
  </si>
  <si>
    <t>開丼-醬色烤洋蔥絲</t>
  </si>
  <si>
    <t>增加放料抽秤頻率</t>
    <phoneticPr fontId="11" type="noConversion"/>
  </si>
  <si>
    <t>二配辛口咖哩豬肉(114年)</t>
  </si>
  <si>
    <t>二配川燙青花菜</t>
  </si>
  <si>
    <t>二配炒綠咖哩腿肉片</t>
  </si>
  <si>
    <t>製程報廢</t>
    <phoneticPr fontId="11" type="noConversion"/>
  </si>
  <si>
    <t>其他原因</t>
    <phoneticPr fontId="11" type="noConversion"/>
  </si>
  <si>
    <t>單價高</t>
    <phoneticPr fontId="11" type="noConversion"/>
  </si>
  <si>
    <t>煮2024蕎麥麵</t>
  </si>
  <si>
    <t>超用率</t>
    <phoneticPr fontId="8"/>
  </si>
  <si>
    <t>小黃瓜絲</t>
  </si>
  <si>
    <t>韓式泡菜豬肉豆腐丼飯</t>
  </si>
  <si>
    <t>炒韓式燒肉(115年)</t>
  </si>
  <si>
    <t>拆袋-鹹酥雞(肉)</t>
  </si>
  <si>
    <t>賣相設定</t>
    <phoneticPr fontId="11" type="noConversion"/>
  </si>
  <si>
    <t>解凍-醬油漬鮭魚卵</t>
  </si>
  <si>
    <t>單價高</t>
    <phoneticPr fontId="11" type="noConversion"/>
  </si>
  <si>
    <t>蒸鼎泰豐香辣醬</t>
  </si>
  <si>
    <t>前幾名合計比例</t>
    <phoneticPr fontId="8"/>
  </si>
  <si>
    <t>前幾名合計金額</t>
    <phoneticPr fontId="8"/>
  </si>
  <si>
    <t>原物料的大小、長短差異導致取樣易有不穩定的狀況</t>
    <phoneticPr fontId="11" type="noConversion"/>
  </si>
  <si>
    <t>冰杓放料，冰杓滿度差異</t>
  </si>
  <si>
    <t>確認輔助工具型號，使用前先攪拌均勻。生產前及生產中確認設定及實際出料狀況</t>
  </si>
  <si>
    <t>川燙毛豆玉米</t>
  </si>
  <si>
    <t>手拿放料有掉料的狀況，放料較不穩定</t>
    <phoneticPr fontId="11" type="noConversion"/>
  </si>
  <si>
    <t>半成品使用前先攪拌均勻，測試輔助器具(冰杓)放料</t>
  </si>
  <si>
    <t>二配鼎泰豐-煮麻婆豆腐(113年)</t>
  </si>
  <si>
    <t>半成品糾結，影響放料手感</t>
    <phoneticPr fontId="11" type="noConversion"/>
  </si>
  <si>
    <t>生產前先行將半成品撥散</t>
    <phoneticPr fontId="11" type="noConversion"/>
  </si>
  <si>
    <t>二配油亮後腿肉絲</t>
  </si>
  <si>
    <t>半成品糾結，影響放料手感</t>
  </si>
  <si>
    <t>生產前先行將半成品撥散</t>
  </si>
  <si>
    <t>半成品會有沾黏於手上的狀況，影響放料手感</t>
    <phoneticPr fontId="11" type="noConversion"/>
  </si>
  <si>
    <t>定時撥除手上沾黏的瓜絲</t>
    <phoneticPr fontId="11" type="noConversion"/>
  </si>
  <si>
    <t>展開量高於１０5％</t>
  </si>
  <si>
    <t>二配溏心蛋五目飯糰</t>
  </si>
  <si>
    <t>－</t>
    <phoneticPr fontId="11" type="noConversion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</si>
  <si>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</si>
  <si>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</si>
  <si>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</si>
  <si>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r>
      <t>3/30</t>
    </r>
    <r>
      <rPr>
        <sz val="11"/>
        <color theme="1"/>
        <rFont val="細明體"/>
        <family val="3"/>
        <charset val="136"/>
      </rPr>
      <t>上市新品，為圓型飯糰，需再組裝半成品於飯糰上，並使用伺服包裝機包裝，使用人數較多，人時生產性較低。</t>
    </r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</si>
  <si>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</si>
  <si>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</si>
  <si>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</si>
  <si>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</si>
  <si>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</si>
  <si>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對比上週差異小，主要差異在人員順手度。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</si>
  <si>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商品，皆不須組裝，直接入機台包裝，人時生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性差異小。</t>
    </r>
    <phoneticPr fontId="11" type="noConversion"/>
  </si>
  <si>
    <t>雙倍德腸飯卷</t>
    <phoneticPr fontId="11" type="noConversion"/>
  </si>
  <si>
    <t>品項皆為八爪機作業，產能平均，產能及人時生產性差異小。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</si>
</sst>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sz val="8"/>
      <color theme="1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25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34" fillId="8" borderId="22" xfId="13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111" fillId="0" borderId="31" xfId="0" applyFont="1" applyBorder="1" applyAlignment="1">
      <alignment horizontal="left" vertical="center" wrapText="1" shrinkToFit="1"/>
    </xf>
    <xf numFmtId="0" fontId="111" fillId="0" borderId="32" xfId="0" applyFont="1" applyBorder="1" applyAlignment="1">
      <alignment horizontal="left" vertical="center" wrapText="1" shrinkToFit="1"/>
    </xf>
    <xf numFmtId="0" fontId="111" fillId="0" borderId="33" xfId="0" applyFont="1" applyBorder="1" applyAlignment="1">
      <alignment horizontal="left" vertical="center" wrapText="1" shrinkToFit="1"/>
    </xf>
    <xf numFmtId="0" fontId="111" fillId="0" borderId="34" xfId="0" applyFont="1" applyBorder="1" applyAlignment="1">
      <alignment horizontal="left" vertical="center" wrapText="1" shrinkToFit="1"/>
    </xf>
    <xf numFmtId="0" fontId="111" fillId="0" borderId="35" xfId="0" applyFont="1" applyBorder="1" applyAlignment="1">
      <alignment horizontal="left" vertical="center" wrapText="1" shrinkToFit="1"/>
    </xf>
    <xf numFmtId="0" fontId="111" fillId="0" borderId="36" xfId="0" applyFont="1" applyBorder="1" applyAlignment="1">
      <alignment horizontal="left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shrinkToFit="1"/>
    </xf>
    <xf numFmtId="0" fontId="20" fillId="0" borderId="27" xfId="0" applyFont="1" applyBorder="1" applyAlignment="1">
      <alignment horizontal="center" vertical="center" shrinkToFit="1"/>
    </xf>
    <xf numFmtId="0" fontId="55" fillId="0" borderId="25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1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19" t="s">
        <v>12</v>
      </c>
      <c r="D21" s="602"/>
      <c r="E21" s="595"/>
      <c r="F21" s="50" t="s">
        <v>46</v>
      </c>
      <c r="G21" s="50" t="s">
        <v>48</v>
      </c>
      <c r="H21" s="50" t="s">
        <v>49</v>
      </c>
      <c r="I21" s="8" t="s">
        <v>13</v>
      </c>
      <c r="J21" s="611" t="s">
        <v>51</v>
      </c>
      <c r="K21" s="595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94" t="s">
        <v>14</v>
      </c>
      <c r="D22" s="602"/>
      <c r="E22" s="595"/>
      <c r="F22" s="4">
        <v>3</v>
      </c>
      <c r="G22" s="4">
        <v>3000</v>
      </c>
      <c r="H22" s="4">
        <v>1000</v>
      </c>
      <c r="I22" s="4">
        <v>10</v>
      </c>
      <c r="J22" s="601" t="s">
        <v>76</v>
      </c>
      <c r="K22" s="595"/>
      <c r="M22" s="53" t="s">
        <v>26</v>
      </c>
      <c r="N22" s="58" t="s">
        <v>47</v>
      </c>
      <c r="O22" s="607" t="s">
        <v>12</v>
      </c>
      <c r="P22" s="602"/>
      <c r="Q22" s="595"/>
      <c r="R22" s="613" t="s">
        <v>53</v>
      </c>
      <c r="S22" s="602"/>
      <c r="T22" s="595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11" t="s">
        <v>51</v>
      </c>
      <c r="AA22" s="595"/>
    </row>
    <row r="23" spans="1:27" ht="15.75" customHeight="1">
      <c r="A23" s="23"/>
      <c r="B23" s="6">
        <v>2</v>
      </c>
      <c r="C23" s="616"/>
      <c r="D23" s="602"/>
      <c r="E23" s="595"/>
      <c r="F23" s="4"/>
      <c r="G23" s="4"/>
      <c r="H23" s="4"/>
      <c r="I23" s="4"/>
      <c r="J23" s="616"/>
      <c r="K23" s="595"/>
      <c r="M23" s="57" t="s">
        <v>42</v>
      </c>
      <c r="N23" s="24">
        <v>1</v>
      </c>
      <c r="O23" s="601" t="s">
        <v>82</v>
      </c>
      <c r="P23" s="602"/>
      <c r="Q23" s="595"/>
      <c r="R23" s="601" t="s">
        <v>85</v>
      </c>
      <c r="S23" s="602"/>
      <c r="T23" s="59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01" t="s">
        <v>86</v>
      </c>
      <c r="AA23" s="595"/>
    </row>
    <row r="24" spans="1:27" ht="15.75" customHeight="1">
      <c r="A24" s="23"/>
      <c r="B24" s="6">
        <v>3</v>
      </c>
      <c r="C24" s="616"/>
      <c r="D24" s="602"/>
      <c r="E24" s="595"/>
      <c r="F24" s="4"/>
      <c r="G24" s="4"/>
      <c r="H24" s="4"/>
      <c r="I24" s="4"/>
      <c r="J24" s="616"/>
      <c r="K24" s="595"/>
      <c r="M24" s="25"/>
      <c r="N24" s="24">
        <v>2</v>
      </c>
      <c r="O24" s="594"/>
      <c r="P24" s="602"/>
      <c r="Q24" s="595"/>
      <c r="R24" s="594"/>
      <c r="S24" s="602"/>
      <c r="T24" s="595"/>
      <c r="U24" s="4"/>
      <c r="V24" s="14"/>
      <c r="W24" s="4"/>
      <c r="X24" s="16">
        <f>W24*U24</f>
        <v>0</v>
      </c>
      <c r="Y24" s="4"/>
      <c r="Z24" s="594"/>
      <c r="AA24" s="595"/>
    </row>
    <row r="25" spans="1:27" ht="15.75" customHeight="1">
      <c r="A25" s="23"/>
      <c r="B25" s="6">
        <v>4</v>
      </c>
      <c r="C25" s="616"/>
      <c r="D25" s="602"/>
      <c r="E25" s="595"/>
      <c r="F25" s="4"/>
      <c r="G25" s="4"/>
      <c r="H25" s="4"/>
      <c r="I25" s="4"/>
      <c r="J25" s="616"/>
      <c r="K25" s="595"/>
      <c r="M25" s="25"/>
      <c r="N25" s="24">
        <v>3</v>
      </c>
      <c r="O25" s="594"/>
      <c r="P25" s="602"/>
      <c r="Q25" s="595"/>
      <c r="R25" s="594"/>
      <c r="S25" s="602"/>
      <c r="T25" s="595"/>
      <c r="U25" s="4"/>
      <c r="V25" s="14"/>
      <c r="W25" s="4"/>
      <c r="X25" s="16">
        <f>W25*U25</f>
        <v>0</v>
      </c>
      <c r="Y25" s="4"/>
      <c r="Z25" s="594"/>
      <c r="AA25" s="595"/>
    </row>
    <row r="26" spans="1:27" ht="15.75" customHeight="1">
      <c r="A26" s="23"/>
      <c r="B26" s="26">
        <v>5</v>
      </c>
      <c r="C26" s="620"/>
      <c r="D26" s="603"/>
      <c r="E26" s="597"/>
      <c r="F26" s="27"/>
      <c r="G26" s="27"/>
      <c r="H26" s="27"/>
      <c r="I26" s="27"/>
      <c r="J26" s="620"/>
      <c r="K26" s="597"/>
      <c r="M26" s="25"/>
      <c r="N26" s="24">
        <v>4</v>
      </c>
      <c r="O26" s="594"/>
      <c r="P26" s="602"/>
      <c r="Q26" s="595"/>
      <c r="R26" s="594"/>
      <c r="S26" s="602"/>
      <c r="T26" s="595"/>
      <c r="U26" s="4"/>
      <c r="V26" s="14"/>
      <c r="W26" s="4"/>
      <c r="X26" s="16">
        <f>W26*U26</f>
        <v>0</v>
      </c>
      <c r="Y26" s="4"/>
      <c r="Z26" s="594"/>
      <c r="AA26" s="595"/>
    </row>
    <row r="27" spans="1:27" ht="15.75" customHeight="1">
      <c r="A27" s="23"/>
      <c r="B27" s="70" t="s">
        <v>101</v>
      </c>
      <c r="C27" s="604" t="s">
        <v>75</v>
      </c>
      <c r="D27" s="605"/>
      <c r="E27" s="606"/>
      <c r="F27" s="28">
        <v>4</v>
      </c>
      <c r="G27" s="28">
        <v>2800</v>
      </c>
      <c r="H27" s="28">
        <v>700</v>
      </c>
      <c r="I27" s="28" t="s">
        <v>15</v>
      </c>
      <c r="J27" s="604" t="s">
        <v>77</v>
      </c>
      <c r="K27" s="606"/>
      <c r="M27" s="25"/>
      <c r="N27" s="29">
        <v>5</v>
      </c>
      <c r="O27" s="596"/>
      <c r="P27" s="603"/>
      <c r="Q27" s="597"/>
      <c r="R27" s="596"/>
      <c r="S27" s="603"/>
      <c r="T27" s="597"/>
      <c r="U27" s="27"/>
      <c r="V27" s="30"/>
      <c r="W27" s="27"/>
      <c r="X27" s="31">
        <f>W27*U27</f>
        <v>0</v>
      </c>
      <c r="Y27" s="4"/>
      <c r="Z27" s="596"/>
      <c r="AA27" s="597"/>
    </row>
    <row r="28" spans="1:27" ht="15.75" customHeight="1">
      <c r="A28" s="23"/>
      <c r="B28" s="71" t="s">
        <v>102</v>
      </c>
      <c r="C28" s="616"/>
      <c r="D28" s="602"/>
      <c r="E28" s="595"/>
      <c r="F28" s="4"/>
      <c r="G28" s="4"/>
      <c r="H28" s="4"/>
      <c r="I28" s="4"/>
      <c r="J28" s="616"/>
      <c r="K28" s="595"/>
      <c r="M28" s="32"/>
      <c r="N28" s="56"/>
      <c r="O28" s="598"/>
      <c r="P28" s="602"/>
      <c r="Q28" s="602"/>
      <c r="R28" s="598"/>
      <c r="S28" s="602"/>
      <c r="T28" s="602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8"/>
      <c r="AA28" s="595"/>
    </row>
    <row r="29" spans="1:27" ht="15.75" customHeight="1">
      <c r="A29" s="23"/>
      <c r="B29" s="71" t="s">
        <v>100</v>
      </c>
      <c r="C29" s="616"/>
      <c r="D29" s="602"/>
      <c r="E29" s="595"/>
      <c r="F29" s="4"/>
      <c r="G29" s="4"/>
      <c r="H29" s="4"/>
      <c r="I29" s="4"/>
      <c r="J29" s="616"/>
      <c r="K29" s="595"/>
      <c r="M29" s="57" t="s">
        <v>43</v>
      </c>
      <c r="N29" s="24">
        <v>1</v>
      </c>
      <c r="O29" s="617" t="s">
        <v>16</v>
      </c>
      <c r="P29" s="618"/>
      <c r="Q29" s="600"/>
      <c r="R29" s="599" t="s">
        <v>87</v>
      </c>
      <c r="S29" s="618"/>
      <c r="T29" s="60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9" t="s">
        <v>88</v>
      </c>
      <c r="AA29" s="600"/>
    </row>
    <row r="30" spans="1:27" ht="15.75" customHeight="1">
      <c r="A30" s="23"/>
      <c r="B30" s="71" t="s">
        <v>99</v>
      </c>
      <c r="C30" s="616"/>
      <c r="D30" s="602"/>
      <c r="E30" s="595"/>
      <c r="F30" s="4"/>
      <c r="G30" s="4"/>
      <c r="H30" s="4"/>
      <c r="I30" s="4"/>
      <c r="J30" s="616"/>
      <c r="K30" s="595"/>
      <c r="M30" s="25"/>
      <c r="N30" s="24">
        <v>2</v>
      </c>
      <c r="O30" s="594"/>
      <c r="P30" s="602"/>
      <c r="Q30" s="595"/>
      <c r="R30" s="594"/>
      <c r="S30" s="602"/>
      <c r="T30" s="595"/>
      <c r="U30" s="4"/>
      <c r="V30" s="14"/>
      <c r="W30" s="4"/>
      <c r="X30" s="16">
        <f>W30*U30</f>
        <v>0</v>
      </c>
      <c r="Y30" s="4"/>
      <c r="Z30" s="594"/>
      <c r="AA30" s="595"/>
    </row>
    <row r="31" spans="1:27" ht="15.75" customHeight="1">
      <c r="A31" s="20"/>
      <c r="B31" s="71" t="s">
        <v>103</v>
      </c>
      <c r="C31" s="616"/>
      <c r="D31" s="602"/>
      <c r="E31" s="595"/>
      <c r="F31" s="4"/>
      <c r="G31" s="4"/>
      <c r="H31" s="4"/>
      <c r="I31" s="4"/>
      <c r="J31" s="616"/>
      <c r="K31" s="595"/>
      <c r="M31" s="25"/>
      <c r="N31" s="24">
        <v>3</v>
      </c>
      <c r="O31" s="594"/>
      <c r="P31" s="602"/>
      <c r="Q31" s="595"/>
      <c r="R31" s="594"/>
      <c r="S31" s="602"/>
      <c r="T31" s="595"/>
      <c r="U31" s="4"/>
      <c r="V31" s="14"/>
      <c r="W31" s="4"/>
      <c r="X31" s="16">
        <f>W31*U31</f>
        <v>0</v>
      </c>
      <c r="Y31" s="4"/>
      <c r="Z31" s="594"/>
      <c r="AA31" s="595"/>
    </row>
    <row r="32" spans="1:27" ht="15.75" customHeight="1">
      <c r="A32" s="68"/>
      <c r="M32" s="25"/>
      <c r="N32" s="24">
        <v>4</v>
      </c>
      <c r="O32" s="594"/>
      <c r="P32" s="602"/>
      <c r="Q32" s="595"/>
      <c r="R32" s="594"/>
      <c r="S32" s="602"/>
      <c r="T32" s="595"/>
      <c r="U32" s="4"/>
      <c r="V32" s="14"/>
      <c r="W32" s="4"/>
      <c r="X32" s="16">
        <f>W32*U32</f>
        <v>0</v>
      </c>
      <c r="Y32" s="4"/>
      <c r="Z32" s="594"/>
      <c r="AA32" s="595"/>
    </row>
    <row r="33" spans="1:27" ht="15.75" customHeight="1">
      <c r="A33" s="18"/>
      <c r="B33" s="50" t="s">
        <v>47</v>
      </c>
      <c r="C33" s="619" t="s">
        <v>12</v>
      </c>
      <c r="D33" s="602"/>
      <c r="E33" s="595"/>
      <c r="F33" s="50" t="s">
        <v>46</v>
      </c>
      <c r="G33" s="50" t="s">
        <v>48</v>
      </c>
      <c r="H33" s="50" t="s">
        <v>49</v>
      </c>
      <c r="I33" s="8" t="s">
        <v>13</v>
      </c>
      <c r="J33" s="611" t="s">
        <v>51</v>
      </c>
      <c r="K33" s="595"/>
      <c r="M33" s="25"/>
      <c r="N33" s="29">
        <v>5</v>
      </c>
      <c r="O33" s="594"/>
      <c r="P33" s="602"/>
      <c r="Q33" s="595"/>
      <c r="R33" s="594"/>
      <c r="S33" s="602"/>
      <c r="T33" s="595"/>
      <c r="U33" s="27"/>
      <c r="V33" s="30"/>
      <c r="W33" s="27"/>
      <c r="X33" s="31">
        <f>W33*U33</f>
        <v>0</v>
      </c>
      <c r="Y33" s="4"/>
      <c r="Z33" s="594"/>
      <c r="AA33" s="595"/>
    </row>
    <row r="34" spans="1:27" ht="15.75" customHeight="1">
      <c r="A34" s="53" t="s">
        <v>35</v>
      </c>
      <c r="B34" s="6">
        <v>1</v>
      </c>
      <c r="C34" s="601" t="s">
        <v>79</v>
      </c>
      <c r="D34" s="602"/>
      <c r="E34" s="595"/>
      <c r="F34" s="4">
        <v>3</v>
      </c>
      <c r="G34" s="4">
        <v>2500</v>
      </c>
      <c r="H34" s="4">
        <v>833.33</v>
      </c>
      <c r="I34" s="4">
        <v>20</v>
      </c>
      <c r="J34" s="601" t="s">
        <v>78</v>
      </c>
      <c r="K34" s="595"/>
      <c r="M34" s="69"/>
      <c r="N34" s="45"/>
      <c r="O34" s="598"/>
      <c r="P34" s="602"/>
      <c r="Q34" s="602"/>
      <c r="R34" s="598"/>
      <c r="S34" s="602"/>
      <c r="T34" s="602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8"/>
      <c r="AA34" s="595"/>
    </row>
    <row r="35" spans="1:27" ht="15.75" customHeight="1">
      <c r="A35" s="23"/>
      <c r="B35" s="6">
        <v>2</v>
      </c>
      <c r="C35" s="594"/>
      <c r="D35" s="602"/>
      <c r="E35" s="595"/>
      <c r="F35" s="4"/>
      <c r="G35" s="4"/>
      <c r="H35" s="4"/>
      <c r="I35" s="4"/>
      <c r="J35" s="594"/>
      <c r="K35" s="595"/>
      <c r="M35" s="1"/>
      <c r="N35" s="1"/>
      <c r="O35" s="609"/>
      <c r="P35" s="610"/>
      <c r="Q35" s="610"/>
      <c r="R35" s="609"/>
      <c r="S35" s="610"/>
      <c r="T35" s="610"/>
      <c r="U35" s="1"/>
      <c r="V35" s="38"/>
      <c r="W35" s="1"/>
      <c r="X35" s="1"/>
      <c r="Y35" s="609"/>
      <c r="Z35" s="610"/>
      <c r="AA35" s="610"/>
    </row>
    <row r="36" spans="1:27" ht="15.75" customHeight="1">
      <c r="A36" s="23"/>
      <c r="B36" s="6">
        <v>3</v>
      </c>
      <c r="C36" s="594"/>
      <c r="D36" s="602"/>
      <c r="E36" s="595"/>
      <c r="F36" s="4"/>
      <c r="G36" s="4"/>
      <c r="H36" s="4"/>
      <c r="I36" s="4"/>
      <c r="J36" s="594"/>
      <c r="K36" s="595"/>
      <c r="M36" s="53" t="s">
        <v>27</v>
      </c>
      <c r="N36" s="58" t="s">
        <v>47</v>
      </c>
      <c r="O36" s="607" t="s">
        <v>12</v>
      </c>
      <c r="P36" s="598"/>
      <c r="Q36" s="608"/>
      <c r="R36" s="613" t="s">
        <v>53</v>
      </c>
      <c r="S36" s="614"/>
      <c r="T36" s="615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11" t="s">
        <v>51</v>
      </c>
      <c r="AA36" s="612"/>
    </row>
    <row r="37" spans="1:27" ht="15.75" customHeight="1">
      <c r="A37" s="23"/>
      <c r="B37" s="6">
        <v>4</v>
      </c>
      <c r="C37" s="594"/>
      <c r="D37" s="602"/>
      <c r="E37" s="595"/>
      <c r="F37" s="4"/>
      <c r="G37" s="4"/>
      <c r="H37" s="4"/>
      <c r="I37" s="4"/>
      <c r="J37" s="594"/>
      <c r="K37" s="595"/>
      <c r="M37" s="57" t="s">
        <v>42</v>
      </c>
      <c r="N37" s="24">
        <v>1</v>
      </c>
      <c r="O37" s="601" t="s">
        <v>89</v>
      </c>
      <c r="P37" s="602"/>
      <c r="Q37" s="595"/>
      <c r="R37" s="601" t="s">
        <v>90</v>
      </c>
      <c r="S37" s="602"/>
      <c r="T37" s="59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01" t="s">
        <v>91</v>
      </c>
      <c r="AA37" s="595"/>
    </row>
    <row r="38" spans="1:27" ht="15.75" customHeight="1">
      <c r="A38" s="23"/>
      <c r="B38" s="26">
        <v>5</v>
      </c>
      <c r="C38" s="596"/>
      <c r="D38" s="603"/>
      <c r="E38" s="597"/>
      <c r="F38" s="27"/>
      <c r="G38" s="27"/>
      <c r="H38" s="27"/>
      <c r="I38" s="27"/>
      <c r="J38" s="596"/>
      <c r="K38" s="597"/>
      <c r="M38" s="25"/>
      <c r="N38" s="24">
        <v>2</v>
      </c>
      <c r="O38" s="594"/>
      <c r="P38" s="602"/>
      <c r="Q38" s="595"/>
      <c r="R38" s="594"/>
      <c r="S38" s="602"/>
      <c r="T38" s="595"/>
      <c r="U38" s="4"/>
      <c r="V38" s="14"/>
      <c r="W38" s="4"/>
      <c r="X38" s="16">
        <f>W38*U38</f>
        <v>0</v>
      </c>
      <c r="Y38" s="4"/>
      <c r="Z38" s="594"/>
      <c r="AA38" s="595"/>
    </row>
    <row r="39" spans="1:27" ht="14.25">
      <c r="A39" s="23"/>
      <c r="B39" s="70" t="s">
        <v>101</v>
      </c>
      <c r="C39" s="604" t="s">
        <v>80</v>
      </c>
      <c r="D39" s="605"/>
      <c r="E39" s="606"/>
      <c r="F39" s="28">
        <v>7</v>
      </c>
      <c r="G39" s="28">
        <v>2200</v>
      </c>
      <c r="H39" s="28">
        <v>314.29000000000002</v>
      </c>
      <c r="I39" s="28">
        <v>-15</v>
      </c>
      <c r="J39" s="604" t="s">
        <v>81</v>
      </c>
      <c r="K39" s="606"/>
      <c r="M39" s="25"/>
      <c r="N39" s="24">
        <v>3</v>
      </c>
      <c r="O39" s="594"/>
      <c r="P39" s="602"/>
      <c r="Q39" s="595"/>
      <c r="R39" s="594"/>
      <c r="S39" s="602"/>
      <c r="T39" s="595"/>
      <c r="U39" s="4"/>
      <c r="V39" s="14"/>
      <c r="W39" s="4"/>
      <c r="X39" s="16">
        <f>W39*U39</f>
        <v>0</v>
      </c>
      <c r="Y39" s="4"/>
      <c r="Z39" s="594"/>
      <c r="AA39" s="595"/>
    </row>
    <row r="40" spans="1:27" ht="14.25">
      <c r="A40" s="23"/>
      <c r="B40" s="71" t="s">
        <v>102</v>
      </c>
      <c r="C40" s="594"/>
      <c r="D40" s="602"/>
      <c r="E40" s="595"/>
      <c r="F40" s="4"/>
      <c r="G40" s="4"/>
      <c r="H40" s="4"/>
      <c r="I40" s="4"/>
      <c r="J40" s="594"/>
      <c r="K40" s="595"/>
      <c r="M40" s="25"/>
      <c r="N40" s="24">
        <v>4</v>
      </c>
      <c r="O40" s="594"/>
      <c r="P40" s="602"/>
      <c r="Q40" s="595"/>
      <c r="R40" s="594"/>
      <c r="S40" s="602"/>
      <c r="T40" s="595"/>
      <c r="U40" s="4"/>
      <c r="V40" s="14"/>
      <c r="W40" s="4"/>
      <c r="X40" s="16">
        <f>W40*U40</f>
        <v>0</v>
      </c>
      <c r="Y40" s="4"/>
      <c r="Z40" s="594"/>
      <c r="AA40" s="595"/>
    </row>
    <row r="41" spans="1:27" ht="14.25">
      <c r="A41" s="23"/>
      <c r="B41" s="71" t="s">
        <v>100</v>
      </c>
      <c r="C41" s="594"/>
      <c r="D41" s="602"/>
      <c r="E41" s="595"/>
      <c r="F41" s="4"/>
      <c r="G41" s="4"/>
      <c r="H41" s="4"/>
      <c r="I41" s="4"/>
      <c r="J41" s="594"/>
      <c r="K41" s="595"/>
      <c r="M41" s="25"/>
      <c r="N41" s="29">
        <v>5</v>
      </c>
      <c r="O41" s="596"/>
      <c r="P41" s="603"/>
      <c r="Q41" s="597"/>
      <c r="R41" s="596"/>
      <c r="S41" s="603"/>
      <c r="T41" s="597"/>
      <c r="U41" s="27"/>
      <c r="V41" s="30"/>
      <c r="W41" s="27"/>
      <c r="X41" s="31">
        <f>W41*U41</f>
        <v>0</v>
      </c>
      <c r="Y41" s="4"/>
      <c r="Z41" s="594"/>
      <c r="AA41" s="595"/>
    </row>
    <row r="42" spans="1:27" ht="14.25">
      <c r="A42" s="23"/>
      <c r="B42" s="71" t="s">
        <v>99</v>
      </c>
      <c r="C42" s="594"/>
      <c r="D42" s="602"/>
      <c r="E42" s="595"/>
      <c r="F42" s="4"/>
      <c r="G42" s="4"/>
      <c r="H42" s="4"/>
      <c r="I42" s="4"/>
      <c r="J42" s="594"/>
      <c r="K42" s="595"/>
      <c r="M42" s="32"/>
      <c r="N42" s="55"/>
      <c r="O42" s="598"/>
      <c r="P42" s="602"/>
      <c r="Q42" s="602"/>
      <c r="R42" s="598"/>
      <c r="S42" s="602"/>
      <c r="T42" s="602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8"/>
      <c r="AA42" s="595"/>
    </row>
    <row r="43" spans="1:27" ht="14.25">
      <c r="A43" s="20"/>
      <c r="B43" s="71" t="s">
        <v>103</v>
      </c>
      <c r="C43" s="594"/>
      <c r="D43" s="602"/>
      <c r="E43" s="595"/>
      <c r="F43" s="4"/>
      <c r="G43" s="4"/>
      <c r="H43" s="4"/>
      <c r="I43" s="4"/>
      <c r="J43" s="594"/>
      <c r="K43" s="595"/>
      <c r="M43" s="57" t="s">
        <v>43</v>
      </c>
      <c r="N43" s="24">
        <v>1</v>
      </c>
      <c r="O43" s="601" t="s">
        <v>89</v>
      </c>
      <c r="P43" s="602"/>
      <c r="Q43" s="595"/>
      <c r="R43" s="599" t="s">
        <v>93</v>
      </c>
      <c r="S43" s="618"/>
      <c r="T43" s="60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01" t="s">
        <v>92</v>
      </c>
      <c r="AA43" s="595"/>
    </row>
    <row r="44" spans="1:27" ht="14.25">
      <c r="A44" s="68"/>
      <c r="M44" s="25"/>
      <c r="N44" s="24">
        <v>2</v>
      </c>
      <c r="O44" s="594"/>
      <c r="P44" s="602"/>
      <c r="Q44" s="595"/>
      <c r="R44" s="594"/>
      <c r="S44" s="602"/>
      <c r="T44" s="595"/>
      <c r="U44" s="4"/>
      <c r="V44" s="14"/>
      <c r="W44" s="4"/>
      <c r="X44" s="37">
        <f>W44*U44</f>
        <v>0</v>
      </c>
      <c r="Y44" s="4"/>
      <c r="Z44" s="594"/>
      <c r="AA44" s="595"/>
    </row>
    <row r="45" spans="1:27" ht="14.25">
      <c r="A45" s="18"/>
      <c r="B45" s="50" t="s">
        <v>47</v>
      </c>
      <c r="C45" s="619" t="s">
        <v>12</v>
      </c>
      <c r="D45" s="602"/>
      <c r="E45" s="595"/>
      <c r="F45" s="50" t="s">
        <v>46</v>
      </c>
      <c r="G45" s="50" t="s">
        <v>48</v>
      </c>
      <c r="H45" s="50" t="s">
        <v>49</v>
      </c>
      <c r="I45" s="8" t="s">
        <v>13</v>
      </c>
      <c r="J45" s="611" t="s">
        <v>51</v>
      </c>
      <c r="K45" s="595"/>
      <c r="M45" s="25"/>
      <c r="N45" s="24">
        <v>3</v>
      </c>
      <c r="O45" s="594"/>
      <c r="P45" s="602"/>
      <c r="Q45" s="595"/>
      <c r="R45" s="594"/>
      <c r="S45" s="602"/>
      <c r="T45" s="595"/>
      <c r="U45" s="4"/>
      <c r="V45" s="14"/>
      <c r="W45" s="4"/>
      <c r="X45" s="37">
        <f>W45*U45</f>
        <v>0</v>
      </c>
      <c r="Y45" s="4"/>
      <c r="Z45" s="594"/>
      <c r="AA45" s="595"/>
    </row>
    <row r="46" spans="1:27" ht="14.25">
      <c r="A46" s="53" t="s">
        <v>36</v>
      </c>
      <c r="B46" s="6">
        <v>1</v>
      </c>
      <c r="C46" s="601" t="s">
        <v>82</v>
      </c>
      <c r="D46" s="602"/>
      <c r="E46" s="595"/>
      <c r="F46" s="4">
        <v>15</v>
      </c>
      <c r="G46" s="4">
        <v>1200</v>
      </c>
      <c r="H46" s="4">
        <v>80</v>
      </c>
      <c r="I46" s="4">
        <v>5</v>
      </c>
      <c r="J46" s="601" t="s">
        <v>83</v>
      </c>
      <c r="K46" s="595"/>
      <c r="M46" s="25"/>
      <c r="N46" s="24">
        <v>4</v>
      </c>
      <c r="O46" s="594"/>
      <c r="P46" s="602"/>
      <c r="Q46" s="595"/>
      <c r="R46" s="594"/>
      <c r="S46" s="602"/>
      <c r="T46" s="595"/>
      <c r="U46" s="4"/>
      <c r="V46" s="14"/>
      <c r="W46" s="4"/>
      <c r="X46" s="37">
        <f>W46*U46</f>
        <v>0</v>
      </c>
      <c r="Y46" s="4"/>
      <c r="Z46" s="594"/>
      <c r="AA46" s="595"/>
    </row>
    <row r="47" spans="1:27" ht="14.25">
      <c r="A47" s="23"/>
      <c r="B47" s="6">
        <v>2</v>
      </c>
      <c r="C47" s="594"/>
      <c r="D47" s="602"/>
      <c r="E47" s="595"/>
      <c r="F47" s="4"/>
      <c r="G47" s="4"/>
      <c r="H47" s="4"/>
      <c r="I47" s="4"/>
      <c r="J47" s="594"/>
      <c r="K47" s="595"/>
      <c r="M47" s="25"/>
      <c r="N47" s="29">
        <v>5</v>
      </c>
      <c r="O47" s="594"/>
      <c r="P47" s="602"/>
      <c r="Q47" s="595"/>
      <c r="R47" s="594"/>
      <c r="S47" s="602"/>
      <c r="T47" s="595"/>
      <c r="U47" s="27"/>
      <c r="V47" s="30"/>
      <c r="W47" s="27"/>
      <c r="X47" s="40">
        <f>W47*U47</f>
        <v>0</v>
      </c>
      <c r="Y47" s="4"/>
      <c r="Z47" s="594"/>
      <c r="AA47" s="595"/>
    </row>
    <row r="48" spans="1:27" ht="14.25">
      <c r="A48" s="23"/>
      <c r="B48" s="6">
        <v>3</v>
      </c>
      <c r="C48" s="594"/>
      <c r="D48" s="602"/>
      <c r="E48" s="595"/>
      <c r="F48" s="4"/>
      <c r="G48" s="4"/>
      <c r="H48" s="4"/>
      <c r="I48" s="4"/>
      <c r="J48" s="594"/>
      <c r="K48" s="595"/>
      <c r="M48" s="69"/>
      <c r="N48" s="45"/>
      <c r="O48" s="598"/>
      <c r="P48" s="602"/>
      <c r="Q48" s="602"/>
      <c r="R48" s="598"/>
      <c r="S48" s="602"/>
      <c r="T48" s="602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8"/>
      <c r="AA48" s="595"/>
    </row>
    <row r="49" spans="1:27" ht="14.25">
      <c r="A49" s="23"/>
      <c r="B49" s="6">
        <v>4</v>
      </c>
      <c r="C49" s="594"/>
      <c r="D49" s="602"/>
      <c r="E49" s="595"/>
      <c r="F49" s="4"/>
      <c r="G49" s="4"/>
      <c r="H49" s="4"/>
      <c r="I49" s="4"/>
      <c r="J49" s="594"/>
      <c r="K49" s="59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6"/>
      <c r="D50" s="603"/>
      <c r="E50" s="597"/>
      <c r="F50" s="27"/>
      <c r="G50" s="27"/>
      <c r="H50" s="27"/>
      <c r="I50" s="27"/>
      <c r="J50" s="596"/>
      <c r="K50" s="597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604" t="s">
        <v>89</v>
      </c>
      <c r="D51" s="605"/>
      <c r="E51" s="606"/>
      <c r="F51" s="28">
        <v>18</v>
      </c>
      <c r="G51" s="28">
        <v>800</v>
      </c>
      <c r="H51" s="28">
        <v>44.44</v>
      </c>
      <c r="I51" s="28">
        <v>-15</v>
      </c>
      <c r="J51" s="604" t="s">
        <v>84</v>
      </c>
      <c r="K51" s="606"/>
      <c r="M51" s="8"/>
      <c r="N51" s="8" t="s">
        <v>18</v>
      </c>
      <c r="O51" s="607" t="s">
        <v>12</v>
      </c>
      <c r="P51" s="598"/>
      <c r="Q51" s="608"/>
      <c r="R51" s="613" t="s">
        <v>53</v>
      </c>
      <c r="S51" s="614"/>
      <c r="T51" s="615"/>
      <c r="U51" s="58" t="s">
        <v>54</v>
      </c>
      <c r="V51" s="39" t="s">
        <v>19</v>
      </c>
      <c r="W51" s="58" t="s">
        <v>57</v>
      </c>
      <c r="X51" s="8" t="s">
        <v>2</v>
      </c>
      <c r="Y51" s="607" t="s">
        <v>50</v>
      </c>
      <c r="Z51" s="598"/>
      <c r="AA51" s="608"/>
    </row>
    <row r="52" spans="1:27" ht="14.25">
      <c r="A52" s="23"/>
      <c r="B52" s="71" t="s">
        <v>102</v>
      </c>
      <c r="C52" s="594"/>
      <c r="D52" s="602"/>
      <c r="E52" s="595"/>
      <c r="F52" s="4"/>
      <c r="G52" s="4"/>
      <c r="H52" s="4"/>
      <c r="I52" s="4"/>
      <c r="J52" s="594"/>
      <c r="K52" s="595"/>
      <c r="M52" s="57" t="s">
        <v>42</v>
      </c>
      <c r="N52" s="24">
        <v>1</v>
      </c>
      <c r="O52" s="601" t="s">
        <v>89</v>
      </c>
      <c r="P52" s="602"/>
      <c r="Q52" s="595"/>
      <c r="R52" s="599" t="s">
        <v>93</v>
      </c>
      <c r="S52" s="618"/>
      <c r="T52" s="60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01" t="s">
        <v>97</v>
      </c>
      <c r="Z52" s="602"/>
      <c r="AA52" s="595"/>
    </row>
    <row r="53" spans="1:27" ht="14.25">
      <c r="A53" s="23"/>
      <c r="B53" s="71" t="s">
        <v>100</v>
      </c>
      <c r="C53" s="594"/>
      <c r="D53" s="602"/>
      <c r="E53" s="595"/>
      <c r="F53" s="4"/>
      <c r="G53" s="4"/>
      <c r="H53" s="4"/>
      <c r="I53" s="4"/>
      <c r="J53" s="594"/>
      <c r="K53" s="595"/>
      <c r="M53" s="25"/>
      <c r="N53" s="29">
        <v>2</v>
      </c>
      <c r="O53" s="596"/>
      <c r="P53" s="603"/>
      <c r="Q53" s="597"/>
      <c r="R53" s="596"/>
      <c r="S53" s="603"/>
      <c r="T53" s="597"/>
      <c r="U53" s="27"/>
      <c r="V53" s="30"/>
      <c r="W53" s="30"/>
      <c r="X53" s="41">
        <f>W53-V53</f>
        <v>0</v>
      </c>
      <c r="Y53" s="596"/>
      <c r="Z53" s="603"/>
      <c r="AA53" s="597"/>
    </row>
    <row r="54" spans="1:27" ht="14.25">
      <c r="A54" s="23"/>
      <c r="B54" s="71" t="s">
        <v>99</v>
      </c>
      <c r="C54" s="594"/>
      <c r="D54" s="602"/>
      <c r="E54" s="595"/>
      <c r="F54" s="4"/>
      <c r="G54" s="4"/>
      <c r="H54" s="4"/>
      <c r="I54" s="4"/>
      <c r="J54" s="594"/>
      <c r="K54" s="595"/>
      <c r="M54" s="57" t="s">
        <v>43</v>
      </c>
      <c r="N54" s="42">
        <v>1</v>
      </c>
      <c r="O54" s="604" t="s">
        <v>94</v>
      </c>
      <c r="P54" s="605"/>
      <c r="Q54" s="606"/>
      <c r="R54" s="604" t="s">
        <v>95</v>
      </c>
      <c r="S54" s="605"/>
      <c r="T54" s="60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04" t="s">
        <v>96</v>
      </c>
      <c r="Z54" s="605"/>
      <c r="AA54" s="606"/>
    </row>
    <row r="55" spans="1:27" ht="14.25">
      <c r="A55" s="20"/>
      <c r="B55" s="71" t="s">
        <v>103</v>
      </c>
      <c r="C55" s="594"/>
      <c r="D55" s="602"/>
      <c r="E55" s="595"/>
      <c r="F55" s="4"/>
      <c r="G55" s="4"/>
      <c r="H55" s="4"/>
      <c r="I55" s="4"/>
      <c r="J55" s="594"/>
      <c r="K55" s="595"/>
      <c r="M55" s="22"/>
      <c r="N55" s="24">
        <v>2</v>
      </c>
      <c r="O55" s="594"/>
      <c r="P55" s="602"/>
      <c r="Q55" s="595"/>
      <c r="R55" s="594"/>
      <c r="S55" s="602"/>
      <c r="T55" s="595"/>
      <c r="U55" s="4"/>
      <c r="V55" s="14"/>
      <c r="W55" s="14"/>
      <c r="X55" s="13">
        <f>W55-V55</f>
        <v>0</v>
      </c>
      <c r="Y55" s="594"/>
      <c r="Z55" s="602"/>
      <c r="AA55" s="59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21" t="s">
        <v>393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120"/>
    </row>
    <row r="2" spans="1:12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</row>
    <row r="3" spans="1:12" ht="21.6" customHeight="1">
      <c r="A3" s="140" t="s">
        <v>325</v>
      </c>
      <c r="B3" s="141">
        <v>10</v>
      </c>
      <c r="C3" s="140" t="s">
        <v>20</v>
      </c>
      <c r="D3" s="622" t="s">
        <v>392</v>
      </c>
      <c r="E3" s="622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228129.57800000001</v>
      </c>
      <c r="C6" s="296">
        <v>224463.48699999999</v>
      </c>
      <c r="D6" s="143">
        <f t="shared" ref="D6:D11" si="0">B6-C6</f>
        <v>3666.0910000000149</v>
      </c>
      <c r="E6" s="143">
        <f t="shared" ref="E6:E11" si="1">B6</f>
        <v>228129.57800000001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3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7031674</v>
      </c>
      <c r="C7" s="296">
        <v>6964636</v>
      </c>
      <c r="D7" s="143">
        <f t="shared" si="0"/>
        <v>67038</v>
      </c>
      <c r="E7" s="143">
        <f t="shared" si="1"/>
        <v>7031674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151566.986</v>
      </c>
      <c r="C8" s="296">
        <v>150244.29199999999</v>
      </c>
      <c r="D8" s="143">
        <f>B8-C8</f>
        <v>1322.6940000000177</v>
      </c>
      <c r="E8" s="143">
        <f t="shared" si="1"/>
        <v>151566.986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4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0.66438989336139487</v>
      </c>
      <c r="C9" s="297">
        <v>0.66934847180735457</v>
      </c>
      <c r="D9" s="144">
        <f t="shared" si="0"/>
        <v>-4.9585784459597049E-3</v>
      </c>
      <c r="E9" s="144">
        <f t="shared" si="1"/>
        <v>0.66438989336139487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4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30800.096463440874</v>
      </c>
      <c r="C10" s="296">
        <v>32105.786706827967</v>
      </c>
      <c r="D10" s="143">
        <f t="shared" si="0"/>
        <v>-1305.6902433870928</v>
      </c>
      <c r="E10" s="143">
        <f t="shared" si="1"/>
        <v>30800.096463440874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5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0.13501141208195666</v>
      </c>
      <c r="C11" s="297">
        <v>0.14303344894053066</v>
      </c>
      <c r="D11" s="144">
        <f t="shared" si="0"/>
        <v>-8.0220368585739998E-3</v>
      </c>
      <c r="E11" s="144">
        <f t="shared" si="1"/>
        <v>0.13501141208195666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37303.218092420859</v>
      </c>
      <c r="C15" s="144">
        <f>IFERROR(B15/$B$6,"")</f>
        <v>0.16351767455783772</v>
      </c>
      <c r="D15" s="297">
        <v>0.19061185820038584</v>
      </c>
      <c r="E15" s="144">
        <f>IFERROR(C15-D15,"")</f>
        <v>-2.709418364254812E-2</v>
      </c>
      <c r="F15" s="134"/>
      <c r="G15" s="129" t="s">
        <v>232</v>
      </c>
      <c r="H15" s="143">
        <f>'（４）訂單數量構成比'!M46</f>
        <v>2090173</v>
      </c>
      <c r="I15" s="144">
        <f t="shared" ref="I15:I23" si="3">IFERROR(H15/$B$7,"")</f>
        <v>0.29725112398555453</v>
      </c>
      <c r="J15" s="297">
        <v>0.33067557299476957</v>
      </c>
      <c r="K15" s="144">
        <f t="shared" ref="K15:K23" si="4">IFERROR(I15-J15,"")</f>
        <v>-3.342444900921504E-2</v>
      </c>
    </row>
    <row r="16" spans="1:12" s="122" customFormat="1" ht="18" customHeight="1">
      <c r="A16" s="129" t="s">
        <v>222</v>
      </c>
      <c r="B16" s="143">
        <f>'（３）業績構成比'!S46/1000</f>
        <v>7167.6636988298351</v>
      </c>
      <c r="C16" s="144">
        <f t="shared" ref="C16:C23" si="5">IFERROR(B16/$B$6,"")</f>
        <v>3.1419265146012038E-2</v>
      </c>
      <c r="D16" s="297">
        <v>4.2789233591899609E-2</v>
      </c>
      <c r="E16" s="144">
        <f t="shared" ref="E16:E23" si="6">IFERROR(C16-D16,"")</f>
        <v>-1.1369968445887571E-2</v>
      </c>
      <c r="F16" s="134"/>
      <c r="G16" s="129" t="s">
        <v>251</v>
      </c>
      <c r="H16" s="143">
        <f>'（４）訂單數量構成比'!S47</f>
        <v>302991</v>
      </c>
      <c r="I16" s="144">
        <f t="shared" si="3"/>
        <v>4.3089454943445897E-2</v>
      </c>
      <c r="J16" s="297">
        <v>6.1681041191528174E-2</v>
      </c>
      <c r="K16" s="144">
        <f t="shared" si="4"/>
        <v>-1.8591586248082277E-2</v>
      </c>
    </row>
    <row r="17" spans="1:18" s="122" customFormat="1" ht="18" customHeight="1">
      <c r="A17" s="129" t="s">
        <v>218</v>
      </c>
      <c r="B17" s="143">
        <f>'（３）業績構成比'!U46/1000</f>
        <v>33240.82055683311</v>
      </c>
      <c r="C17" s="144">
        <f t="shared" si="5"/>
        <v>0.14571026189700448</v>
      </c>
      <c r="D17" s="297">
        <v>8.6938303169141445E-2</v>
      </c>
      <c r="E17" s="144">
        <f t="shared" si="6"/>
        <v>5.8771958727863033E-2</v>
      </c>
      <c r="F17" s="134"/>
      <c r="G17" s="129" t="s">
        <v>233</v>
      </c>
      <c r="H17" s="143">
        <f>'（４）訂單數量構成比'!U46</f>
        <v>1008218</v>
      </c>
      <c r="I17" s="144">
        <f t="shared" si="3"/>
        <v>0.14338235816961936</v>
      </c>
      <c r="J17" s="297">
        <v>8.2530228428305513E-2</v>
      </c>
      <c r="K17" s="144">
        <f t="shared" si="4"/>
        <v>6.0852129741313848E-2</v>
      </c>
    </row>
    <row r="18" spans="1:18" s="122" customFormat="1" ht="18" customHeight="1">
      <c r="A18" s="129" t="s">
        <v>220</v>
      </c>
      <c r="B18" s="143">
        <f>'（３）業績構成比'!W46/1000</f>
        <v>2108.9468311540786</v>
      </c>
      <c r="C18" s="144">
        <f t="shared" si="5"/>
        <v>9.2445129195569652E-3</v>
      </c>
      <c r="D18" s="297">
        <v>1.4659145993880142E-2</v>
      </c>
      <c r="E18" s="144">
        <f t="shared" si="6"/>
        <v>-5.4146330743231764E-3</v>
      </c>
      <c r="F18" s="134"/>
      <c r="G18" s="129" t="s">
        <v>219</v>
      </c>
      <c r="H18" s="143">
        <f>'（４）訂單數量構成比'!W46</f>
        <v>61194</v>
      </c>
      <c r="I18" s="144">
        <f t="shared" si="3"/>
        <v>8.7026218792281892E-3</v>
      </c>
      <c r="J18" s="297">
        <v>1.6773740939224964E-2</v>
      </c>
      <c r="K18" s="144">
        <f t="shared" si="4"/>
        <v>-8.0711190599967748E-3</v>
      </c>
    </row>
    <row r="19" spans="1:18" s="122" customFormat="1" ht="18" customHeight="1">
      <c r="A19" s="129" t="s">
        <v>224</v>
      </c>
      <c r="B19" s="143">
        <f>'（３）業績構成比'!AC46/1000</f>
        <v>60021.593730975197</v>
      </c>
      <c r="C19" s="144">
        <f t="shared" si="5"/>
        <v>0.26310307614287171</v>
      </c>
      <c r="D19" s="297">
        <v>0.24409177848792188</v>
      </c>
      <c r="E19" s="144">
        <f t="shared" si="6"/>
        <v>1.9011297654949827E-2</v>
      </c>
      <c r="F19" s="134"/>
      <c r="G19" s="129" t="s">
        <v>223</v>
      </c>
      <c r="H19" s="143">
        <f>'（４）訂單數量構成比'!AC46</f>
        <v>1508967</v>
      </c>
      <c r="I19" s="144">
        <f t="shared" si="3"/>
        <v>0.21459569940244669</v>
      </c>
      <c r="J19" s="297">
        <v>0.19673059726308739</v>
      </c>
      <c r="K19" s="144">
        <f t="shared" si="4"/>
        <v>1.7865102139359296E-2</v>
      </c>
    </row>
    <row r="20" spans="1:18" s="122" customFormat="1" ht="18" customHeight="1">
      <c r="A20" s="129" t="s">
        <v>226</v>
      </c>
      <c r="B20" s="143">
        <f>'（３）業績構成比'!AE46/1000</f>
        <v>37068.45252699728</v>
      </c>
      <c r="C20" s="144">
        <f t="shared" si="5"/>
        <v>0.16248858588164872</v>
      </c>
      <c r="D20" s="297">
        <v>0.1397972381723295</v>
      </c>
      <c r="E20" s="144">
        <f t="shared" si="6"/>
        <v>2.2691347709319215E-2</v>
      </c>
      <c r="F20" s="134"/>
      <c r="G20" s="129" t="s">
        <v>225</v>
      </c>
      <c r="H20" s="143">
        <f>'（４）訂單數量構成比'!AE46</f>
        <v>667038</v>
      </c>
      <c r="I20" s="144">
        <f t="shared" si="3"/>
        <v>9.4861906282913577E-2</v>
      </c>
      <c r="J20" s="297">
        <v>7.9797709456746913E-2</v>
      </c>
      <c r="K20" s="144">
        <f t="shared" si="4"/>
        <v>1.5064196826166665E-2</v>
      </c>
    </row>
    <row r="21" spans="1:18" s="122" customFormat="1" ht="18" customHeight="1">
      <c r="A21" s="129" t="s">
        <v>228</v>
      </c>
      <c r="B21" s="143">
        <f>'（３）業績構成比'!AG46/1000</f>
        <v>6869.2014373069742</v>
      </c>
      <c r="C21" s="144">
        <f>IFERROR(B21/$B$6,"")</f>
        <v>3.0110963679190139E-2</v>
      </c>
      <c r="D21" s="297">
        <v>0.13619626613806221</v>
      </c>
      <c r="E21" s="144">
        <f>IFERROR(C21-D21,"")</f>
        <v>-0.10608530245887207</v>
      </c>
      <c r="F21" s="134"/>
      <c r="G21" s="129" t="s">
        <v>234</v>
      </c>
      <c r="H21" s="143">
        <f>'（４）訂單數量構成比'!AG46</f>
        <v>171501</v>
      </c>
      <c r="I21" s="144">
        <f>IFERROR(H21/$B$7,"")</f>
        <v>2.4389782575244528E-2</v>
      </c>
      <c r="J21" s="297">
        <v>9.0009011239065476E-2</v>
      </c>
      <c r="K21" s="144">
        <f>IFERROR(I21-J21,"")</f>
        <v>-6.5619228663820944E-2</v>
      </c>
    </row>
    <row r="22" spans="1:18" s="122" customFormat="1" ht="18" customHeight="1">
      <c r="A22" s="129" t="s">
        <v>229</v>
      </c>
      <c r="B22" s="143">
        <f>'（３）業績構成比'!AI46/1000</f>
        <v>23744.555766739064</v>
      </c>
      <c r="C22" s="144">
        <f t="shared" si="5"/>
        <v>0.10408363516430588</v>
      </c>
      <c r="D22" s="297">
        <v>6.8175373790099608E-2</v>
      </c>
      <c r="E22" s="144">
        <f t="shared" si="6"/>
        <v>3.5908261374206274E-2</v>
      </c>
      <c r="F22" s="134"/>
      <c r="G22" s="129" t="s">
        <v>235</v>
      </c>
      <c r="H22" s="143">
        <f>'（４）訂單數量構成比'!AI46</f>
        <v>639732</v>
      </c>
      <c r="I22" s="144">
        <f t="shared" si="3"/>
        <v>9.0978620453678591E-2</v>
      </c>
      <c r="J22" s="297">
        <v>5.972113976954431E-2</v>
      </c>
      <c r="K22" s="144">
        <f t="shared" si="4"/>
        <v>3.1257480684134281E-2</v>
      </c>
    </row>
    <row r="23" spans="1:18" s="122" customFormat="1" ht="18" customHeight="1">
      <c r="A23" s="129" t="s">
        <v>231</v>
      </c>
      <c r="B23" s="143">
        <f>'（３）業績構成比'!AK46/1000</f>
        <v>17122.471925421836</v>
      </c>
      <c r="C23" s="144">
        <f t="shared" si="5"/>
        <v>7.5055904962143205E-2</v>
      </c>
      <c r="D23" s="297">
        <v>7.674080245627983E-2</v>
      </c>
      <c r="E23" s="144">
        <f t="shared" si="6"/>
        <v>-1.6848974941366252E-3</v>
      </c>
      <c r="F23" s="134"/>
      <c r="G23" s="129" t="s">
        <v>230</v>
      </c>
      <c r="H23" s="143">
        <f>'（４）訂單數量構成比'!AK46</f>
        <v>581860</v>
      </c>
      <c r="I23" s="144">
        <f t="shared" si="3"/>
        <v>8.2748432307868658E-2</v>
      </c>
      <c r="J23" s="297">
        <v>8.2080958717727678E-2</v>
      </c>
      <c r="K23" s="144">
        <f t="shared" si="4"/>
        <v>6.6747359014097951E-4</v>
      </c>
    </row>
    <row r="24" spans="1:18" s="122" customFormat="1" ht="15.75" customHeight="1">
      <c r="A24" s="134"/>
      <c r="B24" s="134"/>
      <c r="C24" s="138">
        <f>SUM(C15:C23)</f>
        <v>0.98473388035057074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495</v>
      </c>
      <c r="N27" s="136" t="s">
        <v>496</v>
      </c>
      <c r="O27" s="136" t="s">
        <v>497</v>
      </c>
      <c r="P27" s="136" t="s">
        <v>498</v>
      </c>
      <c r="Q27" s="136" t="s">
        <v>499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786.35159385491033</v>
      </c>
      <c r="C28" s="342">
        <v>756.20246993670457</v>
      </c>
      <c r="D28" s="245">
        <f t="shared" ref="D28:D36" si="7">B28-C28</f>
        <v>30.14912391820576</v>
      </c>
      <c r="E28" s="298">
        <f>R28</f>
        <v>751.93956439143494</v>
      </c>
      <c r="F28" s="134"/>
      <c r="G28" s="148"/>
      <c r="H28" s="148"/>
      <c r="I28" s="148"/>
      <c r="M28" s="298">
        <v>717.52753492795955</v>
      </c>
      <c r="N28" s="298">
        <f>B28</f>
        <v>786.35159385491033</v>
      </c>
      <c r="O28" s="298"/>
      <c r="P28" s="298"/>
      <c r="Q28" s="298"/>
      <c r="R28" s="316">
        <f>AVERAGE(M28:Q28)</f>
        <v>751.93956439143494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176.69514509891619</v>
      </c>
      <c r="C29" s="342">
        <v>198.82982221081653</v>
      </c>
      <c r="D29" s="245">
        <f t="shared" si="7"/>
        <v>-22.134677111900345</v>
      </c>
      <c r="E29" s="298">
        <f t="shared" ref="E29:E36" si="8">R29</f>
        <v>187.16393099261214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176.69514509891619</v>
      </c>
      <c r="O29" s="298"/>
      <c r="P29" s="298"/>
      <c r="Q29" s="298"/>
      <c r="R29" s="316">
        <f t="shared" ref="R29:R36" si="10">AVERAGE(M29:Q29)</f>
        <v>187.16393099261214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258.60114576474365</v>
      </c>
      <c r="C30" s="342">
        <v>253.36933201602551</v>
      </c>
      <c r="D30" s="245">
        <f t="shared" si="7"/>
        <v>5.2318137487181389</v>
      </c>
      <c r="E30" s="298">
        <f t="shared" si="8"/>
        <v>249.52985857152345</v>
      </c>
      <c r="F30" s="134"/>
      <c r="G30" s="134"/>
      <c r="H30" s="134"/>
      <c r="I30" s="134"/>
      <c r="M30" s="298">
        <v>240.45857137830325</v>
      </c>
      <c r="N30" s="298">
        <f t="shared" si="9"/>
        <v>258.60114576474365</v>
      </c>
      <c r="O30" s="298"/>
      <c r="P30" s="298"/>
      <c r="Q30" s="298"/>
      <c r="R30" s="316">
        <f t="shared" si="10"/>
        <v>249.52985857152345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118.5478351123935</v>
      </c>
      <c r="C31" s="342">
        <v>112.99131142028241</v>
      </c>
      <c r="D31" s="245">
        <f t="shared" si="7"/>
        <v>5.5565236921110852</v>
      </c>
      <c r="E31" s="298">
        <f t="shared" si="8"/>
        <v>112.70647901026555</v>
      </c>
      <c r="F31" s="134"/>
      <c r="G31" s="134"/>
      <c r="H31" s="134"/>
      <c r="I31" s="134"/>
      <c r="M31" s="298">
        <v>106.86512290813759</v>
      </c>
      <c r="N31" s="298">
        <f t="shared" si="9"/>
        <v>118.5478351123935</v>
      </c>
      <c r="O31" s="298"/>
      <c r="P31" s="298"/>
      <c r="Q31" s="298"/>
      <c r="R31" s="316">
        <f t="shared" si="10"/>
        <v>112.70647901026555</v>
      </c>
    </row>
    <row r="32" spans="1:18" s="122" customFormat="1" ht="18" customHeight="1">
      <c r="A32" s="129" t="s">
        <v>223</v>
      </c>
      <c r="B32" s="298">
        <f>'（５-5）品群別人時生產性(主食) '!$C$1</f>
        <v>84.263993080329229</v>
      </c>
      <c r="C32" s="342">
        <v>85.495684450909806</v>
      </c>
      <c r="D32" s="245">
        <f t="shared" si="7"/>
        <v>-1.2316913705805774</v>
      </c>
      <c r="E32" s="298">
        <f t="shared" si="8"/>
        <v>86.787210742531258</v>
      </c>
      <c r="F32" s="134"/>
      <c r="G32" s="134"/>
      <c r="H32" s="134"/>
      <c r="I32" s="134"/>
      <c r="M32" s="298">
        <v>89.310428404733287</v>
      </c>
      <c r="N32" s="298">
        <f t="shared" si="9"/>
        <v>84.263993080329229</v>
      </c>
      <c r="O32" s="298"/>
      <c r="P32" s="298"/>
      <c r="Q32" s="298"/>
      <c r="R32" s="316">
        <f t="shared" si="10"/>
        <v>86.787210742531258</v>
      </c>
    </row>
    <row r="33" spans="1:18" s="122" customFormat="1" ht="18" customHeight="1">
      <c r="A33" s="129" t="s">
        <v>225</v>
      </c>
      <c r="B33" s="298">
        <f>'（５-6）品群別人時生產性(便當)'!$C$1</f>
        <v>71.924032925768287</v>
      </c>
      <c r="C33" s="342">
        <v>66.943613625537381</v>
      </c>
      <c r="D33" s="245">
        <f t="shared" si="7"/>
        <v>4.9804193002309063</v>
      </c>
      <c r="E33" s="298">
        <f t="shared" si="8"/>
        <v>68.798387692524017</v>
      </c>
      <c r="F33" s="134"/>
      <c r="G33" s="134"/>
      <c r="H33" s="134"/>
      <c r="I33" s="134"/>
      <c r="M33" s="298">
        <v>65.67274245927976</v>
      </c>
      <c r="N33" s="298">
        <f t="shared" si="9"/>
        <v>71.924032925768287</v>
      </c>
      <c r="O33" s="298"/>
      <c r="P33" s="298"/>
      <c r="Q33" s="298"/>
      <c r="R33" s="316">
        <f t="shared" si="10"/>
        <v>68.798387692524017</v>
      </c>
    </row>
    <row r="34" spans="1:18" s="122" customFormat="1" ht="18" customHeight="1">
      <c r="A34" s="129" t="s">
        <v>234</v>
      </c>
      <c r="B34" s="298">
        <f>'（５-7）品群別人時生產性(熱食義麵) '!$C$1</f>
        <v>86.311819658327607</v>
      </c>
      <c r="C34" s="342">
        <v>80.555861357885718</v>
      </c>
      <c r="D34" s="245">
        <f t="shared" si="7"/>
        <v>5.7559583004418897</v>
      </c>
      <c r="E34" s="298">
        <f t="shared" si="8"/>
        <v>80.895194340140193</v>
      </c>
      <c r="F34" s="134"/>
      <c r="G34" s="134"/>
      <c r="H34" s="134"/>
      <c r="I34" s="134"/>
      <c r="M34" s="298">
        <v>75.478569021952779</v>
      </c>
      <c r="N34" s="298">
        <f t="shared" si="9"/>
        <v>86.311819658327607</v>
      </c>
      <c r="O34" s="298"/>
      <c r="P34" s="298"/>
      <c r="Q34" s="298"/>
      <c r="R34" s="316">
        <f t="shared" si="10"/>
        <v>80.895194340140193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124.80390448986013</v>
      </c>
      <c r="C35" s="342">
        <v>121.13262609451999</v>
      </c>
      <c r="D35" s="245">
        <f t="shared" si="7"/>
        <v>3.6712783953401384</v>
      </c>
      <c r="E35" s="298">
        <f t="shared" si="8"/>
        <v>119.65473825823157</v>
      </c>
      <c r="F35" s="134"/>
      <c r="G35" s="134"/>
      <c r="H35" s="134"/>
      <c r="I35" s="134"/>
      <c r="M35" s="298">
        <v>114.50557202660302</v>
      </c>
      <c r="N35" s="298">
        <f t="shared" si="9"/>
        <v>124.80390448986013</v>
      </c>
      <c r="O35" s="298"/>
      <c r="P35" s="298"/>
      <c r="Q35" s="298"/>
      <c r="R35" s="316">
        <f t="shared" si="10"/>
        <v>119.65473825823157</v>
      </c>
    </row>
    <row r="36" spans="1:18" s="122" customFormat="1" ht="18" customHeight="1">
      <c r="A36" s="125" t="s">
        <v>230</v>
      </c>
      <c r="B36" s="298">
        <f>'（５-9）品群別人時生產性(微波小吃)'!$C$1</f>
        <v>176.53250812732313</v>
      </c>
      <c r="C36" s="342">
        <v>115.3662253913358</v>
      </c>
      <c r="D36" s="245">
        <f t="shared" si="7"/>
        <v>61.166282735987323</v>
      </c>
      <c r="E36" s="298">
        <f t="shared" si="8"/>
        <v>138.09042508459441</v>
      </c>
      <c r="F36" s="134"/>
      <c r="G36" s="134"/>
      <c r="H36" s="134"/>
      <c r="I36" s="134"/>
      <c r="M36" s="298">
        <v>99.648342041865732</v>
      </c>
      <c r="N36" s="298">
        <f t="shared" si="9"/>
        <v>176.53250812732313</v>
      </c>
      <c r="O36" s="298"/>
      <c r="P36" s="298"/>
      <c r="Q36" s="298"/>
      <c r="R36" s="316">
        <f t="shared" si="10"/>
        <v>138.09042508459441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I30" sqref="I30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21" t="s">
        <v>393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120"/>
    </row>
    <row r="2" spans="1:18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</row>
    <row r="3" spans="1:18" ht="21.6" customHeight="1">
      <c r="A3" s="140" t="s">
        <v>325</v>
      </c>
      <c r="B3" s="215">
        <v>3</v>
      </c>
      <c r="C3" s="218" t="s">
        <v>326</v>
      </c>
      <c r="D3" s="215" t="s">
        <v>978</v>
      </c>
      <c r="E3" s="140" t="s">
        <v>20</v>
      </c>
      <c r="F3" s="622" t="s">
        <v>392</v>
      </c>
      <c r="G3" s="622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'（１）收支狀況'!G28/1000</f>
        <v>53987.945</v>
      </c>
      <c r="C6" s="256">
        <v>53723.391000000003</v>
      </c>
      <c r="D6" s="143">
        <f t="shared" ref="D6:D11" si="0">B6-C6</f>
        <v>264.55399999999645</v>
      </c>
      <c r="E6" s="237">
        <f>'（１）收支狀況'!H10/1000</f>
        <v>228129.57800000001</v>
      </c>
      <c r="F6" s="134"/>
      <c r="G6" s="129" t="s">
        <v>198</v>
      </c>
      <c r="H6" s="239">
        <v>366</v>
      </c>
      <c r="I6" s="261">
        <f>'（２）ＫＰＩ達成進度'!G28</f>
        <v>352.42857142857144</v>
      </c>
      <c r="J6" s="262">
        <v>353.25079176317871</v>
      </c>
      <c r="K6" s="263">
        <f>'（２）ＫＰＩ達成進度'!H10</f>
        <v>353.67174020165453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'（１）收支狀況'!J28</f>
        <v>1653343</v>
      </c>
      <c r="C7" s="256">
        <v>1654379</v>
      </c>
      <c r="D7" s="143">
        <f t="shared" si="0"/>
        <v>-1036</v>
      </c>
      <c r="E7" s="237">
        <f>'（１）收支狀況'!K10</f>
        <v>7031674</v>
      </c>
      <c r="F7" s="134"/>
      <c r="G7" s="129" t="s">
        <v>199</v>
      </c>
      <c r="H7" s="254">
        <v>0.8</v>
      </c>
      <c r="I7" s="252">
        <f>'（２）ＫＰＩ達成進度'!J28</f>
        <v>0.96291959406713501</v>
      </c>
      <c r="J7" s="259">
        <v>0.96516609771360318</v>
      </c>
      <c r="K7" s="255">
        <f>'（２）ＫＰＩ達成進度'!K10</f>
        <v>0.96631623005916523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'（１）收支狀況'!M28/1000</f>
        <v>35939.784</v>
      </c>
      <c r="C8" s="256">
        <v>35956.387999999999</v>
      </c>
      <c r="D8" s="143">
        <f>B8-C8</f>
        <v>-16.60399999999936</v>
      </c>
      <c r="E8" s="237">
        <f>'（１）收支狀況'!N10/1000</f>
        <v>151566.986</v>
      </c>
      <c r="F8" s="134"/>
      <c r="G8" s="129" t="s">
        <v>200</v>
      </c>
      <c r="H8" s="238">
        <v>2.5000000000000001E-3</v>
      </c>
      <c r="I8" s="250">
        <f>'（２）ＫＰＩ達成進度'!M28</f>
        <v>2.4324215294255877E-3</v>
      </c>
      <c r="J8" s="258">
        <v>2.4370159061873307E-3</v>
      </c>
      <c r="K8" s="250">
        <f>'（２）ＫＰＩ達成進度'!N10</f>
        <v>2.4374804449471378E-3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'（１）收支狀況'!P28</f>
        <v>0.66570016695393763</v>
      </c>
      <c r="C9" s="257">
        <v>0.66928738731328408</v>
      </c>
      <c r="D9" s="144">
        <f t="shared" si="0"/>
        <v>-3.5872203593464436E-3</v>
      </c>
      <c r="E9" s="144">
        <f>'（１）收支狀況'!Q10</f>
        <v>0.66438989336139487</v>
      </c>
      <c r="F9" s="134"/>
      <c r="G9" s="129" t="s">
        <v>201</v>
      </c>
      <c r="H9" s="238">
        <v>2.5999999999999999E-3</v>
      </c>
      <c r="I9" s="250">
        <f>'（２）ＫＰＩ達成進度'!P28</f>
        <v>1.7959060333082029E-3</v>
      </c>
      <c r="J9" s="258">
        <v>1.7473969781600096E-3</v>
      </c>
      <c r="K9" s="250">
        <f>'（２）ＫＰＩ達成進度'!Q10</f>
        <v>1.8487091921404997E-3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'（１）收支狀況'!S28/1000</f>
        <v>7192.4927059139818</v>
      </c>
      <c r="C10" s="256">
        <f>7250541.34924731/1000</f>
        <v>7250.5413492473099</v>
      </c>
      <c r="D10" s="143">
        <f t="shared" si="0"/>
        <v>-58.048643333328073</v>
      </c>
      <c r="E10" s="237">
        <f>'（１）收支狀況'!T10/1000</f>
        <v>30800.096463440874</v>
      </c>
      <c r="F10" s="134"/>
      <c r="G10" s="129" t="s">
        <v>202</v>
      </c>
      <c r="H10" s="251">
        <v>0.8</v>
      </c>
      <c r="I10" s="252">
        <v>0.91279999999999994</v>
      </c>
      <c r="J10" s="259">
        <v>0.91210000000000002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'（１）收支狀況'!V28</f>
        <v>0.13322405040447421</v>
      </c>
      <c r="C11" s="257">
        <v>0.13496060494854678</v>
      </c>
      <c r="D11" s="144">
        <f t="shared" si="0"/>
        <v>-1.736554544072566E-3</v>
      </c>
      <c r="E11" s="144">
        <f>'（１）收支狀況'!W10</f>
        <v>0.13501141208195666</v>
      </c>
      <c r="F11" s="134"/>
      <c r="G11" s="129" t="s">
        <v>203</v>
      </c>
      <c r="H11" s="251">
        <v>1</v>
      </c>
      <c r="I11" s="252">
        <f>'（２）ＫＰＩ達成進度'!V28</f>
        <v>0.20914285714285713</v>
      </c>
      <c r="J11" s="259">
        <v>0.1957142857142857</v>
      </c>
      <c r="K11" s="252">
        <f>'（２）ＫＰＩ達成進度'!W10</f>
        <v>0.18406666666666671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SUM('（３）業績構成比'!I30:I36,'（３）業績構成比'!K30:K36)/1000</f>
        <v>8840.8768100066773</v>
      </c>
      <c r="C15" s="144">
        <f>IFERROR(B15/$B$6,"")</f>
        <v>0.16375649804797493</v>
      </c>
      <c r="D15" s="257">
        <v>0.1705439801123724</v>
      </c>
      <c r="E15" s="144">
        <f>IFERROR(C15-D15,"")</f>
        <v>-6.7874820643974709E-3</v>
      </c>
      <c r="F15" s="134"/>
      <c r="G15" s="129" t="s">
        <v>335</v>
      </c>
      <c r="H15" s="240">
        <f>SUM(,'（４）訂單數量構成比'!I30:I36,'（４）訂單數量構成比'!K30:K36)</f>
        <v>475768</v>
      </c>
      <c r="I15" s="144">
        <f t="shared" ref="I15:I23" si="1">IFERROR(H15/$B$7,"")</f>
        <v>0.28776122075092708</v>
      </c>
      <c r="J15" s="257">
        <v>0.29661159867237191</v>
      </c>
      <c r="K15" s="144">
        <f t="shared" ref="K15:K23" si="2">IFERROR(I15-J15,"")</f>
        <v>-8.8503779214448297E-3</v>
      </c>
    </row>
    <row r="16" spans="1:18" s="122" customFormat="1" ht="18" customHeight="1">
      <c r="A16" s="129" t="s">
        <v>222</v>
      </c>
      <c r="B16" s="240">
        <f>SUM('（３）業績構成比'!O30:O36,'（３）業績構成比'!Q30:Q36)/1000</f>
        <v>1717.7513605674392</v>
      </c>
      <c r="C16" s="144">
        <f t="shared" ref="C16:C23" si="3">IFERROR(B16/$B$6,"")</f>
        <v>3.1817313301468302E-2</v>
      </c>
      <c r="D16" s="257">
        <v>3.5191533319970769E-2</v>
      </c>
      <c r="E16" s="144">
        <f t="shared" ref="E16:E23" si="4">IFERROR(C16-D16,"")</f>
        <v>-3.3742200185024676E-3</v>
      </c>
      <c r="F16" s="134"/>
      <c r="G16" s="129" t="s">
        <v>251</v>
      </c>
      <c r="H16" s="240">
        <f>SUM('（４）訂單數量構成比'!O30:O36,'（４）訂單數量構成比'!Q30:Q36)</f>
        <v>70792</v>
      </c>
      <c r="I16" s="144">
        <f t="shared" si="1"/>
        <v>4.2817491591279004E-2</v>
      </c>
      <c r="J16" s="257">
        <v>4.7551377284165239E-2</v>
      </c>
      <c r="K16" s="144">
        <f t="shared" si="2"/>
        <v>-4.7338856928862347E-3</v>
      </c>
    </row>
    <row r="17" spans="1:11" s="122" customFormat="1" ht="18" customHeight="1">
      <c r="A17" s="129" t="s">
        <v>218</v>
      </c>
      <c r="B17" s="240">
        <f>SUM('（３）業績構成比'!U30:U36)/1000</f>
        <v>7437.8306613717987</v>
      </c>
      <c r="C17" s="144">
        <f t="shared" si="3"/>
        <v>0.1377683603510339</v>
      </c>
      <c r="D17" s="257">
        <v>0.13904322527774624</v>
      </c>
      <c r="E17" s="144">
        <f t="shared" si="4"/>
        <v>-1.2748649267123324E-3</v>
      </c>
      <c r="F17" s="134"/>
      <c r="G17" s="129" t="s">
        <v>233</v>
      </c>
      <c r="H17" s="240">
        <f>SUM('（４）訂單數量構成比'!U30:U36)</f>
        <v>225953</v>
      </c>
      <c r="I17" s="144">
        <f t="shared" si="1"/>
        <v>0.13666432192231134</v>
      </c>
      <c r="J17" s="257">
        <v>0.13599906671929468</v>
      </c>
      <c r="K17" s="144">
        <f t="shared" si="2"/>
        <v>6.6525520301666252E-4</v>
      </c>
    </row>
    <row r="18" spans="1:11" s="122" customFormat="1" ht="18" customHeight="1">
      <c r="A18" s="129" t="s">
        <v>220</v>
      </c>
      <c r="B18" s="240">
        <f>SUM('（３）業績構成比'!W30:W36)/1000</f>
        <v>443.55488909755888</v>
      </c>
      <c r="C18" s="144">
        <f t="shared" si="3"/>
        <v>8.2158135320312513E-3</v>
      </c>
      <c r="D18" s="257">
        <v>8.6387491019126687E-3</v>
      </c>
      <c r="E18" s="144">
        <f t="shared" si="4"/>
        <v>-4.2293556988141738E-4</v>
      </c>
      <c r="F18" s="134"/>
      <c r="G18" s="129" t="s">
        <v>219</v>
      </c>
      <c r="H18" s="240">
        <f>SUM('（４）訂單數量構成比'!W30:W36)</f>
        <v>12958</v>
      </c>
      <c r="I18" s="144">
        <f t="shared" si="1"/>
        <v>7.8374541761751793E-3</v>
      </c>
      <c r="J18" s="257">
        <v>8.0737243400695966E-3</v>
      </c>
      <c r="K18" s="144">
        <f t="shared" si="2"/>
        <v>-2.3627016389441736E-4</v>
      </c>
    </row>
    <row r="19" spans="1:11" s="122" customFormat="1" ht="18" customHeight="1">
      <c r="A19" s="129" t="s">
        <v>224</v>
      </c>
      <c r="B19" s="240">
        <f>SUM('（３）業績構成比'!Y30:Y36,'（３）業績構成比'!AA30:AA36)/1000</f>
        <v>14574.833136527284</v>
      </c>
      <c r="C19" s="144">
        <f t="shared" si="3"/>
        <v>0.2699645844369013</v>
      </c>
      <c r="D19" s="257">
        <v>0.26452143494016722</v>
      </c>
      <c r="E19" s="144">
        <f t="shared" si="4"/>
        <v>5.4431494967340788E-3</v>
      </c>
      <c r="F19" s="134"/>
      <c r="G19" s="129" t="s">
        <v>223</v>
      </c>
      <c r="H19" s="240">
        <f>SUM('（４）訂單數量構成比'!Y30:Y36,'（４）訂單數量構成比'!AA30:AA36)</f>
        <v>356290</v>
      </c>
      <c r="I19" s="144">
        <f t="shared" si="1"/>
        <v>0.2154967239102836</v>
      </c>
      <c r="J19" s="257">
        <v>0.21209831604487242</v>
      </c>
      <c r="K19" s="144">
        <f t="shared" si="2"/>
        <v>3.3984078654111793E-3</v>
      </c>
    </row>
    <row r="20" spans="1:11" s="122" customFormat="1" ht="18" customHeight="1">
      <c r="A20" s="129" t="s">
        <v>226</v>
      </c>
      <c r="B20" s="240">
        <f>SUM('（３）業績構成比'!AE30:AE36)/1000</f>
        <v>8662.174717253416</v>
      </c>
      <c r="C20" s="144">
        <f t="shared" si="3"/>
        <v>0.16044646109892524</v>
      </c>
      <c r="D20" s="257">
        <v>0.16264918838678069</v>
      </c>
      <c r="E20" s="144">
        <f t="shared" si="4"/>
        <v>-2.2027272878554494E-3</v>
      </c>
      <c r="F20" s="134"/>
      <c r="G20" s="129" t="s">
        <v>225</v>
      </c>
      <c r="H20" s="240">
        <f>SUM('（４）訂單數量構成比'!AE30:AE36)</f>
        <v>156423</v>
      </c>
      <c r="I20" s="144">
        <f t="shared" si="1"/>
        <v>9.4610132319790874E-2</v>
      </c>
      <c r="J20" s="257">
        <v>9.3947638358562333E-2</v>
      </c>
      <c r="K20" s="144">
        <f t="shared" si="2"/>
        <v>6.6249396122854132E-4</v>
      </c>
    </row>
    <row r="21" spans="1:11" s="122" customFormat="1" ht="18" customHeight="1">
      <c r="A21" s="129" t="s">
        <v>228</v>
      </c>
      <c r="B21" s="240">
        <f>SUM('（３）業績構成比'!AG30:AG36)/1000</f>
        <v>1314.2307553657186</v>
      </c>
      <c r="C21" s="144">
        <f t="shared" si="3"/>
        <v>2.4343040939337819E-2</v>
      </c>
      <c r="D21" s="257">
        <v>2.6543863778521901E-2</v>
      </c>
      <c r="E21" s="144">
        <f t="shared" si="4"/>
        <v>-2.2008228391840814E-3</v>
      </c>
      <c r="F21" s="134"/>
      <c r="G21" s="129" t="s">
        <v>234</v>
      </c>
      <c r="H21" s="240">
        <f>SUM('（４）訂單數量構成比'!AG30:AG36)</f>
        <v>32570</v>
      </c>
      <c r="I21" s="144">
        <f t="shared" si="1"/>
        <v>1.9699481595772929E-2</v>
      </c>
      <c r="J21" s="257">
        <v>2.1171690404677524E-2</v>
      </c>
      <c r="K21" s="144">
        <f t="shared" si="2"/>
        <v>-1.4722088089045952E-3</v>
      </c>
    </row>
    <row r="22" spans="1:11" s="122" customFormat="1" ht="18" customHeight="1">
      <c r="A22" s="129" t="s">
        <v>229</v>
      </c>
      <c r="B22" s="240">
        <f>SUM('（３）業績構成比'!AI30:AI36)/1000</f>
        <v>6896.8773890569864</v>
      </c>
      <c r="C22" s="144">
        <f t="shared" si="3"/>
        <v>0.12774847031234449</v>
      </c>
      <c r="D22" s="257">
        <v>0.11876012435447801</v>
      </c>
      <c r="E22" s="144">
        <f t="shared" si="4"/>
        <v>8.9883459578664754E-3</v>
      </c>
      <c r="F22" s="134"/>
      <c r="G22" s="129" t="s">
        <v>235</v>
      </c>
      <c r="H22" s="240">
        <f>SUM('（４）訂單數量構成比'!AI30:AI36)</f>
        <v>186864</v>
      </c>
      <c r="I22" s="144">
        <f t="shared" si="1"/>
        <v>0.11302191983151712</v>
      </c>
      <c r="J22" s="257">
        <v>0.10298003057340549</v>
      </c>
      <c r="K22" s="144">
        <f t="shared" si="2"/>
        <v>1.0041889258111628E-2</v>
      </c>
    </row>
    <row r="23" spans="1:11" s="122" customFormat="1" ht="18" customHeight="1">
      <c r="A23" s="129" t="s">
        <v>231</v>
      </c>
      <c r="B23" s="240">
        <f>SUM('（３）業績構成比'!AK30:AK36)/1000</f>
        <v>4099.8152807531224</v>
      </c>
      <c r="C23" s="144">
        <f t="shared" si="3"/>
        <v>7.5939457979982791E-2</v>
      </c>
      <c r="D23" s="257">
        <v>7.4107900728050152E-2</v>
      </c>
      <c r="E23" s="144">
        <f t="shared" si="4"/>
        <v>1.831557251932639E-3</v>
      </c>
      <c r="F23" s="134"/>
      <c r="G23" s="129" t="s">
        <v>230</v>
      </c>
      <c r="H23" s="240">
        <f>SUM('（４）訂單數量構成比'!AK30:AK36)</f>
        <v>135725</v>
      </c>
      <c r="I23" s="144">
        <f t="shared" si="1"/>
        <v>8.2091253901942912E-2</v>
      </c>
      <c r="J23" s="257">
        <v>8.1566557602580789E-2</v>
      </c>
      <c r="K23" s="144">
        <f t="shared" si="2"/>
        <v>5.2469629936212347E-4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582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394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'（５-1）品群別人時生產性（18℃-飯糰）'!L112</f>
        <v>771.40194693476019</v>
      </c>
      <c r="C28" s="260">
        <v>771.09339536825712</v>
      </c>
      <c r="D28" s="245">
        <f t="shared" ref="D28:D36" si="5">B28-C28</f>
        <v>0.30855156650306981</v>
      </c>
      <c r="E28" s="130">
        <f>'（５-1）品群別人時生產性（18℃-飯糰）'!C1</f>
        <v>786.35159385491033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'（５-2）品群別人時生產性（18-壽司手卷)'!L67</f>
        <v>169.75774657447468</v>
      </c>
      <c r="C29" s="260">
        <v>167.76086384864715</v>
      </c>
      <c r="D29" s="245">
        <f t="shared" si="5"/>
        <v>1.9968827258275326</v>
      </c>
      <c r="E29" s="130">
        <f>'（５-2）品群別人時生產性（18-壽司手卷)'!C1</f>
        <v>176.69514509891619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'（５-3）品群別人時生產性（4℃-飯糰)'!L67</f>
        <v>257.2117736027966</v>
      </c>
      <c r="C30" s="260">
        <v>262.46617319075904</v>
      </c>
      <c r="D30" s="245">
        <f t="shared" si="5"/>
        <v>-5.254399587962439</v>
      </c>
      <c r="E30" s="130">
        <f>'（５-3）品群別人時生產性（4℃-飯糰)'!C1</f>
        <v>258.60114576474365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'（５-4）品群別人時生產性（4℃-壽司手卷)'!L67</f>
        <v>112.12612003381241</v>
      </c>
      <c r="C31" s="260">
        <v>114.15109871813166</v>
      </c>
      <c r="D31" s="245">
        <f t="shared" si="5"/>
        <v>-2.024978684319251</v>
      </c>
      <c r="E31" s="130">
        <f>'（５-4）品群別人時生產性（4℃-壽司手卷)'!C1</f>
        <v>118.5478351123935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'!L112</f>
        <v>85.208547542647864</v>
      </c>
      <c r="C32" s="260">
        <v>83.861530141801694</v>
      </c>
      <c r="D32" s="245">
        <f t="shared" si="5"/>
        <v>1.3470174008461697</v>
      </c>
      <c r="E32" s="130">
        <f>'（５-5）品群別人時生產性(主食) '!C1</f>
        <v>84.263993080329229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'（５-6）品群別人時生產性(便當)'!L67</f>
        <v>73.196198538088169</v>
      </c>
      <c r="C33" s="260">
        <v>72.49043793450798</v>
      </c>
      <c r="D33" s="245">
        <f t="shared" si="5"/>
        <v>0.70576060358018822</v>
      </c>
      <c r="E33" s="130">
        <f>'（５-6）品群別人時生產性(便當)'!C1</f>
        <v>71.924032925768287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'!L67</f>
        <v>86.680429402838385</v>
      </c>
      <c r="C34" s="260">
        <v>88.815669335348915</v>
      </c>
      <c r="D34" s="245">
        <f t="shared" si="5"/>
        <v>-2.1352399325105296</v>
      </c>
      <c r="E34" s="130">
        <f>'（５-7）品群別人時生產性(熱食義麵) '!C1</f>
        <v>86.311819658327607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'!L67</f>
        <v>125.35811484347285</v>
      </c>
      <c r="C35" s="260">
        <v>124.8888968605502</v>
      </c>
      <c r="D35" s="245">
        <f t="shared" si="5"/>
        <v>0.46921798292264327</v>
      </c>
      <c r="E35" s="130">
        <f>'（５-8）品群別人時生產性(季節調理麵) '!C1</f>
        <v>124.80390448986013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'（５-9）品群別人時生產性(微波小吃)'!L67</f>
        <v>180.7266915728141</v>
      </c>
      <c r="C36" s="260">
        <v>179.69564268248948</v>
      </c>
      <c r="D36" s="245">
        <f t="shared" si="5"/>
        <v>1.0310488903246267</v>
      </c>
      <c r="E36" s="130">
        <f>'（５-9）品群別人時生產性(微波小吃)'!C1</f>
        <v>176.53250812732313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29"/>
      <c r="F37" s="134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S47" sqref="S47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24" t="s">
        <v>121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  <c r="V2" s="624"/>
      <c r="W2" s="624"/>
    </row>
    <row r="3" spans="2:23" s="84" customFormat="1" ht="23.45" customHeight="1">
      <c r="B3" s="98"/>
      <c r="C3" s="628" t="s">
        <v>116</v>
      </c>
      <c r="D3" s="629" t="s">
        <v>105</v>
      </c>
      <c r="E3" s="629"/>
      <c r="F3" s="627" t="s">
        <v>356</v>
      </c>
      <c r="G3" s="627"/>
      <c r="H3" s="627"/>
      <c r="I3" s="625" t="s">
        <v>119</v>
      </c>
      <c r="J3" s="625"/>
      <c r="K3" s="625"/>
      <c r="L3" s="626" t="s">
        <v>120</v>
      </c>
      <c r="M3" s="626"/>
      <c r="N3" s="626"/>
      <c r="O3" s="623" t="s">
        <v>122</v>
      </c>
      <c r="P3" s="623"/>
      <c r="Q3" s="623"/>
      <c r="R3" s="630" t="s">
        <v>123</v>
      </c>
      <c r="S3" s="630"/>
      <c r="T3" s="630"/>
      <c r="U3" s="623" t="s">
        <v>124</v>
      </c>
      <c r="V3" s="623"/>
      <c r="W3" s="623"/>
    </row>
    <row r="4" spans="2:23" s="84" customFormat="1" ht="23.45" customHeight="1">
      <c r="B4" s="98"/>
      <c r="C4" s="628"/>
      <c r="D4" s="629"/>
      <c r="E4" s="629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3" t="s">
        <v>590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3" t="s">
        <v>590</v>
      </c>
    </row>
    <row r="5" spans="2:23">
      <c r="B5" s="98"/>
      <c r="C5" s="98"/>
      <c r="D5" s="86">
        <v>46082</v>
      </c>
      <c r="E5" s="86" t="s">
        <v>589</v>
      </c>
      <c r="F5" s="231">
        <v>7873403</v>
      </c>
      <c r="H5" s="366"/>
      <c r="I5" s="232">
        <v>243291</v>
      </c>
      <c r="K5" s="367"/>
      <c r="L5" s="231">
        <v>5037611</v>
      </c>
      <c r="M5" s="330"/>
      <c r="N5" s="366"/>
      <c r="O5" s="90">
        <f t="shared" ref="O5:O39" si="0">L5/F5</f>
        <v>0.63982638764966049</v>
      </c>
      <c r="P5" s="331"/>
      <c r="Q5" s="365"/>
      <c r="R5" s="231">
        <v>1000883.2898924736</v>
      </c>
      <c r="S5" s="330"/>
      <c r="T5" s="366"/>
      <c r="U5" s="90">
        <f t="shared" ref="U5:U41" si="1">R5/F5</f>
        <v>0.12712207032873507</v>
      </c>
      <c r="V5" s="331"/>
      <c r="W5" s="365"/>
    </row>
    <row r="6" spans="2:23">
      <c r="B6" s="98"/>
      <c r="C6" s="98"/>
      <c r="D6" s="86">
        <f t="shared" ref="D6:D9" si="2">D5+1</f>
        <v>46083</v>
      </c>
      <c r="E6" s="519" t="s">
        <v>583</v>
      </c>
      <c r="F6" s="231">
        <v>7734716</v>
      </c>
      <c r="G6" s="330">
        <f>SUM(F5:F6)</f>
        <v>15608119</v>
      </c>
      <c r="H6" s="366"/>
      <c r="I6" s="232">
        <v>238748</v>
      </c>
      <c r="J6" s="88">
        <f>SUM(I5:I6)</f>
        <v>482039</v>
      </c>
      <c r="K6" s="367"/>
      <c r="L6" s="231">
        <v>5120706</v>
      </c>
      <c r="M6" s="330">
        <f>SUM(L5:L6)</f>
        <v>10158317</v>
      </c>
      <c r="N6" s="366"/>
      <c r="O6" s="90">
        <f t="shared" si="0"/>
        <v>0.66204189009654657</v>
      </c>
      <c r="P6" s="90">
        <f>M6/G6</f>
        <v>0.65083544019622097</v>
      </c>
      <c r="Q6" s="365"/>
      <c r="R6" s="231">
        <v>1026858.3432258059</v>
      </c>
      <c r="S6" s="330">
        <f>SUM(R5:R6)</f>
        <v>2027741.6331182795</v>
      </c>
      <c r="T6" s="366"/>
      <c r="U6" s="90">
        <f t="shared" si="1"/>
        <v>0.13275966993821181</v>
      </c>
      <c r="V6" s="90">
        <f>S6/G6</f>
        <v>0.12991582349662245</v>
      </c>
      <c r="W6" s="365"/>
    </row>
    <row r="7" spans="2:23" ht="16.5" customHeight="1">
      <c r="B7" s="98"/>
      <c r="C7" s="98"/>
      <c r="D7" s="332">
        <f t="shared" si="2"/>
        <v>46084</v>
      </c>
      <c r="E7" s="332" t="s">
        <v>584</v>
      </c>
      <c r="F7" s="231">
        <v>8673470</v>
      </c>
      <c r="G7" s="330">
        <f>SUM(F7:F13)</f>
        <v>53050901</v>
      </c>
      <c r="I7" s="232">
        <v>261918</v>
      </c>
      <c r="J7" s="88">
        <f>SUM(I7:I13)</f>
        <v>1631684</v>
      </c>
      <c r="L7" s="231">
        <v>5797408</v>
      </c>
      <c r="M7" s="330">
        <f>SUM(L7:L13)</f>
        <v>34865375</v>
      </c>
      <c r="O7" s="90">
        <f t="shared" si="0"/>
        <v>0.66840699281832994</v>
      </c>
      <c r="P7" s="90">
        <f>M7/G7</f>
        <v>0.65720608590606222</v>
      </c>
      <c r="R7" s="233">
        <v>1055166.9365591402</v>
      </c>
      <c r="S7" s="330">
        <f>SUM(R7:R13)</f>
        <v>7154992.3925806489</v>
      </c>
      <c r="U7" s="90">
        <f t="shared" si="1"/>
        <v>0.12165453233355741</v>
      </c>
      <c r="V7" s="90">
        <f>S7/G7</f>
        <v>0.13487032751018968</v>
      </c>
    </row>
    <row r="8" spans="2:23" ht="16.5" customHeight="1">
      <c r="B8" s="98"/>
      <c r="C8" s="98"/>
      <c r="D8" s="553">
        <f t="shared" si="2"/>
        <v>46085</v>
      </c>
      <c r="E8" s="553" t="s">
        <v>585</v>
      </c>
      <c r="F8" s="231">
        <v>7833391</v>
      </c>
      <c r="G8" s="330"/>
      <c r="H8" s="366"/>
      <c r="I8" s="232">
        <v>240647</v>
      </c>
      <c r="K8" s="367"/>
      <c r="L8" s="231">
        <v>5353308</v>
      </c>
      <c r="M8" s="330"/>
      <c r="N8" s="366"/>
      <c r="O8" s="90">
        <f t="shared" si="0"/>
        <v>0.68339599031887976</v>
      </c>
      <c r="P8" s="331"/>
      <c r="Q8" s="365"/>
      <c r="R8" s="233">
        <v>1007074.5498924733</v>
      </c>
      <c r="S8" s="330"/>
      <c r="T8" s="366"/>
      <c r="U8" s="90">
        <f t="shared" si="1"/>
        <v>0.12856176206351416</v>
      </c>
      <c r="V8" s="331"/>
      <c r="W8" s="365"/>
    </row>
    <row r="9" spans="2:23" ht="16.5" customHeight="1">
      <c r="B9" s="98"/>
      <c r="C9" s="98"/>
      <c r="D9" s="553">
        <f t="shared" si="2"/>
        <v>46086</v>
      </c>
      <c r="E9" s="553" t="s">
        <v>586</v>
      </c>
      <c r="F9" s="231">
        <v>7120934</v>
      </c>
      <c r="G9" s="330"/>
      <c r="H9" s="366"/>
      <c r="I9" s="232">
        <v>221012</v>
      </c>
      <c r="K9" s="367"/>
      <c r="L9" s="231">
        <v>4889169</v>
      </c>
      <c r="M9" s="330"/>
      <c r="N9" s="366"/>
      <c r="O9" s="90">
        <f t="shared" si="0"/>
        <v>0.68659097247636336</v>
      </c>
      <c r="P9" s="331"/>
      <c r="Q9" s="365"/>
      <c r="R9" s="233">
        <v>948918.00655914005</v>
      </c>
      <c r="S9" s="330"/>
      <c r="T9" s="366"/>
      <c r="U9" s="90">
        <f t="shared" si="1"/>
        <v>0.13325752022966933</v>
      </c>
      <c r="V9" s="331"/>
      <c r="W9" s="365"/>
    </row>
    <row r="10" spans="2:23" ht="16.5" customHeight="1">
      <c r="B10" s="98"/>
      <c r="C10" s="98"/>
      <c r="D10" s="553">
        <f t="shared" ref="D10:D34" si="3">D9+1</f>
        <v>46087</v>
      </c>
      <c r="E10" s="553" t="s">
        <v>587</v>
      </c>
      <c r="F10" s="231">
        <v>6319241</v>
      </c>
      <c r="H10" s="366">
        <f>SUM(F5:F35)</f>
        <v>228129578</v>
      </c>
      <c r="I10" s="232">
        <v>197754</v>
      </c>
      <c r="K10" s="367">
        <f>SUM(I5:I35)</f>
        <v>7031674</v>
      </c>
      <c r="L10" s="231">
        <v>4207688</v>
      </c>
      <c r="M10" s="330"/>
      <c r="N10" s="366">
        <f>SUM(L5:L35)</f>
        <v>151566986</v>
      </c>
      <c r="O10" s="90">
        <f t="shared" si="0"/>
        <v>0.66585338334144872</v>
      </c>
      <c r="P10" s="331"/>
      <c r="Q10" s="365">
        <f>N10/H10</f>
        <v>0.66438989336139487</v>
      </c>
      <c r="R10" s="233">
        <v>1011727.0898924738</v>
      </c>
      <c r="S10" s="330"/>
      <c r="T10" s="366">
        <f>SUM(R5:R35)</f>
        <v>30800096.463440873</v>
      </c>
      <c r="U10" s="90">
        <f t="shared" si="1"/>
        <v>0.16010262781439635</v>
      </c>
      <c r="V10" s="331"/>
      <c r="W10" s="365">
        <f>T10/H10</f>
        <v>0.13501141208195666</v>
      </c>
    </row>
    <row r="11" spans="2:23" ht="16.5" customHeight="1">
      <c r="B11" s="98"/>
      <c r="C11" s="98"/>
      <c r="D11" s="553">
        <f t="shared" si="3"/>
        <v>46088</v>
      </c>
      <c r="E11" s="553" t="s">
        <v>588</v>
      </c>
      <c r="F11" s="231">
        <v>6868140</v>
      </c>
      <c r="G11" s="330"/>
      <c r="H11" s="366"/>
      <c r="I11" s="232">
        <v>212051</v>
      </c>
      <c r="K11" s="367"/>
      <c r="L11" s="231">
        <v>4659781</v>
      </c>
      <c r="M11" s="330"/>
      <c r="N11" s="366"/>
      <c r="O11" s="90">
        <f t="shared" si="0"/>
        <v>0.67846331029944063</v>
      </c>
      <c r="P11" s="331"/>
      <c r="Q11" s="365"/>
      <c r="R11" s="233">
        <v>1003978.1098924733</v>
      </c>
      <c r="S11" s="330"/>
      <c r="T11" s="366"/>
      <c r="U11" s="90">
        <f t="shared" si="1"/>
        <v>0.14617903972436108</v>
      </c>
      <c r="V11" s="331"/>
      <c r="W11" s="365"/>
    </row>
    <row r="12" spans="2:23" ht="16.5" customHeight="1">
      <c r="B12" s="98"/>
      <c r="C12" s="98"/>
      <c r="D12" s="553">
        <f t="shared" si="3"/>
        <v>46089</v>
      </c>
      <c r="E12" s="553" t="s">
        <v>589</v>
      </c>
      <c r="F12" s="231">
        <v>8317813</v>
      </c>
      <c r="G12" s="330"/>
      <c r="H12" s="366"/>
      <c r="I12" s="232">
        <v>253425</v>
      </c>
      <c r="K12" s="367"/>
      <c r="L12" s="231">
        <v>4675809</v>
      </c>
      <c r="M12" s="330"/>
      <c r="N12" s="366"/>
      <c r="O12" s="90">
        <f t="shared" si="0"/>
        <v>0.56214403954501024</v>
      </c>
      <c r="P12" s="331"/>
      <c r="Q12" s="365"/>
      <c r="R12" s="233">
        <v>1065750.8332258069</v>
      </c>
      <c r="S12" s="330"/>
      <c r="T12" s="366"/>
      <c r="U12" s="90">
        <f t="shared" si="1"/>
        <v>0.12812873206283995</v>
      </c>
      <c r="V12" s="331"/>
      <c r="W12" s="365"/>
    </row>
    <row r="13" spans="2:23" ht="16.5" customHeight="1">
      <c r="B13" s="98"/>
      <c r="C13" s="98"/>
      <c r="D13" s="553">
        <f t="shared" si="3"/>
        <v>46090</v>
      </c>
      <c r="E13" s="553" t="s">
        <v>583</v>
      </c>
      <c r="F13" s="231">
        <v>7917912</v>
      </c>
      <c r="H13" s="366"/>
      <c r="I13" s="232">
        <v>244877</v>
      </c>
      <c r="K13" s="367"/>
      <c r="L13" s="231">
        <v>5282212</v>
      </c>
      <c r="M13" s="330"/>
      <c r="N13" s="366"/>
      <c r="O13" s="90">
        <f t="shared" si="0"/>
        <v>0.66712183717121387</v>
      </c>
      <c r="P13" s="331"/>
      <c r="Q13" s="365"/>
      <c r="R13" s="231">
        <v>1062376.8665591404</v>
      </c>
      <c r="S13" s="330"/>
      <c r="T13" s="366"/>
      <c r="U13" s="90">
        <f t="shared" si="1"/>
        <v>0.13417386636263959</v>
      </c>
      <c r="V13" s="331"/>
      <c r="W13" s="365"/>
    </row>
    <row r="14" spans="2:23" ht="16.5" customHeight="1">
      <c r="B14" s="98"/>
      <c r="C14" s="98"/>
      <c r="D14" s="519">
        <f t="shared" si="3"/>
        <v>46091</v>
      </c>
      <c r="E14" s="519" t="s">
        <v>584</v>
      </c>
      <c r="F14" s="231">
        <v>7857997</v>
      </c>
      <c r="G14" s="330">
        <f>SUM(F14:F20)</f>
        <v>51759222</v>
      </c>
      <c r="H14" s="366"/>
      <c r="I14" s="232">
        <v>243272</v>
      </c>
      <c r="J14" s="88">
        <f>SUM(I14:I20)</f>
        <v>1610229</v>
      </c>
      <c r="K14" s="367"/>
      <c r="L14" s="231">
        <v>5168969</v>
      </c>
      <c r="M14" s="330">
        <f>SUM(L14:L20)</f>
        <v>34647122</v>
      </c>
      <c r="N14" s="366"/>
      <c r="O14" s="90">
        <f t="shared" si="0"/>
        <v>0.65779727327460169</v>
      </c>
      <c r="P14" s="90">
        <f>M14/G14</f>
        <v>0.66939031657005976</v>
      </c>
      <c r="Q14" s="365"/>
      <c r="R14" s="231">
        <v>1046078.5565591401</v>
      </c>
      <c r="S14" s="330">
        <f>SUM(R14:R20)</f>
        <v>7174328.3825806472</v>
      </c>
      <c r="T14" s="366"/>
      <c r="U14" s="90">
        <f t="shared" si="1"/>
        <v>0.13312279917632192</v>
      </c>
      <c r="V14" s="90">
        <f>S14/G14</f>
        <v>0.13860966423685131</v>
      </c>
      <c r="W14" s="365"/>
    </row>
    <row r="15" spans="2:23" ht="16.5" customHeight="1">
      <c r="B15" s="98"/>
      <c r="C15" s="98"/>
      <c r="D15" s="554">
        <f t="shared" si="3"/>
        <v>46092</v>
      </c>
      <c r="E15" s="554" t="s">
        <v>585</v>
      </c>
      <c r="F15" s="231">
        <v>7290922</v>
      </c>
      <c r="G15" s="330"/>
      <c r="H15" s="366"/>
      <c r="I15" s="232">
        <v>228563</v>
      </c>
      <c r="K15" s="367"/>
      <c r="L15" s="231">
        <v>5177817</v>
      </c>
      <c r="M15" s="330"/>
      <c r="N15" s="366"/>
      <c r="O15" s="90">
        <f t="shared" si="0"/>
        <v>0.71017314408246313</v>
      </c>
      <c r="P15" s="331"/>
      <c r="Q15" s="365"/>
      <c r="R15" s="231">
        <v>1042680.0732258057</v>
      </c>
      <c r="S15" s="330"/>
      <c r="T15" s="366"/>
      <c r="U15" s="90">
        <f t="shared" si="1"/>
        <v>0.1430107294010011</v>
      </c>
      <c r="V15" s="331"/>
      <c r="W15" s="365"/>
    </row>
    <row r="16" spans="2:23" ht="16.5" customHeight="1">
      <c r="B16" s="98"/>
      <c r="C16" s="98"/>
      <c r="D16" s="554">
        <f t="shared" si="3"/>
        <v>46093</v>
      </c>
      <c r="E16" s="554" t="s">
        <v>586</v>
      </c>
      <c r="F16" s="231">
        <v>6613915</v>
      </c>
      <c r="G16" s="330"/>
      <c r="H16" s="366"/>
      <c r="I16" s="232">
        <v>210660</v>
      </c>
      <c r="K16" s="367"/>
      <c r="L16" s="231">
        <v>4522109</v>
      </c>
      <c r="M16" s="330"/>
      <c r="N16" s="366"/>
      <c r="O16" s="90">
        <f t="shared" si="0"/>
        <v>0.68372650691761239</v>
      </c>
      <c r="P16" s="331"/>
      <c r="Q16" s="365"/>
      <c r="R16" s="231">
        <v>994405.52322580665</v>
      </c>
      <c r="S16" s="330"/>
      <c r="T16" s="366"/>
      <c r="U16" s="90">
        <f t="shared" si="1"/>
        <v>0.1503505145176203</v>
      </c>
      <c r="V16" s="331"/>
      <c r="W16" s="365"/>
    </row>
    <row r="17" spans="2:23" ht="16.5" customHeight="1">
      <c r="B17" s="98"/>
      <c r="C17" s="98"/>
      <c r="D17" s="554">
        <f t="shared" si="3"/>
        <v>46094</v>
      </c>
      <c r="E17" s="554" t="s">
        <v>587</v>
      </c>
      <c r="F17" s="231">
        <v>6674345</v>
      </c>
      <c r="H17" s="366"/>
      <c r="I17" s="232">
        <v>206085</v>
      </c>
      <c r="K17" s="367"/>
      <c r="L17" s="231">
        <v>4470791</v>
      </c>
      <c r="M17" s="330"/>
      <c r="N17" s="366"/>
      <c r="O17" s="90">
        <f t="shared" si="0"/>
        <v>0.66984715354090929</v>
      </c>
      <c r="P17" s="331"/>
      <c r="Q17" s="365"/>
      <c r="R17" s="231">
        <v>984052.31989247352</v>
      </c>
      <c r="S17" s="330"/>
      <c r="T17" s="366"/>
      <c r="U17" s="90">
        <f t="shared" si="1"/>
        <v>0.14743803622564813</v>
      </c>
      <c r="V17" s="331"/>
      <c r="W17" s="365"/>
    </row>
    <row r="18" spans="2:23" ht="16.5" customHeight="1">
      <c r="B18" s="98"/>
      <c r="C18" s="98"/>
      <c r="D18" s="554">
        <f t="shared" si="3"/>
        <v>46095</v>
      </c>
      <c r="E18" s="554" t="s">
        <v>588</v>
      </c>
      <c r="F18" s="231">
        <v>6969421</v>
      </c>
      <c r="G18" s="330"/>
      <c r="H18" s="366"/>
      <c r="I18" s="232">
        <v>214713</v>
      </c>
      <c r="K18" s="367"/>
      <c r="L18" s="231">
        <v>4702467</v>
      </c>
      <c r="M18" s="330"/>
      <c r="N18" s="366"/>
      <c r="O18" s="90">
        <f t="shared" si="0"/>
        <v>0.67472850327164913</v>
      </c>
      <c r="P18" s="331"/>
      <c r="Q18" s="365"/>
      <c r="R18" s="231">
        <v>1003431.909892473</v>
      </c>
      <c r="S18" s="330"/>
      <c r="T18" s="366"/>
      <c r="U18" s="90">
        <f t="shared" si="1"/>
        <v>0.14397636617051446</v>
      </c>
      <c r="V18" s="331"/>
      <c r="W18" s="365"/>
    </row>
    <row r="19" spans="2:23" ht="16.5" customHeight="1">
      <c r="B19" s="98"/>
      <c r="C19" s="98"/>
      <c r="D19" s="554">
        <f t="shared" si="3"/>
        <v>46096</v>
      </c>
      <c r="E19" s="554" t="s">
        <v>589</v>
      </c>
      <c r="F19" s="231">
        <v>8390696</v>
      </c>
      <c r="G19" s="330"/>
      <c r="H19" s="366"/>
      <c r="I19" s="232">
        <v>258354</v>
      </c>
      <c r="K19" s="367"/>
      <c r="L19" s="231">
        <v>5321667</v>
      </c>
      <c r="M19" s="330"/>
      <c r="N19" s="366"/>
      <c r="O19" s="90">
        <f t="shared" si="0"/>
        <v>0.63423427567868029</v>
      </c>
      <c r="P19" s="331"/>
      <c r="Q19" s="365"/>
      <c r="R19" s="231">
        <v>1053516.7432258069</v>
      </c>
      <c r="S19" s="330"/>
      <c r="T19" s="366"/>
      <c r="U19" s="90">
        <f t="shared" si="1"/>
        <v>0.1255577300412036</v>
      </c>
      <c r="V19" s="331"/>
      <c r="W19" s="365"/>
    </row>
    <row r="20" spans="2:23" ht="16.5" customHeight="1">
      <c r="B20" s="98"/>
      <c r="C20" s="98"/>
      <c r="D20" s="554">
        <f t="shared" si="3"/>
        <v>46097</v>
      </c>
      <c r="E20" s="554" t="s">
        <v>583</v>
      </c>
      <c r="F20" s="231">
        <v>7961926</v>
      </c>
      <c r="H20" s="366"/>
      <c r="I20" s="232">
        <v>248582</v>
      </c>
      <c r="K20" s="367"/>
      <c r="L20" s="231">
        <v>5283302</v>
      </c>
      <c r="M20" s="330"/>
      <c r="N20" s="366"/>
      <c r="O20" s="90">
        <f t="shared" si="0"/>
        <v>0.66357084956579604</v>
      </c>
      <c r="P20" s="331"/>
      <c r="Q20" s="365"/>
      <c r="R20" s="231">
        <v>1050163.2565591405</v>
      </c>
      <c r="S20" s="330"/>
      <c r="T20" s="366"/>
      <c r="U20" s="90">
        <f t="shared" si="1"/>
        <v>0.13189814330843322</v>
      </c>
      <c r="V20" s="331"/>
      <c r="W20" s="365"/>
    </row>
    <row r="21" spans="2:23" ht="16.5" customHeight="1">
      <c r="B21" s="98"/>
      <c r="C21" s="98"/>
      <c r="D21" s="332">
        <f t="shared" si="3"/>
        <v>46098</v>
      </c>
      <c r="E21" s="332" t="s">
        <v>584</v>
      </c>
      <c r="F21" s="231">
        <v>8375991</v>
      </c>
      <c r="G21" s="330">
        <f>SUM(F21:F27)</f>
        <v>53723391</v>
      </c>
      <c r="H21" s="366"/>
      <c r="I21" s="232">
        <v>256722</v>
      </c>
      <c r="J21" s="88">
        <f>SUM(I21:I27)</f>
        <v>1654379</v>
      </c>
      <c r="K21" s="367"/>
      <c r="L21" s="231">
        <v>5571122</v>
      </c>
      <c r="M21" s="330">
        <f>SUM(L21:L27)</f>
        <v>35956388</v>
      </c>
      <c r="N21" s="366"/>
      <c r="O21" s="90">
        <f t="shared" si="0"/>
        <v>0.66512989328665706</v>
      </c>
      <c r="P21" s="90">
        <f>M21/G21</f>
        <v>0.66928738731328408</v>
      </c>
      <c r="Q21" s="365"/>
      <c r="R21" s="231">
        <v>1053474.5132258069</v>
      </c>
      <c r="S21" s="330">
        <f>SUM(R21:R27)</f>
        <v>7250541.349247314</v>
      </c>
      <c r="T21" s="366"/>
      <c r="U21" s="90">
        <f t="shared" si="1"/>
        <v>0.12577311905251651</v>
      </c>
      <c r="V21" s="90">
        <f>S21/G21</f>
        <v>0.13496060494854678</v>
      </c>
      <c r="W21" s="365"/>
    </row>
    <row r="22" spans="2:23" ht="16.5" customHeight="1">
      <c r="B22" s="98"/>
      <c r="C22" s="98"/>
      <c r="D22" s="553">
        <f t="shared" si="3"/>
        <v>46099</v>
      </c>
      <c r="E22" s="553" t="s">
        <v>585</v>
      </c>
      <c r="F22" s="231">
        <v>7820204</v>
      </c>
      <c r="G22" s="330"/>
      <c r="H22" s="366"/>
      <c r="I22" s="232">
        <v>243285</v>
      </c>
      <c r="K22" s="367"/>
      <c r="L22" s="231">
        <v>5387405</v>
      </c>
      <c r="M22" s="330"/>
      <c r="N22" s="366"/>
      <c r="O22" s="90">
        <f t="shared" si="0"/>
        <v>0.68890849906217277</v>
      </c>
      <c r="P22" s="331"/>
      <c r="Q22" s="365"/>
      <c r="R22" s="231">
        <v>1036147.8032258068</v>
      </c>
      <c r="S22" s="330"/>
      <c r="T22" s="366"/>
      <c r="U22" s="90">
        <f t="shared" si="1"/>
        <v>0.13249626265834072</v>
      </c>
      <c r="V22" s="331"/>
      <c r="W22" s="365"/>
    </row>
    <row r="23" spans="2:23" ht="16.5" customHeight="1">
      <c r="B23" s="98"/>
      <c r="C23" s="98"/>
      <c r="D23" s="553">
        <f t="shared" si="3"/>
        <v>46100</v>
      </c>
      <c r="E23" s="553" t="s">
        <v>586</v>
      </c>
      <c r="F23" s="231">
        <v>7245796</v>
      </c>
      <c r="G23" s="330"/>
      <c r="H23" s="366"/>
      <c r="I23" s="232">
        <v>227839</v>
      </c>
      <c r="K23" s="367"/>
      <c r="L23" s="231">
        <v>4854787</v>
      </c>
      <c r="M23" s="330"/>
      <c r="N23" s="366"/>
      <c r="O23" s="90">
        <f t="shared" si="0"/>
        <v>0.67001430898689396</v>
      </c>
      <c r="P23" s="331"/>
      <c r="Q23" s="365"/>
      <c r="R23" s="231">
        <v>1014079.6832258069</v>
      </c>
      <c r="S23" s="330"/>
      <c r="T23" s="366"/>
      <c r="U23" s="90">
        <f t="shared" si="1"/>
        <v>0.13995421389531348</v>
      </c>
      <c r="V23" s="331"/>
      <c r="W23" s="365"/>
    </row>
    <row r="24" spans="2:23" ht="16.5" customHeight="1">
      <c r="B24" s="98"/>
      <c r="C24" s="98"/>
      <c r="D24" s="553">
        <f t="shared" si="3"/>
        <v>46101</v>
      </c>
      <c r="E24" s="553" t="s">
        <v>587</v>
      </c>
      <c r="F24" s="231">
        <v>6666905</v>
      </c>
      <c r="H24" s="366"/>
      <c r="I24" s="232">
        <v>205172</v>
      </c>
      <c r="K24" s="367"/>
      <c r="L24" s="231">
        <v>4435723</v>
      </c>
      <c r="M24" s="330"/>
      <c r="N24" s="366"/>
      <c r="O24" s="90">
        <f t="shared" si="0"/>
        <v>0.66533466428575183</v>
      </c>
      <c r="P24" s="331"/>
      <c r="Q24" s="365"/>
      <c r="R24" s="231">
        <v>1022964.1498924734</v>
      </c>
      <c r="S24" s="330"/>
      <c r="T24" s="366"/>
      <c r="U24" s="90">
        <f t="shared" si="1"/>
        <v>0.15343913703472201</v>
      </c>
      <c r="V24" s="331"/>
      <c r="W24" s="365"/>
    </row>
    <row r="25" spans="2:23" ht="16.5" customHeight="1">
      <c r="B25" s="98"/>
      <c r="C25" s="98"/>
      <c r="D25" s="553">
        <f t="shared" si="3"/>
        <v>46102</v>
      </c>
      <c r="E25" s="553" t="s">
        <v>588</v>
      </c>
      <c r="F25" s="231">
        <v>7035053</v>
      </c>
      <c r="G25" s="330"/>
      <c r="H25" s="366"/>
      <c r="I25" s="232">
        <v>215989</v>
      </c>
      <c r="K25" s="367"/>
      <c r="L25" s="231">
        <v>4686878</v>
      </c>
      <c r="M25" s="330"/>
      <c r="N25" s="366"/>
      <c r="O25" s="90">
        <f t="shared" si="0"/>
        <v>0.66621786644677727</v>
      </c>
      <c r="P25" s="331"/>
      <c r="Q25" s="365"/>
      <c r="R25" s="231">
        <v>1024530.9365591396</v>
      </c>
      <c r="S25" s="330"/>
      <c r="T25" s="366"/>
      <c r="U25" s="90">
        <f t="shared" si="1"/>
        <v>0.14563229822989815</v>
      </c>
      <c r="V25" s="331"/>
      <c r="W25" s="365"/>
    </row>
    <row r="26" spans="2:23" ht="16.5" customHeight="1">
      <c r="B26" s="98"/>
      <c r="C26" s="98"/>
      <c r="D26" s="553">
        <f t="shared" si="3"/>
        <v>46103</v>
      </c>
      <c r="E26" s="553" t="s">
        <v>589</v>
      </c>
      <c r="F26" s="231">
        <v>8486244</v>
      </c>
      <c r="G26" s="330"/>
      <c r="H26" s="366"/>
      <c r="I26" s="232">
        <v>257635</v>
      </c>
      <c r="K26" s="367"/>
      <c r="L26" s="231">
        <v>5495349</v>
      </c>
      <c r="M26" s="330"/>
      <c r="N26" s="366"/>
      <c r="O26" s="90">
        <f t="shared" si="0"/>
        <v>0.64755962708590509</v>
      </c>
      <c r="P26" s="331"/>
      <c r="Q26" s="365"/>
      <c r="R26" s="231">
        <v>1049580.2265591403</v>
      </c>
      <c r="S26" s="330"/>
      <c r="T26" s="366"/>
      <c r="U26" s="90">
        <f t="shared" si="1"/>
        <v>0.12368018484492553</v>
      </c>
      <c r="V26" s="331"/>
      <c r="W26" s="365"/>
    </row>
    <row r="27" spans="2:23">
      <c r="B27" s="98"/>
      <c r="C27" s="98"/>
      <c r="D27" s="553">
        <f t="shared" si="3"/>
        <v>46104</v>
      </c>
      <c r="E27" s="553" t="s">
        <v>583</v>
      </c>
      <c r="F27" s="231">
        <v>8093198</v>
      </c>
      <c r="H27" s="366"/>
      <c r="I27" s="232">
        <v>247737</v>
      </c>
      <c r="K27" s="367"/>
      <c r="L27" s="231">
        <v>5525124</v>
      </c>
      <c r="M27" s="330"/>
      <c r="N27" s="366"/>
      <c r="O27" s="90">
        <f t="shared" si="0"/>
        <v>0.68268736289412413</v>
      </c>
      <c r="P27" s="331"/>
      <c r="Q27" s="365"/>
      <c r="R27" s="231">
        <v>1049764.0365591401</v>
      </c>
      <c r="S27" s="330"/>
      <c r="T27" s="366"/>
      <c r="U27" s="90">
        <f t="shared" si="1"/>
        <v>0.12970942222828852</v>
      </c>
      <c r="V27" s="331"/>
      <c r="W27" s="365"/>
    </row>
    <row r="28" spans="2:23">
      <c r="B28" s="98"/>
      <c r="C28" s="98"/>
      <c r="D28" s="519">
        <f t="shared" si="3"/>
        <v>46105</v>
      </c>
      <c r="E28" s="519" t="s">
        <v>584</v>
      </c>
      <c r="F28" s="231">
        <v>8093142</v>
      </c>
      <c r="G28" s="330">
        <f>SUM(F28:F34)</f>
        <v>53987945</v>
      </c>
      <c r="H28" s="366"/>
      <c r="I28" s="232">
        <v>247432</v>
      </c>
      <c r="J28" s="88">
        <f>SUM(I28:I34)</f>
        <v>1653343</v>
      </c>
      <c r="K28" s="367"/>
      <c r="L28" s="231">
        <v>5503649</v>
      </c>
      <c r="M28" s="330">
        <f>SUM(L28:L34)</f>
        <v>35939784</v>
      </c>
      <c r="N28" s="366"/>
      <c r="O28" s="90">
        <f t="shared" si="0"/>
        <v>0.68003860552551776</v>
      </c>
      <c r="P28" s="90">
        <f>M28/G28</f>
        <v>0.66570016695393763</v>
      </c>
      <c r="Q28" s="365"/>
      <c r="R28" s="231">
        <v>1035419.8165591405</v>
      </c>
      <c r="S28" s="330">
        <f>SUM(R28:R34)</f>
        <v>7192492.7059139814</v>
      </c>
      <c r="T28" s="366"/>
      <c r="U28" s="90">
        <f t="shared" si="1"/>
        <v>0.12793792776144797</v>
      </c>
      <c r="V28" s="90">
        <f>S28/G28</f>
        <v>0.13322405040447421</v>
      </c>
      <c r="W28" s="365"/>
    </row>
    <row r="29" spans="2:23">
      <c r="B29" s="98"/>
      <c r="C29" s="98"/>
      <c r="D29" s="554">
        <f t="shared" si="3"/>
        <v>46106</v>
      </c>
      <c r="E29" s="554" t="s">
        <v>585</v>
      </c>
      <c r="F29" s="231">
        <v>7691347</v>
      </c>
      <c r="G29" s="330"/>
      <c r="H29" s="366"/>
      <c r="I29" s="232">
        <v>237565</v>
      </c>
      <c r="K29" s="367"/>
      <c r="L29" s="231">
        <v>5083094</v>
      </c>
      <c r="M29" s="330"/>
      <c r="N29" s="366"/>
      <c r="O29" s="90">
        <f t="shared" si="0"/>
        <v>0.66088475789741385</v>
      </c>
      <c r="P29" s="331"/>
      <c r="Q29" s="365"/>
      <c r="R29" s="231">
        <v>1024120.2065591401</v>
      </c>
      <c r="S29" s="330"/>
      <c r="T29" s="366"/>
      <c r="U29" s="90">
        <f t="shared" si="1"/>
        <v>0.13315225623796978</v>
      </c>
      <c r="V29" s="331"/>
      <c r="W29" s="365"/>
    </row>
    <row r="30" spans="2:23">
      <c r="B30" s="98"/>
      <c r="C30" s="98"/>
      <c r="D30" s="554">
        <f t="shared" si="3"/>
        <v>46107</v>
      </c>
      <c r="E30" s="554" t="s">
        <v>586</v>
      </c>
      <c r="F30" s="231">
        <v>7180490</v>
      </c>
      <c r="G30" s="330"/>
      <c r="H30" s="366"/>
      <c r="I30" s="232">
        <v>223124</v>
      </c>
      <c r="K30" s="367"/>
      <c r="L30" s="231">
        <v>4921648</v>
      </c>
      <c r="M30" s="330"/>
      <c r="N30" s="366"/>
      <c r="O30" s="90">
        <f t="shared" si="0"/>
        <v>0.68541951872365259</v>
      </c>
      <c r="P30" s="331"/>
      <c r="Q30" s="365"/>
      <c r="R30" s="231">
        <v>1016204.2098924734</v>
      </c>
      <c r="S30" s="330"/>
      <c r="T30" s="366"/>
      <c r="U30" s="90">
        <f t="shared" si="1"/>
        <v>0.14152296150993504</v>
      </c>
      <c r="V30" s="331"/>
      <c r="W30" s="365"/>
    </row>
    <row r="31" spans="2:23">
      <c r="B31" s="98"/>
      <c r="C31" s="98"/>
      <c r="D31" s="554">
        <f t="shared" si="3"/>
        <v>46108</v>
      </c>
      <c r="E31" s="554" t="s">
        <v>587</v>
      </c>
      <c r="F31" s="231">
        <v>7065299</v>
      </c>
      <c r="H31" s="366"/>
      <c r="I31" s="232">
        <v>216121</v>
      </c>
      <c r="K31" s="367"/>
      <c r="L31" s="231">
        <v>4737756</v>
      </c>
      <c r="M31" s="330"/>
      <c r="N31" s="366"/>
      <c r="O31" s="90">
        <f t="shared" si="0"/>
        <v>0.67056694982052423</v>
      </c>
      <c r="P31" s="331"/>
      <c r="Q31" s="365"/>
      <c r="R31" s="231">
        <v>1010474.8732258066</v>
      </c>
      <c r="S31" s="330"/>
      <c r="T31" s="366"/>
      <c r="U31" s="90">
        <f t="shared" si="1"/>
        <v>0.1430194069954869</v>
      </c>
      <c r="V31" s="331"/>
      <c r="W31" s="365"/>
    </row>
    <row r="32" spans="2:23">
      <c r="B32" s="98"/>
      <c r="C32" s="98"/>
      <c r="D32" s="554">
        <f t="shared" si="3"/>
        <v>46109</v>
      </c>
      <c r="E32" s="554" t="s">
        <v>588</v>
      </c>
      <c r="F32" s="231">
        <v>7298371</v>
      </c>
      <c r="G32" s="330"/>
      <c r="H32" s="366"/>
      <c r="I32" s="232">
        <v>221930</v>
      </c>
      <c r="K32" s="367"/>
      <c r="L32" s="231">
        <v>4837965</v>
      </c>
      <c r="M32" s="330"/>
      <c r="N32" s="366"/>
      <c r="O32" s="90">
        <f t="shared" si="0"/>
        <v>0.66288285426980897</v>
      </c>
      <c r="P32" s="331"/>
      <c r="Q32" s="365"/>
      <c r="R32" s="231">
        <v>1018851.82655914</v>
      </c>
      <c r="S32" s="330"/>
      <c r="T32" s="366"/>
      <c r="U32" s="90">
        <f t="shared" si="1"/>
        <v>0.13959989517649074</v>
      </c>
      <c r="V32" s="90"/>
      <c r="W32" s="365"/>
    </row>
    <row r="33" spans="2:23">
      <c r="B33" s="98"/>
      <c r="C33" s="98"/>
      <c r="D33" s="554">
        <f t="shared" si="3"/>
        <v>46110</v>
      </c>
      <c r="E33" s="554" t="s">
        <v>589</v>
      </c>
      <c r="F33" s="231">
        <v>8464560</v>
      </c>
      <c r="G33" s="330"/>
      <c r="H33" s="366"/>
      <c r="I33" s="232">
        <v>256372</v>
      </c>
      <c r="K33" s="367"/>
      <c r="L33" s="231">
        <v>5382179</v>
      </c>
      <c r="M33" s="330"/>
      <c r="N33" s="366"/>
      <c r="O33" s="90">
        <f t="shared" si="0"/>
        <v>0.63584864422958787</v>
      </c>
      <c r="Q33" s="365"/>
      <c r="R33" s="231">
        <v>1033967.3665591402</v>
      </c>
      <c r="S33" s="330"/>
      <c r="T33" s="366"/>
      <c r="U33" s="90">
        <f t="shared" si="1"/>
        <v>0.12215252376486671</v>
      </c>
      <c r="V33" s="90"/>
      <c r="W33" s="365"/>
    </row>
    <row r="34" spans="2:23">
      <c r="B34" s="98"/>
      <c r="C34" s="98"/>
      <c r="D34" s="554">
        <f t="shared" si="3"/>
        <v>46111</v>
      </c>
      <c r="E34" s="554" t="s">
        <v>583</v>
      </c>
      <c r="F34" s="231">
        <v>8194736</v>
      </c>
      <c r="H34" s="366"/>
      <c r="I34" s="232">
        <v>250799</v>
      </c>
      <c r="K34" s="367"/>
      <c r="L34" s="231">
        <v>5473493</v>
      </c>
      <c r="M34" s="330"/>
      <c r="N34" s="366"/>
      <c r="O34" s="90">
        <f t="shared" si="0"/>
        <v>0.66792792348649177</v>
      </c>
      <c r="Q34" s="365"/>
      <c r="R34" s="231">
        <v>1053454.4065591409</v>
      </c>
      <c r="S34" s="330"/>
      <c r="T34" s="366"/>
      <c r="U34" s="90">
        <f t="shared" si="1"/>
        <v>0.12855257406207363</v>
      </c>
      <c r="V34" s="90"/>
      <c r="W34" s="365"/>
    </row>
    <row r="35" spans="2:23">
      <c r="B35" s="98"/>
      <c r="D35" s="332">
        <f>D34+1</f>
        <v>46112</v>
      </c>
      <c r="E35" s="332" t="s">
        <v>584</v>
      </c>
      <c r="G35" s="330"/>
      <c r="M35" s="330"/>
      <c r="N35" s="87"/>
      <c r="Q35" s="87"/>
      <c r="S35" s="330"/>
      <c r="T35" s="87"/>
      <c r="V35" s="90"/>
      <c r="W35" s="87"/>
    </row>
    <row r="36" spans="2:23">
      <c r="B36" s="98"/>
      <c r="C36" s="98"/>
      <c r="D36" s="332">
        <f t="shared" ref="D36:D41" si="4">D35+1</f>
        <v>46113</v>
      </c>
      <c r="E36" s="553" t="s">
        <v>585</v>
      </c>
      <c r="F36" s="231"/>
      <c r="G36" s="330"/>
      <c r="H36" s="366"/>
      <c r="I36" s="232"/>
      <c r="K36" s="367"/>
      <c r="L36" s="231"/>
      <c r="M36" s="330"/>
      <c r="N36" s="366"/>
      <c r="O36" s="90" t="e">
        <f t="shared" si="0"/>
        <v>#DIV/0!</v>
      </c>
      <c r="Q36" s="365"/>
      <c r="R36" s="231"/>
      <c r="S36" s="330"/>
      <c r="T36" s="366"/>
      <c r="U36" s="90" t="e">
        <f t="shared" si="1"/>
        <v>#DIV/0!</v>
      </c>
      <c r="V36" s="90"/>
      <c r="W36" s="365"/>
    </row>
    <row r="37" spans="2:23">
      <c r="B37" s="98"/>
      <c r="D37" s="332">
        <f t="shared" si="4"/>
        <v>46114</v>
      </c>
      <c r="E37" s="553" t="s">
        <v>586</v>
      </c>
      <c r="F37" s="231"/>
      <c r="G37" s="330"/>
      <c r="I37" s="232"/>
      <c r="L37" s="231"/>
      <c r="M37" s="330"/>
      <c r="N37" s="87"/>
      <c r="O37" s="90" t="e">
        <f t="shared" si="0"/>
        <v>#DIV/0!</v>
      </c>
      <c r="Q37" s="87"/>
      <c r="R37" s="231"/>
      <c r="S37" s="330"/>
      <c r="T37" s="87"/>
      <c r="U37" s="90" t="e">
        <f t="shared" si="1"/>
        <v>#DIV/0!</v>
      </c>
      <c r="V37" s="90"/>
      <c r="W37" s="87"/>
    </row>
    <row r="38" spans="2:23">
      <c r="B38" s="98"/>
      <c r="D38" s="332">
        <f t="shared" si="4"/>
        <v>46115</v>
      </c>
      <c r="E38" s="553" t="s">
        <v>587</v>
      </c>
      <c r="F38" s="231"/>
      <c r="G38" s="330"/>
      <c r="I38" s="232"/>
      <c r="L38" s="231"/>
      <c r="M38" s="330"/>
      <c r="N38" s="87"/>
      <c r="O38" s="90" t="e">
        <f t="shared" si="0"/>
        <v>#DIV/0!</v>
      </c>
      <c r="Q38" s="87"/>
      <c r="R38" s="231"/>
      <c r="S38" s="330"/>
      <c r="T38" s="87"/>
      <c r="U38" s="90" t="e">
        <f t="shared" si="1"/>
        <v>#DIV/0!</v>
      </c>
      <c r="V38" s="90"/>
      <c r="W38" s="87"/>
    </row>
    <row r="39" spans="2:23">
      <c r="B39" s="98"/>
      <c r="D39" s="332">
        <f t="shared" si="4"/>
        <v>46116</v>
      </c>
      <c r="E39" s="553" t="s">
        <v>588</v>
      </c>
      <c r="F39" s="231"/>
      <c r="G39" s="330"/>
      <c r="I39" s="232"/>
      <c r="L39" s="231"/>
      <c r="M39" s="330"/>
      <c r="N39" s="87"/>
      <c r="O39" s="90" t="e">
        <f t="shared" si="0"/>
        <v>#DIV/0!</v>
      </c>
      <c r="Q39" s="87"/>
      <c r="R39" s="231"/>
      <c r="S39" s="330"/>
      <c r="T39" s="87"/>
      <c r="U39" s="90" t="e">
        <f t="shared" si="1"/>
        <v>#DIV/0!</v>
      </c>
      <c r="V39" s="90"/>
      <c r="W39" s="87"/>
    </row>
    <row r="40" spans="2:23">
      <c r="B40" s="98"/>
      <c r="D40" s="332">
        <f t="shared" si="4"/>
        <v>46117</v>
      </c>
      <c r="E40" s="553" t="s">
        <v>589</v>
      </c>
      <c r="F40" s="231"/>
      <c r="G40" s="330"/>
      <c r="I40" s="232"/>
      <c r="L40" s="231"/>
      <c r="M40" s="330"/>
      <c r="N40" s="87"/>
      <c r="O40" s="90" t="e">
        <f>L40/F40</f>
        <v>#DIV/0!</v>
      </c>
      <c r="Q40" s="87"/>
      <c r="R40" s="231"/>
      <c r="S40" s="330"/>
      <c r="T40" s="87"/>
      <c r="U40" s="90" t="e">
        <f t="shared" si="1"/>
        <v>#DIV/0!</v>
      </c>
      <c r="V40" s="90"/>
      <c r="W40" s="87"/>
    </row>
    <row r="41" spans="2:23">
      <c r="B41" s="98"/>
      <c r="D41" s="332">
        <f t="shared" si="4"/>
        <v>46118</v>
      </c>
      <c r="E41" s="553" t="s">
        <v>583</v>
      </c>
      <c r="F41" s="231"/>
      <c r="G41" s="330"/>
      <c r="I41" s="232"/>
      <c r="L41" s="231"/>
      <c r="M41" s="330"/>
      <c r="N41" s="87"/>
      <c r="O41" s="90" t="e">
        <f>L41/F41</f>
        <v>#DIV/0!</v>
      </c>
      <c r="Q41" s="87"/>
      <c r="R41" s="233"/>
      <c r="S41" s="330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0"/>
      <c r="M42" s="330"/>
      <c r="N42" s="87"/>
      <c r="Q42" s="87"/>
      <c r="S42" s="330"/>
      <c r="T42" s="87"/>
      <c r="V42" s="90"/>
      <c r="W42" s="87"/>
    </row>
    <row r="43" spans="2:23">
      <c r="B43" s="98"/>
      <c r="D43" s="86"/>
      <c r="E43" s="86"/>
      <c r="G43" s="330"/>
      <c r="M43" s="330"/>
      <c r="N43" s="87"/>
      <c r="Q43" s="87"/>
      <c r="S43" s="330"/>
      <c r="T43" s="87"/>
      <c r="V43" s="90"/>
      <c r="W43" s="87"/>
    </row>
    <row r="44" spans="2:23">
      <c r="B44" s="98"/>
      <c r="D44" s="86"/>
      <c r="E44" s="86"/>
      <c r="G44" s="330"/>
      <c r="M44" s="330"/>
      <c r="N44" s="87"/>
      <c r="Q44" s="87"/>
      <c r="S44" s="330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28" sqref="U28:U34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24" t="s">
        <v>126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</row>
    <row r="3" spans="2:23" s="72" customFormat="1" ht="23.45" customHeight="1">
      <c r="B3" s="98"/>
      <c r="C3" s="628" t="s">
        <v>116</v>
      </c>
      <c r="D3" s="629" t="s">
        <v>105</v>
      </c>
      <c r="E3" s="629"/>
      <c r="F3" s="632" t="s">
        <v>107</v>
      </c>
      <c r="G3" s="632"/>
      <c r="H3" s="632"/>
      <c r="I3" s="634" t="s">
        <v>108</v>
      </c>
      <c r="J3" s="634"/>
      <c r="K3" s="634"/>
      <c r="L3" s="633" t="s">
        <v>324</v>
      </c>
      <c r="M3" s="633"/>
      <c r="N3" s="633"/>
      <c r="O3" s="633" t="s">
        <v>106</v>
      </c>
      <c r="P3" s="633"/>
      <c r="Q3" s="633"/>
      <c r="R3" s="633" t="s">
        <v>109</v>
      </c>
      <c r="S3" s="633"/>
      <c r="T3" s="633"/>
      <c r="U3" s="633" t="s">
        <v>110</v>
      </c>
      <c r="V3" s="633"/>
      <c r="W3" s="633"/>
    </row>
    <row r="4" spans="2:23" ht="15.75">
      <c r="B4" s="98"/>
      <c r="C4" s="628"/>
      <c r="D4" s="629"/>
      <c r="E4" s="629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46082</v>
      </c>
      <c r="E5" s="86" t="s">
        <v>589</v>
      </c>
      <c r="F5" s="230">
        <v>359.80916068260569</v>
      </c>
      <c r="G5" s="93"/>
      <c r="H5" s="93"/>
      <c r="I5" s="90">
        <f>F5/$C$1</f>
        <v>0.98308513847706469</v>
      </c>
      <c r="J5" s="214"/>
      <c r="K5" s="214"/>
      <c r="L5" s="249">
        <v>2.4201733354687928E-3</v>
      </c>
      <c r="M5" s="331"/>
      <c r="N5" s="331"/>
      <c r="O5" s="249">
        <v>1.6691286685492409E-3</v>
      </c>
      <c r="P5" s="331"/>
      <c r="Q5" s="331"/>
      <c r="R5" s="234">
        <v>0.91700000000000004</v>
      </c>
      <c r="S5" s="214"/>
      <c r="T5" s="331"/>
      <c r="U5" s="234">
        <v>0.15</v>
      </c>
      <c r="V5" s="214"/>
      <c r="W5" s="331"/>
    </row>
    <row r="6" spans="2:23" ht="14.45" customHeight="1">
      <c r="B6" s="98"/>
      <c r="C6" s="98"/>
      <c r="D6" s="86">
        <f t="shared" ref="D6:D34" si="0">D5+1</f>
        <v>46083</v>
      </c>
      <c r="E6" s="519" t="s">
        <v>583</v>
      </c>
      <c r="F6" s="230">
        <v>351.58803260348827</v>
      </c>
      <c r="G6" s="94">
        <f>AVERAGE(F5:F6)</f>
        <v>355.69859664304698</v>
      </c>
      <c r="H6" s="93"/>
      <c r="I6" s="90">
        <f>F6/$C$1</f>
        <v>0.96062303990024123</v>
      </c>
      <c r="J6" s="214">
        <f>AVERAGE(I5:I6)</f>
        <v>0.9718540891886529</v>
      </c>
      <c r="K6" s="214"/>
      <c r="L6" s="249">
        <v>2.4499124486547907E-3</v>
      </c>
      <c r="M6" s="331">
        <f>AVERAGE(L5:L6)</f>
        <v>2.4350428920617917E-3</v>
      </c>
      <c r="N6" s="331"/>
      <c r="O6" s="249">
        <v>1.9438430964752661E-3</v>
      </c>
      <c r="P6" s="331">
        <f>AVERAGE(O5:O6)</f>
        <v>1.8064858825122534E-3</v>
      </c>
      <c r="Q6" s="331"/>
      <c r="R6" s="234">
        <v>0.91700000000000004</v>
      </c>
      <c r="S6" s="214">
        <f>AVERAGE(R5:R6)</f>
        <v>0.91700000000000004</v>
      </c>
      <c r="T6" s="331"/>
      <c r="U6" s="234">
        <v>0.15</v>
      </c>
      <c r="V6" s="214">
        <f>AVERAGE(U5:U6)</f>
        <v>0.15</v>
      </c>
      <c r="W6" s="331"/>
    </row>
    <row r="7" spans="2:23" ht="14.45" customHeight="1">
      <c r="B7" s="98"/>
      <c r="C7" s="98"/>
      <c r="D7" s="332">
        <f t="shared" si="0"/>
        <v>46084</v>
      </c>
      <c r="E7" s="332" t="s">
        <v>584</v>
      </c>
      <c r="F7" s="230">
        <v>354.35193936548563</v>
      </c>
      <c r="G7" s="93">
        <f>AVERAGE(F7:F13)</f>
        <v>353.64767096168481</v>
      </c>
      <c r="I7" s="90">
        <f t="shared" ref="I7:I40" si="1">F7/$C$1</f>
        <v>0.96817469771990605</v>
      </c>
      <c r="J7" s="214">
        <f>AVERAGE(I7:I13)</f>
        <v>0.96625046710842832</v>
      </c>
      <c r="L7" s="249">
        <v>2.457493944176898E-3</v>
      </c>
      <c r="M7" s="331">
        <f>AVERAGE(L7:L13)</f>
        <v>2.4468439247250606E-3</v>
      </c>
      <c r="O7" s="249">
        <v>1.8232610477698084E-3</v>
      </c>
      <c r="P7" s="331">
        <f>AVERAGE(O7:O13)</f>
        <v>1.9402115417733029E-3</v>
      </c>
      <c r="R7" s="234">
        <v>0.91700000000000004</v>
      </c>
      <c r="S7" s="214">
        <f>AVERAGE(R7:R13)</f>
        <v>0.91699999999999993</v>
      </c>
      <c r="U7" s="234">
        <v>0.152</v>
      </c>
      <c r="V7" s="214">
        <f>AVERAGE(U7:U13)</f>
        <v>0.16057142857142859</v>
      </c>
    </row>
    <row r="8" spans="2:23" ht="14.45" customHeight="1">
      <c r="B8" s="98"/>
      <c r="C8" s="98"/>
      <c r="D8" s="553">
        <f t="shared" si="0"/>
        <v>46085</v>
      </c>
      <c r="E8" s="553" t="s">
        <v>585</v>
      </c>
      <c r="F8" s="230">
        <v>350.63524768390965</v>
      </c>
      <c r="G8" s="93"/>
      <c r="H8" s="93"/>
      <c r="I8" s="90">
        <f t="shared" si="1"/>
        <v>0.95801980241505369</v>
      </c>
      <c r="J8" s="214"/>
      <c r="K8" s="214"/>
      <c r="L8" s="249">
        <v>2.4520670549957229E-3</v>
      </c>
      <c r="M8" s="331"/>
      <c r="N8" s="331"/>
      <c r="O8" s="249">
        <v>1.8578161105452288E-3</v>
      </c>
      <c r="P8" s="331"/>
      <c r="Q8" s="331"/>
      <c r="R8" s="234">
        <v>0.91700000000000004</v>
      </c>
      <c r="S8" s="214"/>
      <c r="T8" s="331"/>
      <c r="U8" s="234">
        <v>0.156</v>
      </c>
      <c r="V8" s="214"/>
      <c r="W8" s="331"/>
    </row>
    <row r="9" spans="2:23" ht="14.45" customHeight="1">
      <c r="B9" s="98"/>
      <c r="C9" s="98"/>
      <c r="D9" s="553">
        <f t="shared" si="0"/>
        <v>46086</v>
      </c>
      <c r="E9" s="553" t="s">
        <v>586</v>
      </c>
      <c r="F9" s="230">
        <v>357.43895993814249</v>
      </c>
      <c r="G9" s="93"/>
      <c r="H9" s="93"/>
      <c r="I9" s="90">
        <f t="shared" si="1"/>
        <v>0.97660918015885922</v>
      </c>
      <c r="J9" s="214"/>
      <c r="K9" s="214"/>
      <c r="L9" s="249">
        <v>2.459087529809994E-3</v>
      </c>
      <c r="M9" s="331"/>
      <c r="N9" s="331"/>
      <c r="O9" s="249">
        <v>2.0575952536563322E-3</v>
      </c>
      <c r="P9" s="331"/>
      <c r="Q9" s="331"/>
      <c r="R9" s="234">
        <v>0.91700000000000004</v>
      </c>
      <c r="S9" s="214"/>
      <c r="T9" s="331"/>
      <c r="U9" s="234">
        <v>0.158</v>
      </c>
      <c r="V9" s="214"/>
      <c r="W9" s="331"/>
    </row>
    <row r="10" spans="2:23" ht="14.45" customHeight="1">
      <c r="B10" s="98"/>
      <c r="C10" s="98"/>
      <c r="D10" s="553">
        <f t="shared" si="0"/>
        <v>46087</v>
      </c>
      <c r="E10" s="553" t="s">
        <v>587</v>
      </c>
      <c r="F10" s="230">
        <v>352.16773145320383</v>
      </c>
      <c r="G10" s="93"/>
      <c r="H10" s="93">
        <f>AVERAGE(F5:F35)</f>
        <v>353.67174020165453</v>
      </c>
      <c r="I10" s="90">
        <f t="shared" si="1"/>
        <v>0.9622069165388083</v>
      </c>
      <c r="J10" s="214"/>
      <c r="K10" s="214">
        <f>AVERAGE(I5:I35)</f>
        <v>0.96631623005916523</v>
      </c>
      <c r="L10" s="249">
        <v>2.4188031442383667E-3</v>
      </c>
      <c r="M10" s="331"/>
      <c r="N10" s="331">
        <f>AVERAGE(L5:L35)</f>
        <v>2.4374804449471378E-3</v>
      </c>
      <c r="O10" s="249">
        <v>2.0654379220542466E-3</v>
      </c>
      <c r="P10" s="331"/>
      <c r="Q10" s="331">
        <f>AVERAGE(O5:O35)</f>
        <v>1.8487091921404997E-3</v>
      </c>
      <c r="R10" s="234">
        <v>0.91700000000000004</v>
      </c>
      <c r="S10" s="214"/>
      <c r="T10" s="214">
        <f>AVERAGE(R5:R35)</f>
        <v>0.91700000000000059</v>
      </c>
      <c r="U10" s="234">
        <v>0.16200000000000001</v>
      </c>
      <c r="V10" s="214"/>
      <c r="W10" s="214">
        <f>AVERAGE(U5:U35)</f>
        <v>0.18406666666666671</v>
      </c>
    </row>
    <row r="11" spans="2:23" ht="14.45" customHeight="1">
      <c r="B11" s="98"/>
      <c r="C11" s="98"/>
      <c r="D11" s="553">
        <f t="shared" si="0"/>
        <v>46088</v>
      </c>
      <c r="E11" s="553" t="s">
        <v>588</v>
      </c>
      <c r="F11" s="230">
        <v>354.59411988855641</v>
      </c>
      <c r="G11" s="93"/>
      <c r="H11" s="93"/>
      <c r="I11" s="90">
        <f t="shared" si="1"/>
        <v>0.9688363931381323</v>
      </c>
      <c r="J11" s="214"/>
      <c r="K11" s="214"/>
      <c r="L11" s="249">
        <v>2.4578706898811032E-3</v>
      </c>
      <c r="M11" s="331"/>
      <c r="N11" s="331"/>
      <c r="O11" s="249">
        <v>1.9299257149679534E-3</v>
      </c>
      <c r="P11" s="331"/>
      <c r="Q11" s="331"/>
      <c r="R11" s="234">
        <v>0.91700000000000004</v>
      </c>
      <c r="S11" s="214"/>
      <c r="T11" s="331"/>
      <c r="U11" s="234">
        <v>0.16200000000000001</v>
      </c>
      <c r="V11" s="214"/>
      <c r="W11" s="331"/>
    </row>
    <row r="12" spans="2:23" ht="14.45" customHeight="1">
      <c r="B12" s="98"/>
      <c r="C12" s="98"/>
      <c r="D12" s="553">
        <f t="shared" si="0"/>
        <v>46089</v>
      </c>
      <c r="E12" s="553" t="s">
        <v>589</v>
      </c>
      <c r="F12" s="230">
        <v>350.0942764294648</v>
      </c>
      <c r="G12" s="93"/>
      <c r="H12" s="93"/>
      <c r="I12" s="90">
        <f t="shared" si="1"/>
        <v>0.95654173887831917</v>
      </c>
      <c r="J12" s="214"/>
      <c r="K12" s="214"/>
      <c r="L12" s="249">
        <v>2.4409060410470877E-3</v>
      </c>
      <c r="M12" s="331"/>
      <c r="N12" s="331"/>
      <c r="O12" s="249">
        <v>1.8686402303105395E-3</v>
      </c>
      <c r="P12" s="331"/>
      <c r="Q12" s="331"/>
      <c r="R12" s="234">
        <v>0.91700000000000004</v>
      </c>
      <c r="S12" s="214"/>
      <c r="T12" s="331"/>
      <c r="U12" s="234">
        <v>0.16400000000000001</v>
      </c>
      <c r="V12" s="214"/>
      <c r="W12" s="331"/>
    </row>
    <row r="13" spans="2:23" ht="14.45" customHeight="1">
      <c r="B13" s="98"/>
      <c r="C13" s="98"/>
      <c r="D13" s="553">
        <f t="shared" si="0"/>
        <v>46090</v>
      </c>
      <c r="E13" s="553" t="s">
        <v>583</v>
      </c>
      <c r="F13" s="230">
        <v>356.25142197303063</v>
      </c>
      <c r="H13" s="93"/>
      <c r="I13" s="90">
        <f t="shared" si="1"/>
        <v>0.97336454090991975</v>
      </c>
      <c r="J13" s="214"/>
      <c r="K13" s="214"/>
      <c r="L13" s="249">
        <v>2.4416790689262523E-3</v>
      </c>
      <c r="M13" s="331"/>
      <c r="N13" s="331"/>
      <c r="O13" s="249">
        <v>1.9788045131090117E-3</v>
      </c>
      <c r="P13" s="331"/>
      <c r="Q13" s="331"/>
      <c r="R13" s="234">
        <v>0.91700000000000004</v>
      </c>
      <c r="S13" s="214"/>
      <c r="T13" s="331"/>
      <c r="U13" s="234">
        <v>0.17</v>
      </c>
      <c r="V13" s="214"/>
      <c r="W13" s="331"/>
    </row>
    <row r="14" spans="2:23" ht="14.45" customHeight="1">
      <c r="B14" s="98"/>
      <c r="C14" s="98"/>
      <c r="D14" s="519">
        <f t="shared" si="0"/>
        <v>46091</v>
      </c>
      <c r="E14" s="519" t="s">
        <v>584</v>
      </c>
      <c r="F14" s="230">
        <v>354.02711646334507</v>
      </c>
      <c r="G14" s="93">
        <f>AVERAGE(F14:F20)</f>
        <v>354.78082481278506</v>
      </c>
      <c r="H14" s="93"/>
      <c r="I14" s="90">
        <f t="shared" si="1"/>
        <v>0.96728720345176245</v>
      </c>
      <c r="J14" s="214">
        <f>AVERAGE(I14:I20)</f>
        <v>0.96934651588192644</v>
      </c>
      <c r="K14" s="214"/>
      <c r="L14" s="249">
        <v>2.4502427272497049E-3</v>
      </c>
      <c r="M14" s="331">
        <f>AVERAGE(L14:L20)</f>
        <v>2.434336863132098E-3</v>
      </c>
      <c r="N14" s="331"/>
      <c r="O14" s="249">
        <v>1.7293210979846391E-3</v>
      </c>
      <c r="P14" s="331">
        <f>AVERAGE(O14:O20)</f>
        <v>1.9233860180714098E-3</v>
      </c>
      <c r="Q14" s="331"/>
      <c r="R14" s="234">
        <v>0.91700000000000004</v>
      </c>
      <c r="S14" s="214">
        <f>AVERAGE(R14:R20)</f>
        <v>0.91699999999999993</v>
      </c>
      <c r="T14" s="331"/>
      <c r="U14" s="234">
        <v>0.17199999999999999</v>
      </c>
      <c r="V14" s="214">
        <f>AVERAGE(U14:U20)</f>
        <v>0.18057142857142855</v>
      </c>
      <c r="W14" s="331"/>
    </row>
    <row r="15" spans="2:23" ht="14.45" customHeight="1">
      <c r="B15" s="98"/>
      <c r="C15" s="98"/>
      <c r="D15" s="554">
        <f t="shared" si="0"/>
        <v>46092</v>
      </c>
      <c r="E15" s="554" t="s">
        <v>585</v>
      </c>
      <c r="F15" s="230">
        <v>354.99957831695207</v>
      </c>
      <c r="G15" s="93"/>
      <c r="H15" s="93"/>
      <c r="I15" s="90">
        <f t="shared" si="1"/>
        <v>0.96994420305178164</v>
      </c>
      <c r="J15" s="214"/>
      <c r="K15" s="214"/>
      <c r="L15" s="249">
        <v>2.4348086565732017E-3</v>
      </c>
      <c r="M15" s="331"/>
      <c r="N15" s="331"/>
      <c r="O15" s="249">
        <v>1.9414554153781923E-3</v>
      </c>
      <c r="P15" s="331"/>
      <c r="Q15" s="331"/>
      <c r="R15" s="234">
        <v>0.91700000000000004</v>
      </c>
      <c r="S15" s="214"/>
      <c r="T15" s="331"/>
      <c r="U15" s="234">
        <v>0.17399999999999999</v>
      </c>
      <c r="V15" s="214"/>
      <c r="W15" s="331"/>
    </row>
    <row r="16" spans="2:23" ht="14.45" customHeight="1">
      <c r="B16" s="98"/>
      <c r="C16" s="98"/>
      <c r="D16" s="554">
        <f t="shared" si="0"/>
        <v>46093</v>
      </c>
      <c r="E16" s="554" t="s">
        <v>586</v>
      </c>
      <c r="F16" s="230">
        <v>350.06856801435481</v>
      </c>
      <c r="G16" s="93"/>
      <c r="H16" s="93"/>
      <c r="I16" s="90">
        <f t="shared" si="1"/>
        <v>0.95647149730698033</v>
      </c>
      <c r="J16" s="214"/>
      <c r="K16" s="214"/>
      <c r="L16" s="249">
        <v>2.4289698310304866E-3</v>
      </c>
      <c r="M16" s="331"/>
      <c r="N16" s="331"/>
      <c r="O16" s="249">
        <v>1.9678208746256943E-3</v>
      </c>
      <c r="P16" s="331"/>
      <c r="Q16" s="331"/>
      <c r="R16" s="234">
        <v>0.91700000000000004</v>
      </c>
      <c r="S16" s="214"/>
      <c r="T16" s="331"/>
      <c r="U16" s="234">
        <v>0.17799999999999999</v>
      </c>
      <c r="V16" s="214"/>
      <c r="W16" s="331"/>
    </row>
    <row r="17" spans="2:23" ht="14.45" customHeight="1">
      <c r="B17" s="98"/>
      <c r="C17" s="98"/>
      <c r="D17" s="554">
        <f t="shared" si="0"/>
        <v>46094</v>
      </c>
      <c r="E17" s="554" t="s">
        <v>587</v>
      </c>
      <c r="F17" s="230">
        <v>350.42427768051726</v>
      </c>
      <c r="G17" s="93"/>
      <c r="H17" s="93"/>
      <c r="I17" s="90">
        <f t="shared" si="1"/>
        <v>0.9574433816407576</v>
      </c>
      <c r="J17" s="214"/>
      <c r="K17" s="214"/>
      <c r="L17" s="249">
        <v>2.4179151662073206E-3</v>
      </c>
      <c r="M17" s="331"/>
      <c r="N17" s="331"/>
      <c r="O17" s="249">
        <v>1.9861124949339596E-3</v>
      </c>
      <c r="P17" s="331"/>
      <c r="Q17" s="331"/>
      <c r="R17" s="234">
        <v>0.91700000000000004</v>
      </c>
      <c r="S17" s="214"/>
      <c r="T17" s="331"/>
      <c r="U17" s="234">
        <v>0.18</v>
      </c>
      <c r="V17" s="214"/>
      <c r="W17" s="331"/>
    </row>
    <row r="18" spans="2:23" ht="14.45" customHeight="1">
      <c r="B18" s="98"/>
      <c r="C18" s="98"/>
      <c r="D18" s="554">
        <f t="shared" si="0"/>
        <v>46095</v>
      </c>
      <c r="E18" s="554" t="s">
        <v>588</v>
      </c>
      <c r="F18" s="230">
        <v>360.09655950346672</v>
      </c>
      <c r="G18" s="93"/>
      <c r="H18" s="93"/>
      <c r="I18" s="90">
        <f t="shared" si="1"/>
        <v>0.98387038115701286</v>
      </c>
      <c r="J18" s="214"/>
      <c r="K18" s="214"/>
      <c r="L18" s="249">
        <v>2.4187088138311634E-3</v>
      </c>
      <c r="M18" s="331"/>
      <c r="N18" s="331"/>
      <c r="O18" s="249">
        <v>1.9939963448900562E-3</v>
      </c>
      <c r="P18" s="331"/>
      <c r="Q18" s="331"/>
      <c r="R18" s="234">
        <v>0.91700000000000004</v>
      </c>
      <c r="S18" s="214"/>
      <c r="T18" s="331"/>
      <c r="U18" s="234">
        <v>0.186</v>
      </c>
      <c r="V18" s="214"/>
      <c r="W18" s="331"/>
    </row>
    <row r="19" spans="2:23" ht="14.45" customHeight="1">
      <c r="B19" s="98"/>
      <c r="C19" s="98"/>
      <c r="D19" s="554">
        <f t="shared" si="0"/>
        <v>46096</v>
      </c>
      <c r="E19" s="554" t="s">
        <v>589</v>
      </c>
      <c r="F19" s="230">
        <v>359.77194189564955</v>
      </c>
      <c r="G19" s="93"/>
      <c r="H19" s="93"/>
      <c r="I19" s="90">
        <f t="shared" si="1"/>
        <v>0.98298344780232116</v>
      </c>
      <c r="J19" s="214"/>
      <c r="K19" s="214"/>
      <c r="L19" s="249">
        <v>2.4382959411233585E-3</v>
      </c>
      <c r="M19" s="331"/>
      <c r="N19" s="331"/>
      <c r="O19" s="249">
        <v>1.8924532601347968E-3</v>
      </c>
      <c r="P19" s="331"/>
      <c r="Q19" s="331"/>
      <c r="R19" s="234">
        <v>0.91700000000000004</v>
      </c>
      <c r="S19" s="214"/>
      <c r="T19" s="331"/>
      <c r="U19" s="234">
        <v>0.186</v>
      </c>
      <c r="V19" s="214"/>
      <c r="W19" s="331"/>
    </row>
    <row r="20" spans="2:23" ht="14.45" customHeight="1">
      <c r="B20" s="98"/>
      <c r="C20" s="98"/>
      <c r="D20" s="554">
        <f t="shared" si="0"/>
        <v>46097</v>
      </c>
      <c r="E20" s="554" t="s">
        <v>583</v>
      </c>
      <c r="F20" s="230">
        <v>354.0777318152098</v>
      </c>
      <c r="G20" s="93"/>
      <c r="H20" s="93"/>
      <c r="I20" s="90">
        <f t="shared" si="1"/>
        <v>0.96742549676286826</v>
      </c>
      <c r="J20" s="214"/>
      <c r="K20" s="214"/>
      <c r="L20" s="249">
        <v>2.4514169059094496E-3</v>
      </c>
      <c r="M20" s="331"/>
      <c r="N20" s="331"/>
      <c r="O20" s="249">
        <v>1.9525426385525312E-3</v>
      </c>
      <c r="P20" s="331"/>
      <c r="Q20" s="331"/>
      <c r="R20" s="234">
        <v>0.91700000000000004</v>
      </c>
      <c r="S20" s="214"/>
      <c r="T20" s="331"/>
      <c r="U20" s="234">
        <v>0.188</v>
      </c>
      <c r="V20" s="214"/>
      <c r="W20" s="331"/>
    </row>
    <row r="21" spans="2:23" ht="14.45" customHeight="1">
      <c r="B21" s="98"/>
      <c r="C21" s="98"/>
      <c r="D21" s="332">
        <f t="shared" si="0"/>
        <v>46098</v>
      </c>
      <c r="E21" s="332" t="s">
        <v>584</v>
      </c>
      <c r="F21" s="230">
        <v>360.35449391020614</v>
      </c>
      <c r="G21" s="93">
        <f>AVERAGE(F21:F27)</f>
        <v>353.25079176317871</v>
      </c>
      <c r="H21" s="93"/>
      <c r="I21" s="90">
        <f t="shared" si="1"/>
        <v>0.98457511997324088</v>
      </c>
      <c r="J21" s="214">
        <f>AVERAGE(I21:I27)</f>
        <v>0.96516609771360318</v>
      </c>
      <c r="K21" s="214"/>
      <c r="L21" s="249">
        <v>2.4385174243859624E-3</v>
      </c>
      <c r="M21" s="331">
        <f>AVERAGE(L21:L27)</f>
        <v>2.4370159061873307E-3</v>
      </c>
      <c r="N21" s="331"/>
      <c r="O21" s="249">
        <v>1.6772586388989349E-3</v>
      </c>
      <c r="P21" s="331">
        <f>AVERAGE(O21:O27)</f>
        <v>1.7473969781600096E-3</v>
      </c>
      <c r="Q21" s="331"/>
      <c r="R21" s="234">
        <v>0.91700000000000004</v>
      </c>
      <c r="S21" s="214">
        <f>AVERAGE(R21:R27)</f>
        <v>0.91699999999999993</v>
      </c>
      <c r="T21" s="331"/>
      <c r="U21" s="234">
        <v>0.188</v>
      </c>
      <c r="V21" s="214">
        <f>AVERAGE(U21:U27)</f>
        <v>0.1957142857142857</v>
      </c>
      <c r="W21" s="331"/>
    </row>
    <row r="22" spans="2:23" ht="14.45" customHeight="1">
      <c r="B22" s="98"/>
      <c r="C22" s="98"/>
      <c r="D22" s="553">
        <f t="shared" si="0"/>
        <v>46099</v>
      </c>
      <c r="E22" s="553" t="s">
        <v>585</v>
      </c>
      <c r="F22" s="230">
        <v>354.59495674877013</v>
      </c>
      <c r="G22" s="93"/>
      <c r="H22" s="93"/>
      <c r="I22" s="90">
        <f t="shared" si="1"/>
        <v>0.96883867964144843</v>
      </c>
      <c r="J22" s="214"/>
      <c r="K22" s="214"/>
      <c r="L22" s="249">
        <v>2.4317779945382499E-3</v>
      </c>
      <c r="M22" s="331"/>
      <c r="N22" s="331"/>
      <c r="O22" s="249">
        <v>1.6650741735378381E-3</v>
      </c>
      <c r="P22" s="331"/>
      <c r="Q22" s="331"/>
      <c r="R22" s="234">
        <v>0.91700000000000004</v>
      </c>
      <c r="S22" s="214"/>
      <c r="T22" s="331"/>
      <c r="U22" s="234">
        <v>0.192</v>
      </c>
      <c r="V22" s="214"/>
      <c r="W22" s="331"/>
    </row>
    <row r="23" spans="2:23" ht="14.45" customHeight="1">
      <c r="B23" s="98"/>
      <c r="C23" s="98"/>
      <c r="D23" s="553">
        <f t="shared" si="0"/>
        <v>46100</v>
      </c>
      <c r="E23" s="553" t="s">
        <v>586</v>
      </c>
      <c r="F23" s="230">
        <v>355.6308428506299</v>
      </c>
      <c r="G23" s="93"/>
      <c r="H23" s="93"/>
      <c r="I23" s="90">
        <f t="shared" si="1"/>
        <v>0.97166896953724013</v>
      </c>
      <c r="J23" s="214"/>
      <c r="K23" s="214"/>
      <c r="L23" s="249">
        <v>2.4469361268244371E-3</v>
      </c>
      <c r="M23" s="331"/>
      <c r="N23" s="331"/>
      <c r="O23" s="249">
        <v>1.7606241065130058E-3</v>
      </c>
      <c r="P23" s="331"/>
      <c r="Q23" s="331"/>
      <c r="R23" s="234">
        <v>0.91700000000000004</v>
      </c>
      <c r="S23" s="214"/>
      <c r="T23" s="331"/>
      <c r="U23" s="234">
        <v>0.19400000000000001</v>
      </c>
      <c r="V23" s="214"/>
      <c r="W23" s="331"/>
    </row>
    <row r="24" spans="2:23" ht="14.45" customHeight="1">
      <c r="B24" s="98"/>
      <c r="C24" s="98"/>
      <c r="D24" s="553">
        <f t="shared" si="0"/>
        <v>46101</v>
      </c>
      <c r="E24" s="553" t="s">
        <v>587</v>
      </c>
      <c r="F24" s="230">
        <v>347.35015749785435</v>
      </c>
      <c r="G24" s="93"/>
      <c r="H24" s="93"/>
      <c r="I24" s="90">
        <f t="shared" si="1"/>
        <v>0.94904414616900101</v>
      </c>
      <c r="J24" s="214"/>
      <c r="K24" s="214"/>
      <c r="L24" s="249">
        <v>2.4300631252432725E-3</v>
      </c>
      <c r="M24" s="331"/>
      <c r="N24" s="331"/>
      <c r="O24" s="249">
        <v>1.9330369514694789E-3</v>
      </c>
      <c r="P24" s="331"/>
      <c r="Q24" s="331"/>
      <c r="R24" s="234">
        <v>0.91700000000000004</v>
      </c>
      <c r="S24" s="214"/>
      <c r="T24" s="331"/>
      <c r="U24" s="234">
        <v>0.19600000000000001</v>
      </c>
      <c r="V24" s="214"/>
      <c r="W24" s="331"/>
    </row>
    <row r="25" spans="2:23" ht="14.45" customHeight="1">
      <c r="B25" s="98"/>
      <c r="C25" s="98"/>
      <c r="D25" s="553">
        <f t="shared" si="0"/>
        <v>46102</v>
      </c>
      <c r="E25" s="553" t="s">
        <v>588</v>
      </c>
      <c r="F25" s="230">
        <v>353.05214537169405</v>
      </c>
      <c r="G25" s="93"/>
      <c r="H25" s="93"/>
      <c r="I25" s="90">
        <f t="shared" si="1"/>
        <v>0.96462334801009308</v>
      </c>
      <c r="J25" s="214"/>
      <c r="K25" s="214"/>
      <c r="L25" s="249">
        <v>2.4488799160432765E-3</v>
      </c>
      <c r="M25" s="331"/>
      <c r="N25" s="331"/>
      <c r="O25" s="249">
        <v>1.7466717211078685E-3</v>
      </c>
      <c r="P25" s="331"/>
      <c r="Q25" s="331"/>
      <c r="R25" s="234">
        <v>0.91700000000000004</v>
      </c>
      <c r="S25" s="214"/>
      <c r="T25" s="331"/>
      <c r="U25" s="234">
        <v>0.19800000000000001</v>
      </c>
      <c r="V25" s="214"/>
      <c r="W25" s="331"/>
    </row>
    <row r="26" spans="2:23" ht="14.45" customHeight="1">
      <c r="B26" s="98"/>
      <c r="C26" s="98"/>
      <c r="D26" s="553">
        <f t="shared" si="0"/>
        <v>46103</v>
      </c>
      <c r="E26" s="553" t="s">
        <v>589</v>
      </c>
      <c r="F26" s="230">
        <v>355.79757069326604</v>
      </c>
      <c r="G26" s="93"/>
      <c r="H26" s="93"/>
      <c r="I26" s="90">
        <f t="shared" si="1"/>
        <v>0.97212451009089085</v>
      </c>
      <c r="J26" s="214"/>
      <c r="K26" s="214"/>
      <c r="L26" s="249">
        <v>2.4406557247234465E-3</v>
      </c>
      <c r="M26" s="331"/>
      <c r="N26" s="331"/>
      <c r="O26" s="249">
        <v>1.7711059771151085E-3</v>
      </c>
      <c r="P26" s="331"/>
      <c r="Q26" s="331"/>
      <c r="R26" s="234">
        <v>0.91700000000000004</v>
      </c>
      <c r="S26" s="214"/>
      <c r="T26" s="331"/>
      <c r="U26" s="234">
        <v>0.2</v>
      </c>
      <c r="V26" s="214"/>
      <c r="W26" s="331"/>
    </row>
    <row r="27" spans="2:23" ht="14.45" customHeight="1">
      <c r="B27" s="98"/>
      <c r="C27" s="98"/>
      <c r="D27" s="553">
        <f t="shared" si="0"/>
        <v>46104</v>
      </c>
      <c r="E27" s="553" t="s">
        <v>583</v>
      </c>
      <c r="F27" s="230">
        <v>345.97537526983029</v>
      </c>
      <c r="G27" s="93"/>
      <c r="H27" s="93"/>
      <c r="I27" s="90">
        <f t="shared" si="1"/>
        <v>0.94528791057330686</v>
      </c>
      <c r="J27" s="214"/>
      <c r="K27" s="214"/>
      <c r="L27" s="249">
        <v>2.4222810315526694E-3</v>
      </c>
      <c r="M27" s="331"/>
      <c r="N27" s="331"/>
      <c r="O27" s="249">
        <v>1.678007278477833E-3</v>
      </c>
      <c r="P27" s="331"/>
      <c r="Q27" s="331"/>
      <c r="R27" s="234">
        <v>0.91700000000000004</v>
      </c>
      <c r="S27" s="214"/>
      <c r="T27" s="331"/>
      <c r="U27" s="234">
        <v>0.20200000000000001</v>
      </c>
      <c r="V27" s="214"/>
      <c r="W27" s="331"/>
    </row>
    <row r="28" spans="2:23" ht="14.45" customHeight="1">
      <c r="B28" s="98"/>
      <c r="C28" s="98"/>
      <c r="D28" s="519">
        <f t="shared" si="0"/>
        <v>46105</v>
      </c>
      <c r="E28" s="519" t="s">
        <v>584</v>
      </c>
      <c r="F28" s="230">
        <v>345.3</v>
      </c>
      <c r="G28" s="93">
        <f>AVERAGE(F28:F34)</f>
        <v>352.42857142857144</v>
      </c>
      <c r="H28" s="93"/>
      <c r="I28" s="90">
        <f t="shared" si="1"/>
        <v>0.94344262295081971</v>
      </c>
      <c r="J28" s="214">
        <f>AVERAGE(I28:I34)</f>
        <v>0.96291959406713501</v>
      </c>
      <c r="K28" s="214"/>
      <c r="L28" s="249">
        <v>2.4313177749754051E-3</v>
      </c>
      <c r="M28" s="331">
        <f>AVERAGE(L28:L34)</f>
        <v>2.4324215294255877E-3</v>
      </c>
      <c r="N28" s="331"/>
      <c r="O28" s="249">
        <v>1.9328923816471428E-3</v>
      </c>
      <c r="P28" s="331">
        <f>AVERAGE(O28:O34)</f>
        <v>1.7959060333082029E-3</v>
      </c>
      <c r="Q28" s="331"/>
      <c r="R28" s="234">
        <v>0.91700000000000004</v>
      </c>
      <c r="S28" s="214">
        <f>AVERAGE(R28:R34)</f>
        <v>0.91699999999999993</v>
      </c>
      <c r="T28" s="331"/>
      <c r="U28" s="234">
        <v>0.20399999999999999</v>
      </c>
      <c r="V28" s="214">
        <f>AVERAGE(U28:U34)</f>
        <v>0.20914285714285713</v>
      </c>
      <c r="W28" s="331"/>
    </row>
    <row r="29" spans="2:23" ht="14.45" customHeight="1">
      <c r="B29" s="98"/>
      <c r="C29" s="98"/>
      <c r="D29" s="554">
        <f t="shared" si="0"/>
        <v>46106</v>
      </c>
      <c r="E29" s="554" t="s">
        <v>585</v>
      </c>
      <c r="F29" s="230">
        <v>351.7</v>
      </c>
      <c r="G29" s="93"/>
      <c r="H29" s="93"/>
      <c r="I29" s="90">
        <f t="shared" si="1"/>
        <v>0.96092896174863385</v>
      </c>
      <c r="J29" s="214"/>
      <c r="K29" s="214"/>
      <c r="L29" s="249">
        <v>2.4290933694709133E-3</v>
      </c>
      <c r="M29" s="331"/>
      <c r="N29" s="331"/>
      <c r="O29" s="249">
        <v>1.7250866571159628E-3</v>
      </c>
      <c r="P29" s="331"/>
      <c r="Q29" s="331"/>
      <c r="R29" s="234">
        <v>0.91700000000000004</v>
      </c>
      <c r="S29" s="214"/>
      <c r="T29" s="331"/>
      <c r="U29" s="234">
        <v>0.20599999999999999</v>
      </c>
      <c r="V29" s="214"/>
      <c r="W29" s="331"/>
    </row>
    <row r="30" spans="2:23" ht="14.45" customHeight="1">
      <c r="B30" s="98"/>
      <c r="C30" s="98"/>
      <c r="D30" s="554">
        <f t="shared" si="0"/>
        <v>46107</v>
      </c>
      <c r="E30" s="554" t="s">
        <v>586</v>
      </c>
      <c r="F30" s="230">
        <v>354.9</v>
      </c>
      <c r="G30" s="93"/>
      <c r="H30" s="93"/>
      <c r="I30" s="90">
        <f t="shared" si="1"/>
        <v>0.96967213114754092</v>
      </c>
      <c r="J30" s="214"/>
      <c r="K30" s="214"/>
      <c r="L30" s="249">
        <v>2.4527574023499787E-3</v>
      </c>
      <c r="M30" s="331"/>
      <c r="N30" s="331"/>
      <c r="O30" s="249">
        <v>1.8271179605339517E-3</v>
      </c>
      <c r="P30" s="331"/>
      <c r="Q30" s="331"/>
      <c r="R30" s="234">
        <v>0.91700000000000004</v>
      </c>
      <c r="S30" s="214"/>
      <c r="T30" s="331"/>
      <c r="U30" s="234">
        <v>0.20799999999999999</v>
      </c>
      <c r="V30" s="214"/>
      <c r="W30" s="331"/>
    </row>
    <row r="31" spans="2:23" ht="14.45" customHeight="1">
      <c r="B31" s="98"/>
      <c r="C31" s="98"/>
      <c r="D31" s="554">
        <f t="shared" si="0"/>
        <v>46108</v>
      </c>
      <c r="E31" s="554" t="s">
        <v>587</v>
      </c>
      <c r="F31" s="230">
        <v>357.5</v>
      </c>
      <c r="G31" s="93"/>
      <c r="H31" s="93"/>
      <c r="I31" s="90">
        <f t="shared" si="1"/>
        <v>0.97677595628415304</v>
      </c>
      <c r="J31" s="214"/>
      <c r="K31" s="214"/>
      <c r="L31" s="249">
        <v>2.4338672715761922E-3</v>
      </c>
      <c r="M31" s="331"/>
      <c r="N31" s="331"/>
      <c r="O31" s="249">
        <v>1.8104587391666869E-3</v>
      </c>
      <c r="P31" s="331"/>
      <c r="Q31" s="331"/>
      <c r="R31" s="234">
        <v>0.91700000000000004</v>
      </c>
      <c r="S31" s="214"/>
      <c r="T31" s="331"/>
      <c r="U31" s="234">
        <v>0.21</v>
      </c>
      <c r="V31" s="214"/>
      <c r="W31" s="331"/>
    </row>
    <row r="32" spans="2:23" ht="14.45" customHeight="1">
      <c r="B32" s="98"/>
      <c r="C32" s="98"/>
      <c r="D32" s="554">
        <f t="shared" si="0"/>
        <v>46109</v>
      </c>
      <c r="E32" s="554" t="s">
        <v>588</v>
      </c>
      <c r="F32" s="230">
        <v>348.6</v>
      </c>
      <c r="G32" s="93"/>
      <c r="H32" s="93"/>
      <c r="I32" s="90">
        <f t="shared" si="1"/>
        <v>0.95245901639344266</v>
      </c>
      <c r="J32" s="214"/>
      <c r="K32" s="214"/>
      <c r="L32" s="249">
        <v>2.4202661114377439E-3</v>
      </c>
      <c r="M32" s="331"/>
      <c r="N32" s="331"/>
      <c r="O32" s="249">
        <v>1.7978718093318155E-3</v>
      </c>
      <c r="P32" s="331"/>
      <c r="Q32" s="331"/>
      <c r="R32" s="234">
        <v>0.91700000000000004</v>
      </c>
      <c r="S32" s="214"/>
      <c r="T32" s="331"/>
      <c r="U32" s="234">
        <v>0.21</v>
      </c>
      <c r="V32" s="214"/>
      <c r="W32" s="331"/>
    </row>
    <row r="33" spans="2:23" ht="14.45" customHeight="1">
      <c r="B33" s="98"/>
      <c r="C33" s="98"/>
      <c r="D33" s="554">
        <f t="shared" si="0"/>
        <v>46110</v>
      </c>
      <c r="E33" s="554" t="s">
        <v>589</v>
      </c>
      <c r="F33" s="230">
        <v>355.5</v>
      </c>
      <c r="G33" s="93"/>
      <c r="H33" s="93"/>
      <c r="I33" s="90">
        <f t="shared" si="1"/>
        <v>0.97131147540983609</v>
      </c>
      <c r="J33" s="214"/>
      <c r="K33" s="214"/>
      <c r="L33" s="249">
        <v>2.4366299016133149E-3</v>
      </c>
      <c r="M33" s="331"/>
      <c r="N33" s="331"/>
      <c r="O33" s="249">
        <v>1.6738356198782937E-3</v>
      </c>
      <c r="P33" s="331"/>
      <c r="Q33" s="331"/>
      <c r="R33" s="234">
        <v>0.91700000000000004</v>
      </c>
      <c r="S33" s="214"/>
      <c r="T33" s="331"/>
      <c r="U33" s="234">
        <v>0.21199999999999999</v>
      </c>
      <c r="V33" s="214"/>
      <c r="W33" s="331"/>
    </row>
    <row r="34" spans="2:23" ht="14.45" customHeight="1">
      <c r="B34" s="98"/>
      <c r="C34" s="98"/>
      <c r="D34" s="554">
        <f t="shared" si="0"/>
        <v>46111</v>
      </c>
      <c r="E34" s="554" t="s">
        <v>583</v>
      </c>
      <c r="F34" s="230">
        <v>353.5</v>
      </c>
      <c r="G34" s="93"/>
      <c r="H34" s="93"/>
      <c r="I34" s="90">
        <f t="shared" si="1"/>
        <v>0.96584699453551914</v>
      </c>
      <c r="J34" s="214"/>
      <c r="K34" s="214"/>
      <c r="L34" s="249">
        <v>2.4230188745555685E-3</v>
      </c>
      <c r="M34" s="331"/>
      <c r="N34" s="331"/>
      <c r="O34" s="249">
        <v>1.804079065483567E-3</v>
      </c>
      <c r="P34" s="331"/>
      <c r="Q34" s="331"/>
      <c r="R34" s="234">
        <v>0.91700000000000004</v>
      </c>
      <c r="S34" s="214"/>
      <c r="T34" s="331"/>
      <c r="U34" s="234">
        <v>0.214</v>
      </c>
      <c r="V34" s="214"/>
      <c r="W34" s="331"/>
    </row>
    <row r="35" spans="2:23">
      <c r="B35" s="98"/>
      <c r="D35" s="332">
        <f>D34+1</f>
        <v>46112</v>
      </c>
      <c r="E35" s="332" t="s">
        <v>584</v>
      </c>
    </row>
    <row r="36" spans="2:23">
      <c r="B36" s="98"/>
      <c r="C36" s="98"/>
      <c r="D36" s="332">
        <f t="shared" ref="D36:D41" si="2">D35+1</f>
        <v>46113</v>
      </c>
      <c r="E36" s="553" t="s">
        <v>585</v>
      </c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1"/>
      <c r="O36" s="249"/>
      <c r="P36" s="214"/>
      <c r="Q36" s="331"/>
      <c r="R36" s="234"/>
      <c r="S36" s="214"/>
      <c r="T36" s="214"/>
      <c r="U36" s="234"/>
      <c r="V36" s="214"/>
      <c r="W36" s="214"/>
    </row>
    <row r="37" spans="2:23">
      <c r="B37" s="98"/>
      <c r="D37" s="332">
        <f t="shared" si="2"/>
        <v>46114</v>
      </c>
      <c r="E37" s="553" t="s">
        <v>586</v>
      </c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332">
        <f t="shared" si="2"/>
        <v>46115</v>
      </c>
      <c r="E38" s="553" t="s">
        <v>587</v>
      </c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332">
        <f t="shared" si="2"/>
        <v>46116</v>
      </c>
      <c r="E39" s="553" t="s">
        <v>588</v>
      </c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332">
        <f t="shared" si="2"/>
        <v>46117</v>
      </c>
      <c r="E40" s="553" t="s">
        <v>589</v>
      </c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  <c r="D41" s="332">
        <f t="shared" si="2"/>
        <v>46118</v>
      </c>
      <c r="E41" s="553" t="s">
        <v>583</v>
      </c>
    </row>
    <row r="42" spans="2:23">
      <c r="B42" s="98"/>
      <c r="D42" s="86"/>
      <c r="E42" s="86"/>
      <c r="F42" s="312"/>
      <c r="G42" s="93"/>
      <c r="H42" s="93"/>
      <c r="I42" s="90"/>
      <c r="J42" s="214"/>
      <c r="K42" s="87"/>
      <c r="L42" s="318"/>
      <c r="M42" s="90"/>
      <c r="N42" s="90"/>
      <c r="O42" s="318"/>
      <c r="P42" s="90"/>
      <c r="Q42" s="90"/>
      <c r="R42" s="317"/>
      <c r="S42" s="214"/>
      <c r="T42" s="214"/>
      <c r="U42" s="317"/>
      <c r="V42" s="214"/>
      <c r="W42" s="214"/>
    </row>
    <row r="43" spans="2:23">
      <c r="B43" s="98"/>
      <c r="D43" s="86"/>
      <c r="E43" s="86"/>
      <c r="F43" s="312"/>
      <c r="G43" s="93"/>
      <c r="H43" s="93"/>
      <c r="I43" s="90"/>
      <c r="J43" s="214"/>
      <c r="K43" s="87"/>
      <c r="L43" s="318"/>
      <c r="M43" s="90"/>
      <c r="N43" s="90"/>
      <c r="O43" s="318"/>
      <c r="P43" s="90"/>
      <c r="Q43" s="90"/>
      <c r="R43" s="317"/>
      <c r="S43" s="214"/>
      <c r="T43" s="214"/>
      <c r="U43" s="317"/>
      <c r="V43" s="214"/>
      <c r="W43" s="214"/>
    </row>
    <row r="44" spans="2:23">
      <c r="B44" s="98"/>
      <c r="D44" s="86"/>
      <c r="E44" s="86"/>
      <c r="F44" s="312"/>
      <c r="G44" s="93"/>
      <c r="H44" s="93"/>
      <c r="I44" s="90"/>
      <c r="J44" s="214"/>
      <c r="K44" s="87"/>
      <c r="L44" s="318"/>
      <c r="M44" s="90"/>
      <c r="N44" s="90"/>
      <c r="O44" s="318"/>
      <c r="P44" s="90"/>
      <c r="Q44" s="90"/>
      <c r="R44" s="317"/>
      <c r="S44" s="214"/>
      <c r="T44" s="214"/>
      <c r="U44" s="317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30" sqref="AK30:AK36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38" t="s">
        <v>319</v>
      </c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8"/>
      <c r="AE2" s="638"/>
      <c r="AF2" s="638"/>
      <c r="AG2" s="638"/>
      <c r="AH2" s="638"/>
      <c r="AI2" s="638"/>
      <c r="AJ2" s="638"/>
      <c r="AK2" s="638"/>
      <c r="AL2" s="638"/>
    </row>
    <row r="3" spans="1:38" ht="25.35" customHeight="1">
      <c r="B3" s="98"/>
      <c r="C3" s="639" t="s">
        <v>139</v>
      </c>
      <c r="D3" s="640" t="s">
        <v>105</v>
      </c>
      <c r="E3" s="640"/>
      <c r="F3" s="641" t="s">
        <v>357</v>
      </c>
      <c r="G3" s="641"/>
      <c r="H3" s="641"/>
      <c r="I3" s="642" t="s">
        <v>111</v>
      </c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/>
      <c r="U3" s="642"/>
      <c r="V3" s="642"/>
      <c r="W3" s="642"/>
      <c r="X3" s="642"/>
      <c r="Y3" s="642"/>
      <c r="Z3" s="642"/>
      <c r="AA3" s="642"/>
      <c r="AB3" s="642"/>
      <c r="AC3" s="642"/>
      <c r="AD3" s="642"/>
      <c r="AE3" s="642"/>
      <c r="AF3" s="642"/>
      <c r="AG3" s="642"/>
      <c r="AH3" s="642"/>
      <c r="AI3" s="642"/>
      <c r="AJ3" s="642"/>
      <c r="AK3" s="642"/>
      <c r="AL3" s="642"/>
    </row>
    <row r="4" spans="1:38" ht="25.35" customHeight="1">
      <c r="B4" s="98"/>
      <c r="C4" s="639"/>
      <c r="D4" s="640"/>
      <c r="E4" s="640"/>
      <c r="F4" s="641"/>
      <c r="G4" s="641"/>
      <c r="H4" s="641"/>
      <c r="I4" s="636" t="s">
        <v>140</v>
      </c>
      <c r="J4" s="636"/>
      <c r="K4" s="636"/>
      <c r="L4" s="636"/>
      <c r="M4" s="636"/>
      <c r="N4" s="636"/>
      <c r="O4" s="636" t="s">
        <v>141</v>
      </c>
      <c r="P4" s="636"/>
      <c r="Q4" s="636"/>
      <c r="R4" s="636"/>
      <c r="S4" s="636"/>
      <c r="T4" s="636"/>
      <c r="U4" s="636" t="s">
        <v>343</v>
      </c>
      <c r="V4" s="636"/>
      <c r="W4" s="636" t="s">
        <v>143</v>
      </c>
      <c r="X4" s="636"/>
      <c r="Y4" s="636" t="s">
        <v>134</v>
      </c>
      <c r="Z4" s="636"/>
      <c r="AA4" s="636"/>
      <c r="AB4" s="636"/>
      <c r="AC4" s="636"/>
      <c r="AD4" s="636"/>
      <c r="AE4" s="636" t="s">
        <v>132</v>
      </c>
      <c r="AF4" s="636"/>
      <c r="AG4" s="636" t="s">
        <v>144</v>
      </c>
      <c r="AH4" s="636"/>
      <c r="AI4" s="636" t="s">
        <v>145</v>
      </c>
      <c r="AJ4" s="636"/>
      <c r="AK4" s="636" t="s">
        <v>138</v>
      </c>
      <c r="AL4" s="636"/>
    </row>
    <row r="5" spans="1:38" ht="25.35" customHeight="1">
      <c r="B5" s="98"/>
      <c r="C5" s="639"/>
      <c r="D5" s="640"/>
      <c r="E5" s="640"/>
      <c r="F5" s="635" t="s">
        <v>115</v>
      </c>
      <c r="G5" s="635" t="s">
        <v>117</v>
      </c>
      <c r="H5" s="635" t="s">
        <v>118</v>
      </c>
      <c r="I5" s="636" t="s">
        <v>129</v>
      </c>
      <c r="J5" s="636"/>
      <c r="K5" s="636" t="s">
        <v>130</v>
      </c>
      <c r="L5" s="636"/>
      <c r="M5" s="637" t="s">
        <v>146</v>
      </c>
      <c r="N5" s="636"/>
      <c r="O5" s="636" t="s">
        <v>129</v>
      </c>
      <c r="P5" s="636"/>
      <c r="Q5" s="636" t="s">
        <v>130</v>
      </c>
      <c r="R5" s="636"/>
      <c r="S5" s="637" t="s">
        <v>146</v>
      </c>
      <c r="T5" s="636"/>
      <c r="U5" s="636" t="s">
        <v>129</v>
      </c>
      <c r="V5" s="636"/>
      <c r="W5" s="636" t="s">
        <v>129</v>
      </c>
      <c r="X5" s="636"/>
      <c r="Y5" s="636" t="s">
        <v>129</v>
      </c>
      <c r="Z5" s="636"/>
      <c r="AA5" s="636" t="s">
        <v>130</v>
      </c>
      <c r="AB5" s="636"/>
      <c r="AC5" s="637" t="s">
        <v>146</v>
      </c>
      <c r="AD5" s="636"/>
      <c r="AE5" s="636" t="s">
        <v>129</v>
      </c>
      <c r="AF5" s="636"/>
      <c r="AG5" s="636" t="s">
        <v>129</v>
      </c>
      <c r="AH5" s="636"/>
      <c r="AI5" s="636" t="s">
        <v>129</v>
      </c>
      <c r="AJ5" s="636"/>
      <c r="AK5" s="636" t="s">
        <v>129</v>
      </c>
      <c r="AL5" s="636"/>
    </row>
    <row r="6" spans="1:38" s="80" customFormat="1" ht="23.45" customHeight="1">
      <c r="B6" s="98"/>
      <c r="C6" s="639"/>
      <c r="D6" s="640"/>
      <c r="E6" s="640"/>
      <c r="F6" s="635"/>
      <c r="G6" s="635"/>
      <c r="H6" s="635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86">
        <v>46082</v>
      </c>
      <c r="E7" s="86" t="s">
        <v>589</v>
      </c>
      <c r="F7" s="229">
        <f t="shared" ref="F7" si="0">SUM(M7,S7,U7,W7,AC7,AE7,AG7,AI7,AK7)</f>
        <v>7873403.0000000009</v>
      </c>
      <c r="G7" s="330"/>
      <c r="I7" s="235">
        <v>581077.02022937452</v>
      </c>
      <c r="J7" s="101">
        <f t="shared" ref="J7:J8" si="1">I7/F7</f>
        <v>7.3802524807808578E-2</v>
      </c>
      <c r="K7" s="235">
        <v>761671.41180765233</v>
      </c>
      <c r="L7" s="101">
        <f t="shared" ref="L7:L8" si="2">K7/F7</f>
        <v>9.6739797493873014E-2</v>
      </c>
      <c r="M7" s="228">
        <f t="shared" ref="M7:M8" si="3">SUM(I7+K7)</f>
        <v>1342748.4320370269</v>
      </c>
      <c r="N7" s="101">
        <f t="shared" ref="N7:N8" si="4">M7/F7</f>
        <v>0.17054232230168159</v>
      </c>
      <c r="O7" s="235">
        <v>128878.24916162419</v>
      </c>
      <c r="P7" s="101">
        <f t="shared" ref="P7:P8" si="5">O7/F7</f>
        <v>1.6368811448064347E-2</v>
      </c>
      <c r="Q7" s="235">
        <v>99823.619415771827</v>
      </c>
      <c r="R7" s="101">
        <f t="shared" ref="R7:R8" si="6">Q7/$F7</f>
        <v>1.2678586300710356E-2</v>
      </c>
      <c r="S7" s="228">
        <f t="shared" ref="S7:S8" si="7">SUM(O7+Q7)</f>
        <v>228701.86857739603</v>
      </c>
      <c r="T7" s="101">
        <f t="shared" ref="T7:T8" si="8">S7/F7</f>
        <v>2.9047397748774705E-2</v>
      </c>
      <c r="U7" s="235">
        <v>1347015.3900154359</v>
      </c>
      <c r="V7" s="101">
        <f t="shared" ref="V7:V8" si="9">U7/F7</f>
        <v>0.17108426813862262</v>
      </c>
      <c r="W7" s="235">
        <v>78782.755408236248</v>
      </c>
      <c r="X7" s="101">
        <f t="shared" ref="X7:X8" si="10">W7/F7</f>
        <v>1.0006188608437322E-2</v>
      </c>
      <c r="Y7" s="235">
        <v>591977.98210719263</v>
      </c>
      <c r="Z7" s="101">
        <f t="shared" ref="Z7:Z8" si="11">Y7/F7</f>
        <v>7.5187054709023857E-2</v>
      </c>
      <c r="AA7" s="235">
        <v>1319225.1506001712</v>
      </c>
      <c r="AB7" s="101">
        <f t="shared" ref="AB7:AB8" si="12">AA7/$F7</f>
        <v>0.16755463306021184</v>
      </c>
      <c r="AC7" s="228">
        <f t="shared" ref="AC7:AC8" si="13">SUM(Y7+AA7)</f>
        <v>1911203.1327073639</v>
      </c>
      <c r="AD7" s="101">
        <f t="shared" ref="AD7:AD8" si="14">AC7/F7</f>
        <v>0.24274168776923571</v>
      </c>
      <c r="AE7" s="235">
        <v>1463964.178362913</v>
      </c>
      <c r="AF7" s="101">
        <f t="shared" ref="AF7:AF8" si="15">AE7/F7</f>
        <v>0.18593792015509847</v>
      </c>
      <c r="AG7" s="235">
        <v>171278.17978358612</v>
      </c>
      <c r="AH7" s="101">
        <f t="shared" ref="AH7:AH8" si="16">AG7/F7</f>
        <v>2.1754021708730788E-2</v>
      </c>
      <c r="AI7" s="235">
        <v>804735.61987731699</v>
      </c>
      <c r="AJ7" s="101">
        <f t="shared" ref="AJ7:AJ8" si="17">AI7/F7</f>
        <v>0.10220937755597127</v>
      </c>
      <c r="AK7" s="235">
        <v>524973.44323072582</v>
      </c>
      <c r="AL7" s="101">
        <f t="shared" ref="AL7:AL8" si="18">AK7/F7</f>
        <v>6.6676816013447521E-2</v>
      </c>
    </row>
    <row r="8" spans="1:38" ht="14.25">
      <c r="B8" s="98"/>
      <c r="C8" s="455"/>
      <c r="D8" s="86">
        <f t="shared" ref="D8:D36" si="19">D7+1</f>
        <v>46083</v>
      </c>
      <c r="E8" s="519" t="s">
        <v>583</v>
      </c>
      <c r="F8" s="229">
        <f>SUM(M8,S8,U8,W8,AC8,AE8,AG8,AI8,AK8)</f>
        <v>7734716</v>
      </c>
      <c r="G8" s="330">
        <f>SUM(F7:F8)</f>
        <v>15608119</v>
      </c>
      <c r="I8" s="235">
        <v>555949.32947180723</v>
      </c>
      <c r="J8" s="101">
        <f t="shared" si="1"/>
        <v>7.187714836224203E-2</v>
      </c>
      <c r="K8" s="235">
        <v>821456.18609971215</v>
      </c>
      <c r="L8" s="101">
        <f t="shared" si="2"/>
        <v>0.1062037941793483</v>
      </c>
      <c r="M8" s="228">
        <f t="shared" si="3"/>
        <v>1377405.5155715193</v>
      </c>
      <c r="N8" s="101">
        <f t="shared" si="4"/>
        <v>0.17808094254159032</v>
      </c>
      <c r="O8" s="235">
        <v>120636.15440372005</v>
      </c>
      <c r="P8" s="101">
        <f t="shared" si="5"/>
        <v>1.5596714139694341E-2</v>
      </c>
      <c r="Q8" s="235">
        <v>98531.538444398495</v>
      </c>
      <c r="R8" s="101">
        <f t="shared" si="6"/>
        <v>1.2738869590609209E-2</v>
      </c>
      <c r="S8" s="228">
        <f t="shared" si="7"/>
        <v>219167.69284811855</v>
      </c>
      <c r="T8" s="101">
        <f t="shared" si="8"/>
        <v>2.8335583730303548E-2</v>
      </c>
      <c r="U8" s="235">
        <v>1225116.8598559932</v>
      </c>
      <c r="V8" s="101">
        <f t="shared" si="9"/>
        <v>0.15839196421122548</v>
      </c>
      <c r="W8" s="235">
        <v>86893.491830765139</v>
      </c>
      <c r="X8" s="101">
        <f t="shared" si="10"/>
        <v>1.1234218791066813E-2</v>
      </c>
      <c r="Y8" s="235">
        <v>566172.94450137648</v>
      </c>
      <c r="Z8" s="101">
        <f t="shared" si="11"/>
        <v>7.3198931221440638E-2</v>
      </c>
      <c r="AA8" s="235">
        <v>1606149.4447851323</v>
      </c>
      <c r="AB8" s="101">
        <f t="shared" si="12"/>
        <v>0.20765461133739524</v>
      </c>
      <c r="AC8" s="228">
        <f t="shared" si="13"/>
        <v>2172322.3892865088</v>
      </c>
      <c r="AD8" s="101">
        <f t="shared" si="14"/>
        <v>0.28085354255883588</v>
      </c>
      <c r="AE8" s="235">
        <v>1294036.7748332473</v>
      </c>
      <c r="AF8" s="101">
        <f t="shared" si="15"/>
        <v>0.16730242905275997</v>
      </c>
      <c r="AG8" s="235">
        <v>166950.26531185745</v>
      </c>
      <c r="AH8" s="101">
        <f t="shared" si="16"/>
        <v>2.1584537210138997E-2</v>
      </c>
      <c r="AI8" s="235">
        <v>661556.40495269338</v>
      </c>
      <c r="AJ8" s="101">
        <f t="shared" si="17"/>
        <v>8.553079453113642E-2</v>
      </c>
      <c r="AK8" s="235">
        <v>531266.60550929571</v>
      </c>
      <c r="AL8" s="101">
        <f t="shared" si="18"/>
        <v>6.8685987372942417E-2</v>
      </c>
    </row>
    <row r="9" spans="1:38" ht="14.25">
      <c r="B9" s="98"/>
      <c r="C9" s="98"/>
      <c r="D9" s="332">
        <f t="shared" si="19"/>
        <v>46084</v>
      </c>
      <c r="E9" s="332" t="s">
        <v>584</v>
      </c>
      <c r="F9" s="229">
        <f t="shared" ref="F9:F45" si="20">SUM(M9,S9,U9,W9,AC9,AE9,AG9,AI9,AK9)</f>
        <v>8673469.9999999981</v>
      </c>
      <c r="G9" s="330">
        <f>SUM(F9:F15)</f>
        <v>53050900.999999993</v>
      </c>
      <c r="I9" s="235">
        <v>599048.48849725793</v>
      </c>
      <c r="J9" s="101">
        <f t="shared" ref="J9:J13" si="21">I9/F9</f>
        <v>6.906676203379479E-2</v>
      </c>
      <c r="K9" s="235">
        <v>807362.48109584197</v>
      </c>
      <c r="L9" s="101">
        <f t="shared" ref="L9:L13" si="22">K9/F9</f>
        <v>9.3084138308640277E-2</v>
      </c>
      <c r="M9" s="228">
        <f t="shared" ref="M9:M13" si="23">SUM(I9+K9)</f>
        <v>1406410.9695930998</v>
      </c>
      <c r="N9" s="101">
        <f t="shared" ref="N9:N13" si="24">M9/F9</f>
        <v>0.16215090034243504</v>
      </c>
      <c r="O9" s="235">
        <v>173855.49876054292</v>
      </c>
      <c r="P9" s="101">
        <f t="shared" ref="P9:P13" si="25">O9/F9</f>
        <v>2.0044514912779195E-2</v>
      </c>
      <c r="Q9" s="235">
        <v>101899.05385789051</v>
      </c>
      <c r="R9" s="101">
        <f t="shared" ref="R9:R14" si="26">Q9/$F9</f>
        <v>1.1748360674319567E-2</v>
      </c>
      <c r="S9" s="228">
        <f t="shared" ref="S9:S14" si="27">SUM(O9+Q9)</f>
        <v>275754.55261843343</v>
      </c>
      <c r="T9" s="101">
        <f t="shared" ref="T9:T13" si="28">S9/F9</f>
        <v>3.1792875587098764E-2</v>
      </c>
      <c r="U9" s="235">
        <v>1138944.8523112326</v>
      </c>
      <c r="V9" s="101">
        <f t="shared" ref="V9:V13" si="29">U9/F9</f>
        <v>0.13131363252668574</v>
      </c>
      <c r="W9" s="235">
        <v>85999.317990531345</v>
      </c>
      <c r="X9" s="101">
        <f t="shared" ref="X9:X13" si="30">W9/F9</f>
        <v>9.9152147860696316E-3</v>
      </c>
      <c r="Y9" s="235">
        <v>1049906.9457011053</v>
      </c>
      <c r="Z9" s="101">
        <f t="shared" ref="Z9:Z13" si="31">Y9/F9</f>
        <v>0.12104808637155666</v>
      </c>
      <c r="AA9" s="235">
        <v>1527770.9003060122</v>
      </c>
      <c r="AB9" s="101">
        <f t="shared" ref="AB9:AB14" si="32">AA9/$F9</f>
        <v>0.17614298548401189</v>
      </c>
      <c r="AC9" s="228">
        <f t="shared" ref="AC9:AC13" si="33">SUM(Y9+AA9)</f>
        <v>2577677.8460071175</v>
      </c>
      <c r="AD9" s="101">
        <f t="shared" ref="AD9:AD13" si="34">AC9/F9</f>
        <v>0.29719107185556853</v>
      </c>
      <c r="AE9" s="235">
        <v>1461909.8207019519</v>
      </c>
      <c r="AF9" s="101">
        <f t="shared" ref="AF9:AF13" si="35">AE9/F9</f>
        <v>0.16854959095978336</v>
      </c>
      <c r="AG9" s="235">
        <v>489805.47826294811</v>
      </c>
      <c r="AH9" s="101">
        <f t="shared" ref="AH9:AH13" si="36">AG9/F9</f>
        <v>5.6471686448785571E-2</v>
      </c>
      <c r="AI9" s="235">
        <v>714624.81751432107</v>
      </c>
      <c r="AJ9" s="101">
        <f t="shared" ref="AJ9:AJ13" si="37">AI9/F9</f>
        <v>8.2392031968095955E-2</v>
      </c>
      <c r="AK9" s="235">
        <v>522342.34500036342</v>
      </c>
      <c r="AL9" s="101">
        <f t="shared" ref="AL9:AL13" si="38">AK9/F9</f>
        <v>6.0222995525477524E-2</v>
      </c>
    </row>
    <row r="10" spans="1:38" ht="14.25">
      <c r="B10" s="98"/>
      <c r="C10" s="98"/>
      <c r="D10" s="553">
        <f t="shared" si="19"/>
        <v>46085</v>
      </c>
      <c r="E10" s="553" t="s">
        <v>585</v>
      </c>
      <c r="F10" s="229">
        <f t="shared" si="20"/>
        <v>7833391</v>
      </c>
      <c r="G10" s="330"/>
      <c r="H10" s="364"/>
      <c r="I10" s="235">
        <v>574500.59363147698</v>
      </c>
      <c r="J10" s="101">
        <f t="shared" si="21"/>
        <v>7.3339961407706697E-2</v>
      </c>
      <c r="K10" s="235">
        <v>791606.92655001755</v>
      </c>
      <c r="L10" s="101">
        <f t="shared" si="22"/>
        <v>0.1010554594491731</v>
      </c>
      <c r="M10" s="228">
        <f t="shared" si="23"/>
        <v>1366107.5201814945</v>
      </c>
      <c r="N10" s="101">
        <f t="shared" si="24"/>
        <v>0.17439542085687981</v>
      </c>
      <c r="O10" s="235">
        <v>161906.77587211499</v>
      </c>
      <c r="P10" s="101">
        <f t="shared" si="25"/>
        <v>2.0668797953799955E-2</v>
      </c>
      <c r="Q10" s="235">
        <v>104167.97226051525</v>
      </c>
      <c r="R10" s="101">
        <f t="shared" si="26"/>
        <v>1.3297941116499259E-2</v>
      </c>
      <c r="S10" s="228">
        <f t="shared" si="27"/>
        <v>266074.74813263025</v>
      </c>
      <c r="T10" s="101">
        <f t="shared" si="28"/>
        <v>3.3966739070299214E-2</v>
      </c>
      <c r="U10" s="235">
        <v>1103700.907123541</v>
      </c>
      <c r="V10" s="101">
        <f t="shared" si="29"/>
        <v>0.14089695090204754</v>
      </c>
      <c r="W10" s="235">
        <v>89672.202546484841</v>
      </c>
      <c r="X10" s="101">
        <f t="shared" si="30"/>
        <v>1.144743094612344E-2</v>
      </c>
      <c r="Y10" s="235">
        <v>742604.48224355641</v>
      </c>
      <c r="Z10" s="101">
        <f t="shared" si="31"/>
        <v>9.479987431286864E-2</v>
      </c>
      <c r="AA10" s="235">
        <v>1415014.9878923649</v>
      </c>
      <c r="AB10" s="101">
        <f t="shared" si="32"/>
        <v>0.18063888141066428</v>
      </c>
      <c r="AC10" s="228">
        <f t="shared" si="33"/>
        <v>2157619.4701359211</v>
      </c>
      <c r="AD10" s="101">
        <f t="shared" si="34"/>
        <v>0.27543875572353288</v>
      </c>
      <c r="AE10" s="235">
        <v>1245887.6697718054</v>
      </c>
      <c r="AF10" s="101">
        <f t="shared" si="35"/>
        <v>0.15904831889175522</v>
      </c>
      <c r="AG10" s="235">
        <v>333441.73953444569</v>
      </c>
      <c r="AH10" s="101">
        <f t="shared" si="36"/>
        <v>4.2566717215372717E-2</v>
      </c>
      <c r="AI10" s="235">
        <v>771766.93345524441</v>
      </c>
      <c r="AJ10" s="101">
        <f t="shared" si="37"/>
        <v>9.8522713018569408E-2</v>
      </c>
      <c r="AK10" s="235">
        <v>499119.80911843292</v>
      </c>
      <c r="AL10" s="101">
        <f t="shared" si="38"/>
        <v>6.3716953375419785E-2</v>
      </c>
    </row>
    <row r="11" spans="1:38" ht="14.25">
      <c r="B11" s="98"/>
      <c r="C11" s="98"/>
      <c r="D11" s="553">
        <f t="shared" si="19"/>
        <v>46086</v>
      </c>
      <c r="E11" s="553" t="s">
        <v>586</v>
      </c>
      <c r="F11" s="229">
        <f t="shared" si="20"/>
        <v>7120933.9999999981</v>
      </c>
      <c r="G11" s="330"/>
      <c r="H11" s="364"/>
      <c r="I11" s="235">
        <v>577258.23451066879</v>
      </c>
      <c r="J11" s="101">
        <f t="shared" si="21"/>
        <v>8.1064960651323112E-2</v>
      </c>
      <c r="K11" s="235">
        <v>380319.43557948014</v>
      </c>
      <c r="L11" s="101">
        <f t="shared" si="22"/>
        <v>5.3408644930493701E-2</v>
      </c>
      <c r="M11" s="228">
        <f t="shared" si="23"/>
        <v>957577.67009014892</v>
      </c>
      <c r="N11" s="101">
        <f t="shared" si="24"/>
        <v>0.13447360558181681</v>
      </c>
      <c r="O11" s="235">
        <v>156972.85470918118</v>
      </c>
      <c r="P11" s="101">
        <f t="shared" si="25"/>
        <v>2.2043857548627921E-2</v>
      </c>
      <c r="Q11" s="235">
        <v>103803.96147077481</v>
      </c>
      <c r="R11" s="101">
        <f t="shared" si="26"/>
        <v>1.4577295825347466E-2</v>
      </c>
      <c r="S11" s="228">
        <f t="shared" si="27"/>
        <v>260776.81617995599</v>
      </c>
      <c r="T11" s="101">
        <f t="shared" si="28"/>
        <v>3.6621153373975389E-2</v>
      </c>
      <c r="U11" s="235">
        <v>1092275.607590416</v>
      </c>
      <c r="V11" s="101">
        <f t="shared" si="29"/>
        <v>0.15338937386449816</v>
      </c>
      <c r="W11" s="235">
        <v>93297.763491465186</v>
      </c>
      <c r="X11" s="101">
        <f t="shared" si="30"/>
        <v>1.3101899763635671E-2</v>
      </c>
      <c r="Y11" s="235">
        <v>774871.93017307064</v>
      </c>
      <c r="Z11" s="101">
        <f t="shared" si="31"/>
        <v>0.10881605280614465</v>
      </c>
      <c r="AA11" s="235">
        <v>1231694.6968580561</v>
      </c>
      <c r="AB11" s="101">
        <f t="shared" si="32"/>
        <v>0.17296813828888968</v>
      </c>
      <c r="AC11" s="228">
        <f t="shared" si="33"/>
        <v>2006566.6270311268</v>
      </c>
      <c r="AD11" s="101">
        <f t="shared" si="34"/>
        <v>0.28178419109503433</v>
      </c>
      <c r="AE11" s="235">
        <v>1227772.3323042481</v>
      </c>
      <c r="AF11" s="101">
        <f t="shared" si="35"/>
        <v>0.17241731664754209</v>
      </c>
      <c r="AG11" s="235">
        <v>328809.91364091216</v>
      </c>
      <c r="AH11" s="101">
        <f t="shared" si="36"/>
        <v>4.6175110405588964E-2</v>
      </c>
      <c r="AI11" s="235">
        <v>629918.61034464196</v>
      </c>
      <c r="AJ11" s="101">
        <f t="shared" si="37"/>
        <v>8.8460110758594612E-2</v>
      </c>
      <c r="AK11" s="235">
        <v>523938.65932708321</v>
      </c>
      <c r="AL11" s="101">
        <f t="shared" si="38"/>
        <v>7.3577238509313997E-2</v>
      </c>
    </row>
    <row r="12" spans="1:38" ht="14.25">
      <c r="B12" s="98"/>
      <c r="C12" s="98"/>
      <c r="D12" s="553">
        <f t="shared" si="19"/>
        <v>46087</v>
      </c>
      <c r="E12" s="553" t="s">
        <v>587</v>
      </c>
      <c r="F12" s="229">
        <f t="shared" si="20"/>
        <v>6319241</v>
      </c>
      <c r="G12" s="330"/>
      <c r="H12" s="364">
        <f>SUM(F7:F37)</f>
        <v>228129578</v>
      </c>
      <c r="I12" s="235">
        <v>489690.28595399106</v>
      </c>
      <c r="J12" s="101">
        <f t="shared" si="21"/>
        <v>7.7491946573012657E-2</v>
      </c>
      <c r="K12" s="235">
        <v>685379.2668516062</v>
      </c>
      <c r="L12" s="101">
        <f t="shared" si="22"/>
        <v>0.10845911191733409</v>
      </c>
      <c r="M12" s="228">
        <f t="shared" si="23"/>
        <v>1175069.5528055972</v>
      </c>
      <c r="N12" s="101">
        <f t="shared" si="24"/>
        <v>0.18595105849034674</v>
      </c>
      <c r="O12" s="235">
        <v>127828.57294226866</v>
      </c>
      <c r="P12" s="101">
        <f t="shared" si="25"/>
        <v>2.0228469359258282E-2</v>
      </c>
      <c r="Q12" s="235">
        <v>80895.614115522068</v>
      </c>
      <c r="R12" s="101">
        <f t="shared" si="26"/>
        <v>1.2801476334819652E-2</v>
      </c>
      <c r="S12" s="228">
        <f t="shared" si="27"/>
        <v>208724.18705779072</v>
      </c>
      <c r="T12" s="101">
        <f t="shared" si="28"/>
        <v>3.3029945694077932E-2</v>
      </c>
      <c r="U12" s="235">
        <v>954950.41584585793</v>
      </c>
      <c r="V12" s="101">
        <f t="shared" si="29"/>
        <v>0.15111789783707535</v>
      </c>
      <c r="W12" s="235">
        <v>64510.228285708472</v>
      </c>
      <c r="X12" s="101">
        <f t="shared" si="30"/>
        <v>1.0208540596205852E-2</v>
      </c>
      <c r="Y12" s="235">
        <v>615058.356888982</v>
      </c>
      <c r="Z12" s="101">
        <f t="shared" si="31"/>
        <v>9.7331049233441491E-2</v>
      </c>
      <c r="AA12" s="235">
        <v>1233662.2966318505</v>
      </c>
      <c r="AB12" s="101">
        <f t="shared" si="32"/>
        <v>0.19522317579466436</v>
      </c>
      <c r="AC12" s="228">
        <f t="shared" si="33"/>
        <v>1848720.6535208325</v>
      </c>
      <c r="AD12" s="101">
        <f t="shared" si="34"/>
        <v>0.29255422502810585</v>
      </c>
      <c r="AE12" s="235">
        <v>955746.50489904091</v>
      </c>
      <c r="AF12" s="101">
        <f t="shared" si="35"/>
        <v>0.15124387642424794</v>
      </c>
      <c r="AG12" s="235">
        <v>204746.63282820967</v>
      </c>
      <c r="AH12" s="101">
        <f t="shared" si="36"/>
        <v>3.2400510255616091E-2</v>
      </c>
      <c r="AI12" s="235">
        <v>467834.97331038362</v>
      </c>
      <c r="AJ12" s="101">
        <f t="shared" si="37"/>
        <v>7.4033412131359388E-2</v>
      </c>
      <c r="AK12" s="235">
        <v>438937.85144657869</v>
      </c>
      <c r="AL12" s="101">
        <f t="shared" si="38"/>
        <v>6.9460533542964845E-2</v>
      </c>
    </row>
    <row r="13" spans="1:38" ht="14.25">
      <c r="B13" s="98"/>
      <c r="C13" s="98"/>
      <c r="D13" s="553">
        <f t="shared" si="19"/>
        <v>46088</v>
      </c>
      <c r="E13" s="553" t="s">
        <v>588</v>
      </c>
      <c r="F13" s="229">
        <f t="shared" si="20"/>
        <v>6868139.9999999981</v>
      </c>
      <c r="G13" s="330"/>
      <c r="H13" s="364"/>
      <c r="I13" s="235">
        <v>472783.93360303727</v>
      </c>
      <c r="J13" s="101">
        <f t="shared" si="21"/>
        <v>6.8837259229287323E-2</v>
      </c>
      <c r="K13" s="235">
        <v>749082.40974737646</v>
      </c>
      <c r="L13" s="101">
        <f t="shared" si="22"/>
        <v>0.10906626972475469</v>
      </c>
      <c r="M13" s="228">
        <f t="shared" si="23"/>
        <v>1221866.3433504137</v>
      </c>
      <c r="N13" s="101">
        <f t="shared" si="24"/>
        <v>0.17790352895404202</v>
      </c>
      <c r="O13" s="235">
        <v>125687.95222780659</v>
      </c>
      <c r="P13" s="101">
        <f t="shared" si="25"/>
        <v>1.8300144176997938E-2</v>
      </c>
      <c r="Q13" s="235">
        <v>76531.951754382739</v>
      </c>
      <c r="R13" s="101">
        <f t="shared" si="26"/>
        <v>1.1143038982079976E-2</v>
      </c>
      <c r="S13" s="228">
        <f t="shared" si="27"/>
        <v>202219.90398218931</v>
      </c>
      <c r="T13" s="101">
        <f t="shared" si="28"/>
        <v>2.9443183159077912E-2</v>
      </c>
      <c r="U13" s="235">
        <v>1051216.4498875891</v>
      </c>
      <c r="V13" s="101">
        <f t="shared" si="29"/>
        <v>0.15305693388422328</v>
      </c>
      <c r="W13" s="235">
        <v>68649.44770136624</v>
      </c>
      <c r="X13" s="101">
        <f t="shared" si="30"/>
        <v>9.9953477508271903E-3</v>
      </c>
      <c r="Y13" s="235">
        <v>693542.66225563677</v>
      </c>
      <c r="Z13" s="101">
        <f t="shared" si="31"/>
        <v>0.10097969206446533</v>
      </c>
      <c r="AA13" s="235">
        <v>1309634.6895607375</v>
      </c>
      <c r="AB13" s="101">
        <f t="shared" si="32"/>
        <v>0.19068258503186275</v>
      </c>
      <c r="AC13" s="228">
        <f t="shared" si="33"/>
        <v>2003177.3518163743</v>
      </c>
      <c r="AD13" s="101">
        <f t="shared" si="34"/>
        <v>0.29166227709632808</v>
      </c>
      <c r="AE13" s="235">
        <v>1082427.9927879472</v>
      </c>
      <c r="AF13" s="101">
        <f t="shared" si="35"/>
        <v>0.15760132914995145</v>
      </c>
      <c r="AG13" s="235">
        <v>248575.96137494352</v>
      </c>
      <c r="AH13" s="101">
        <f t="shared" si="36"/>
        <v>3.619261712413311E-2</v>
      </c>
      <c r="AI13" s="235">
        <v>505763.27934672171</v>
      </c>
      <c r="AJ13" s="101">
        <f t="shared" si="37"/>
        <v>7.3639046284251899E-2</v>
      </c>
      <c r="AK13" s="235">
        <v>484243.26975245384</v>
      </c>
      <c r="AL13" s="101">
        <f t="shared" si="38"/>
        <v>7.0505736597165164E-2</v>
      </c>
    </row>
    <row r="14" spans="1:38" ht="14.25">
      <c r="B14" s="98"/>
      <c r="C14" s="98"/>
      <c r="D14" s="553">
        <f t="shared" si="19"/>
        <v>46089</v>
      </c>
      <c r="E14" s="553" t="s">
        <v>589</v>
      </c>
      <c r="F14" s="229">
        <f t="shared" si="20"/>
        <v>8317812.9999999991</v>
      </c>
      <c r="G14" s="330"/>
      <c r="H14" s="364"/>
      <c r="I14" s="235">
        <v>608951.64733929129</v>
      </c>
      <c r="J14" s="101">
        <f>I14/F14</f>
        <v>7.3210547933608427E-2</v>
      </c>
      <c r="K14" s="235">
        <v>803243.20910682983</v>
      </c>
      <c r="L14" s="101">
        <f>K14/F14</f>
        <v>9.6569039134064436E-2</v>
      </c>
      <c r="M14" s="228">
        <f>SUM(I14+K14)</f>
        <v>1412194.8564461211</v>
      </c>
      <c r="N14" s="101">
        <f>M14/F14</f>
        <v>0.16977958706767288</v>
      </c>
      <c r="O14" s="235">
        <v>168147.7320932188</v>
      </c>
      <c r="P14" s="101">
        <f>O14/F14</f>
        <v>2.0215377779377684E-2</v>
      </c>
      <c r="Q14" s="235">
        <v>95145.066383164871</v>
      </c>
      <c r="R14" s="101">
        <f t="shared" si="26"/>
        <v>1.1438711880534568E-2</v>
      </c>
      <c r="S14" s="228">
        <f t="shared" si="27"/>
        <v>263292.79847638367</v>
      </c>
      <c r="T14" s="101">
        <f>S14/F14</f>
        <v>3.1654089659912253E-2</v>
      </c>
      <c r="U14" s="235">
        <v>1265231.9747126724</v>
      </c>
      <c r="V14" s="101">
        <f>U14/F14</f>
        <v>0.15211113482746877</v>
      </c>
      <c r="W14" s="235">
        <v>64403.775714438358</v>
      </c>
      <c r="X14" s="101">
        <f>W14/F14</f>
        <v>7.7428737234701431E-3</v>
      </c>
      <c r="Y14" s="235">
        <v>863927.60431761364</v>
      </c>
      <c r="Z14" s="101">
        <f>Y14/F14</f>
        <v>0.10386475439128215</v>
      </c>
      <c r="AA14" s="235">
        <v>1447241.6613516193</v>
      </c>
      <c r="AB14" s="101">
        <f t="shared" si="32"/>
        <v>0.17399305098006165</v>
      </c>
      <c r="AC14" s="228">
        <f>SUM(Y14+AA14)</f>
        <v>2311169.2656692332</v>
      </c>
      <c r="AD14" s="101">
        <f>AC14/F14</f>
        <v>0.2778578053713438</v>
      </c>
      <c r="AE14" s="235">
        <v>1440614.0462457032</v>
      </c>
      <c r="AF14" s="101">
        <f>AE14/F14</f>
        <v>0.17319625317925558</v>
      </c>
      <c r="AG14" s="235">
        <v>362695.10994929302</v>
      </c>
      <c r="AH14" s="101">
        <f>AG14/F14</f>
        <v>4.3604624190191947E-2</v>
      </c>
      <c r="AI14" s="235">
        <v>684369.00390873605</v>
      </c>
      <c r="AJ14" s="101">
        <f>AI14/F14</f>
        <v>8.2277517408570755E-2</v>
      </c>
      <c r="AK14" s="235">
        <v>513842.16887741839</v>
      </c>
      <c r="AL14" s="101">
        <f>AK14/F14</f>
        <v>6.1776114572113898E-2</v>
      </c>
    </row>
    <row r="15" spans="1:38" ht="14.25">
      <c r="B15" s="98"/>
      <c r="C15" s="98"/>
      <c r="D15" s="553">
        <f t="shared" si="19"/>
        <v>46090</v>
      </c>
      <c r="E15" s="553" t="s">
        <v>583</v>
      </c>
      <c r="F15" s="229">
        <f t="shared" si="20"/>
        <v>7917912.0000000009</v>
      </c>
      <c r="G15" s="330"/>
      <c r="H15" s="364"/>
      <c r="I15" s="235">
        <v>582501.40192617313</v>
      </c>
      <c r="J15" s="101">
        <f t="shared" ref="J15" si="39">I15/F15</f>
        <v>7.3567551890722338E-2</v>
      </c>
      <c r="K15" s="235">
        <v>793317.77464415669</v>
      </c>
      <c r="L15" s="101">
        <f t="shared" ref="L15" si="40">K15/F15</f>
        <v>0.10019280015288837</v>
      </c>
      <c r="M15" s="228">
        <f t="shared" ref="M15" si="41">SUM(I15+K15)</f>
        <v>1375819.1765703298</v>
      </c>
      <c r="N15" s="101">
        <f t="shared" ref="N15" si="42">M15/F15</f>
        <v>0.17376035204361071</v>
      </c>
      <c r="O15" s="235">
        <v>153311.00462881909</v>
      </c>
      <c r="P15" s="101">
        <f t="shared" ref="P15" si="43">O15/F15</f>
        <v>1.9362554752922118E-2</v>
      </c>
      <c r="Q15" s="235">
        <v>95472.577244691172</v>
      </c>
      <c r="R15" s="101">
        <f t="shared" ref="R15" si="44">Q15/$F15</f>
        <v>1.2057797212786801E-2</v>
      </c>
      <c r="S15" s="228">
        <f t="shared" ref="S15" si="45">SUM(O15+Q15)</f>
        <v>248783.58187351027</v>
      </c>
      <c r="T15" s="101">
        <f t="shared" ref="T15" si="46">S15/F15</f>
        <v>3.1420351965708922E-2</v>
      </c>
      <c r="U15" s="235">
        <v>1240969.737785073</v>
      </c>
      <c r="V15" s="101">
        <f t="shared" ref="V15" si="47">U15/F15</f>
        <v>0.15672941777896407</v>
      </c>
      <c r="W15" s="235">
        <v>77649.439176638305</v>
      </c>
      <c r="X15" s="101">
        <f t="shared" ref="X15" si="48">W15/F15</f>
        <v>9.8068075493436008E-3</v>
      </c>
      <c r="Y15" s="235">
        <v>725764.36329733266</v>
      </c>
      <c r="Z15" s="101">
        <f t="shared" ref="Z15" si="49">Y15/F15</f>
        <v>9.1661079751496677E-2</v>
      </c>
      <c r="AA15" s="235">
        <v>1436661.7524740177</v>
      </c>
      <c r="AB15" s="101">
        <f t="shared" ref="AB15" si="50">AA15/$F15</f>
        <v>0.18144452129223179</v>
      </c>
      <c r="AC15" s="228">
        <f t="shared" ref="AC15" si="51">SUM(Y15+AA15)</f>
        <v>2162426.1157713505</v>
      </c>
      <c r="AD15" s="101">
        <f t="shared" ref="AD15" si="52">AC15/F15</f>
        <v>0.2731056010437285</v>
      </c>
      <c r="AE15" s="235">
        <v>1244898.1881059313</v>
      </c>
      <c r="AF15" s="101">
        <f t="shared" ref="AF15" si="53">AE15/F15</f>
        <v>0.15722556503607657</v>
      </c>
      <c r="AG15" s="235">
        <v>258228.1508626134</v>
      </c>
      <c r="AH15" s="101">
        <f t="shared" ref="AH15" si="54">AG15/F15</f>
        <v>3.2613162518428267E-2</v>
      </c>
      <c r="AI15" s="235">
        <v>756710.68145780347</v>
      </c>
      <c r="AJ15" s="101">
        <f t="shared" ref="AJ15" si="55">AI15/F15</f>
        <v>9.5569473550325315E-2</v>
      </c>
      <c r="AK15" s="235">
        <v>552426.92839675013</v>
      </c>
      <c r="AL15" s="101">
        <f t="shared" ref="AL15" si="56">AK15/F15</f>
        <v>6.9769268513814001E-2</v>
      </c>
    </row>
    <row r="16" spans="1:38" ht="14.25">
      <c r="B16" s="98"/>
      <c r="C16" s="98"/>
      <c r="D16" s="519">
        <f t="shared" si="19"/>
        <v>46091</v>
      </c>
      <c r="E16" s="519" t="s">
        <v>584</v>
      </c>
      <c r="F16" s="229">
        <f t="shared" si="20"/>
        <v>7857996.9999999981</v>
      </c>
      <c r="G16" s="330">
        <f>SUM(F16:F22)</f>
        <v>51759222</v>
      </c>
      <c r="H16" s="364"/>
      <c r="I16" s="235">
        <v>581921.17268134118</v>
      </c>
      <c r="J16" s="101">
        <f t="shared" ref="J16:J41" si="57">I16/F16</f>
        <v>7.405464429183943E-2</v>
      </c>
      <c r="K16" s="235">
        <v>768330.07827008783</v>
      </c>
      <c r="L16" s="101">
        <f t="shared" ref="L16:L41" si="58">K16/F16</f>
        <v>9.777683527622727E-2</v>
      </c>
      <c r="M16" s="228">
        <f t="shared" ref="M16:M41" si="59">SUM(I16+K16)</f>
        <v>1350251.2509514289</v>
      </c>
      <c r="N16" s="101">
        <f t="shared" ref="N16:N41" si="60">M16/F16</f>
        <v>0.17183147956806669</v>
      </c>
      <c r="O16" s="235">
        <v>155283.82663170976</v>
      </c>
      <c r="P16" s="101">
        <f t="shared" ref="P16:P41" si="61">O16/F16</f>
        <v>1.9761247889469771E-2</v>
      </c>
      <c r="Q16" s="235">
        <v>93192.438383552246</v>
      </c>
      <c r="R16" s="101">
        <f t="shared" ref="R16:R45" si="62">Q16/$F16</f>
        <v>1.1859566551571891E-2</v>
      </c>
      <c r="S16" s="228">
        <f t="shared" ref="S16:S45" si="63">SUM(O16+Q16)</f>
        <v>248476.265015262</v>
      </c>
      <c r="T16" s="101">
        <f t="shared" ref="T16:T41" si="64">S16/F16</f>
        <v>3.1620814441041666E-2</v>
      </c>
      <c r="U16" s="235">
        <v>1213831.6689155556</v>
      </c>
      <c r="V16" s="101">
        <f t="shared" ref="V16:V41" si="65">U16/F16</f>
        <v>0.15447087456454309</v>
      </c>
      <c r="W16" s="235">
        <v>71083.695737938571</v>
      </c>
      <c r="X16" s="101">
        <f t="shared" ref="X16:X41" si="66">W16/F16</f>
        <v>9.0460324352298165E-3</v>
      </c>
      <c r="Y16" s="235">
        <v>685772.27653293917</v>
      </c>
      <c r="Z16" s="101">
        <f t="shared" ref="Z16:Z41" si="67">Y16/F16</f>
        <v>8.7270620812522501E-2</v>
      </c>
      <c r="AA16" s="235">
        <v>1409025.7959503755</v>
      </c>
      <c r="AB16" s="101">
        <f t="shared" ref="AB16:AB45" si="68">AA16/$F16</f>
        <v>0.17931106310556949</v>
      </c>
      <c r="AC16" s="228">
        <f t="shared" ref="AC16:AC41" si="69">SUM(Y16+AA16)</f>
        <v>2094798.0724833147</v>
      </c>
      <c r="AD16" s="101">
        <f t="shared" ref="AD16:AD41" si="70">AC16/F16</f>
        <v>0.26658168391809201</v>
      </c>
      <c r="AE16" s="235">
        <v>1215337.640557318</v>
      </c>
      <c r="AF16" s="101">
        <f t="shared" ref="AF16:AF41" si="71">AE16/F16</f>
        <v>0.15466252284867482</v>
      </c>
      <c r="AG16" s="235">
        <v>222972.21889130227</v>
      </c>
      <c r="AH16" s="101">
        <f t="shared" ref="AH16:AH41" si="72">AG16/F16</f>
        <v>2.8375197762394451E-2</v>
      </c>
      <c r="AI16" s="235">
        <v>721183.87186021684</v>
      </c>
      <c r="AJ16" s="101">
        <f t="shared" ref="AJ16:AJ41" si="73">AI16/F16</f>
        <v>9.1777061235861629E-2</v>
      </c>
      <c r="AK16" s="235">
        <v>720062.31558766251</v>
      </c>
      <c r="AL16" s="101">
        <f t="shared" ref="AL16:AL41" si="74">AK16/F16</f>
        <v>9.1634333226096001E-2</v>
      </c>
    </row>
    <row r="17" spans="2:38" ht="14.25">
      <c r="B17" s="98"/>
      <c r="C17" s="98"/>
      <c r="D17" s="554">
        <f t="shared" si="19"/>
        <v>46092</v>
      </c>
      <c r="E17" s="554" t="s">
        <v>585</v>
      </c>
      <c r="F17" s="229">
        <f t="shared" si="20"/>
        <v>7290922</v>
      </c>
      <c r="G17" s="330"/>
      <c r="H17" s="364"/>
      <c r="I17" s="235">
        <v>572866.69190728071</v>
      </c>
      <c r="J17" s="101">
        <f t="shared" si="57"/>
        <v>7.8572599172955171E-2</v>
      </c>
      <c r="K17" s="235">
        <v>750820.78837529744</v>
      </c>
      <c r="L17" s="101">
        <f t="shared" si="58"/>
        <v>0.10298022504908123</v>
      </c>
      <c r="M17" s="228">
        <f t="shared" si="59"/>
        <v>1323687.4802825782</v>
      </c>
      <c r="N17" s="101">
        <f t="shared" si="60"/>
        <v>0.18155282422203642</v>
      </c>
      <c r="O17" s="235">
        <v>156644.54935870023</v>
      </c>
      <c r="P17" s="101">
        <f t="shared" si="61"/>
        <v>2.1484875213134941E-2</v>
      </c>
      <c r="Q17" s="235">
        <v>92383.557088619797</v>
      </c>
      <c r="R17" s="101">
        <f t="shared" si="62"/>
        <v>1.2671039011063319E-2</v>
      </c>
      <c r="S17" s="228">
        <f t="shared" si="63"/>
        <v>249028.10644732002</v>
      </c>
      <c r="T17" s="101">
        <f t="shared" si="64"/>
        <v>3.415591422419826E-2</v>
      </c>
      <c r="U17" s="235">
        <v>1154823.7302164126</v>
      </c>
      <c r="V17" s="101">
        <f t="shared" si="65"/>
        <v>0.15839200175456719</v>
      </c>
      <c r="W17" s="235">
        <v>78739.153770925026</v>
      </c>
      <c r="X17" s="101">
        <f t="shared" si="66"/>
        <v>1.0799615435595803E-2</v>
      </c>
      <c r="Y17" s="235">
        <v>653277.01273310313</v>
      </c>
      <c r="Z17" s="101">
        <f t="shared" si="67"/>
        <v>8.9601426641665233E-2</v>
      </c>
      <c r="AA17" s="235">
        <v>1325276.3381375701</v>
      </c>
      <c r="AB17" s="101">
        <f t="shared" si="68"/>
        <v>0.18177074698338153</v>
      </c>
      <c r="AC17" s="228">
        <f t="shared" si="69"/>
        <v>1978553.3508706731</v>
      </c>
      <c r="AD17" s="101">
        <f t="shared" si="70"/>
        <v>0.27137217362504673</v>
      </c>
      <c r="AE17" s="235">
        <v>1126234.6916701857</v>
      </c>
      <c r="AF17" s="101">
        <f t="shared" si="71"/>
        <v>0.15447081887176761</v>
      </c>
      <c r="AG17" s="235">
        <v>216514.68770009998</v>
      </c>
      <c r="AH17" s="101">
        <f t="shared" si="72"/>
        <v>2.9696475658373519E-2</v>
      </c>
      <c r="AI17" s="235">
        <v>472184.60756105202</v>
      </c>
      <c r="AJ17" s="101">
        <f t="shared" si="73"/>
        <v>6.476336018421977E-2</v>
      </c>
      <c r="AK17" s="235">
        <v>691156.19148075348</v>
      </c>
      <c r="AL17" s="101">
        <f t="shared" si="74"/>
        <v>9.479681602419468E-2</v>
      </c>
    </row>
    <row r="18" spans="2:38" ht="14.25">
      <c r="B18" s="98"/>
      <c r="C18" s="98"/>
      <c r="D18" s="554">
        <f t="shared" si="19"/>
        <v>46093</v>
      </c>
      <c r="E18" s="554" t="s">
        <v>586</v>
      </c>
      <c r="F18" s="229">
        <f t="shared" si="20"/>
        <v>6613914.9999999991</v>
      </c>
      <c r="G18" s="330"/>
      <c r="H18" s="364"/>
      <c r="I18" s="235">
        <v>546534.2543926494</v>
      </c>
      <c r="J18" s="101">
        <f t="shared" si="57"/>
        <v>8.2634000345128342E-2</v>
      </c>
      <c r="K18" s="235">
        <v>700831.49603393988</v>
      </c>
      <c r="L18" s="101">
        <f t="shared" si="58"/>
        <v>0.10596318459398707</v>
      </c>
      <c r="M18" s="228">
        <f t="shared" si="59"/>
        <v>1247365.7504265893</v>
      </c>
      <c r="N18" s="101">
        <f t="shared" si="60"/>
        <v>0.1885971849391154</v>
      </c>
      <c r="O18" s="235">
        <v>153601.0331085448</v>
      </c>
      <c r="P18" s="101">
        <f t="shared" si="61"/>
        <v>2.322392003957487E-2</v>
      </c>
      <c r="Q18" s="235">
        <v>91392.69554978302</v>
      </c>
      <c r="R18" s="101">
        <f t="shared" si="62"/>
        <v>1.381824464780437E-2</v>
      </c>
      <c r="S18" s="228">
        <f t="shared" si="63"/>
        <v>244993.72865832783</v>
      </c>
      <c r="T18" s="101">
        <f t="shared" si="64"/>
        <v>3.7042164687379239E-2</v>
      </c>
      <c r="U18" s="235">
        <v>1036747.6310774621</v>
      </c>
      <c r="V18" s="101">
        <f t="shared" si="65"/>
        <v>0.15675248791033181</v>
      </c>
      <c r="W18" s="235">
        <v>78737.404564730372</v>
      </c>
      <c r="X18" s="101">
        <f t="shared" si="66"/>
        <v>1.1904810473786007E-2</v>
      </c>
      <c r="Y18" s="235">
        <v>647595.94521093462</v>
      </c>
      <c r="Z18" s="101">
        <f t="shared" si="67"/>
        <v>9.7914162067540139E-2</v>
      </c>
      <c r="AA18" s="235">
        <v>1116359.5211779443</v>
      </c>
      <c r="AB18" s="101">
        <f t="shared" si="68"/>
        <v>0.16878951743074178</v>
      </c>
      <c r="AC18" s="228">
        <f t="shared" si="69"/>
        <v>1763955.4663888789</v>
      </c>
      <c r="AD18" s="101">
        <f t="shared" si="70"/>
        <v>0.26670367949828189</v>
      </c>
      <c r="AE18" s="235">
        <v>1081950.6379668976</v>
      </c>
      <c r="AF18" s="101">
        <f t="shared" si="71"/>
        <v>0.16358701887866683</v>
      </c>
      <c r="AG18" s="235">
        <v>204531.02818751027</v>
      </c>
      <c r="AH18" s="101">
        <f t="shared" si="72"/>
        <v>3.0924350885596547E-2</v>
      </c>
      <c r="AI18" s="235">
        <v>408090.995047089</v>
      </c>
      <c r="AJ18" s="101">
        <f t="shared" si="73"/>
        <v>6.1701880814478118E-2</v>
      </c>
      <c r="AK18" s="235">
        <v>547542.35768251435</v>
      </c>
      <c r="AL18" s="101">
        <f t="shared" si="74"/>
        <v>8.2786421912364225E-2</v>
      </c>
    </row>
    <row r="19" spans="2:38" ht="14.25">
      <c r="B19" s="98"/>
      <c r="C19" s="98"/>
      <c r="D19" s="554">
        <f t="shared" si="19"/>
        <v>46094</v>
      </c>
      <c r="E19" s="554" t="s">
        <v>587</v>
      </c>
      <c r="F19" s="229">
        <f t="shared" si="20"/>
        <v>6674345</v>
      </c>
      <c r="G19" s="330"/>
      <c r="H19" s="364"/>
      <c r="I19" s="235">
        <v>479394.44797032385</v>
      </c>
      <c r="J19" s="101">
        <f t="shared" si="57"/>
        <v>7.182644109202084E-2</v>
      </c>
      <c r="K19" s="235">
        <v>678660.875894133</v>
      </c>
      <c r="L19" s="101">
        <f t="shared" si="58"/>
        <v>0.1016820191186001</v>
      </c>
      <c r="M19" s="228">
        <f t="shared" si="59"/>
        <v>1158055.3238644567</v>
      </c>
      <c r="N19" s="101">
        <f t="shared" si="60"/>
        <v>0.17350846021062094</v>
      </c>
      <c r="O19" s="235">
        <v>125513.92878937292</v>
      </c>
      <c r="P19" s="101">
        <f t="shared" si="61"/>
        <v>1.8805430164214303E-2</v>
      </c>
      <c r="Q19" s="235">
        <v>75834.254889607269</v>
      </c>
      <c r="R19" s="101">
        <f t="shared" si="62"/>
        <v>1.1362051990061538E-2</v>
      </c>
      <c r="S19" s="228">
        <f t="shared" si="63"/>
        <v>201348.18367898019</v>
      </c>
      <c r="T19" s="101">
        <f t="shared" si="64"/>
        <v>3.0167482154275841E-2</v>
      </c>
      <c r="U19" s="235">
        <v>960857.08509420382</v>
      </c>
      <c r="V19" s="101">
        <f t="shared" si="65"/>
        <v>0.14396275366259967</v>
      </c>
      <c r="W19" s="235">
        <v>57683.705984052824</v>
      </c>
      <c r="X19" s="101">
        <f t="shared" si="66"/>
        <v>8.6426017810066497E-3</v>
      </c>
      <c r="Y19" s="235">
        <v>694129.2766225707</v>
      </c>
      <c r="Z19" s="101">
        <f t="shared" si="67"/>
        <v>0.10399960994263417</v>
      </c>
      <c r="AA19" s="235">
        <v>1286586.2215960876</v>
      </c>
      <c r="AB19" s="101">
        <f t="shared" si="68"/>
        <v>0.19276591509670052</v>
      </c>
      <c r="AC19" s="228">
        <f t="shared" si="69"/>
        <v>1980715.4982186584</v>
      </c>
      <c r="AD19" s="101">
        <f t="shared" si="70"/>
        <v>0.29676552503933468</v>
      </c>
      <c r="AE19" s="235">
        <v>1024835.9067558362</v>
      </c>
      <c r="AF19" s="101">
        <f t="shared" si="71"/>
        <v>0.15354853648647712</v>
      </c>
      <c r="AG19" s="235">
        <v>222775.14191336441</v>
      </c>
      <c r="AH19" s="101">
        <f t="shared" si="72"/>
        <v>3.3377828373175857E-2</v>
      </c>
      <c r="AI19" s="235">
        <v>575967.64987142873</v>
      </c>
      <c r="AJ19" s="101">
        <f t="shared" si="73"/>
        <v>8.6295756343345867E-2</v>
      </c>
      <c r="AK19" s="235">
        <v>492106.50461901957</v>
      </c>
      <c r="AL19" s="101">
        <f t="shared" si="74"/>
        <v>7.3731055949163488E-2</v>
      </c>
    </row>
    <row r="20" spans="2:38" ht="14.25">
      <c r="B20" s="98"/>
      <c r="C20" s="98"/>
      <c r="D20" s="554">
        <f t="shared" si="19"/>
        <v>46095</v>
      </c>
      <c r="E20" s="554" t="s">
        <v>588</v>
      </c>
      <c r="F20" s="229">
        <f t="shared" si="20"/>
        <v>6969421.0000000009</v>
      </c>
      <c r="G20" s="330"/>
      <c r="H20" s="364"/>
      <c r="I20" s="235">
        <v>454834.11514040479</v>
      </c>
      <c r="J20" s="101">
        <f t="shared" si="57"/>
        <v>6.5261391891866583E-2</v>
      </c>
      <c r="K20" s="235">
        <v>731293.24789561902</v>
      </c>
      <c r="L20" s="101">
        <f t="shared" si="58"/>
        <v>0.10492883811949642</v>
      </c>
      <c r="M20" s="228">
        <f t="shared" si="59"/>
        <v>1186127.3630360239</v>
      </c>
      <c r="N20" s="101">
        <f t="shared" si="60"/>
        <v>0.17019023001136302</v>
      </c>
      <c r="O20" s="235">
        <v>115546.27168154981</v>
      </c>
      <c r="P20" s="101">
        <f t="shared" si="61"/>
        <v>1.6579034568517212E-2</v>
      </c>
      <c r="Q20" s="235">
        <v>72147.923082232475</v>
      </c>
      <c r="R20" s="101">
        <f t="shared" si="62"/>
        <v>1.0352068426090556E-2</v>
      </c>
      <c r="S20" s="228">
        <f t="shared" si="63"/>
        <v>187694.19476378229</v>
      </c>
      <c r="T20" s="101">
        <f t="shared" si="64"/>
        <v>2.6931102994607766E-2</v>
      </c>
      <c r="U20" s="235">
        <v>1026656.098418524</v>
      </c>
      <c r="V20" s="101">
        <f t="shared" si="65"/>
        <v>0.14730866429485662</v>
      </c>
      <c r="W20" s="235">
        <v>65744.345534926179</v>
      </c>
      <c r="X20" s="101">
        <f t="shared" si="66"/>
        <v>9.4332578753566713E-3</v>
      </c>
      <c r="Y20" s="235">
        <v>672596.25245691126</v>
      </c>
      <c r="Z20" s="101">
        <f t="shared" si="67"/>
        <v>9.6506761818078018E-2</v>
      </c>
      <c r="AA20" s="235">
        <v>1295880.3729666527</v>
      </c>
      <c r="AB20" s="101">
        <f t="shared" si="68"/>
        <v>0.18593802454560465</v>
      </c>
      <c r="AC20" s="228">
        <f t="shared" si="69"/>
        <v>1968476.6254235641</v>
      </c>
      <c r="AD20" s="101">
        <f t="shared" si="70"/>
        <v>0.2824447863636827</v>
      </c>
      <c r="AE20" s="235">
        <v>1121562.1823136976</v>
      </c>
      <c r="AF20" s="101">
        <f t="shared" si="71"/>
        <v>0.16092616335183332</v>
      </c>
      <c r="AG20" s="235">
        <v>211454.34165633708</v>
      </c>
      <c r="AH20" s="101">
        <f t="shared" si="72"/>
        <v>3.0340302538236254E-2</v>
      </c>
      <c r="AI20" s="235">
        <v>642685.07904209173</v>
      </c>
      <c r="AJ20" s="101">
        <f t="shared" si="73"/>
        <v>9.2214988740397755E-2</v>
      </c>
      <c r="AK20" s="235">
        <v>559020.76981105248</v>
      </c>
      <c r="AL20" s="101">
        <f t="shared" si="74"/>
        <v>8.0210503829665672E-2</v>
      </c>
    </row>
    <row r="21" spans="2:38" ht="14.25">
      <c r="B21" s="98"/>
      <c r="C21" s="98"/>
      <c r="D21" s="554">
        <f t="shared" si="19"/>
        <v>46096</v>
      </c>
      <c r="E21" s="554" t="s">
        <v>589</v>
      </c>
      <c r="F21" s="229">
        <f t="shared" si="20"/>
        <v>8390696</v>
      </c>
      <c r="G21" s="330"/>
      <c r="H21" s="364"/>
      <c r="I21" s="235">
        <v>585099.27246956341</v>
      </c>
      <c r="J21" s="101">
        <f t="shared" si="57"/>
        <v>6.9731911687607728E-2</v>
      </c>
      <c r="K21" s="235">
        <v>793496.30971311731</v>
      </c>
      <c r="L21" s="101">
        <f t="shared" si="58"/>
        <v>9.4568592368632742E-2</v>
      </c>
      <c r="M21" s="228">
        <f t="shared" si="59"/>
        <v>1378595.5821826807</v>
      </c>
      <c r="N21" s="101">
        <f t="shared" si="60"/>
        <v>0.16430050405624047</v>
      </c>
      <c r="O21" s="235">
        <v>155965.4702514605</v>
      </c>
      <c r="P21" s="101">
        <f t="shared" si="61"/>
        <v>1.8587906206047805E-2</v>
      </c>
      <c r="Q21" s="235">
        <v>90628.914666811092</v>
      </c>
      <c r="R21" s="101">
        <f t="shared" si="62"/>
        <v>1.0801120034239244E-2</v>
      </c>
      <c r="S21" s="228">
        <f t="shared" si="63"/>
        <v>246594.38491827159</v>
      </c>
      <c r="T21" s="101">
        <f t="shared" si="64"/>
        <v>2.9389026240287049E-2</v>
      </c>
      <c r="U21" s="235">
        <v>1284564.5723314804</v>
      </c>
      <c r="V21" s="101">
        <f t="shared" si="65"/>
        <v>0.15309392359483415</v>
      </c>
      <c r="W21" s="235">
        <v>62267.222071400822</v>
      </c>
      <c r="X21" s="101">
        <f t="shared" si="66"/>
        <v>7.4209841557125681E-3</v>
      </c>
      <c r="Y21" s="235">
        <v>700459.28540744539</v>
      </c>
      <c r="Z21" s="101">
        <f t="shared" si="67"/>
        <v>8.3480474731469884E-2</v>
      </c>
      <c r="AA21" s="235">
        <v>1460210.2078710233</v>
      </c>
      <c r="AB21" s="101">
        <f t="shared" si="68"/>
        <v>0.17402730451335902</v>
      </c>
      <c r="AC21" s="228">
        <f t="shared" si="69"/>
        <v>2160669.493278469</v>
      </c>
      <c r="AD21" s="101">
        <f t="shared" si="70"/>
        <v>0.25750777924482893</v>
      </c>
      <c r="AE21" s="235">
        <v>1383793.7973742518</v>
      </c>
      <c r="AF21" s="101">
        <f t="shared" si="71"/>
        <v>0.16492002539172576</v>
      </c>
      <c r="AG21" s="235">
        <v>240499.5492638461</v>
      </c>
      <c r="AH21" s="101">
        <f t="shared" si="72"/>
        <v>2.8662646014567337E-2</v>
      </c>
      <c r="AI21" s="235">
        <v>833931.28258353868</v>
      </c>
      <c r="AJ21" s="101">
        <f t="shared" si="73"/>
        <v>9.9387617258870853E-2</v>
      </c>
      <c r="AK21" s="235">
        <v>799780.11599605996</v>
      </c>
      <c r="AL21" s="101">
        <f t="shared" si="74"/>
        <v>9.5317494042932785E-2</v>
      </c>
    </row>
    <row r="22" spans="2:38" ht="14.25">
      <c r="B22" s="98"/>
      <c r="C22" s="98"/>
      <c r="D22" s="554">
        <f t="shared" si="19"/>
        <v>46097</v>
      </c>
      <c r="E22" s="554" t="s">
        <v>583</v>
      </c>
      <c r="F22" s="229">
        <f t="shared" si="20"/>
        <v>7961926</v>
      </c>
      <c r="G22" s="330"/>
      <c r="H22" s="364"/>
      <c r="I22" s="235">
        <v>575143.69982615497</v>
      </c>
      <c r="J22" s="101">
        <f t="shared" si="57"/>
        <v>7.2236755255720153E-2</v>
      </c>
      <c r="K22" s="235">
        <v>788462.30096233333</v>
      </c>
      <c r="L22" s="101">
        <f t="shared" si="58"/>
        <v>9.9029091825562479E-2</v>
      </c>
      <c r="M22" s="228">
        <f t="shared" si="59"/>
        <v>1363606.0007884884</v>
      </c>
      <c r="N22" s="101">
        <f t="shared" si="60"/>
        <v>0.17126584708128265</v>
      </c>
      <c r="O22" s="235">
        <v>146419.31619714474</v>
      </c>
      <c r="P22" s="101">
        <f t="shared" si="61"/>
        <v>1.8389936831508448E-2</v>
      </c>
      <c r="Q22" s="235">
        <v>89955.37297597724</v>
      </c>
      <c r="R22" s="101">
        <f t="shared" si="62"/>
        <v>1.129819254486631E-2</v>
      </c>
      <c r="S22" s="228">
        <f t="shared" si="63"/>
        <v>236374.68917312199</v>
      </c>
      <c r="T22" s="101">
        <f t="shared" si="64"/>
        <v>2.9688129376374762E-2</v>
      </c>
      <c r="U22" s="235">
        <v>1236213.3567824143</v>
      </c>
      <c r="V22" s="101">
        <f t="shared" si="65"/>
        <v>0.15526561748783074</v>
      </c>
      <c r="W22" s="235">
        <v>77175.096493959107</v>
      </c>
      <c r="X22" s="101">
        <f t="shared" si="66"/>
        <v>9.6930185603281305E-3</v>
      </c>
      <c r="Y22" s="235">
        <v>638514.15267559909</v>
      </c>
      <c r="Z22" s="101">
        <f t="shared" si="67"/>
        <v>8.0195941619602987E-2</v>
      </c>
      <c r="AA22" s="235">
        <v>1410409.7386986138</v>
      </c>
      <c r="AB22" s="101">
        <f t="shared" si="68"/>
        <v>0.17714429130572348</v>
      </c>
      <c r="AC22" s="228">
        <f t="shared" si="69"/>
        <v>2048923.8913742129</v>
      </c>
      <c r="AD22" s="101">
        <f t="shared" si="70"/>
        <v>0.25734023292532648</v>
      </c>
      <c r="AE22" s="235">
        <v>1297239.501557206</v>
      </c>
      <c r="AF22" s="101">
        <f t="shared" si="71"/>
        <v>0.16293036402965891</v>
      </c>
      <c r="AG22" s="235">
        <v>245665.91035571948</v>
      </c>
      <c r="AH22" s="101">
        <f t="shared" si="72"/>
        <v>3.0855085861852958E-2</v>
      </c>
      <c r="AI22" s="235">
        <v>816157.97164455277</v>
      </c>
      <c r="AJ22" s="101">
        <f t="shared" si="73"/>
        <v>0.1025076057783698</v>
      </c>
      <c r="AK22" s="235">
        <v>640569.58183032577</v>
      </c>
      <c r="AL22" s="101">
        <f t="shared" si="74"/>
        <v>8.0454098898975673E-2</v>
      </c>
    </row>
    <row r="23" spans="2:38" ht="14.25">
      <c r="B23" s="98"/>
      <c r="C23" s="98"/>
      <c r="D23" s="332">
        <f t="shared" si="19"/>
        <v>46098</v>
      </c>
      <c r="E23" s="332" t="s">
        <v>584</v>
      </c>
      <c r="F23" s="229">
        <f t="shared" si="20"/>
        <v>8375991.0000000009</v>
      </c>
      <c r="G23" s="330">
        <f>SUM(F23:F29)</f>
        <v>53723391</v>
      </c>
      <c r="H23" s="364"/>
      <c r="I23" s="235">
        <v>573888.30384706787</v>
      </c>
      <c r="J23" s="101">
        <f t="shared" si="57"/>
        <v>6.8515869208439675E-2</v>
      </c>
      <c r="K23" s="235">
        <v>839200.63531920465</v>
      </c>
      <c r="L23" s="101">
        <f t="shared" si="58"/>
        <v>0.10019120547278579</v>
      </c>
      <c r="M23" s="228">
        <f t="shared" si="59"/>
        <v>1413088.9391662725</v>
      </c>
      <c r="N23" s="101">
        <f t="shared" si="60"/>
        <v>0.16870707468122548</v>
      </c>
      <c r="O23" s="235">
        <v>214238.48611456243</v>
      </c>
      <c r="P23" s="101">
        <f t="shared" si="61"/>
        <v>2.5577688194096962E-2</v>
      </c>
      <c r="Q23" s="235">
        <v>94150.453417287936</v>
      </c>
      <c r="R23" s="101">
        <f t="shared" si="62"/>
        <v>1.1240515112455102E-2</v>
      </c>
      <c r="S23" s="228">
        <f t="shared" si="63"/>
        <v>308388.9395318504</v>
      </c>
      <c r="T23" s="101">
        <f t="shared" si="64"/>
        <v>3.6818203306552069E-2</v>
      </c>
      <c r="U23" s="235">
        <v>1173191.1018063165</v>
      </c>
      <c r="V23" s="101">
        <f t="shared" si="65"/>
        <v>0.14006594584525178</v>
      </c>
      <c r="W23" s="235">
        <v>69315.851020439179</v>
      </c>
      <c r="X23" s="101">
        <f t="shared" si="66"/>
        <v>8.2755402937323089E-3</v>
      </c>
      <c r="Y23" s="235">
        <v>1086052.8325406869</v>
      </c>
      <c r="Z23" s="101">
        <f t="shared" si="67"/>
        <v>0.12966260739065824</v>
      </c>
      <c r="AA23" s="235">
        <v>1363785.0017977771</v>
      </c>
      <c r="AB23" s="101">
        <f t="shared" si="68"/>
        <v>0.16282073390453464</v>
      </c>
      <c r="AC23" s="228">
        <f t="shared" si="69"/>
        <v>2449837.8343384638</v>
      </c>
      <c r="AD23" s="101">
        <f t="shared" si="70"/>
        <v>0.29248334129519282</v>
      </c>
      <c r="AE23" s="235">
        <v>1404709.5683712712</v>
      </c>
      <c r="AF23" s="101">
        <f t="shared" si="71"/>
        <v>0.16770667117136004</v>
      </c>
      <c r="AG23" s="235">
        <v>213984.57828582852</v>
      </c>
      <c r="AH23" s="101">
        <f t="shared" si="72"/>
        <v>2.5547374428390442E-2</v>
      </c>
      <c r="AI23" s="235">
        <v>795280.26872835797</v>
      </c>
      <c r="AJ23" s="101">
        <f t="shared" si="73"/>
        <v>9.494760306313102E-2</v>
      </c>
      <c r="AK23" s="235">
        <v>548193.91875120054</v>
      </c>
      <c r="AL23" s="101">
        <f t="shared" si="74"/>
        <v>6.5448245915164002E-2</v>
      </c>
    </row>
    <row r="24" spans="2:38" ht="14.25">
      <c r="B24" s="98"/>
      <c r="C24" s="98"/>
      <c r="D24" s="553">
        <f t="shared" si="19"/>
        <v>46099</v>
      </c>
      <c r="E24" s="553" t="s">
        <v>585</v>
      </c>
      <c r="F24" s="229">
        <f t="shared" si="20"/>
        <v>7820204.0000000009</v>
      </c>
      <c r="G24" s="330"/>
      <c r="H24" s="364"/>
      <c r="I24" s="235">
        <v>594223.21942122257</v>
      </c>
      <c r="J24" s="101">
        <f t="shared" si="57"/>
        <v>7.5985641732776082E-2</v>
      </c>
      <c r="K24" s="235">
        <v>788526.65755022375</v>
      </c>
      <c r="L24" s="101">
        <f t="shared" si="58"/>
        <v>0.10083198054043394</v>
      </c>
      <c r="M24" s="228">
        <f t="shared" si="59"/>
        <v>1382749.8769714464</v>
      </c>
      <c r="N24" s="101">
        <f t="shared" si="60"/>
        <v>0.17681762227321005</v>
      </c>
      <c r="O24" s="235">
        <v>195059.10641192499</v>
      </c>
      <c r="P24" s="101">
        <f t="shared" si="61"/>
        <v>2.4942969059621074E-2</v>
      </c>
      <c r="Q24" s="235">
        <v>98815.476769642308</v>
      </c>
      <c r="R24" s="101">
        <f t="shared" si="62"/>
        <v>1.2635920593585832E-2</v>
      </c>
      <c r="S24" s="228">
        <f t="shared" si="63"/>
        <v>293874.58318156732</v>
      </c>
      <c r="T24" s="101">
        <f t="shared" si="64"/>
        <v>3.7578889653206909E-2</v>
      </c>
      <c r="U24" s="235">
        <v>1039762.7270933164</v>
      </c>
      <c r="V24" s="101">
        <f t="shared" si="65"/>
        <v>0.13295851707875092</v>
      </c>
      <c r="W24" s="235">
        <v>76030.431582951147</v>
      </c>
      <c r="X24" s="101">
        <f t="shared" si="66"/>
        <v>9.7223079580725947E-3</v>
      </c>
      <c r="Y24" s="235">
        <v>625643.03034770279</v>
      </c>
      <c r="Z24" s="101">
        <f t="shared" si="67"/>
        <v>8.0003415556384808E-2</v>
      </c>
      <c r="AA24" s="235">
        <v>1290634.6221463294</v>
      </c>
      <c r="AB24" s="101">
        <f t="shared" si="68"/>
        <v>0.16503848520400866</v>
      </c>
      <c r="AC24" s="228">
        <f t="shared" si="69"/>
        <v>1916277.6524940322</v>
      </c>
      <c r="AD24" s="101">
        <f t="shared" si="70"/>
        <v>0.24504190076039345</v>
      </c>
      <c r="AE24" s="235">
        <v>1352786.8173495</v>
      </c>
      <c r="AF24" s="101">
        <f t="shared" si="71"/>
        <v>0.17298612892317131</v>
      </c>
      <c r="AG24" s="235">
        <v>221983.54134988552</v>
      </c>
      <c r="AH24" s="101">
        <f t="shared" si="72"/>
        <v>2.8385901614572395E-2</v>
      </c>
      <c r="AI24" s="235">
        <v>937196.62748815666</v>
      </c>
      <c r="AJ24" s="101">
        <f t="shared" si="73"/>
        <v>0.11984298970821688</v>
      </c>
      <c r="AK24" s="235">
        <v>599541.74248914549</v>
      </c>
      <c r="AL24" s="101">
        <f t="shared" si="74"/>
        <v>7.666574203040552E-2</v>
      </c>
    </row>
    <row r="25" spans="2:38" ht="14.25">
      <c r="B25" s="98"/>
      <c r="C25" s="98"/>
      <c r="D25" s="553">
        <f t="shared" si="19"/>
        <v>46100</v>
      </c>
      <c r="E25" s="553" t="s">
        <v>586</v>
      </c>
      <c r="F25" s="229">
        <f t="shared" si="20"/>
        <v>7245796</v>
      </c>
      <c r="G25" s="330"/>
      <c r="H25" s="364"/>
      <c r="I25" s="235">
        <v>564203.93987684022</v>
      </c>
      <c r="J25" s="101">
        <f t="shared" si="57"/>
        <v>7.7866384849482412E-2</v>
      </c>
      <c r="K25" s="235">
        <v>731759.40552744421</v>
      </c>
      <c r="L25" s="101">
        <f t="shared" si="58"/>
        <v>0.10099089258480975</v>
      </c>
      <c r="M25" s="228">
        <f t="shared" si="59"/>
        <v>1295963.3454042845</v>
      </c>
      <c r="N25" s="101">
        <f t="shared" si="60"/>
        <v>0.17885727743429217</v>
      </c>
      <c r="O25" s="235">
        <v>181121.19273758432</v>
      </c>
      <c r="P25" s="101">
        <f t="shared" si="61"/>
        <v>2.4996728135540155E-2</v>
      </c>
      <c r="Q25" s="235">
        <v>98454.459426209578</v>
      </c>
      <c r="R25" s="101">
        <f t="shared" si="62"/>
        <v>1.3587804490522446E-2</v>
      </c>
      <c r="S25" s="228">
        <f t="shared" si="63"/>
        <v>279575.65216379391</v>
      </c>
      <c r="T25" s="101">
        <f t="shared" si="64"/>
        <v>3.8584532626062602E-2</v>
      </c>
      <c r="U25" s="235">
        <v>1022085.7590190043</v>
      </c>
      <c r="V25" s="101">
        <f t="shared" si="65"/>
        <v>0.14105914091688537</v>
      </c>
      <c r="W25" s="235">
        <v>77780.983077819794</v>
      </c>
      <c r="X25" s="101">
        <f t="shared" si="66"/>
        <v>1.0734636067289197E-2</v>
      </c>
      <c r="Y25" s="235">
        <v>586062.03777873213</v>
      </c>
      <c r="Z25" s="101">
        <f t="shared" si="67"/>
        <v>8.0883044151219843E-2</v>
      </c>
      <c r="AA25" s="235">
        <v>1078789.3733400642</v>
      </c>
      <c r="AB25" s="101">
        <f t="shared" si="68"/>
        <v>0.1488848669407839</v>
      </c>
      <c r="AC25" s="228">
        <f t="shared" si="69"/>
        <v>1664851.4111187963</v>
      </c>
      <c r="AD25" s="101">
        <f t="shared" si="70"/>
        <v>0.22976791109200373</v>
      </c>
      <c r="AE25" s="235">
        <v>1176987.7148383439</v>
      </c>
      <c r="AF25" s="101">
        <f t="shared" si="71"/>
        <v>0.16243732432411068</v>
      </c>
      <c r="AG25" s="235">
        <v>216730.70245599316</v>
      </c>
      <c r="AH25" s="101">
        <f t="shared" si="72"/>
        <v>2.9911234384185418E-2</v>
      </c>
      <c r="AI25" s="235">
        <v>923151.58876265911</v>
      </c>
      <c r="AJ25" s="101">
        <f t="shared" si="73"/>
        <v>0.1274051310253089</v>
      </c>
      <c r="AK25" s="235">
        <v>588668.84315930447</v>
      </c>
      <c r="AL25" s="101">
        <f t="shared" si="74"/>
        <v>8.1242812129861855E-2</v>
      </c>
    </row>
    <row r="26" spans="2:38" ht="14.25">
      <c r="B26" s="98"/>
      <c r="C26" s="98"/>
      <c r="D26" s="553">
        <f t="shared" si="19"/>
        <v>46101</v>
      </c>
      <c r="E26" s="553" t="s">
        <v>587</v>
      </c>
      <c r="F26" s="229">
        <f t="shared" si="20"/>
        <v>6666905.0000000019</v>
      </c>
      <c r="G26" s="330"/>
      <c r="H26" s="364"/>
      <c r="I26" s="235">
        <v>460288.16462641064</v>
      </c>
      <c r="J26" s="101">
        <f t="shared" si="57"/>
        <v>6.9040756486917168E-2</v>
      </c>
      <c r="K26" s="235">
        <v>703500.41014885856</v>
      </c>
      <c r="L26" s="101">
        <f t="shared" si="58"/>
        <v>0.10552128913624213</v>
      </c>
      <c r="M26" s="228">
        <f t="shared" si="59"/>
        <v>1163788.5747752693</v>
      </c>
      <c r="N26" s="101">
        <f t="shared" si="60"/>
        <v>0.1745620456231593</v>
      </c>
      <c r="O26" s="235">
        <v>160039.33126136364</v>
      </c>
      <c r="P26" s="101">
        <f t="shared" si="61"/>
        <v>2.4005041508970593E-2</v>
      </c>
      <c r="Q26" s="235">
        <v>77242.432757036033</v>
      </c>
      <c r="R26" s="101">
        <f t="shared" si="62"/>
        <v>1.1585950715817311E-2</v>
      </c>
      <c r="S26" s="228">
        <f t="shared" si="63"/>
        <v>237281.76401839967</v>
      </c>
      <c r="T26" s="101">
        <f t="shared" si="64"/>
        <v>3.5590992224787905E-2</v>
      </c>
      <c r="U26" s="235">
        <v>895254.82385286014</v>
      </c>
      <c r="V26" s="101">
        <f t="shared" si="65"/>
        <v>0.13428342294555867</v>
      </c>
      <c r="W26" s="235">
        <v>52191.60403572143</v>
      </c>
      <c r="X26" s="101">
        <f t="shared" si="66"/>
        <v>7.8284607378868321E-3</v>
      </c>
      <c r="Y26" s="235">
        <v>690031.76103853842</v>
      </c>
      <c r="Z26" s="101">
        <f t="shared" si="67"/>
        <v>0.10350106399274299</v>
      </c>
      <c r="AA26" s="235">
        <v>1152942.6110574459</v>
      </c>
      <c r="AB26" s="101">
        <f t="shared" si="68"/>
        <v>0.17293520922488703</v>
      </c>
      <c r="AC26" s="228">
        <f t="shared" si="69"/>
        <v>1842974.3720959844</v>
      </c>
      <c r="AD26" s="101">
        <f t="shared" si="70"/>
        <v>0.27643627321763004</v>
      </c>
      <c r="AE26" s="235">
        <v>999757.76763257221</v>
      </c>
      <c r="AF26" s="101">
        <f t="shared" si="71"/>
        <v>0.14995830413551295</v>
      </c>
      <c r="AG26" s="235">
        <v>169241.07301545335</v>
      </c>
      <c r="AH26" s="101">
        <f t="shared" si="72"/>
        <v>2.5385253429507891E-2</v>
      </c>
      <c r="AI26" s="235">
        <v>821127.12743817002</v>
      </c>
      <c r="AJ26" s="101">
        <f t="shared" si="73"/>
        <v>0.12316466597891672</v>
      </c>
      <c r="AK26" s="235">
        <v>485287.89313557051</v>
      </c>
      <c r="AL26" s="101">
        <f t="shared" si="74"/>
        <v>7.2790581707039531E-2</v>
      </c>
    </row>
    <row r="27" spans="2:38" ht="14.25">
      <c r="B27" s="98"/>
      <c r="C27" s="98"/>
      <c r="D27" s="553">
        <f t="shared" si="19"/>
        <v>46102</v>
      </c>
      <c r="E27" s="553" t="s">
        <v>588</v>
      </c>
      <c r="F27" s="229">
        <f t="shared" si="20"/>
        <v>7035053</v>
      </c>
      <c r="G27" s="330"/>
      <c r="H27" s="364"/>
      <c r="I27" s="235">
        <v>442986.70800321444</v>
      </c>
      <c r="J27" s="101">
        <f t="shared" si="57"/>
        <v>6.296849618662638E-2</v>
      </c>
      <c r="K27" s="235">
        <v>757693.46359162685</v>
      </c>
      <c r="L27" s="101">
        <f t="shared" si="58"/>
        <v>0.1077025949330626</v>
      </c>
      <c r="M27" s="228">
        <f t="shared" si="59"/>
        <v>1200680.1715948414</v>
      </c>
      <c r="N27" s="101">
        <f t="shared" si="60"/>
        <v>0.17067109111968901</v>
      </c>
      <c r="O27" s="235">
        <v>151349.61623981551</v>
      </c>
      <c r="P27" s="101">
        <f t="shared" si="61"/>
        <v>2.151364264630494E-2</v>
      </c>
      <c r="Q27" s="235">
        <v>71953.187595270283</v>
      </c>
      <c r="R27" s="101">
        <f t="shared" si="62"/>
        <v>1.0227810308645903E-2</v>
      </c>
      <c r="S27" s="228">
        <f t="shared" si="63"/>
        <v>223302.8038350858</v>
      </c>
      <c r="T27" s="101">
        <f t="shared" si="64"/>
        <v>3.1741452954950844E-2</v>
      </c>
      <c r="U27" s="235">
        <v>970656.90233494935</v>
      </c>
      <c r="V27" s="101">
        <f t="shared" si="65"/>
        <v>0.13797435532254687</v>
      </c>
      <c r="W27" s="235">
        <v>59439.086889517232</v>
      </c>
      <c r="X27" s="101">
        <f t="shared" si="66"/>
        <v>8.4489892101050606E-3</v>
      </c>
      <c r="Y27" s="235">
        <v>760356.56804550847</v>
      </c>
      <c r="Z27" s="101">
        <f t="shared" si="67"/>
        <v>0.10808114282088685</v>
      </c>
      <c r="AA27" s="235">
        <v>1161869.5640483303</v>
      </c>
      <c r="AB27" s="101">
        <f t="shared" si="68"/>
        <v>0.16515434411771032</v>
      </c>
      <c r="AC27" s="228">
        <f t="shared" si="69"/>
        <v>1922226.1320938389</v>
      </c>
      <c r="AD27" s="101">
        <f t="shared" si="70"/>
        <v>0.27323548693859717</v>
      </c>
      <c r="AE27" s="235">
        <v>1091524.4977059471</v>
      </c>
      <c r="AF27" s="101">
        <f t="shared" si="71"/>
        <v>0.15515512075117943</v>
      </c>
      <c r="AG27" s="235">
        <v>179912.00806590854</v>
      </c>
      <c r="AH27" s="101">
        <f t="shared" si="72"/>
        <v>2.5573653541189886E-2</v>
      </c>
      <c r="AI27" s="235">
        <v>858802.00632962922</v>
      </c>
      <c r="AJ27" s="101">
        <f t="shared" si="73"/>
        <v>0.12207470310879381</v>
      </c>
      <c r="AK27" s="235">
        <v>528509.39115028211</v>
      </c>
      <c r="AL27" s="101">
        <f t="shared" si="74"/>
        <v>7.5125147052947872E-2</v>
      </c>
    </row>
    <row r="28" spans="2:38" ht="14.25">
      <c r="B28" s="98"/>
      <c r="C28" s="98"/>
      <c r="D28" s="553">
        <f t="shared" si="19"/>
        <v>46103</v>
      </c>
      <c r="E28" s="553" t="s">
        <v>589</v>
      </c>
      <c r="F28" s="229">
        <f t="shared" si="20"/>
        <v>8486244</v>
      </c>
      <c r="G28" s="330"/>
      <c r="H28" s="364"/>
      <c r="I28" s="235">
        <v>568543.14786380052</v>
      </c>
      <c r="J28" s="101">
        <f t="shared" si="57"/>
        <v>6.6995852094731259E-2</v>
      </c>
      <c r="K28" s="235">
        <v>814347.17238519702</v>
      </c>
      <c r="L28" s="101">
        <f t="shared" si="58"/>
        <v>9.5960848213319933E-2</v>
      </c>
      <c r="M28" s="228">
        <f t="shared" si="59"/>
        <v>1382890.3202489975</v>
      </c>
      <c r="N28" s="101">
        <f t="shared" si="60"/>
        <v>0.16295670030805118</v>
      </c>
      <c r="O28" s="235">
        <v>198524.15207661968</v>
      </c>
      <c r="P28" s="101">
        <f t="shared" si="61"/>
        <v>2.3393641766206542E-2</v>
      </c>
      <c r="Q28" s="235">
        <v>89774.653864969237</v>
      </c>
      <c r="R28" s="101">
        <f t="shared" si="62"/>
        <v>1.057884428788157E-2</v>
      </c>
      <c r="S28" s="228">
        <f t="shared" si="63"/>
        <v>288298.80594158894</v>
      </c>
      <c r="T28" s="101">
        <f t="shared" si="64"/>
        <v>3.3972486054088112E-2</v>
      </c>
      <c r="U28" s="235">
        <v>1206432.1300131006</v>
      </c>
      <c r="V28" s="101">
        <f t="shared" si="65"/>
        <v>0.14216326209959324</v>
      </c>
      <c r="W28" s="235">
        <v>57645.960217022854</v>
      </c>
      <c r="X28" s="101">
        <f t="shared" si="66"/>
        <v>6.7928709352480148E-3</v>
      </c>
      <c r="Y28" s="235">
        <v>969435.37165962148</v>
      </c>
      <c r="Z28" s="101">
        <f t="shared" si="67"/>
        <v>0.11423609451479612</v>
      </c>
      <c r="AA28" s="235">
        <v>1316875.9944444464</v>
      </c>
      <c r="AB28" s="101">
        <f t="shared" si="68"/>
        <v>0.1551777199011066</v>
      </c>
      <c r="AC28" s="228">
        <f t="shared" si="69"/>
        <v>2286311.3661040678</v>
      </c>
      <c r="AD28" s="101">
        <f t="shared" si="70"/>
        <v>0.26941381441590267</v>
      </c>
      <c r="AE28" s="235">
        <v>1397621.5679397427</v>
      </c>
      <c r="AF28" s="101">
        <f t="shared" si="71"/>
        <v>0.16469259756610141</v>
      </c>
      <c r="AG28" s="235">
        <v>213190.40147865325</v>
      </c>
      <c r="AH28" s="101">
        <f t="shared" si="72"/>
        <v>2.5121879771386878E-2</v>
      </c>
      <c r="AI28" s="235">
        <v>1051466.5390518401</v>
      </c>
      <c r="AJ28" s="101">
        <f t="shared" si="73"/>
        <v>0.12390246368733213</v>
      </c>
      <c r="AK28" s="235">
        <v>602386.90900498687</v>
      </c>
      <c r="AL28" s="101">
        <f t="shared" si="74"/>
        <v>7.0983925162296402E-2</v>
      </c>
    </row>
    <row r="29" spans="2:38" ht="14.25">
      <c r="B29" s="98"/>
      <c r="C29" s="98"/>
      <c r="D29" s="553">
        <f t="shared" si="19"/>
        <v>46104</v>
      </c>
      <c r="E29" s="553" t="s">
        <v>583</v>
      </c>
      <c r="F29" s="229">
        <f t="shared" si="20"/>
        <v>8093198.0000000009</v>
      </c>
      <c r="G29" s="330"/>
      <c r="H29" s="364"/>
      <c r="I29" s="235">
        <v>525374.00704756961</v>
      </c>
      <c r="J29" s="101">
        <f t="shared" si="57"/>
        <v>6.4915501517146812E-2</v>
      </c>
      <c r="K29" s="235">
        <v>797665.69106452423</v>
      </c>
      <c r="L29" s="101">
        <f t="shared" si="58"/>
        <v>9.8560011884612747E-2</v>
      </c>
      <c r="M29" s="228">
        <f t="shared" si="59"/>
        <v>1323039.6981120938</v>
      </c>
      <c r="N29" s="101">
        <f t="shared" si="60"/>
        <v>0.16347551340175956</v>
      </c>
      <c r="O29" s="235">
        <v>169484.96252151832</v>
      </c>
      <c r="P29" s="101">
        <f t="shared" si="61"/>
        <v>2.0941655266746014E-2</v>
      </c>
      <c r="Q29" s="235">
        <v>90400.993244513622</v>
      </c>
      <c r="R29" s="101">
        <f t="shared" si="62"/>
        <v>1.116999648896686E-2</v>
      </c>
      <c r="S29" s="228">
        <f t="shared" si="63"/>
        <v>259885.95576603193</v>
      </c>
      <c r="T29" s="101">
        <f t="shared" si="64"/>
        <v>3.2111651755712872E-2</v>
      </c>
      <c r="U29" s="235">
        <v>1162490.1133778968</v>
      </c>
      <c r="V29" s="101">
        <f t="shared" si="65"/>
        <v>0.14363791833313563</v>
      </c>
      <c r="W29" s="235">
        <v>71698.978929481455</v>
      </c>
      <c r="X29" s="101">
        <f t="shared" si="66"/>
        <v>8.859165305171262E-3</v>
      </c>
      <c r="Y29" s="235">
        <v>854730.85026090255</v>
      </c>
      <c r="Z29" s="101">
        <f t="shared" si="67"/>
        <v>0.10561101436797944</v>
      </c>
      <c r="AA29" s="235">
        <v>1273778.8586655795</v>
      </c>
      <c r="AB29" s="101">
        <f t="shared" si="68"/>
        <v>0.1573888169627852</v>
      </c>
      <c r="AC29" s="228">
        <f t="shared" si="69"/>
        <v>2128509.7089264821</v>
      </c>
      <c r="AD29" s="101">
        <f t="shared" si="70"/>
        <v>0.26299983133076466</v>
      </c>
      <c r="AE29" s="235">
        <v>1314678.0096983018</v>
      </c>
      <c r="AF29" s="101">
        <f t="shared" si="71"/>
        <v>0.1624423385784336</v>
      </c>
      <c r="AG29" s="235">
        <v>210984.06777254731</v>
      </c>
      <c r="AH29" s="101">
        <f t="shared" si="72"/>
        <v>2.606930755586942E-2</v>
      </c>
      <c r="AI29" s="235">
        <v>993172.43810543255</v>
      </c>
      <c r="AJ29" s="101">
        <f t="shared" si="73"/>
        <v>0.12271693317097054</v>
      </c>
      <c r="AK29" s="235">
        <v>628739.02931173332</v>
      </c>
      <c r="AL29" s="101">
        <f t="shared" si="74"/>
        <v>7.7687340568182467E-2</v>
      </c>
    </row>
    <row r="30" spans="2:38" ht="14.25">
      <c r="B30" s="98"/>
      <c r="C30" s="98"/>
      <c r="D30" s="519">
        <f t="shared" si="19"/>
        <v>46105</v>
      </c>
      <c r="E30" s="519" t="s">
        <v>584</v>
      </c>
      <c r="F30" s="229">
        <f t="shared" si="20"/>
        <v>8093142.0000000009</v>
      </c>
      <c r="G30" s="330">
        <f>SUM(F30:F36)</f>
        <v>53987945</v>
      </c>
      <c r="H30" s="364"/>
      <c r="I30" s="235">
        <v>519258.98220796674</v>
      </c>
      <c r="J30" s="101">
        <f t="shared" si="57"/>
        <v>6.416036963245754E-2</v>
      </c>
      <c r="K30" s="235">
        <v>783249.09510623233</v>
      </c>
      <c r="L30" s="101">
        <f t="shared" si="58"/>
        <v>9.6779359006209487E-2</v>
      </c>
      <c r="M30" s="228">
        <f t="shared" si="59"/>
        <v>1302508.0773141989</v>
      </c>
      <c r="N30" s="101">
        <f t="shared" si="60"/>
        <v>0.16093972863866701</v>
      </c>
      <c r="O30" s="235">
        <v>176301.16180237458</v>
      </c>
      <c r="P30" s="101">
        <f t="shared" si="61"/>
        <v>2.1784019334193636E-2</v>
      </c>
      <c r="Q30" s="235">
        <v>90445.073284057027</v>
      </c>
      <c r="R30" s="101">
        <f t="shared" si="62"/>
        <v>1.1175520370711031E-2</v>
      </c>
      <c r="S30" s="228">
        <f t="shared" si="63"/>
        <v>266746.23508643161</v>
      </c>
      <c r="T30" s="101">
        <f t="shared" si="64"/>
        <v>3.2959539704904665E-2</v>
      </c>
      <c r="U30" s="235">
        <v>1104936.6420690969</v>
      </c>
      <c r="V30" s="101">
        <f t="shared" si="65"/>
        <v>0.1365275244236536</v>
      </c>
      <c r="W30" s="235">
        <v>65764.879849393852</v>
      </c>
      <c r="X30" s="101">
        <f t="shared" si="66"/>
        <v>8.1260009832267669E-3</v>
      </c>
      <c r="Y30" s="235">
        <v>997609.44429010595</v>
      </c>
      <c r="Z30" s="101">
        <f t="shared" si="67"/>
        <v>0.12326602502342178</v>
      </c>
      <c r="AA30" s="235">
        <v>1262443.0046757145</v>
      </c>
      <c r="AB30" s="101">
        <f t="shared" si="68"/>
        <v>0.15598923195413034</v>
      </c>
      <c r="AC30" s="228">
        <f t="shared" si="69"/>
        <v>2260052.4489658205</v>
      </c>
      <c r="AD30" s="101">
        <f t="shared" si="70"/>
        <v>0.27925525697755216</v>
      </c>
      <c r="AE30" s="235">
        <v>1233931.8500740479</v>
      </c>
      <c r="AF30" s="101">
        <f t="shared" si="71"/>
        <v>0.15246635362063926</v>
      </c>
      <c r="AG30" s="235">
        <v>205345.61041454092</v>
      </c>
      <c r="AH30" s="101">
        <f t="shared" si="72"/>
        <v>2.5372792225138382E-2</v>
      </c>
      <c r="AI30" s="235">
        <v>1047255.0439201561</v>
      </c>
      <c r="AJ30" s="101">
        <f t="shared" si="73"/>
        <v>0.12940030508795669</v>
      </c>
      <c r="AK30" s="235">
        <v>606601.21230631403</v>
      </c>
      <c r="AL30" s="101">
        <f t="shared" si="74"/>
        <v>7.4952498338261453E-2</v>
      </c>
    </row>
    <row r="31" spans="2:38" ht="14.25">
      <c r="B31" s="98"/>
      <c r="C31" s="98"/>
      <c r="D31" s="554">
        <f t="shared" si="19"/>
        <v>46106</v>
      </c>
      <c r="E31" s="554" t="s">
        <v>585</v>
      </c>
      <c r="F31" s="229">
        <f t="shared" si="20"/>
        <v>7691347</v>
      </c>
      <c r="G31" s="330"/>
      <c r="H31" s="364"/>
      <c r="I31" s="235">
        <v>515994.427422215</v>
      </c>
      <c r="J31" s="101">
        <f t="shared" si="57"/>
        <v>6.7087654142013745E-2</v>
      </c>
      <c r="K31" s="235">
        <v>768488.7465351487</v>
      </c>
      <c r="L31" s="101">
        <f t="shared" si="58"/>
        <v>9.9916015560752719E-2</v>
      </c>
      <c r="M31" s="228">
        <f t="shared" si="59"/>
        <v>1284483.1739573637</v>
      </c>
      <c r="N31" s="101">
        <f t="shared" si="60"/>
        <v>0.16700366970276645</v>
      </c>
      <c r="O31" s="235">
        <v>169869.33788467766</v>
      </c>
      <c r="P31" s="101">
        <f t="shared" si="61"/>
        <v>2.2085772217100289E-2</v>
      </c>
      <c r="Q31" s="235">
        <v>90149.228654983555</v>
      </c>
      <c r="R31" s="101">
        <f t="shared" si="62"/>
        <v>1.1720863543795847E-2</v>
      </c>
      <c r="S31" s="228">
        <f t="shared" si="63"/>
        <v>260018.5665396612</v>
      </c>
      <c r="T31" s="101">
        <f t="shared" si="64"/>
        <v>3.3806635760896132E-2</v>
      </c>
      <c r="U31" s="235">
        <v>1015212.0440631913</v>
      </c>
      <c r="V31" s="101">
        <f t="shared" si="65"/>
        <v>0.13199405046517745</v>
      </c>
      <c r="W31" s="235">
        <v>67733.582038160574</v>
      </c>
      <c r="X31" s="101">
        <f t="shared" si="66"/>
        <v>8.8064655044377237E-3</v>
      </c>
      <c r="Y31" s="235">
        <v>853105.7048751727</v>
      </c>
      <c r="Z31" s="101">
        <f t="shared" si="67"/>
        <v>0.11091759413210361</v>
      </c>
      <c r="AA31" s="235">
        <v>1142321.6076387963</v>
      </c>
      <c r="AB31" s="101">
        <f t="shared" si="68"/>
        <v>0.14852035770051675</v>
      </c>
      <c r="AC31" s="228">
        <f t="shared" si="69"/>
        <v>1995427.3125139689</v>
      </c>
      <c r="AD31" s="101">
        <f t="shared" si="70"/>
        <v>0.25943795183262036</v>
      </c>
      <c r="AE31" s="235">
        <v>1205274.9897579353</v>
      </c>
      <c r="AF31" s="101">
        <f t="shared" si="71"/>
        <v>0.15670531959589593</v>
      </c>
      <c r="AG31" s="235">
        <v>196980.87452267876</v>
      </c>
      <c r="AH31" s="101">
        <f t="shared" si="72"/>
        <v>2.5610712209796119E-2</v>
      </c>
      <c r="AI31" s="235">
        <v>1068843.7499295073</v>
      </c>
      <c r="AJ31" s="101">
        <f t="shared" si="73"/>
        <v>0.13896704308484681</v>
      </c>
      <c r="AK31" s="235">
        <v>597372.70667753415</v>
      </c>
      <c r="AL31" s="101">
        <f t="shared" si="74"/>
        <v>7.7668151843563182E-2</v>
      </c>
    </row>
    <row r="32" spans="2:38" ht="14.25">
      <c r="B32" s="98"/>
      <c r="C32" s="98"/>
      <c r="D32" s="554">
        <f t="shared" si="19"/>
        <v>46107</v>
      </c>
      <c r="E32" s="554" t="s">
        <v>586</v>
      </c>
      <c r="F32" s="229">
        <f t="shared" si="20"/>
        <v>7180490</v>
      </c>
      <c r="G32" s="330"/>
      <c r="H32" s="364"/>
      <c r="I32" s="235">
        <v>497639.02279322041</v>
      </c>
      <c r="J32" s="101">
        <f t="shared" si="57"/>
        <v>6.9304326416890827E-2</v>
      </c>
      <c r="K32" s="235">
        <v>713804.63051369262</v>
      </c>
      <c r="L32" s="101">
        <f t="shared" si="58"/>
        <v>9.9408902528057647E-2</v>
      </c>
      <c r="M32" s="228">
        <f t="shared" si="59"/>
        <v>1211443.6533069131</v>
      </c>
      <c r="N32" s="101">
        <f t="shared" si="60"/>
        <v>0.16871322894494847</v>
      </c>
      <c r="O32" s="235">
        <v>171162.64285974039</v>
      </c>
      <c r="P32" s="101">
        <f t="shared" si="61"/>
        <v>2.3837181426301046E-2</v>
      </c>
      <c r="Q32" s="235">
        <v>88761.864062514273</v>
      </c>
      <c r="R32" s="101">
        <f t="shared" si="62"/>
        <v>1.2361532996009224E-2</v>
      </c>
      <c r="S32" s="228">
        <f t="shared" si="63"/>
        <v>259924.50692225466</v>
      </c>
      <c r="T32" s="101">
        <f t="shared" si="64"/>
        <v>3.619871442231027E-2</v>
      </c>
      <c r="U32" s="235">
        <v>997379.56214319309</v>
      </c>
      <c r="V32" s="101">
        <f t="shared" si="65"/>
        <v>0.13890132318869508</v>
      </c>
      <c r="W32" s="235">
        <v>71136.588350316888</v>
      </c>
      <c r="X32" s="101">
        <f t="shared" si="66"/>
        <v>9.9069267348491381E-3</v>
      </c>
      <c r="Y32" s="235">
        <v>823042.5623059785</v>
      </c>
      <c r="Z32" s="101">
        <f t="shared" si="67"/>
        <v>0.11462206093260745</v>
      </c>
      <c r="AA32" s="235">
        <v>1001944.8238722597</v>
      </c>
      <c r="AB32" s="101">
        <f t="shared" si="68"/>
        <v>0.13953711012371853</v>
      </c>
      <c r="AC32" s="228">
        <f t="shared" si="69"/>
        <v>1824987.3861782383</v>
      </c>
      <c r="AD32" s="101">
        <f t="shared" si="70"/>
        <v>0.25415917105632602</v>
      </c>
      <c r="AE32" s="235">
        <v>1157441.4871352057</v>
      </c>
      <c r="AF32" s="101">
        <f t="shared" si="71"/>
        <v>0.16119254913455847</v>
      </c>
      <c r="AG32" s="235">
        <v>194786.65544417157</v>
      </c>
      <c r="AH32" s="101">
        <f t="shared" si="72"/>
        <v>2.712720934701832E-2</v>
      </c>
      <c r="AI32" s="235">
        <v>864672.18815817591</v>
      </c>
      <c r="AJ32" s="101">
        <f t="shared" si="73"/>
        <v>0.12041966330406086</v>
      </c>
      <c r="AK32" s="235">
        <v>598717.97236153216</v>
      </c>
      <c r="AL32" s="101">
        <f t="shared" si="74"/>
        <v>8.33812138672336E-2</v>
      </c>
    </row>
    <row r="33" spans="2:38" ht="14.25">
      <c r="B33" s="98"/>
      <c r="C33" s="98"/>
      <c r="D33" s="554">
        <f t="shared" si="19"/>
        <v>46108</v>
      </c>
      <c r="E33" s="554" t="s">
        <v>587</v>
      </c>
      <c r="F33" s="229">
        <f t="shared" si="20"/>
        <v>7065299</v>
      </c>
      <c r="G33" s="330"/>
      <c r="H33" s="364"/>
      <c r="I33" s="235">
        <v>437001.38427438226</v>
      </c>
      <c r="J33" s="101">
        <f t="shared" si="57"/>
        <v>6.1851789184630725E-2</v>
      </c>
      <c r="K33" s="235">
        <v>697195.22562559927</v>
      </c>
      <c r="L33" s="101">
        <f t="shared" si="58"/>
        <v>9.8678799810963308E-2</v>
      </c>
      <c r="M33" s="228">
        <f t="shared" si="59"/>
        <v>1134196.6098999814</v>
      </c>
      <c r="N33" s="101">
        <f t="shared" si="60"/>
        <v>0.16053058899559403</v>
      </c>
      <c r="O33" s="235">
        <v>142856.92943347889</v>
      </c>
      <c r="P33" s="101">
        <f t="shared" si="61"/>
        <v>2.0219516461154566E-2</v>
      </c>
      <c r="Q33" s="235">
        <v>77730.262515924303</v>
      </c>
      <c r="R33" s="101">
        <f t="shared" si="62"/>
        <v>1.1001694693448119E-2</v>
      </c>
      <c r="S33" s="228">
        <f t="shared" si="63"/>
        <v>220587.1919494032</v>
      </c>
      <c r="T33" s="101">
        <f t="shared" si="64"/>
        <v>3.1221211154602687E-2</v>
      </c>
      <c r="U33" s="235">
        <v>931952.2491307219</v>
      </c>
      <c r="V33" s="101">
        <f t="shared" si="65"/>
        <v>0.13190556395854186</v>
      </c>
      <c r="W33" s="235">
        <v>50260.05198892334</v>
      </c>
      <c r="X33" s="101">
        <f t="shared" si="66"/>
        <v>7.1136482672457795E-3</v>
      </c>
      <c r="Y33" s="235">
        <v>879112.31453928887</v>
      </c>
      <c r="Z33" s="101">
        <f t="shared" si="67"/>
        <v>0.12442676729453189</v>
      </c>
      <c r="AA33" s="235">
        <v>1135267.7941135403</v>
      </c>
      <c r="AB33" s="101">
        <f t="shared" si="68"/>
        <v>0.16068220100997005</v>
      </c>
      <c r="AC33" s="228">
        <f t="shared" si="69"/>
        <v>2014380.1086528292</v>
      </c>
      <c r="AD33" s="101">
        <f t="shared" si="70"/>
        <v>0.28510896830450194</v>
      </c>
      <c r="AE33" s="235">
        <v>1086916.5073716983</v>
      </c>
      <c r="AF33" s="101">
        <f t="shared" si="71"/>
        <v>0.15383871331867177</v>
      </c>
      <c r="AG33" s="235">
        <v>151174.34698563247</v>
      </c>
      <c r="AH33" s="101">
        <f t="shared" si="72"/>
        <v>2.1396737347652586E-2</v>
      </c>
      <c r="AI33" s="235">
        <v>947985.68255463359</v>
      </c>
      <c r="AJ33" s="101">
        <f t="shared" si="73"/>
        <v>0.13417488524613516</v>
      </c>
      <c r="AK33" s="235">
        <v>527846.25146617682</v>
      </c>
      <c r="AL33" s="101">
        <f t="shared" si="74"/>
        <v>7.4709683407054223E-2</v>
      </c>
    </row>
    <row r="34" spans="2:38" ht="14.25">
      <c r="B34" s="98"/>
      <c r="C34" s="98"/>
      <c r="D34" s="554">
        <f t="shared" si="19"/>
        <v>46109</v>
      </c>
      <c r="E34" s="554" t="s">
        <v>588</v>
      </c>
      <c r="F34" s="229">
        <f t="shared" si="20"/>
        <v>7298371.0000000009</v>
      </c>
      <c r="G34" s="330"/>
      <c r="H34" s="364"/>
      <c r="I34" s="235">
        <v>422690.42109980906</v>
      </c>
      <c r="J34" s="101">
        <f t="shared" si="57"/>
        <v>5.7915721343818914E-2</v>
      </c>
      <c r="K34" s="235">
        <v>753938.12329343252</v>
      </c>
      <c r="L34" s="101">
        <f t="shared" si="58"/>
        <v>0.10330224693886245</v>
      </c>
      <c r="M34" s="228">
        <f t="shared" si="59"/>
        <v>1176628.5443932416</v>
      </c>
      <c r="N34" s="101">
        <f t="shared" si="60"/>
        <v>0.16121796828268137</v>
      </c>
      <c r="O34" s="235">
        <v>132881.67455993695</v>
      </c>
      <c r="P34" s="101">
        <f t="shared" si="61"/>
        <v>1.8207032029467524E-2</v>
      </c>
      <c r="Q34" s="235">
        <v>74154.401697951762</v>
      </c>
      <c r="R34" s="101">
        <f t="shared" si="62"/>
        <v>1.0160404520125347E-2</v>
      </c>
      <c r="S34" s="228">
        <f t="shared" si="63"/>
        <v>207036.07625788869</v>
      </c>
      <c r="T34" s="101">
        <f t="shared" si="64"/>
        <v>2.8367436549592871E-2</v>
      </c>
      <c r="U34" s="235">
        <v>1007340.2609105716</v>
      </c>
      <c r="V34" s="101">
        <f t="shared" si="65"/>
        <v>0.13802261640447869</v>
      </c>
      <c r="W34" s="235">
        <v>59498.064481038877</v>
      </c>
      <c r="X34" s="101">
        <f t="shared" si="66"/>
        <v>8.1522389696329321E-3</v>
      </c>
      <c r="Y34" s="235">
        <v>887184.64452868188</v>
      </c>
      <c r="Z34" s="101">
        <f t="shared" si="67"/>
        <v>0.12155926912028475</v>
      </c>
      <c r="AA34" s="235">
        <v>1121615.1785176767</v>
      </c>
      <c r="AB34" s="101">
        <f t="shared" si="68"/>
        <v>0.15368020870926902</v>
      </c>
      <c r="AC34" s="228">
        <f t="shared" si="69"/>
        <v>2008799.8230463585</v>
      </c>
      <c r="AD34" s="101">
        <f t="shared" si="70"/>
        <v>0.27523947782955377</v>
      </c>
      <c r="AE34" s="235">
        <v>1179197.5952562094</v>
      </c>
      <c r="AF34" s="101">
        <f t="shared" si="71"/>
        <v>0.16156997160821357</v>
      </c>
      <c r="AG34" s="235">
        <v>166446.45708901371</v>
      </c>
      <c r="AH34" s="101">
        <f t="shared" si="72"/>
        <v>2.2805973701393596E-2</v>
      </c>
      <c r="AI34" s="235">
        <v>956817.11268298014</v>
      </c>
      <c r="AJ34" s="101">
        <f t="shared" si="73"/>
        <v>0.13110009242925305</v>
      </c>
      <c r="AK34" s="235">
        <v>536607.06588269759</v>
      </c>
      <c r="AL34" s="101">
        <f t="shared" si="74"/>
        <v>7.3524224225200052E-2</v>
      </c>
    </row>
    <row r="35" spans="2:38" ht="14.25">
      <c r="B35" s="98"/>
      <c r="C35" s="98"/>
      <c r="D35" s="554">
        <f t="shared" si="19"/>
        <v>46110</v>
      </c>
      <c r="E35" s="554" t="s">
        <v>589</v>
      </c>
      <c r="F35" s="229">
        <f t="shared" si="20"/>
        <v>8464560</v>
      </c>
      <c r="G35" s="330"/>
      <c r="H35" s="364"/>
      <c r="I35" s="235">
        <v>536023.30384723074</v>
      </c>
      <c r="J35" s="101">
        <f t="shared" si="57"/>
        <v>6.3325595641974389E-2</v>
      </c>
      <c r="K35" s="235">
        <v>804038.20671003894</v>
      </c>
      <c r="L35" s="101">
        <f t="shared" si="58"/>
        <v>9.4988777527720156E-2</v>
      </c>
      <c r="M35" s="228">
        <f t="shared" si="59"/>
        <v>1340061.5105572697</v>
      </c>
      <c r="N35" s="101">
        <f t="shared" si="60"/>
        <v>0.15831437316969454</v>
      </c>
      <c r="O35" s="235">
        <v>168074.23799146913</v>
      </c>
      <c r="P35" s="101">
        <f t="shared" si="61"/>
        <v>1.9856228556649032E-2</v>
      </c>
      <c r="Q35" s="235">
        <v>87506.72506833692</v>
      </c>
      <c r="R35" s="101">
        <f t="shared" si="62"/>
        <v>1.0338012261515888E-2</v>
      </c>
      <c r="S35" s="228">
        <f t="shared" si="63"/>
        <v>255580.96305980603</v>
      </c>
      <c r="T35" s="101">
        <f t="shared" si="64"/>
        <v>3.0194240818164918E-2</v>
      </c>
      <c r="U35" s="235">
        <v>1227261.7118812371</v>
      </c>
      <c r="V35" s="101">
        <f t="shared" si="65"/>
        <v>0.14498824651030143</v>
      </c>
      <c r="W35" s="235">
        <v>57665.71808847045</v>
      </c>
      <c r="X35" s="101">
        <f t="shared" si="66"/>
        <v>6.812606690539195E-3</v>
      </c>
      <c r="Y35" s="235">
        <v>1037510.4387313945</v>
      </c>
      <c r="Z35" s="101">
        <f t="shared" si="67"/>
        <v>0.12257110100600557</v>
      </c>
      <c r="AA35" s="235">
        <v>1254906.048953058</v>
      </c>
      <c r="AB35" s="101">
        <f t="shared" si="68"/>
        <v>0.14825413830760936</v>
      </c>
      <c r="AC35" s="228">
        <f t="shared" si="69"/>
        <v>2292416.4876844524</v>
      </c>
      <c r="AD35" s="101">
        <f t="shared" si="70"/>
        <v>0.27082523931361496</v>
      </c>
      <c r="AE35" s="235">
        <v>1455980.3093838494</v>
      </c>
      <c r="AF35" s="101">
        <f t="shared" si="71"/>
        <v>0.17200897735781298</v>
      </c>
      <c r="AG35" s="235">
        <v>196649.47580830182</v>
      </c>
      <c r="AH35" s="101">
        <f t="shared" si="72"/>
        <v>2.3232096625022663E-2</v>
      </c>
      <c r="AI35" s="235">
        <v>1032635.1006859016</v>
      </c>
      <c r="AJ35" s="101">
        <f t="shared" si="73"/>
        <v>0.12199513036541788</v>
      </c>
      <c r="AK35" s="235">
        <v>606308.72285071167</v>
      </c>
      <c r="AL35" s="101">
        <f t="shared" si="74"/>
        <v>7.1629089149431474E-2</v>
      </c>
    </row>
    <row r="36" spans="2:38" ht="14.25">
      <c r="B36" s="98"/>
      <c r="C36" s="98"/>
      <c r="D36" s="554">
        <f t="shared" si="19"/>
        <v>46111</v>
      </c>
      <c r="E36" s="554" t="s">
        <v>583</v>
      </c>
      <c r="F36" s="229">
        <f t="shared" si="20"/>
        <v>8194735.9999999991</v>
      </c>
      <c r="G36" s="330"/>
      <c r="H36" s="364"/>
      <c r="I36" s="235">
        <v>523108.96282694174</v>
      </c>
      <c r="J36" s="101">
        <f t="shared" si="57"/>
        <v>6.3834754753166162E-2</v>
      </c>
      <c r="K36" s="235">
        <v>868446.27775076812</v>
      </c>
      <c r="L36" s="101">
        <f t="shared" si="58"/>
        <v>0.10597611414824934</v>
      </c>
      <c r="M36" s="228">
        <f t="shared" si="59"/>
        <v>1391555.2405777099</v>
      </c>
      <c r="N36" s="101">
        <f t="shared" si="60"/>
        <v>0.1698108689014155</v>
      </c>
      <c r="O36" s="235">
        <v>158596.73152740378</v>
      </c>
      <c r="P36" s="101">
        <f t="shared" si="61"/>
        <v>1.9353488816162449E-2</v>
      </c>
      <c r="Q36" s="235">
        <v>89261.089224590149</v>
      </c>
      <c r="R36" s="101">
        <f t="shared" si="62"/>
        <v>1.0892491133892557E-2</v>
      </c>
      <c r="S36" s="228">
        <f t="shared" si="63"/>
        <v>247857.82075199392</v>
      </c>
      <c r="T36" s="101">
        <f t="shared" si="64"/>
        <v>3.0245979950055003E-2</v>
      </c>
      <c r="U36" s="235">
        <v>1153748.1911737865</v>
      </c>
      <c r="V36" s="101">
        <f t="shared" si="65"/>
        <v>0.14079138012179851</v>
      </c>
      <c r="W36" s="235">
        <v>71496.004301254885</v>
      </c>
      <c r="X36" s="101">
        <f t="shared" si="66"/>
        <v>8.7246256988943744E-3</v>
      </c>
      <c r="Y36" s="235">
        <v>953719.73500095436</v>
      </c>
      <c r="Z36" s="101">
        <f t="shared" si="67"/>
        <v>0.11638199632068129</v>
      </c>
      <c r="AA36" s="235">
        <v>1225049.8344846631</v>
      </c>
      <c r="AB36" s="101">
        <f t="shared" si="68"/>
        <v>0.14949228803522935</v>
      </c>
      <c r="AC36" s="228">
        <f t="shared" si="69"/>
        <v>2178769.5694856173</v>
      </c>
      <c r="AD36" s="101">
        <f t="shared" si="70"/>
        <v>0.2658742843559106</v>
      </c>
      <c r="AE36" s="235">
        <v>1343431.9782744709</v>
      </c>
      <c r="AF36" s="101">
        <f t="shared" si="71"/>
        <v>0.16393840854354197</v>
      </c>
      <c r="AG36" s="235">
        <v>202847.33510137943</v>
      </c>
      <c r="AH36" s="101">
        <f t="shared" si="72"/>
        <v>2.4753370346693226E-2</v>
      </c>
      <c r="AI36" s="235">
        <v>978668.51112563035</v>
      </c>
      <c r="AJ36" s="101">
        <f t="shared" si="73"/>
        <v>0.11942648440726224</v>
      </c>
      <c r="AK36" s="235">
        <v>626361.34920815553</v>
      </c>
      <c r="AL36" s="101">
        <f t="shared" si="74"/>
        <v>7.6434597674428506E-2</v>
      </c>
    </row>
    <row r="37" spans="2:38" ht="14.25">
      <c r="B37" s="98"/>
      <c r="C37" s="98"/>
      <c r="D37" s="332">
        <f>D36+1</f>
        <v>46112</v>
      </c>
      <c r="E37" s="332" t="s">
        <v>584</v>
      </c>
      <c r="F37" s="229">
        <f t="shared" si="20"/>
        <v>0</v>
      </c>
      <c r="G37" s="330"/>
      <c r="H37" s="364"/>
      <c r="I37" s="235"/>
      <c r="J37" s="101" t="e">
        <f t="shared" si="57"/>
        <v>#DIV/0!</v>
      </c>
      <c r="K37" s="235"/>
      <c r="L37" s="101" t="e">
        <f t="shared" si="58"/>
        <v>#DIV/0!</v>
      </c>
      <c r="M37" s="228">
        <f t="shared" si="59"/>
        <v>0</v>
      </c>
      <c r="N37" s="101" t="e">
        <f t="shared" si="60"/>
        <v>#DIV/0!</v>
      </c>
      <c r="O37" s="235"/>
      <c r="P37" s="101" t="e">
        <f t="shared" si="61"/>
        <v>#DIV/0!</v>
      </c>
      <c r="Q37" s="235"/>
      <c r="R37" s="101" t="e">
        <f t="shared" si="62"/>
        <v>#DIV/0!</v>
      </c>
      <c r="S37" s="228">
        <f t="shared" si="63"/>
        <v>0</v>
      </c>
      <c r="T37" s="101" t="e">
        <f t="shared" si="64"/>
        <v>#DIV/0!</v>
      </c>
      <c r="U37" s="235"/>
      <c r="V37" s="101" t="e">
        <f t="shared" si="65"/>
        <v>#DIV/0!</v>
      </c>
      <c r="W37" s="235"/>
      <c r="X37" s="101" t="e">
        <f t="shared" si="66"/>
        <v>#DIV/0!</v>
      </c>
      <c r="Y37" s="235"/>
      <c r="Z37" s="101" t="e">
        <f t="shared" si="67"/>
        <v>#DIV/0!</v>
      </c>
      <c r="AA37" s="235"/>
      <c r="AB37" s="101" t="e">
        <f t="shared" si="68"/>
        <v>#DIV/0!</v>
      </c>
      <c r="AC37" s="228">
        <f t="shared" si="69"/>
        <v>0</v>
      </c>
      <c r="AD37" s="101" t="e">
        <f t="shared" si="70"/>
        <v>#DIV/0!</v>
      </c>
      <c r="AE37" s="235"/>
      <c r="AF37" s="101" t="e">
        <f t="shared" si="71"/>
        <v>#DIV/0!</v>
      </c>
      <c r="AG37" s="235"/>
      <c r="AH37" s="101" t="e">
        <f t="shared" si="72"/>
        <v>#DIV/0!</v>
      </c>
      <c r="AI37" s="235"/>
      <c r="AJ37" s="101" t="e">
        <f t="shared" si="73"/>
        <v>#DIV/0!</v>
      </c>
      <c r="AK37" s="235"/>
      <c r="AL37" s="101" t="e">
        <f t="shared" si="74"/>
        <v>#DIV/0!</v>
      </c>
    </row>
    <row r="38" spans="2:38" ht="14.25">
      <c r="B38" s="98"/>
      <c r="C38" s="98"/>
      <c r="D38" s="332">
        <f t="shared" ref="D38:D43" si="75">D37+1</f>
        <v>46113</v>
      </c>
      <c r="E38" s="553" t="s">
        <v>585</v>
      </c>
      <c r="F38" s="229">
        <f t="shared" si="20"/>
        <v>0</v>
      </c>
      <c r="G38" s="330"/>
      <c r="H38" s="364"/>
      <c r="I38" s="235"/>
      <c r="J38" s="101" t="e">
        <f t="shared" si="57"/>
        <v>#DIV/0!</v>
      </c>
      <c r="K38" s="235"/>
      <c r="L38" s="101" t="e">
        <f t="shared" si="58"/>
        <v>#DIV/0!</v>
      </c>
      <c r="M38" s="228">
        <f t="shared" si="59"/>
        <v>0</v>
      </c>
      <c r="N38" s="101" t="e">
        <f t="shared" si="60"/>
        <v>#DIV/0!</v>
      </c>
      <c r="O38" s="235"/>
      <c r="P38" s="101" t="e">
        <f t="shared" si="61"/>
        <v>#DIV/0!</v>
      </c>
      <c r="Q38" s="235"/>
      <c r="R38" s="101" t="e">
        <f t="shared" si="62"/>
        <v>#DIV/0!</v>
      </c>
      <c r="S38" s="228">
        <f t="shared" si="63"/>
        <v>0</v>
      </c>
      <c r="T38" s="101" t="e">
        <f t="shared" si="64"/>
        <v>#DIV/0!</v>
      </c>
      <c r="U38" s="235"/>
      <c r="V38" s="101" t="e">
        <f t="shared" si="65"/>
        <v>#DIV/0!</v>
      </c>
      <c r="W38" s="235"/>
      <c r="X38" s="101" t="e">
        <f t="shared" si="66"/>
        <v>#DIV/0!</v>
      </c>
      <c r="Y38" s="235"/>
      <c r="Z38" s="101" t="e">
        <f t="shared" si="67"/>
        <v>#DIV/0!</v>
      </c>
      <c r="AA38" s="235"/>
      <c r="AB38" s="101" t="e">
        <f t="shared" si="68"/>
        <v>#DIV/0!</v>
      </c>
      <c r="AC38" s="228">
        <f t="shared" si="69"/>
        <v>0</v>
      </c>
      <c r="AD38" s="101" t="e">
        <f t="shared" si="70"/>
        <v>#DIV/0!</v>
      </c>
      <c r="AE38" s="235"/>
      <c r="AF38" s="101" t="e">
        <f t="shared" si="71"/>
        <v>#DIV/0!</v>
      </c>
      <c r="AG38" s="235"/>
      <c r="AH38" s="101" t="e">
        <f t="shared" si="72"/>
        <v>#DIV/0!</v>
      </c>
      <c r="AI38" s="235"/>
      <c r="AJ38" s="101" t="e">
        <f t="shared" si="73"/>
        <v>#DIV/0!</v>
      </c>
      <c r="AK38" s="235"/>
      <c r="AL38" s="101" t="e">
        <f t="shared" si="74"/>
        <v>#DIV/0!</v>
      </c>
    </row>
    <row r="39" spans="2:38" ht="14.25">
      <c r="B39" s="98"/>
      <c r="C39" s="83"/>
      <c r="D39" s="332">
        <f t="shared" si="75"/>
        <v>46114</v>
      </c>
      <c r="E39" s="553" t="s">
        <v>586</v>
      </c>
      <c r="F39" s="229">
        <f t="shared" si="20"/>
        <v>0</v>
      </c>
      <c r="G39" s="330"/>
      <c r="H39" s="97"/>
      <c r="I39" s="235"/>
      <c r="J39" s="101" t="e">
        <f t="shared" si="57"/>
        <v>#DIV/0!</v>
      </c>
      <c r="K39" s="235"/>
      <c r="L39" s="101" t="e">
        <f t="shared" si="58"/>
        <v>#DIV/0!</v>
      </c>
      <c r="M39" s="228">
        <f t="shared" si="59"/>
        <v>0</v>
      </c>
      <c r="N39" s="101" t="e">
        <f t="shared" si="60"/>
        <v>#DIV/0!</v>
      </c>
      <c r="O39" s="235"/>
      <c r="P39" s="101" t="e">
        <f t="shared" si="61"/>
        <v>#DIV/0!</v>
      </c>
      <c r="Q39" s="235"/>
      <c r="R39" s="101" t="e">
        <f t="shared" si="62"/>
        <v>#DIV/0!</v>
      </c>
      <c r="S39" s="228">
        <f t="shared" si="63"/>
        <v>0</v>
      </c>
      <c r="T39" s="101" t="e">
        <f t="shared" si="64"/>
        <v>#DIV/0!</v>
      </c>
      <c r="U39" s="235"/>
      <c r="V39" s="101" t="e">
        <f t="shared" si="65"/>
        <v>#DIV/0!</v>
      </c>
      <c r="W39" s="235"/>
      <c r="X39" s="101" t="e">
        <f t="shared" si="66"/>
        <v>#DIV/0!</v>
      </c>
      <c r="Y39" s="235"/>
      <c r="Z39" s="101" t="e">
        <f t="shared" si="67"/>
        <v>#DIV/0!</v>
      </c>
      <c r="AA39" s="235"/>
      <c r="AB39" s="101" t="e">
        <f t="shared" si="68"/>
        <v>#DIV/0!</v>
      </c>
      <c r="AC39" s="228">
        <f t="shared" si="69"/>
        <v>0</v>
      </c>
      <c r="AD39" s="101" t="e">
        <f t="shared" si="70"/>
        <v>#DIV/0!</v>
      </c>
      <c r="AE39" s="235"/>
      <c r="AF39" s="101" t="e">
        <f t="shared" si="71"/>
        <v>#DIV/0!</v>
      </c>
      <c r="AG39" s="235"/>
      <c r="AH39" s="101" t="e">
        <f t="shared" si="72"/>
        <v>#DIV/0!</v>
      </c>
      <c r="AI39" s="235"/>
      <c r="AJ39" s="101" t="e">
        <f t="shared" si="73"/>
        <v>#DIV/0!</v>
      </c>
      <c r="AK39" s="235"/>
      <c r="AL39" s="101" t="e">
        <f t="shared" si="74"/>
        <v>#DIV/0!</v>
      </c>
    </row>
    <row r="40" spans="2:38" ht="14.25">
      <c r="B40" s="98"/>
      <c r="C40" s="83"/>
      <c r="D40" s="332">
        <f t="shared" si="75"/>
        <v>46115</v>
      </c>
      <c r="E40" s="553" t="s">
        <v>587</v>
      </c>
      <c r="F40" s="229">
        <f t="shared" si="20"/>
        <v>0</v>
      </c>
      <c r="G40" s="330"/>
      <c r="H40" s="97"/>
      <c r="I40" s="235"/>
      <c r="J40" s="101" t="e">
        <f t="shared" si="57"/>
        <v>#DIV/0!</v>
      </c>
      <c r="K40" s="235"/>
      <c r="L40" s="101" t="e">
        <f t="shared" si="58"/>
        <v>#DIV/0!</v>
      </c>
      <c r="M40" s="228">
        <f t="shared" si="59"/>
        <v>0</v>
      </c>
      <c r="N40" s="101" t="e">
        <f t="shared" si="60"/>
        <v>#DIV/0!</v>
      </c>
      <c r="O40" s="235"/>
      <c r="P40" s="101" t="e">
        <f t="shared" si="61"/>
        <v>#DIV/0!</v>
      </c>
      <c r="Q40" s="235"/>
      <c r="R40" s="101" t="e">
        <f t="shared" si="62"/>
        <v>#DIV/0!</v>
      </c>
      <c r="S40" s="228">
        <f t="shared" si="63"/>
        <v>0</v>
      </c>
      <c r="T40" s="101" t="e">
        <f t="shared" si="64"/>
        <v>#DIV/0!</v>
      </c>
      <c r="U40" s="235"/>
      <c r="V40" s="101" t="e">
        <f t="shared" si="65"/>
        <v>#DIV/0!</v>
      </c>
      <c r="W40" s="235"/>
      <c r="X40" s="101" t="e">
        <f t="shared" si="66"/>
        <v>#DIV/0!</v>
      </c>
      <c r="Y40" s="235"/>
      <c r="Z40" s="101" t="e">
        <f t="shared" si="67"/>
        <v>#DIV/0!</v>
      </c>
      <c r="AA40" s="235"/>
      <c r="AB40" s="101" t="e">
        <f t="shared" si="68"/>
        <v>#DIV/0!</v>
      </c>
      <c r="AC40" s="228">
        <f t="shared" si="69"/>
        <v>0</v>
      </c>
      <c r="AD40" s="101" t="e">
        <f t="shared" si="70"/>
        <v>#DIV/0!</v>
      </c>
      <c r="AE40" s="235"/>
      <c r="AF40" s="101" t="e">
        <f t="shared" si="71"/>
        <v>#DIV/0!</v>
      </c>
      <c r="AG40" s="235"/>
      <c r="AH40" s="101" t="e">
        <f t="shared" si="72"/>
        <v>#DIV/0!</v>
      </c>
      <c r="AI40" s="235"/>
      <c r="AJ40" s="101" t="e">
        <f t="shared" si="73"/>
        <v>#DIV/0!</v>
      </c>
      <c r="AK40" s="235"/>
      <c r="AL40" s="101" t="e">
        <f t="shared" si="74"/>
        <v>#DIV/0!</v>
      </c>
    </row>
    <row r="41" spans="2:38" ht="14.25">
      <c r="B41" s="98"/>
      <c r="C41" s="83"/>
      <c r="D41" s="332">
        <f t="shared" si="75"/>
        <v>46116</v>
      </c>
      <c r="E41" s="553" t="s">
        <v>588</v>
      </c>
      <c r="F41" s="229">
        <f t="shared" si="20"/>
        <v>0</v>
      </c>
      <c r="G41" s="330"/>
      <c r="H41" s="97"/>
      <c r="I41" s="235"/>
      <c r="J41" s="101" t="e">
        <f t="shared" si="57"/>
        <v>#DIV/0!</v>
      </c>
      <c r="K41" s="235"/>
      <c r="L41" s="101" t="e">
        <f t="shared" si="58"/>
        <v>#DIV/0!</v>
      </c>
      <c r="M41" s="228">
        <f t="shared" si="59"/>
        <v>0</v>
      </c>
      <c r="N41" s="101" t="e">
        <f t="shared" si="60"/>
        <v>#DIV/0!</v>
      </c>
      <c r="O41" s="235"/>
      <c r="P41" s="101" t="e">
        <f t="shared" si="61"/>
        <v>#DIV/0!</v>
      </c>
      <c r="Q41" s="235"/>
      <c r="R41" s="101" t="e">
        <f t="shared" si="62"/>
        <v>#DIV/0!</v>
      </c>
      <c r="S41" s="228">
        <f t="shared" si="63"/>
        <v>0</v>
      </c>
      <c r="T41" s="101" t="e">
        <f t="shared" si="64"/>
        <v>#DIV/0!</v>
      </c>
      <c r="U41" s="235"/>
      <c r="V41" s="101" t="e">
        <f t="shared" si="65"/>
        <v>#DIV/0!</v>
      </c>
      <c r="W41" s="235"/>
      <c r="X41" s="101" t="e">
        <f t="shared" si="66"/>
        <v>#DIV/0!</v>
      </c>
      <c r="Y41" s="235"/>
      <c r="Z41" s="101" t="e">
        <f t="shared" si="67"/>
        <v>#DIV/0!</v>
      </c>
      <c r="AA41" s="235"/>
      <c r="AB41" s="101" t="e">
        <f t="shared" si="68"/>
        <v>#DIV/0!</v>
      </c>
      <c r="AC41" s="228">
        <f t="shared" si="69"/>
        <v>0</v>
      </c>
      <c r="AD41" s="101" t="e">
        <f t="shared" si="70"/>
        <v>#DIV/0!</v>
      </c>
      <c r="AE41" s="235"/>
      <c r="AF41" s="101" t="e">
        <f t="shared" si="71"/>
        <v>#DIV/0!</v>
      </c>
      <c r="AG41" s="235"/>
      <c r="AH41" s="101" t="e">
        <f t="shared" si="72"/>
        <v>#DIV/0!</v>
      </c>
      <c r="AI41" s="235"/>
      <c r="AJ41" s="101" t="e">
        <f t="shared" si="73"/>
        <v>#DIV/0!</v>
      </c>
      <c r="AK41" s="235"/>
      <c r="AL41" s="101" t="e">
        <f t="shared" si="74"/>
        <v>#DIV/0!</v>
      </c>
    </row>
    <row r="42" spans="2:38" ht="14.25">
      <c r="B42" s="98"/>
      <c r="C42" s="83"/>
      <c r="D42" s="332">
        <f t="shared" si="75"/>
        <v>46117</v>
      </c>
      <c r="E42" s="553" t="s">
        <v>589</v>
      </c>
      <c r="F42" s="229">
        <f t="shared" si="20"/>
        <v>0</v>
      </c>
      <c r="G42" s="330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62"/>
        <v>#DIV/0!</v>
      </c>
      <c r="S42" s="228">
        <f t="shared" si="63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68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32">
        <f t="shared" si="75"/>
        <v>46118</v>
      </c>
      <c r="E43" s="553" t="s">
        <v>583</v>
      </c>
      <c r="F43" s="229">
        <f t="shared" si="20"/>
        <v>0</v>
      </c>
      <c r="G43" s="330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62"/>
        <v>#DIV/0!</v>
      </c>
      <c r="S43" s="228">
        <f t="shared" si="63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68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229">
        <f t="shared" si="20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62"/>
        <v>#DIV/0!</v>
      </c>
      <c r="S44" s="228">
        <f t="shared" si="63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68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229">
        <f t="shared" si="20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62"/>
        <v>#DIV/0!</v>
      </c>
      <c r="S45" s="228">
        <f t="shared" si="63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68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5">
        <f>SUM(I7:I45)</f>
        <v>16018778.584708685</v>
      </c>
      <c r="J46" s="291">
        <f>I46/$H$12</f>
        <v>7.0217894256169991E-2</v>
      </c>
      <c r="K46" s="295">
        <f>SUM(K7:K45)</f>
        <v>22627187.9397492</v>
      </c>
      <c r="L46" s="291">
        <f>K46/$H$12</f>
        <v>9.9185682707698689E-2</v>
      </c>
      <c r="M46" s="295">
        <f>SUM(M8:M45)</f>
        <v>37303218.092420861</v>
      </c>
      <c r="N46" s="291" t="e">
        <f>M46/$H$8</f>
        <v>#DIV/0!</v>
      </c>
      <c r="O46" s="295">
        <f>SUM(O7:O45)</f>
        <v>4715758.7542402493</v>
      </c>
      <c r="P46" s="291">
        <f>O46/$H$12</f>
        <v>2.0671404364059488E-2</v>
      </c>
      <c r="Q46" s="295">
        <f>SUM(Q7:Q45)</f>
        <v>2680606.8131669816</v>
      </c>
      <c r="R46" s="291">
        <f>Q46/$H$12</f>
        <v>1.175036940263389E-2</v>
      </c>
      <c r="S46" s="295">
        <f>SUM(S8:S45)</f>
        <v>7167663.6988298353</v>
      </c>
      <c r="T46" s="291" t="e">
        <f>S46/$H$8</f>
        <v>#DIV/0!</v>
      </c>
      <c r="U46" s="295">
        <f>SUM(U7:U45)</f>
        <v>33240820.556833107</v>
      </c>
      <c r="V46" s="291">
        <f>U46/$H$12</f>
        <v>0.14571026189700445</v>
      </c>
      <c r="W46" s="295">
        <f>SUM(W7:W45)</f>
        <v>2108946.8311540787</v>
      </c>
      <c r="X46" s="291">
        <f>W46/$H$12</f>
        <v>9.2445129195569669E-3</v>
      </c>
      <c r="Y46" s="295">
        <f>SUM(Y7:Y45)</f>
        <v>23319768.769068636</v>
      </c>
      <c r="Z46" s="291">
        <f>Y46/$H$12</f>
        <v>0.10222159254188704</v>
      </c>
      <c r="AA46" s="295">
        <f>SUM(AA7:AA45)</f>
        <v>38613028.094613902</v>
      </c>
      <c r="AB46" s="291">
        <f>AA46/$H$12</f>
        <v>0.16925919222370148</v>
      </c>
      <c r="AC46" s="295">
        <f>SUM(AC8:AC45)</f>
        <v>60021593.730975196</v>
      </c>
      <c r="AD46" s="291" t="e">
        <f>AC46/$H$8</f>
        <v>#DIV/0!</v>
      </c>
      <c r="AE46" s="295">
        <f>SUM(AE7:AE45)</f>
        <v>37068452.526997283</v>
      </c>
      <c r="AF46" s="291">
        <f>AE46/$H$12</f>
        <v>0.16248858588164874</v>
      </c>
      <c r="AG46" s="295">
        <f>SUM(AG7:AG45)</f>
        <v>6869201.4373069741</v>
      </c>
      <c r="AH46" s="291">
        <f>AG46/$H$12</f>
        <v>3.0110963679190139E-2</v>
      </c>
      <c r="AI46" s="295">
        <f>SUM(AI7:AI45)</f>
        <v>23744555.766739063</v>
      </c>
      <c r="AJ46" s="291">
        <f>AI46/$H$12</f>
        <v>0.10408363516430588</v>
      </c>
      <c r="AK46" s="295">
        <f>SUM(AK7:AK45)</f>
        <v>17122471.925421838</v>
      </c>
      <c r="AL46" s="291">
        <f>AK46/$H$12</f>
        <v>7.5055904962143219E-2</v>
      </c>
    </row>
    <row r="47" spans="2:38" ht="14.25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37303218.092420861</v>
      </c>
      <c r="N47" s="293"/>
      <c r="O47" s="292"/>
      <c r="P47" s="293"/>
      <c r="Q47" s="292"/>
      <c r="R47" s="293"/>
      <c r="S47" s="294">
        <f>S46</f>
        <v>7167663.6988298353</v>
      </c>
      <c r="T47" s="293"/>
      <c r="U47" s="294">
        <f>U46</f>
        <v>33240820.556833107</v>
      </c>
      <c r="V47" s="293"/>
      <c r="W47" s="294">
        <f>W46</f>
        <v>2108946.8311540787</v>
      </c>
      <c r="X47" s="293"/>
      <c r="Y47" s="292"/>
      <c r="Z47" s="293"/>
      <c r="AA47" s="292"/>
      <c r="AB47" s="293"/>
      <c r="AC47" s="294">
        <f>AC46</f>
        <v>60021593.730975196</v>
      </c>
      <c r="AD47" s="293"/>
      <c r="AE47" s="294">
        <f>AE46</f>
        <v>37068452.526997283</v>
      </c>
      <c r="AF47" s="293"/>
      <c r="AG47" s="294">
        <f>AG46</f>
        <v>6869201.4373069741</v>
      </c>
      <c r="AH47" s="293"/>
      <c r="AI47" s="294">
        <f>AI46</f>
        <v>23744555.766739063</v>
      </c>
      <c r="AJ47" s="293"/>
      <c r="AK47" s="294">
        <f>AK46</f>
        <v>17122471.925421838</v>
      </c>
      <c r="AL47" s="29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30" sqref="AK30:AK36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38" t="s">
        <v>320</v>
      </c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8"/>
      <c r="AE2" s="638"/>
      <c r="AF2" s="638"/>
      <c r="AG2" s="638"/>
      <c r="AH2" s="638"/>
      <c r="AI2" s="638"/>
      <c r="AJ2" s="638"/>
      <c r="AK2" s="638"/>
      <c r="AL2" s="638"/>
    </row>
    <row r="3" spans="1:38" ht="25.35" customHeight="1">
      <c r="B3" s="98"/>
      <c r="C3" s="639" t="s">
        <v>139</v>
      </c>
      <c r="D3" s="640" t="s">
        <v>105</v>
      </c>
      <c r="E3" s="640"/>
      <c r="F3" s="647" t="s">
        <v>148</v>
      </c>
      <c r="G3" s="648"/>
      <c r="H3" s="648"/>
      <c r="I3" s="646" t="s">
        <v>318</v>
      </c>
      <c r="J3" s="646"/>
      <c r="K3" s="646"/>
      <c r="L3" s="646"/>
      <c r="M3" s="646"/>
      <c r="N3" s="646"/>
      <c r="O3" s="646"/>
      <c r="P3" s="646"/>
      <c r="Q3" s="646"/>
      <c r="R3" s="646"/>
      <c r="S3" s="646"/>
      <c r="T3" s="646"/>
      <c r="U3" s="646"/>
      <c r="V3" s="646"/>
      <c r="W3" s="646"/>
      <c r="X3" s="646"/>
      <c r="Y3" s="646"/>
      <c r="Z3" s="646"/>
      <c r="AA3" s="646"/>
      <c r="AB3" s="646"/>
      <c r="AC3" s="646"/>
      <c r="AD3" s="646"/>
      <c r="AE3" s="646"/>
      <c r="AF3" s="646"/>
      <c r="AG3" s="646"/>
      <c r="AH3" s="646"/>
      <c r="AI3" s="646"/>
      <c r="AJ3" s="646"/>
      <c r="AK3" s="646"/>
      <c r="AL3" s="646"/>
    </row>
    <row r="4" spans="1:38" ht="25.35" customHeight="1">
      <c r="B4" s="98"/>
      <c r="C4" s="639"/>
      <c r="D4" s="640"/>
      <c r="E4" s="640"/>
      <c r="F4" s="648"/>
      <c r="G4" s="648"/>
      <c r="H4" s="648"/>
      <c r="I4" s="643" t="s">
        <v>140</v>
      </c>
      <c r="J4" s="643"/>
      <c r="K4" s="643"/>
      <c r="L4" s="643"/>
      <c r="M4" s="643"/>
      <c r="N4" s="643"/>
      <c r="O4" s="643" t="s">
        <v>141</v>
      </c>
      <c r="P4" s="643"/>
      <c r="Q4" s="643"/>
      <c r="R4" s="643"/>
      <c r="S4" s="643"/>
      <c r="T4" s="643"/>
      <c r="U4" s="643" t="s">
        <v>142</v>
      </c>
      <c r="V4" s="643"/>
      <c r="W4" s="643" t="s">
        <v>143</v>
      </c>
      <c r="X4" s="643"/>
      <c r="Y4" s="643" t="s">
        <v>134</v>
      </c>
      <c r="Z4" s="643"/>
      <c r="AA4" s="643"/>
      <c r="AB4" s="643"/>
      <c r="AC4" s="643"/>
      <c r="AD4" s="643"/>
      <c r="AE4" s="643" t="s">
        <v>132</v>
      </c>
      <c r="AF4" s="643"/>
      <c r="AG4" s="643" t="s">
        <v>144</v>
      </c>
      <c r="AH4" s="643"/>
      <c r="AI4" s="643" t="s">
        <v>145</v>
      </c>
      <c r="AJ4" s="643"/>
      <c r="AK4" s="643" t="s">
        <v>138</v>
      </c>
      <c r="AL4" s="643"/>
    </row>
    <row r="5" spans="1:38" ht="25.35" customHeight="1">
      <c r="B5" s="98"/>
      <c r="C5" s="639"/>
      <c r="D5" s="640"/>
      <c r="E5" s="640"/>
      <c r="F5" s="645" t="s">
        <v>115</v>
      </c>
      <c r="G5" s="645" t="s">
        <v>117</v>
      </c>
      <c r="H5" s="645" t="s">
        <v>118</v>
      </c>
      <c r="I5" s="643" t="s">
        <v>129</v>
      </c>
      <c r="J5" s="643"/>
      <c r="K5" s="643" t="s">
        <v>130</v>
      </c>
      <c r="L5" s="643"/>
      <c r="M5" s="644" t="s">
        <v>146</v>
      </c>
      <c r="N5" s="643"/>
      <c r="O5" s="643" t="s">
        <v>129</v>
      </c>
      <c r="P5" s="643"/>
      <c r="Q5" s="643" t="s">
        <v>130</v>
      </c>
      <c r="R5" s="643"/>
      <c r="S5" s="644" t="s">
        <v>146</v>
      </c>
      <c r="T5" s="643"/>
      <c r="U5" s="643" t="s">
        <v>129</v>
      </c>
      <c r="V5" s="643"/>
      <c r="W5" s="643" t="s">
        <v>129</v>
      </c>
      <c r="X5" s="643"/>
      <c r="Y5" s="643" t="s">
        <v>129</v>
      </c>
      <c r="Z5" s="643"/>
      <c r="AA5" s="643" t="s">
        <v>130</v>
      </c>
      <c r="AB5" s="643"/>
      <c r="AC5" s="644" t="s">
        <v>146</v>
      </c>
      <c r="AD5" s="643"/>
      <c r="AE5" s="643" t="s">
        <v>129</v>
      </c>
      <c r="AF5" s="643"/>
      <c r="AG5" s="643" t="s">
        <v>129</v>
      </c>
      <c r="AH5" s="643"/>
      <c r="AI5" s="643" t="s">
        <v>129</v>
      </c>
      <c r="AJ5" s="643"/>
      <c r="AK5" s="643" t="s">
        <v>129</v>
      </c>
      <c r="AL5" s="643"/>
    </row>
    <row r="6" spans="1:38" s="80" customFormat="1" ht="23.45" customHeight="1">
      <c r="B6" s="98"/>
      <c r="C6" s="639"/>
      <c r="D6" s="640"/>
      <c r="E6" s="640"/>
      <c r="F6" s="645"/>
      <c r="G6" s="645"/>
      <c r="H6" s="645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46082</v>
      </c>
      <c r="E7" s="86" t="s">
        <v>589</v>
      </c>
      <c r="F7" s="88">
        <f t="shared" ref="F7" si="0">SUM(M7,S7,U7,W7,AC7,AE7,AG7,AI7,AK7)</f>
        <v>243291</v>
      </c>
      <c r="G7" s="340"/>
      <c r="H7" s="88"/>
      <c r="I7" s="236">
        <v>30510</v>
      </c>
      <c r="J7" s="101">
        <f t="shared" ref="J7:J8" si="1">I7/F7</f>
        <v>0.12540537874397326</v>
      </c>
      <c r="K7" s="236">
        <v>41020</v>
      </c>
      <c r="L7" s="101">
        <f t="shared" ref="L7:L8" si="2">K7/F7</f>
        <v>0.16860467505990767</v>
      </c>
      <c r="M7" s="106">
        <f t="shared" ref="M7:M8" si="3">SUM(I7+K7)</f>
        <v>71530</v>
      </c>
      <c r="N7" s="101">
        <f t="shared" ref="N7:N8" si="4">M7/F7</f>
        <v>0.29401005380388096</v>
      </c>
      <c r="O7" s="236">
        <v>5288</v>
      </c>
      <c r="P7" s="101">
        <f t="shared" ref="P7:P8" si="5">O7/F7</f>
        <v>2.1735288193973471E-2</v>
      </c>
      <c r="Q7" s="236">
        <v>3473</v>
      </c>
      <c r="R7" s="101">
        <f t="shared" ref="R7:R8" si="6">Q7/F7</f>
        <v>1.4275086213628947E-2</v>
      </c>
      <c r="S7" s="106">
        <f t="shared" ref="S7:S8" si="7">SUM(O7+Q7)</f>
        <v>8761</v>
      </c>
      <c r="T7" s="101">
        <f t="shared" ref="T7:T8" si="8">S7/F7</f>
        <v>3.6010374407602422E-2</v>
      </c>
      <c r="U7" s="236">
        <v>41380</v>
      </c>
      <c r="V7" s="101">
        <f t="shared" ref="V7:V8" si="9">U7/F7</f>
        <v>0.17008438454361238</v>
      </c>
      <c r="W7" s="236">
        <v>2293</v>
      </c>
      <c r="X7" s="101">
        <f t="shared" ref="X7:X8" si="10">W7/F7</f>
        <v>9.4249273503746542E-3</v>
      </c>
      <c r="Y7" s="236">
        <v>23569</v>
      </c>
      <c r="Z7" s="101">
        <f t="shared" ref="Z7:Z8" si="11">Y7/F7</f>
        <v>9.6875757837322385E-2</v>
      </c>
      <c r="AA7" s="236">
        <v>24769</v>
      </c>
      <c r="AB7" s="101">
        <f t="shared" ref="AB7:AB8" si="12">AA7/F7</f>
        <v>0.10180812278300472</v>
      </c>
      <c r="AC7" s="106">
        <f t="shared" ref="AC7:AC8" si="13">SUM(Y7+AA7)</f>
        <v>48338</v>
      </c>
      <c r="AD7" s="101">
        <f t="shared" ref="AD7:AD8" si="14">AC7/F7</f>
        <v>0.1986838806203271</v>
      </c>
      <c r="AE7" s="236">
        <v>26558</v>
      </c>
      <c r="AF7" s="101">
        <f t="shared" ref="AF7:AF8" si="15">AE7/F7</f>
        <v>0.10916145685619279</v>
      </c>
      <c r="AG7" s="236">
        <v>4154</v>
      </c>
      <c r="AH7" s="101">
        <f t="shared" ref="AH7:AH8" si="16">AG7/F7</f>
        <v>1.7074203320303669E-2</v>
      </c>
      <c r="AI7" s="236">
        <v>21805</v>
      </c>
      <c r="AJ7" s="101">
        <f t="shared" ref="AJ7:AJ8" si="17">AI7/F7</f>
        <v>8.9625181367169363E-2</v>
      </c>
      <c r="AK7" s="236">
        <v>18472</v>
      </c>
      <c r="AL7" s="101">
        <f t="shared" ref="AL7:AL8" si="18">AK7/F7</f>
        <v>7.5925537730536688E-2</v>
      </c>
    </row>
    <row r="8" spans="1:38" ht="14.25">
      <c r="B8" s="98"/>
      <c r="C8" s="83"/>
      <c r="D8" s="86">
        <f t="shared" ref="D8:D36" si="19">D7+1</f>
        <v>46083</v>
      </c>
      <c r="E8" s="519" t="s">
        <v>583</v>
      </c>
      <c r="F8" s="88">
        <f>SUM(M8,S8,U8,W8,AC8,AE8,AG8,AI8,AK8)</f>
        <v>238748</v>
      </c>
      <c r="G8" s="340">
        <f>SUM(F7:F8)</f>
        <v>482039</v>
      </c>
      <c r="H8" s="363"/>
      <c r="I8" s="236">
        <v>29254</v>
      </c>
      <c r="J8" s="101">
        <f t="shared" si="1"/>
        <v>0.12253086936853921</v>
      </c>
      <c r="K8" s="236">
        <v>43787</v>
      </c>
      <c r="L8" s="101">
        <f t="shared" si="2"/>
        <v>0.18340258347713909</v>
      </c>
      <c r="M8" s="106">
        <f t="shared" si="3"/>
        <v>73041</v>
      </c>
      <c r="N8" s="101">
        <f t="shared" si="4"/>
        <v>0.3059334528456783</v>
      </c>
      <c r="O8" s="236">
        <v>4932</v>
      </c>
      <c r="P8" s="101">
        <f t="shared" si="5"/>
        <v>2.0657764672374217E-2</v>
      </c>
      <c r="Q8" s="236">
        <v>3435</v>
      </c>
      <c r="R8" s="101">
        <f t="shared" si="6"/>
        <v>1.4387555078995426E-2</v>
      </c>
      <c r="S8" s="106">
        <f t="shared" si="7"/>
        <v>8367</v>
      </c>
      <c r="T8" s="101">
        <f t="shared" si="8"/>
        <v>3.5045319751369645E-2</v>
      </c>
      <c r="U8" s="236">
        <v>37412</v>
      </c>
      <c r="V8" s="101">
        <f t="shared" si="9"/>
        <v>0.15670078911655805</v>
      </c>
      <c r="W8" s="236">
        <v>2539</v>
      </c>
      <c r="X8" s="101">
        <f t="shared" si="10"/>
        <v>1.0634644059845528E-2</v>
      </c>
      <c r="Y8" s="236">
        <v>21847</v>
      </c>
      <c r="Z8" s="101">
        <f t="shared" si="11"/>
        <v>9.1506525709115882E-2</v>
      </c>
      <c r="AA8" s="236">
        <v>31303</v>
      </c>
      <c r="AB8" s="101">
        <f t="shared" si="12"/>
        <v>0.13111314021478715</v>
      </c>
      <c r="AC8" s="106">
        <f t="shared" si="13"/>
        <v>53150</v>
      </c>
      <c r="AD8" s="101">
        <f t="shared" si="14"/>
        <v>0.22261966592390303</v>
      </c>
      <c r="AE8" s="236">
        <v>23606</v>
      </c>
      <c r="AF8" s="101">
        <f t="shared" si="15"/>
        <v>9.8874126694255035E-2</v>
      </c>
      <c r="AG8" s="236">
        <v>4047</v>
      </c>
      <c r="AH8" s="101">
        <f t="shared" si="16"/>
        <v>1.6950927337611204E-2</v>
      </c>
      <c r="AI8" s="236">
        <v>17962</v>
      </c>
      <c r="AJ8" s="101">
        <f t="shared" si="17"/>
        <v>7.5234138087020619E-2</v>
      </c>
      <c r="AK8" s="236">
        <v>18624</v>
      </c>
      <c r="AL8" s="101">
        <f t="shared" si="18"/>
        <v>7.8006936183758604E-2</v>
      </c>
    </row>
    <row r="9" spans="1:38" ht="14.25">
      <c r="B9" s="98"/>
      <c r="C9" s="83"/>
      <c r="D9" s="332">
        <f t="shared" si="19"/>
        <v>46084</v>
      </c>
      <c r="E9" s="332" t="s">
        <v>584</v>
      </c>
      <c r="F9" s="88">
        <f t="shared" ref="F9:F45" si="20">SUM(M9,S9,U9,W9,AC9,AE9,AG9,AI9,AK9)</f>
        <v>261918</v>
      </c>
      <c r="G9" s="340">
        <f>SUM(F9:F15)</f>
        <v>1631684</v>
      </c>
      <c r="I9" s="236">
        <v>32191</v>
      </c>
      <c r="J9" s="101">
        <f t="shared" ref="J9:J13" si="21">I9/F9</f>
        <v>0.1229048786261349</v>
      </c>
      <c r="K9" s="236">
        <v>43002</v>
      </c>
      <c r="L9" s="101">
        <f t="shared" ref="L9:L13" si="22">K9/F9</f>
        <v>0.16418115593430005</v>
      </c>
      <c r="M9" s="106">
        <f t="shared" ref="M9:M13" si="23">SUM(I9+K9)</f>
        <v>75193</v>
      </c>
      <c r="N9" s="101">
        <f t="shared" ref="N9:N13" si="24">M9/F9</f>
        <v>0.28708603456043497</v>
      </c>
      <c r="O9" s="236">
        <v>8107</v>
      </c>
      <c r="P9" s="101">
        <f t="shared" ref="P9:P13" si="25">O9/F9</f>
        <v>3.0952435495078614E-2</v>
      </c>
      <c r="Q9" s="236">
        <v>3551</v>
      </c>
      <c r="R9" s="101">
        <f t="shared" ref="R9:R45" si="26">Q9/F9</f>
        <v>1.3557678357348482E-2</v>
      </c>
      <c r="S9" s="106">
        <f t="shared" ref="S9:S14" si="27">SUM(O9+Q9)</f>
        <v>11658</v>
      </c>
      <c r="T9" s="101">
        <f t="shared" ref="T9:T13" si="28">S9/F9</f>
        <v>4.4510113852427098E-2</v>
      </c>
      <c r="U9" s="236">
        <v>34801</v>
      </c>
      <c r="V9" s="101">
        <f t="shared" ref="V9:V13" si="29">U9/F9</f>
        <v>0.13286982948861858</v>
      </c>
      <c r="W9" s="236">
        <v>2516</v>
      </c>
      <c r="X9" s="101">
        <f t="shared" ref="X9:X13" si="30">W9/F9</f>
        <v>9.6060599118808175E-3</v>
      </c>
      <c r="Y9" s="236">
        <v>30991</v>
      </c>
      <c r="Z9" s="101">
        <f t="shared" ref="Z9:Z13" si="31">Y9/F9</f>
        <v>0.11832329202269412</v>
      </c>
      <c r="AA9" s="236">
        <v>29578</v>
      </c>
      <c r="AB9" s="101">
        <f t="shared" ref="AB9:AB45" si="32">AA9/F9</f>
        <v>0.11292847379714262</v>
      </c>
      <c r="AC9" s="106">
        <f t="shared" ref="AC9:AC13" si="33">SUM(Y9+AA9)</f>
        <v>60569</v>
      </c>
      <c r="AD9" s="101">
        <f t="shared" ref="AD9:AD13" si="34">AC9/F9</f>
        <v>0.23125176581983675</v>
      </c>
      <c r="AE9" s="236">
        <v>26414</v>
      </c>
      <c r="AF9" s="101">
        <f t="shared" ref="AF9:AF13" si="35">AE9/F9</f>
        <v>0.10084835711940378</v>
      </c>
      <c r="AG9" s="236">
        <v>12994</v>
      </c>
      <c r="AH9" s="101">
        <f t="shared" ref="AH9:AH13" si="36">AG9/F9</f>
        <v>4.9610946937591154E-2</v>
      </c>
      <c r="AI9" s="236">
        <v>19396</v>
      </c>
      <c r="AJ9" s="101">
        <f t="shared" ref="AJ9:AJ13" si="37">AI9/F9</f>
        <v>7.4053711466947669E-2</v>
      </c>
      <c r="AK9" s="236">
        <v>18377</v>
      </c>
      <c r="AL9" s="101">
        <f t="shared" ref="AL9:AL13" si="38">AK9/F9</f>
        <v>7.0163180842859219E-2</v>
      </c>
    </row>
    <row r="10" spans="1:38" ht="14.25">
      <c r="B10" s="98"/>
      <c r="C10" s="83"/>
      <c r="D10" s="553">
        <f t="shared" si="19"/>
        <v>46085</v>
      </c>
      <c r="E10" s="553" t="s">
        <v>585</v>
      </c>
      <c r="F10" s="88">
        <f t="shared" si="20"/>
        <v>240647</v>
      </c>
      <c r="G10" s="340"/>
      <c r="H10" s="456"/>
      <c r="I10" s="236">
        <v>30498</v>
      </c>
      <c r="J10" s="101">
        <f t="shared" si="21"/>
        <v>0.12673334801597361</v>
      </c>
      <c r="K10" s="236">
        <v>42133</v>
      </c>
      <c r="L10" s="101">
        <f t="shared" si="22"/>
        <v>0.17508217430510251</v>
      </c>
      <c r="M10" s="106">
        <f t="shared" si="23"/>
        <v>72631</v>
      </c>
      <c r="N10" s="101">
        <f t="shared" si="24"/>
        <v>0.30181552232107611</v>
      </c>
      <c r="O10" s="236">
        <v>7242</v>
      </c>
      <c r="P10" s="101">
        <f t="shared" si="25"/>
        <v>3.0093871936903431E-2</v>
      </c>
      <c r="Q10" s="236">
        <v>3635</v>
      </c>
      <c r="R10" s="101">
        <f t="shared" si="26"/>
        <v>1.5105112467639322E-2</v>
      </c>
      <c r="S10" s="106">
        <f t="shared" si="27"/>
        <v>10877</v>
      </c>
      <c r="T10" s="101">
        <f t="shared" si="28"/>
        <v>4.5198984404542751E-2</v>
      </c>
      <c r="U10" s="236">
        <v>33685</v>
      </c>
      <c r="V10" s="101">
        <f t="shared" si="29"/>
        <v>0.1399768125096095</v>
      </c>
      <c r="W10" s="236">
        <v>2608</v>
      </c>
      <c r="X10" s="101">
        <f t="shared" si="30"/>
        <v>1.08374507058056E-2</v>
      </c>
      <c r="Y10" s="236">
        <v>23785</v>
      </c>
      <c r="Z10" s="101">
        <f t="shared" si="31"/>
        <v>9.8837716655516175E-2</v>
      </c>
      <c r="AA10" s="236">
        <v>27377</v>
      </c>
      <c r="AB10" s="101">
        <f t="shared" si="32"/>
        <v>0.11376414416136499</v>
      </c>
      <c r="AC10" s="106">
        <f t="shared" si="33"/>
        <v>51162</v>
      </c>
      <c r="AD10" s="101">
        <f t="shared" si="34"/>
        <v>0.21260186081688115</v>
      </c>
      <c r="AE10" s="236">
        <v>22427</v>
      </c>
      <c r="AF10" s="101">
        <f t="shared" si="35"/>
        <v>9.3194596234318319E-2</v>
      </c>
      <c r="AG10" s="236">
        <v>8748</v>
      </c>
      <c r="AH10" s="101">
        <f t="shared" si="36"/>
        <v>3.6352001063798843E-2</v>
      </c>
      <c r="AI10" s="236">
        <v>20944</v>
      </c>
      <c r="AJ10" s="101">
        <f t="shared" si="37"/>
        <v>8.7032042784659688E-2</v>
      </c>
      <c r="AK10" s="236">
        <v>17565</v>
      </c>
      <c r="AL10" s="101">
        <f t="shared" si="38"/>
        <v>7.2990729159308029E-2</v>
      </c>
    </row>
    <row r="11" spans="1:38" ht="14.25">
      <c r="B11" s="98"/>
      <c r="C11" s="83"/>
      <c r="D11" s="553">
        <f t="shared" si="19"/>
        <v>46086</v>
      </c>
      <c r="E11" s="553" t="s">
        <v>586</v>
      </c>
      <c r="F11" s="88">
        <f t="shared" si="20"/>
        <v>221012</v>
      </c>
      <c r="G11" s="340"/>
      <c r="H11" s="456"/>
      <c r="I11" s="440">
        <v>29102</v>
      </c>
      <c r="J11" s="441">
        <f t="shared" si="21"/>
        <v>0.1316761080846289</v>
      </c>
      <c r="K11" s="440">
        <v>38579</v>
      </c>
      <c r="L11" s="441">
        <f t="shared" si="22"/>
        <v>0.17455613269867701</v>
      </c>
      <c r="M11" s="442">
        <f t="shared" si="23"/>
        <v>67681</v>
      </c>
      <c r="N11" s="441">
        <f t="shared" si="24"/>
        <v>0.30623224078330591</v>
      </c>
      <c r="O11" s="440">
        <v>6512</v>
      </c>
      <c r="P11" s="441">
        <f t="shared" si="25"/>
        <v>2.9464463468046983E-2</v>
      </c>
      <c r="Q11" s="440">
        <v>3443</v>
      </c>
      <c r="R11" s="441">
        <f t="shared" si="26"/>
        <v>1.5578339637666734E-2</v>
      </c>
      <c r="S11" s="442">
        <f t="shared" si="27"/>
        <v>9955</v>
      </c>
      <c r="T11" s="441">
        <f t="shared" si="28"/>
        <v>4.5042803105713715E-2</v>
      </c>
      <c r="U11" s="440">
        <v>31718</v>
      </c>
      <c r="V11" s="441">
        <f t="shared" si="29"/>
        <v>0.14351256945324237</v>
      </c>
      <c r="W11" s="440">
        <v>2575</v>
      </c>
      <c r="X11" s="441">
        <f t="shared" si="30"/>
        <v>1.165095107957939E-2</v>
      </c>
      <c r="Y11" s="440">
        <v>23781</v>
      </c>
      <c r="Z11" s="441">
        <f t="shared" si="31"/>
        <v>0.10760049228096212</v>
      </c>
      <c r="AA11" s="440">
        <v>22529</v>
      </c>
      <c r="AB11" s="441">
        <f t="shared" si="32"/>
        <v>0.10193564150362876</v>
      </c>
      <c r="AC11" s="442">
        <f t="shared" si="33"/>
        <v>46310</v>
      </c>
      <c r="AD11" s="441">
        <f t="shared" si="34"/>
        <v>0.20953613378459088</v>
      </c>
      <c r="AE11" s="440">
        <v>20996</v>
      </c>
      <c r="AF11" s="441">
        <f t="shared" si="35"/>
        <v>9.499936655023257E-2</v>
      </c>
      <c r="AG11" s="440">
        <v>7982</v>
      </c>
      <c r="AH11" s="441">
        <f t="shared" si="36"/>
        <v>3.6115686026098132E-2</v>
      </c>
      <c r="AI11" s="440">
        <v>16193</v>
      </c>
      <c r="AJ11" s="441">
        <f t="shared" si="37"/>
        <v>7.3267514886069529E-2</v>
      </c>
      <c r="AK11" s="440">
        <v>17602</v>
      </c>
      <c r="AL11" s="441">
        <f t="shared" si="38"/>
        <v>7.9642734331167545E-2</v>
      </c>
    </row>
    <row r="12" spans="1:38" ht="14.25">
      <c r="B12" s="98"/>
      <c r="C12" s="83"/>
      <c r="D12" s="553">
        <f t="shared" si="19"/>
        <v>46087</v>
      </c>
      <c r="E12" s="553" t="s">
        <v>587</v>
      </c>
      <c r="F12" s="88">
        <f t="shared" si="20"/>
        <v>197754</v>
      </c>
      <c r="G12" s="340"/>
      <c r="H12" s="456">
        <f>SUM(F7:F37)</f>
        <v>7031674</v>
      </c>
      <c r="I12" s="236">
        <v>26261</v>
      </c>
      <c r="J12" s="101">
        <f t="shared" si="21"/>
        <v>0.13279630247681462</v>
      </c>
      <c r="K12" s="236">
        <v>36509</v>
      </c>
      <c r="L12" s="101">
        <f t="shared" si="22"/>
        <v>0.18461826309455182</v>
      </c>
      <c r="M12" s="106">
        <f t="shared" si="23"/>
        <v>62770</v>
      </c>
      <c r="N12" s="101">
        <f t="shared" si="24"/>
        <v>0.31741456557136644</v>
      </c>
      <c r="O12" s="236">
        <v>5721</v>
      </c>
      <c r="P12" s="101">
        <f t="shared" si="25"/>
        <v>2.8929882581389E-2</v>
      </c>
      <c r="Q12" s="236">
        <v>2822</v>
      </c>
      <c r="R12" s="101">
        <f t="shared" si="26"/>
        <v>1.4270254963237153E-2</v>
      </c>
      <c r="S12" s="106">
        <f t="shared" si="27"/>
        <v>8543</v>
      </c>
      <c r="T12" s="101">
        <f t="shared" si="28"/>
        <v>4.3200137544626149E-2</v>
      </c>
      <c r="U12" s="236">
        <v>29166</v>
      </c>
      <c r="V12" s="101">
        <f t="shared" si="29"/>
        <v>0.14748627082132346</v>
      </c>
      <c r="W12" s="236">
        <v>1877</v>
      </c>
      <c r="X12" s="101">
        <f t="shared" si="30"/>
        <v>9.4915905620113882E-3</v>
      </c>
      <c r="Y12" s="236">
        <v>21001</v>
      </c>
      <c r="Z12" s="101">
        <f t="shared" si="31"/>
        <v>0.10619759903718762</v>
      </c>
      <c r="AA12" s="236">
        <v>23666</v>
      </c>
      <c r="AB12" s="101">
        <f t="shared" si="32"/>
        <v>0.11967393832741689</v>
      </c>
      <c r="AC12" s="106">
        <f t="shared" si="33"/>
        <v>44667</v>
      </c>
      <c r="AD12" s="101">
        <f t="shared" si="34"/>
        <v>0.2258715373646045</v>
      </c>
      <c r="AE12" s="236">
        <v>17352</v>
      </c>
      <c r="AF12" s="101">
        <f t="shared" si="35"/>
        <v>8.7745380624412145E-2</v>
      </c>
      <c r="AG12" s="236">
        <v>5110</v>
      </c>
      <c r="AH12" s="101">
        <f t="shared" si="36"/>
        <v>2.5840185280702286E-2</v>
      </c>
      <c r="AI12" s="236">
        <v>12659</v>
      </c>
      <c r="AJ12" s="101">
        <f t="shared" si="37"/>
        <v>6.4013875825520594E-2</v>
      </c>
      <c r="AK12" s="236">
        <v>15610</v>
      </c>
      <c r="AL12" s="101">
        <f t="shared" si="38"/>
        <v>7.8936456405433009E-2</v>
      </c>
    </row>
    <row r="13" spans="1:38" ht="14.25">
      <c r="B13" s="98"/>
      <c r="C13" s="83"/>
      <c r="D13" s="553">
        <f t="shared" si="19"/>
        <v>46088</v>
      </c>
      <c r="E13" s="553" t="s">
        <v>588</v>
      </c>
      <c r="F13" s="88">
        <f t="shared" si="20"/>
        <v>212051</v>
      </c>
      <c r="G13" s="340"/>
      <c r="H13" s="456"/>
      <c r="I13" s="236">
        <v>25388</v>
      </c>
      <c r="J13" s="101">
        <f t="shared" si="21"/>
        <v>0.11972591499214812</v>
      </c>
      <c r="K13" s="236">
        <v>40045</v>
      </c>
      <c r="L13" s="101">
        <f t="shared" si="22"/>
        <v>0.18884607948087959</v>
      </c>
      <c r="M13" s="106">
        <f t="shared" si="23"/>
        <v>65433</v>
      </c>
      <c r="N13" s="101">
        <f t="shared" si="24"/>
        <v>0.30857199447302769</v>
      </c>
      <c r="O13" s="236">
        <v>5597</v>
      </c>
      <c r="P13" s="101">
        <f t="shared" si="25"/>
        <v>2.6394593753389515E-2</v>
      </c>
      <c r="Q13" s="236">
        <v>2665</v>
      </c>
      <c r="R13" s="101">
        <f t="shared" si="26"/>
        <v>1.25677313476475E-2</v>
      </c>
      <c r="S13" s="106">
        <f t="shared" si="27"/>
        <v>8262</v>
      </c>
      <c r="T13" s="101">
        <f t="shared" si="28"/>
        <v>3.8962325101037018E-2</v>
      </c>
      <c r="U13" s="236">
        <v>32111</v>
      </c>
      <c r="V13" s="101">
        <f t="shared" si="29"/>
        <v>0.15143055208416842</v>
      </c>
      <c r="W13" s="236">
        <v>2019</v>
      </c>
      <c r="X13" s="101">
        <f t="shared" si="30"/>
        <v>9.5212944055911072E-3</v>
      </c>
      <c r="Y13" s="236">
        <v>22387</v>
      </c>
      <c r="Z13" s="101">
        <f t="shared" si="31"/>
        <v>0.10557365916689852</v>
      </c>
      <c r="AA13" s="236">
        <v>25117</v>
      </c>
      <c r="AB13" s="101">
        <f t="shared" si="32"/>
        <v>0.11844792054741549</v>
      </c>
      <c r="AC13" s="106">
        <f t="shared" si="33"/>
        <v>47504</v>
      </c>
      <c r="AD13" s="101">
        <f t="shared" si="34"/>
        <v>0.22402157971431402</v>
      </c>
      <c r="AE13" s="236">
        <v>19668</v>
      </c>
      <c r="AF13" s="101">
        <f t="shared" si="35"/>
        <v>9.2751272099636406E-2</v>
      </c>
      <c r="AG13" s="236">
        <v>6238</v>
      </c>
      <c r="AH13" s="101">
        <f t="shared" si="36"/>
        <v>2.9417451462148258E-2</v>
      </c>
      <c r="AI13" s="236">
        <v>13710</v>
      </c>
      <c r="AJ13" s="101">
        <f t="shared" si="37"/>
        <v>6.4654257702156562E-2</v>
      </c>
      <c r="AK13" s="236">
        <v>17106</v>
      </c>
      <c r="AL13" s="101">
        <f t="shared" si="38"/>
        <v>8.0669272957920507E-2</v>
      </c>
    </row>
    <row r="14" spans="1:38" ht="14.25">
      <c r="B14" s="98"/>
      <c r="C14" s="83"/>
      <c r="D14" s="553">
        <f t="shared" si="19"/>
        <v>46089</v>
      </c>
      <c r="E14" s="553" t="s">
        <v>589</v>
      </c>
      <c r="F14" s="88">
        <f t="shared" si="20"/>
        <v>253425</v>
      </c>
      <c r="G14" s="340"/>
      <c r="H14" s="456"/>
      <c r="I14" s="236">
        <v>32711</v>
      </c>
      <c r="J14" s="101">
        <f>I14/F14</f>
        <v>0.12907566341126567</v>
      </c>
      <c r="K14" s="236">
        <v>42876</v>
      </c>
      <c r="L14" s="101">
        <f>K14/F14</f>
        <v>0.16918614974844629</v>
      </c>
      <c r="M14" s="106">
        <f>SUM(I14+K14)</f>
        <v>75587</v>
      </c>
      <c r="N14" s="101">
        <f>M14/F14</f>
        <v>0.29826181315971195</v>
      </c>
      <c r="O14" s="236">
        <v>7558</v>
      </c>
      <c r="P14" s="101">
        <f>O14/F14</f>
        <v>2.9823419157541678E-2</v>
      </c>
      <c r="Q14" s="236">
        <v>3312</v>
      </c>
      <c r="R14" s="101">
        <f t="shared" si="26"/>
        <v>1.3068955312222552E-2</v>
      </c>
      <c r="S14" s="106">
        <f t="shared" si="27"/>
        <v>10870</v>
      </c>
      <c r="T14" s="101">
        <f>S14/F14</f>
        <v>4.2892374469764231E-2</v>
      </c>
      <c r="U14" s="236">
        <v>38522</v>
      </c>
      <c r="V14" s="101">
        <f>U14/F14</f>
        <v>0.15200552431685904</v>
      </c>
      <c r="W14" s="236">
        <v>1880</v>
      </c>
      <c r="X14" s="101">
        <f>W14/F14</f>
        <v>7.4183683535562787E-3</v>
      </c>
      <c r="Y14" s="236">
        <v>27093</v>
      </c>
      <c r="Z14" s="101">
        <f>Y14/F14</f>
        <v>0.10690736904409588</v>
      </c>
      <c r="AA14" s="236">
        <v>27748</v>
      </c>
      <c r="AB14" s="101">
        <f t="shared" si="32"/>
        <v>0.10949196014599981</v>
      </c>
      <c r="AC14" s="106">
        <f>SUM(Y14+AA14)</f>
        <v>54841</v>
      </c>
      <c r="AD14" s="101">
        <f>AC14/F14</f>
        <v>0.21639932919009569</v>
      </c>
      <c r="AE14" s="236">
        <v>25896</v>
      </c>
      <c r="AF14" s="101">
        <f>AE14/F14</f>
        <v>0.10218407812962414</v>
      </c>
      <c r="AG14" s="236">
        <v>9235</v>
      </c>
      <c r="AH14" s="101">
        <f>AG14/F14</f>
        <v>3.6440761566538422E-2</v>
      </c>
      <c r="AI14" s="236">
        <v>18522</v>
      </c>
      <c r="AJ14" s="101">
        <f>AI14/F14</f>
        <v>7.3086712044983723E-2</v>
      </c>
      <c r="AK14" s="236">
        <v>18072</v>
      </c>
      <c r="AL14" s="101">
        <f>AK14/F14</f>
        <v>7.1311038768866533E-2</v>
      </c>
    </row>
    <row r="15" spans="1:38" ht="14.25">
      <c r="B15" s="98"/>
      <c r="C15" s="83"/>
      <c r="D15" s="553">
        <f t="shared" si="19"/>
        <v>46090</v>
      </c>
      <c r="E15" s="553" t="s">
        <v>583</v>
      </c>
      <c r="F15" s="88">
        <f t="shared" si="20"/>
        <v>244877</v>
      </c>
      <c r="G15" s="340"/>
      <c r="H15" s="456"/>
      <c r="I15" s="236">
        <v>31274</v>
      </c>
      <c r="J15" s="101">
        <f t="shared" ref="J15" si="39">I15/F15</f>
        <v>0.12771309677919934</v>
      </c>
      <c r="K15" s="236">
        <v>42437</v>
      </c>
      <c r="L15" s="101">
        <f t="shared" ref="L15" si="40">K15/F15</f>
        <v>0.17329924819399126</v>
      </c>
      <c r="M15" s="106">
        <f t="shared" ref="M15" si="41">SUM(I15+K15)</f>
        <v>73711</v>
      </c>
      <c r="N15" s="101">
        <f t="shared" ref="N15" si="42">M15/F15</f>
        <v>0.30101234497319063</v>
      </c>
      <c r="O15" s="236">
        <v>6797</v>
      </c>
      <c r="P15" s="101">
        <f t="shared" ref="P15" si="43">O15/F15</f>
        <v>2.7756792185464538E-2</v>
      </c>
      <c r="Q15" s="236">
        <v>3326</v>
      </c>
      <c r="R15" s="101">
        <f t="shared" si="26"/>
        <v>1.358232908766442E-2</v>
      </c>
      <c r="S15" s="106">
        <f t="shared" ref="S15" si="44">SUM(O15+Q15)</f>
        <v>10123</v>
      </c>
      <c r="T15" s="101">
        <f t="shared" ref="T15" si="45">S15/F15</f>
        <v>4.1339121273128956E-2</v>
      </c>
      <c r="U15" s="236">
        <v>37895</v>
      </c>
      <c r="V15" s="101">
        <f t="shared" ref="V15" si="46">U15/F15</f>
        <v>0.15475116078684401</v>
      </c>
      <c r="W15" s="236">
        <v>2275</v>
      </c>
      <c r="X15" s="101">
        <f t="shared" ref="X15" si="47">W15/F15</f>
        <v>9.2903784348877198E-3</v>
      </c>
      <c r="Y15" s="236">
        <v>24139</v>
      </c>
      <c r="Z15" s="101">
        <f t="shared" ref="Z15" si="48">Y15/F15</f>
        <v>9.8576019797694356E-2</v>
      </c>
      <c r="AA15" s="236">
        <v>27555</v>
      </c>
      <c r="AB15" s="101">
        <f t="shared" si="32"/>
        <v>0.11252588033992576</v>
      </c>
      <c r="AC15" s="106">
        <f t="shared" ref="AC15" si="49">SUM(Y15+AA15)</f>
        <v>51694</v>
      </c>
      <c r="AD15" s="101">
        <f t="shared" ref="AD15" si="50">AC15/F15</f>
        <v>0.21110190013762012</v>
      </c>
      <c r="AE15" s="236">
        <v>22760</v>
      </c>
      <c r="AF15" s="101">
        <f t="shared" ref="AF15" si="51">AE15/F15</f>
        <v>9.2944621177162415E-2</v>
      </c>
      <c r="AG15" s="236">
        <v>6454</v>
      </c>
      <c r="AH15" s="101">
        <f t="shared" ref="AH15" si="52">AG15/F15</f>
        <v>2.6356088975281466E-2</v>
      </c>
      <c r="AI15" s="236">
        <v>20494</v>
      </c>
      <c r="AJ15" s="101">
        <f t="shared" ref="AJ15" si="53">AI15/F15</f>
        <v>8.3690995887731393E-2</v>
      </c>
      <c r="AK15" s="236">
        <v>19471</v>
      </c>
      <c r="AL15" s="101">
        <f t="shared" ref="AL15" si="54">AK15/F15</f>
        <v>7.9513388354153308E-2</v>
      </c>
    </row>
    <row r="16" spans="1:38" ht="14.25">
      <c r="B16" s="98"/>
      <c r="C16" s="83"/>
      <c r="D16" s="519">
        <f t="shared" si="19"/>
        <v>46091</v>
      </c>
      <c r="E16" s="519" t="s">
        <v>584</v>
      </c>
      <c r="F16" s="88">
        <f t="shared" si="20"/>
        <v>243272</v>
      </c>
      <c r="G16" s="340">
        <f>SUM(F16:F22)</f>
        <v>1610229</v>
      </c>
      <c r="H16" s="456"/>
      <c r="I16" s="236">
        <v>31224</v>
      </c>
      <c r="J16" s="101">
        <f t="shared" ref="J16:J41" si="55">I16/F16</f>
        <v>0.12835015949225559</v>
      </c>
      <c r="K16" s="236">
        <v>41085</v>
      </c>
      <c r="L16" s="101">
        <f t="shared" ref="L16:L41" si="56">K16/F16</f>
        <v>0.16888503403597618</v>
      </c>
      <c r="M16" s="106">
        <f t="shared" ref="M16:M41" si="57">SUM(I16+K16)</f>
        <v>72309</v>
      </c>
      <c r="N16" s="101">
        <f t="shared" ref="N16:N41" si="58">M16/F16</f>
        <v>0.2972351935282318</v>
      </c>
      <c r="O16" s="236">
        <v>6977</v>
      </c>
      <c r="P16" s="101">
        <f t="shared" ref="P16:P41" si="59">O16/F16</f>
        <v>2.8679831628794106E-2</v>
      </c>
      <c r="Q16" s="236">
        <v>3243</v>
      </c>
      <c r="R16" s="101">
        <f t="shared" si="26"/>
        <v>1.3330757341576507E-2</v>
      </c>
      <c r="S16" s="106">
        <f t="shared" ref="S16:S45" si="60">SUM(O16+Q16)</f>
        <v>10220</v>
      </c>
      <c r="T16" s="101">
        <f t="shared" ref="T16:T41" si="61">S16/F16</f>
        <v>4.2010588970370612E-2</v>
      </c>
      <c r="U16" s="236">
        <v>36834</v>
      </c>
      <c r="V16" s="101">
        <f t="shared" ref="V16:V41" si="62">U16/F16</f>
        <v>0.15141076654937682</v>
      </c>
      <c r="W16" s="236">
        <v>2077</v>
      </c>
      <c r="X16" s="101">
        <f t="shared" ref="X16:X41" si="63">W16/F16</f>
        <v>8.5377684238218954E-3</v>
      </c>
      <c r="Y16" s="236">
        <v>23718</v>
      </c>
      <c r="Z16" s="101">
        <f t="shared" ref="Z16:Z41" si="64">Y16/F16</f>
        <v>9.7495807162353246E-2</v>
      </c>
      <c r="AA16" s="236">
        <v>27019</v>
      </c>
      <c r="AB16" s="101">
        <f t="shared" si="32"/>
        <v>0.11106498076227432</v>
      </c>
      <c r="AC16" s="106">
        <f t="shared" ref="AC16:AC41" si="65">SUM(Y16+AA16)</f>
        <v>50737</v>
      </c>
      <c r="AD16" s="101">
        <f t="shared" ref="AD16:AD41" si="66">AC16/F16</f>
        <v>0.20856078792462757</v>
      </c>
      <c r="AE16" s="236">
        <v>22112</v>
      </c>
      <c r="AF16" s="101">
        <f t="shared" ref="AF16:AF41" si="67">AE16/F16</f>
        <v>9.0894143181295017E-2</v>
      </c>
      <c r="AG16" s="236">
        <v>5543</v>
      </c>
      <c r="AH16" s="101">
        <f t="shared" ref="AH16:AH41" si="68">AG16/F16</f>
        <v>2.2785195172481832E-2</v>
      </c>
      <c r="AI16" s="236">
        <v>19535</v>
      </c>
      <c r="AJ16" s="101">
        <f t="shared" ref="AJ16:AJ41" si="69">AI16/F16</f>
        <v>8.0301062185537175E-2</v>
      </c>
      <c r="AK16" s="236">
        <v>23905</v>
      </c>
      <c r="AL16" s="101">
        <f t="shared" ref="AL16:AL41" si="70">AK16/F16</f>
        <v>9.8264494064257288E-2</v>
      </c>
    </row>
    <row r="17" spans="2:38" ht="14.25">
      <c r="B17" s="98"/>
      <c r="C17" s="83"/>
      <c r="D17" s="554">
        <f t="shared" si="19"/>
        <v>46092</v>
      </c>
      <c r="E17" s="554" t="s">
        <v>585</v>
      </c>
      <c r="F17" s="88">
        <f t="shared" si="20"/>
        <v>228563</v>
      </c>
      <c r="G17" s="340"/>
      <c r="H17" s="456"/>
      <c r="I17" s="236">
        <v>30676</v>
      </c>
      <c r="J17" s="101">
        <f t="shared" si="55"/>
        <v>0.13421244908405996</v>
      </c>
      <c r="K17" s="236">
        <v>39998</v>
      </c>
      <c r="L17" s="101">
        <f t="shared" si="56"/>
        <v>0.1749977030402996</v>
      </c>
      <c r="M17" s="106">
        <f t="shared" si="57"/>
        <v>70674</v>
      </c>
      <c r="N17" s="101">
        <f t="shared" si="58"/>
        <v>0.30921015212435959</v>
      </c>
      <c r="O17" s="236">
        <v>7013</v>
      </c>
      <c r="P17" s="101">
        <f t="shared" si="59"/>
        <v>3.0683006435862321E-2</v>
      </c>
      <c r="Q17" s="236">
        <v>3211</v>
      </c>
      <c r="R17" s="101">
        <f t="shared" si="26"/>
        <v>1.4048643043712237E-2</v>
      </c>
      <c r="S17" s="106">
        <f t="shared" si="60"/>
        <v>10224</v>
      </c>
      <c r="T17" s="101">
        <f t="shared" si="61"/>
        <v>4.4731649479574559E-2</v>
      </c>
      <c r="U17" s="236">
        <v>35096</v>
      </c>
      <c r="V17" s="101">
        <f t="shared" si="62"/>
        <v>0.1535506621806679</v>
      </c>
      <c r="W17" s="236">
        <v>2272</v>
      </c>
      <c r="X17" s="101">
        <f t="shared" si="63"/>
        <v>9.9403665510165683E-3</v>
      </c>
      <c r="Y17" s="236">
        <v>23019</v>
      </c>
      <c r="Z17" s="101">
        <f t="shared" si="64"/>
        <v>0.10071183874905387</v>
      </c>
      <c r="AA17" s="236">
        <v>25399</v>
      </c>
      <c r="AB17" s="101">
        <f t="shared" si="32"/>
        <v>0.11112472272415046</v>
      </c>
      <c r="AC17" s="106">
        <f t="shared" si="65"/>
        <v>48418</v>
      </c>
      <c r="AD17" s="101">
        <f t="shared" si="66"/>
        <v>0.21183656147320432</v>
      </c>
      <c r="AE17" s="236">
        <v>20391</v>
      </c>
      <c r="AF17" s="101">
        <f t="shared" si="67"/>
        <v>8.9213914763106889E-2</v>
      </c>
      <c r="AG17" s="236">
        <v>5392</v>
      </c>
      <c r="AH17" s="101">
        <f t="shared" si="68"/>
        <v>2.3590869913328052E-2</v>
      </c>
      <c r="AI17" s="236">
        <v>12763</v>
      </c>
      <c r="AJ17" s="101">
        <f t="shared" si="69"/>
        <v>5.584018410678894E-2</v>
      </c>
      <c r="AK17" s="236">
        <v>23333</v>
      </c>
      <c r="AL17" s="101">
        <f t="shared" si="70"/>
        <v>0.10208563940795316</v>
      </c>
    </row>
    <row r="18" spans="2:38" ht="14.25">
      <c r="B18" s="98"/>
      <c r="C18" s="83"/>
      <c r="D18" s="554">
        <f t="shared" si="19"/>
        <v>46093</v>
      </c>
      <c r="E18" s="554" t="s">
        <v>586</v>
      </c>
      <c r="F18" s="88">
        <f t="shared" si="20"/>
        <v>210660</v>
      </c>
      <c r="G18" s="340"/>
      <c r="H18" s="456"/>
      <c r="I18" s="236">
        <v>29307</v>
      </c>
      <c r="J18" s="101">
        <f t="shared" si="55"/>
        <v>0.13911990885787526</v>
      </c>
      <c r="K18" s="236">
        <v>37434</v>
      </c>
      <c r="L18" s="101">
        <f t="shared" si="56"/>
        <v>0.17769866135004272</v>
      </c>
      <c r="M18" s="106">
        <f t="shared" si="57"/>
        <v>66741</v>
      </c>
      <c r="N18" s="101">
        <f t="shared" si="58"/>
        <v>0.31681857020791798</v>
      </c>
      <c r="O18" s="236">
        <v>6855</v>
      </c>
      <c r="P18" s="101">
        <f t="shared" si="59"/>
        <v>3.2540586727428086E-2</v>
      </c>
      <c r="Q18" s="236">
        <v>3182</v>
      </c>
      <c r="R18" s="101">
        <f t="shared" si="26"/>
        <v>1.5104908383176683E-2</v>
      </c>
      <c r="S18" s="106">
        <f t="shared" si="60"/>
        <v>10037</v>
      </c>
      <c r="T18" s="101">
        <f t="shared" si="61"/>
        <v>4.7645495110604764E-2</v>
      </c>
      <c r="U18" s="236">
        <v>31711</v>
      </c>
      <c r="V18" s="101">
        <f t="shared" si="62"/>
        <v>0.15053166239437957</v>
      </c>
      <c r="W18" s="236">
        <v>2279</v>
      </c>
      <c r="X18" s="101">
        <f t="shared" si="63"/>
        <v>1.0818380328491408E-2</v>
      </c>
      <c r="Y18" s="236">
        <v>23653</v>
      </c>
      <c r="Z18" s="101">
        <f t="shared" si="64"/>
        <v>0.11228045191303522</v>
      </c>
      <c r="AA18" s="236">
        <v>21399</v>
      </c>
      <c r="AB18" s="101">
        <f t="shared" si="32"/>
        <v>0.10158074622614639</v>
      </c>
      <c r="AC18" s="106">
        <f t="shared" si="65"/>
        <v>45052</v>
      </c>
      <c r="AD18" s="101">
        <f t="shared" si="66"/>
        <v>0.21386119813918161</v>
      </c>
      <c r="AE18" s="236">
        <v>19599</v>
      </c>
      <c r="AF18" s="101">
        <f t="shared" si="67"/>
        <v>9.3036172030760464E-2</v>
      </c>
      <c r="AG18" s="236">
        <v>5106</v>
      </c>
      <c r="AH18" s="101">
        <f t="shared" si="68"/>
        <v>2.4238108800911422E-2</v>
      </c>
      <c r="AI18" s="236">
        <v>11058</v>
      </c>
      <c r="AJ18" s="101">
        <f t="shared" si="69"/>
        <v>5.2492167473654226E-2</v>
      </c>
      <c r="AK18" s="236">
        <v>19077</v>
      </c>
      <c r="AL18" s="101">
        <f t="shared" si="70"/>
        <v>9.0558245514098551E-2</v>
      </c>
    </row>
    <row r="19" spans="2:38" ht="14.25">
      <c r="B19" s="98"/>
      <c r="C19" s="83"/>
      <c r="D19" s="554">
        <f t="shared" si="19"/>
        <v>46094</v>
      </c>
      <c r="E19" s="554" t="s">
        <v>587</v>
      </c>
      <c r="F19" s="88">
        <f t="shared" si="20"/>
        <v>206085</v>
      </c>
      <c r="G19" s="340"/>
      <c r="H19" s="456"/>
      <c r="I19" s="236">
        <v>25772</v>
      </c>
      <c r="J19" s="101">
        <f t="shared" si="55"/>
        <v>0.12505519567168888</v>
      </c>
      <c r="K19" s="236">
        <v>36320</v>
      </c>
      <c r="L19" s="101">
        <f t="shared" si="56"/>
        <v>0.17623796006502171</v>
      </c>
      <c r="M19" s="106">
        <f t="shared" si="57"/>
        <v>62092</v>
      </c>
      <c r="N19" s="101">
        <f t="shared" si="58"/>
        <v>0.30129315573671056</v>
      </c>
      <c r="O19" s="236">
        <v>5623</v>
      </c>
      <c r="P19" s="101">
        <f t="shared" si="59"/>
        <v>2.728485818958197E-2</v>
      </c>
      <c r="Q19" s="236">
        <v>2641</v>
      </c>
      <c r="R19" s="101">
        <f t="shared" si="26"/>
        <v>1.2815100565300726E-2</v>
      </c>
      <c r="S19" s="106">
        <f t="shared" si="60"/>
        <v>8264</v>
      </c>
      <c r="T19" s="101">
        <f t="shared" si="61"/>
        <v>4.0099958754882696E-2</v>
      </c>
      <c r="U19" s="236">
        <v>29235</v>
      </c>
      <c r="V19" s="101">
        <f t="shared" si="62"/>
        <v>0.14185894169881361</v>
      </c>
      <c r="W19" s="236">
        <v>1691</v>
      </c>
      <c r="X19" s="101">
        <f t="shared" si="63"/>
        <v>8.2053521605162921E-3</v>
      </c>
      <c r="Y19" s="236">
        <v>23290</v>
      </c>
      <c r="Z19" s="101">
        <f t="shared" si="64"/>
        <v>0.11301162141834679</v>
      </c>
      <c r="AA19" s="236">
        <v>24631</v>
      </c>
      <c r="AB19" s="101">
        <f t="shared" si="32"/>
        <v>0.11951864521920567</v>
      </c>
      <c r="AC19" s="106">
        <f t="shared" si="65"/>
        <v>47921</v>
      </c>
      <c r="AD19" s="101">
        <f t="shared" si="66"/>
        <v>0.23253026663755247</v>
      </c>
      <c r="AE19" s="236">
        <v>18578</v>
      </c>
      <c r="AF19" s="101">
        <f t="shared" si="67"/>
        <v>9.0147269330616009E-2</v>
      </c>
      <c r="AG19" s="236">
        <v>5592</v>
      </c>
      <c r="AH19" s="101">
        <f t="shared" si="68"/>
        <v>2.7134434820583739E-2</v>
      </c>
      <c r="AI19" s="236">
        <v>15604</v>
      </c>
      <c r="AJ19" s="101">
        <f t="shared" si="69"/>
        <v>7.5716330640269794E-2</v>
      </c>
      <c r="AK19" s="236">
        <v>17108</v>
      </c>
      <c r="AL19" s="101">
        <f t="shared" si="70"/>
        <v>8.3014290220054826E-2</v>
      </c>
    </row>
    <row r="20" spans="2:38" ht="14.25">
      <c r="B20" s="98"/>
      <c r="C20" s="83"/>
      <c r="D20" s="554">
        <f t="shared" si="19"/>
        <v>46095</v>
      </c>
      <c r="E20" s="554" t="s">
        <v>588</v>
      </c>
      <c r="F20" s="88">
        <f t="shared" si="20"/>
        <v>214713</v>
      </c>
      <c r="G20" s="340"/>
      <c r="H20" s="456"/>
      <c r="I20" s="236">
        <v>24485</v>
      </c>
      <c r="J20" s="101">
        <f t="shared" si="55"/>
        <v>0.1140359456576919</v>
      </c>
      <c r="K20" s="236">
        <v>39219</v>
      </c>
      <c r="L20" s="101">
        <f t="shared" si="56"/>
        <v>0.18265778038591049</v>
      </c>
      <c r="M20" s="106">
        <f t="shared" si="57"/>
        <v>63704</v>
      </c>
      <c r="N20" s="101">
        <f t="shared" si="58"/>
        <v>0.29669372604360239</v>
      </c>
      <c r="O20" s="236">
        <v>5174</v>
      </c>
      <c r="P20" s="101">
        <f t="shared" si="59"/>
        <v>2.409728335033277E-2</v>
      </c>
      <c r="Q20" s="236">
        <v>2506</v>
      </c>
      <c r="R20" s="101">
        <f t="shared" si="26"/>
        <v>1.1671393907215678E-2</v>
      </c>
      <c r="S20" s="106">
        <f t="shared" si="60"/>
        <v>7680</v>
      </c>
      <c r="T20" s="101">
        <f t="shared" si="61"/>
        <v>3.5768677257548447E-2</v>
      </c>
      <c r="U20" s="236">
        <v>31285</v>
      </c>
      <c r="V20" s="101">
        <f t="shared" si="62"/>
        <v>0.14570612864614624</v>
      </c>
      <c r="W20" s="236">
        <v>1936</v>
      </c>
      <c r="X20" s="101">
        <f t="shared" si="63"/>
        <v>9.0166873920070039E-3</v>
      </c>
      <c r="Y20" s="236">
        <v>23163</v>
      </c>
      <c r="Z20" s="101">
        <f t="shared" si="64"/>
        <v>0.10787888949434828</v>
      </c>
      <c r="AA20" s="236">
        <v>24854</v>
      </c>
      <c r="AB20" s="101">
        <f t="shared" si="32"/>
        <v>0.11575451882280068</v>
      </c>
      <c r="AC20" s="106">
        <f t="shared" si="65"/>
        <v>48017</v>
      </c>
      <c r="AD20" s="101">
        <f t="shared" si="66"/>
        <v>0.22363340831714895</v>
      </c>
      <c r="AE20" s="236">
        <v>20315</v>
      </c>
      <c r="AF20" s="101">
        <f t="shared" si="67"/>
        <v>9.4614671678007384E-2</v>
      </c>
      <c r="AG20" s="236">
        <v>5241</v>
      </c>
      <c r="AH20" s="101">
        <f t="shared" si="68"/>
        <v>2.440932780036607E-2</v>
      </c>
      <c r="AI20" s="236">
        <v>17408</v>
      </c>
      <c r="AJ20" s="101">
        <f t="shared" si="69"/>
        <v>8.1075668450443145E-2</v>
      </c>
      <c r="AK20" s="236">
        <v>19127</v>
      </c>
      <c r="AL20" s="101">
        <f t="shared" si="70"/>
        <v>8.9081704414730359E-2</v>
      </c>
    </row>
    <row r="21" spans="2:38" ht="14.25">
      <c r="B21" s="98"/>
      <c r="C21" s="83"/>
      <c r="D21" s="554">
        <f t="shared" si="19"/>
        <v>46096</v>
      </c>
      <c r="E21" s="554" t="s">
        <v>589</v>
      </c>
      <c r="F21" s="88">
        <f t="shared" si="20"/>
        <v>258354</v>
      </c>
      <c r="G21" s="340"/>
      <c r="H21" s="456"/>
      <c r="I21" s="236">
        <v>31521</v>
      </c>
      <c r="J21" s="101">
        <f t="shared" si="55"/>
        <v>0.12200701363245779</v>
      </c>
      <c r="K21" s="236">
        <v>42509</v>
      </c>
      <c r="L21" s="101">
        <f t="shared" si="56"/>
        <v>0.16453780471755808</v>
      </c>
      <c r="M21" s="106">
        <f t="shared" si="57"/>
        <v>74030</v>
      </c>
      <c r="N21" s="101">
        <f t="shared" si="58"/>
        <v>0.28654481835001588</v>
      </c>
      <c r="O21" s="236">
        <v>6966</v>
      </c>
      <c r="P21" s="101">
        <f t="shared" si="59"/>
        <v>2.6963004249982582E-2</v>
      </c>
      <c r="Q21" s="236">
        <v>3150</v>
      </c>
      <c r="R21" s="101">
        <f t="shared" si="26"/>
        <v>1.2192572981258273E-2</v>
      </c>
      <c r="S21" s="106">
        <f t="shared" si="60"/>
        <v>10116</v>
      </c>
      <c r="T21" s="101">
        <f t="shared" si="61"/>
        <v>3.9155577231240857E-2</v>
      </c>
      <c r="U21" s="236">
        <v>39090</v>
      </c>
      <c r="V21" s="101">
        <f t="shared" si="62"/>
        <v>0.15130402471028123</v>
      </c>
      <c r="W21" s="236">
        <v>1810</v>
      </c>
      <c r="X21" s="101">
        <f t="shared" si="63"/>
        <v>7.0058911416118969E-3</v>
      </c>
      <c r="Y21" s="236">
        <v>25506</v>
      </c>
      <c r="Z21" s="101">
        <f t="shared" si="64"/>
        <v>9.8725005225388421E-2</v>
      </c>
      <c r="AA21" s="236">
        <v>27939</v>
      </c>
      <c r="AB21" s="101">
        <f t="shared" si="32"/>
        <v>0.10814231635662695</v>
      </c>
      <c r="AC21" s="106">
        <f t="shared" si="65"/>
        <v>53445</v>
      </c>
      <c r="AD21" s="101">
        <f t="shared" si="66"/>
        <v>0.20686732158201537</v>
      </c>
      <c r="AE21" s="236">
        <v>25175</v>
      </c>
      <c r="AF21" s="101">
        <f t="shared" si="67"/>
        <v>9.7443817397833976E-2</v>
      </c>
      <c r="AG21" s="236">
        <v>6016</v>
      </c>
      <c r="AH21" s="101">
        <f t="shared" si="68"/>
        <v>2.3285879065158659E-2</v>
      </c>
      <c r="AI21" s="236">
        <v>22567</v>
      </c>
      <c r="AJ21" s="101">
        <f t="shared" si="69"/>
        <v>8.7349141100969988E-2</v>
      </c>
      <c r="AK21" s="236">
        <v>26105</v>
      </c>
      <c r="AL21" s="101">
        <f t="shared" si="70"/>
        <v>0.10104352942087214</v>
      </c>
    </row>
    <row r="22" spans="2:38" ht="14.25">
      <c r="B22" s="98"/>
      <c r="C22" s="83"/>
      <c r="D22" s="554">
        <f t="shared" si="19"/>
        <v>46097</v>
      </c>
      <c r="E22" s="554" t="s">
        <v>583</v>
      </c>
      <c r="F22" s="88">
        <f t="shared" si="20"/>
        <v>248582</v>
      </c>
      <c r="G22" s="340"/>
      <c r="H22" s="456"/>
      <c r="I22" s="236">
        <v>30665</v>
      </c>
      <c r="J22" s="101">
        <f t="shared" si="55"/>
        <v>0.12335969619682841</v>
      </c>
      <c r="K22" s="236">
        <v>45905</v>
      </c>
      <c r="L22" s="101">
        <f t="shared" si="56"/>
        <v>0.18466743368385483</v>
      </c>
      <c r="M22" s="106">
        <f t="shared" si="57"/>
        <v>76570</v>
      </c>
      <c r="N22" s="101">
        <f t="shared" si="58"/>
        <v>0.30802712988068326</v>
      </c>
      <c r="O22" s="236">
        <v>6478</v>
      </c>
      <c r="P22" s="101">
        <f t="shared" si="59"/>
        <v>2.6059811249406633E-2</v>
      </c>
      <c r="Q22" s="236">
        <v>3096</v>
      </c>
      <c r="R22" s="101">
        <f t="shared" si="26"/>
        <v>1.2454642733584894E-2</v>
      </c>
      <c r="S22" s="106">
        <f t="shared" si="60"/>
        <v>9574</v>
      </c>
      <c r="T22" s="101">
        <f t="shared" si="61"/>
        <v>3.8514453982991526E-2</v>
      </c>
      <c r="U22" s="236">
        <v>37330</v>
      </c>
      <c r="V22" s="101">
        <f t="shared" si="62"/>
        <v>0.15017177430385145</v>
      </c>
      <c r="W22" s="236">
        <v>2232</v>
      </c>
      <c r="X22" s="101">
        <f t="shared" si="63"/>
        <v>8.9789284823519003E-3</v>
      </c>
      <c r="Y22" s="236">
        <v>23218</v>
      </c>
      <c r="Z22" s="101">
        <f t="shared" si="64"/>
        <v>9.3401774867045886E-2</v>
      </c>
      <c r="AA22" s="236">
        <v>26743</v>
      </c>
      <c r="AB22" s="101">
        <f t="shared" si="32"/>
        <v>0.10758220627398606</v>
      </c>
      <c r="AC22" s="106">
        <f t="shared" si="65"/>
        <v>49961</v>
      </c>
      <c r="AD22" s="101">
        <f t="shared" si="66"/>
        <v>0.20098398114103194</v>
      </c>
      <c r="AE22" s="236">
        <v>23343</v>
      </c>
      <c r="AF22" s="101">
        <f t="shared" si="67"/>
        <v>9.3904627044596956E-2</v>
      </c>
      <c r="AG22" s="236">
        <v>6053</v>
      </c>
      <c r="AH22" s="101">
        <f t="shared" si="68"/>
        <v>2.4350113845732997E-2</v>
      </c>
      <c r="AI22" s="236">
        <v>21880</v>
      </c>
      <c r="AJ22" s="101">
        <f t="shared" si="69"/>
        <v>8.8019245158539233E-2</v>
      </c>
      <c r="AK22" s="236">
        <v>21639</v>
      </c>
      <c r="AL22" s="101">
        <f t="shared" si="70"/>
        <v>8.7049746160220778E-2</v>
      </c>
    </row>
    <row r="23" spans="2:38" ht="14.25">
      <c r="B23" s="98"/>
      <c r="C23" s="83"/>
      <c r="D23" s="332">
        <f t="shared" si="19"/>
        <v>46098</v>
      </c>
      <c r="E23" s="332" t="s">
        <v>584</v>
      </c>
      <c r="F23" s="88">
        <f t="shared" si="20"/>
        <v>256722</v>
      </c>
      <c r="G23" s="340">
        <f>SUM(F23:F29)</f>
        <v>1654379</v>
      </c>
      <c r="H23" s="456"/>
      <c r="I23" s="236">
        <v>30817</v>
      </c>
      <c r="J23" s="101">
        <f t="shared" si="55"/>
        <v>0.12004035493646824</v>
      </c>
      <c r="K23" s="236">
        <v>44823</v>
      </c>
      <c r="L23" s="101">
        <f t="shared" si="56"/>
        <v>0.17459742445135204</v>
      </c>
      <c r="M23" s="106">
        <f t="shared" si="57"/>
        <v>75640</v>
      </c>
      <c r="N23" s="101">
        <f t="shared" si="58"/>
        <v>0.29463777938782026</v>
      </c>
      <c r="O23" s="236">
        <v>10118</v>
      </c>
      <c r="P23" s="101">
        <f t="shared" si="59"/>
        <v>3.9412282546879507E-2</v>
      </c>
      <c r="Q23" s="236">
        <v>3280</v>
      </c>
      <c r="R23" s="101">
        <f t="shared" si="26"/>
        <v>1.2776466372184698E-2</v>
      </c>
      <c r="S23" s="106">
        <f t="shared" si="60"/>
        <v>13398</v>
      </c>
      <c r="T23" s="101">
        <f t="shared" si="61"/>
        <v>5.21887489190642E-2</v>
      </c>
      <c r="U23" s="236">
        <v>35761</v>
      </c>
      <c r="V23" s="101">
        <f t="shared" si="62"/>
        <v>0.13929854083405396</v>
      </c>
      <c r="W23" s="236">
        <v>2025</v>
      </c>
      <c r="X23" s="101">
        <f t="shared" si="63"/>
        <v>7.8879098791689063E-3</v>
      </c>
      <c r="Y23" s="236">
        <v>32561</v>
      </c>
      <c r="Z23" s="101">
        <f t="shared" si="64"/>
        <v>0.12683369559289814</v>
      </c>
      <c r="AA23" s="236">
        <v>26062</v>
      </c>
      <c r="AB23" s="101">
        <f t="shared" si="32"/>
        <v>0.1015183739609383</v>
      </c>
      <c r="AC23" s="106">
        <f t="shared" si="65"/>
        <v>58623</v>
      </c>
      <c r="AD23" s="101">
        <f t="shared" si="66"/>
        <v>0.22835206955383644</v>
      </c>
      <c r="AE23" s="236">
        <v>25320</v>
      </c>
      <c r="AF23" s="101">
        <f t="shared" si="67"/>
        <v>9.862808797064529E-2</v>
      </c>
      <c r="AG23" s="236">
        <v>5308</v>
      </c>
      <c r="AH23" s="101">
        <f t="shared" si="68"/>
        <v>2.0676062043767186E-2</v>
      </c>
      <c r="AI23" s="236">
        <v>21538</v>
      </c>
      <c r="AJ23" s="101">
        <f t="shared" si="69"/>
        <v>8.3896199001254279E-2</v>
      </c>
      <c r="AK23" s="236">
        <v>19109</v>
      </c>
      <c r="AL23" s="101">
        <f t="shared" si="70"/>
        <v>7.4434602410389447E-2</v>
      </c>
    </row>
    <row r="24" spans="2:38" ht="14.25">
      <c r="B24" s="98"/>
      <c r="C24" s="83"/>
      <c r="D24" s="553">
        <f t="shared" si="19"/>
        <v>46099</v>
      </c>
      <c r="E24" s="553" t="s">
        <v>585</v>
      </c>
      <c r="F24" s="88">
        <f t="shared" si="20"/>
        <v>243285</v>
      </c>
      <c r="G24" s="340"/>
      <c r="H24" s="456"/>
      <c r="I24" s="236">
        <v>30465</v>
      </c>
      <c r="J24" s="101">
        <f t="shared" si="55"/>
        <v>0.12522350329860041</v>
      </c>
      <c r="K24" s="236">
        <v>43872</v>
      </c>
      <c r="L24" s="101">
        <f t="shared" si="56"/>
        <v>0.1803317097231642</v>
      </c>
      <c r="M24" s="106">
        <f t="shared" si="57"/>
        <v>74337</v>
      </c>
      <c r="N24" s="101">
        <f t="shared" si="58"/>
        <v>0.30555521302176458</v>
      </c>
      <c r="O24" s="236">
        <v>8573</v>
      </c>
      <c r="P24" s="101">
        <f t="shared" si="59"/>
        <v>3.5238506278644388E-2</v>
      </c>
      <c r="Q24" s="236">
        <v>3289</v>
      </c>
      <c r="R24" s="101">
        <f t="shared" si="26"/>
        <v>1.3519123661549212E-2</v>
      </c>
      <c r="S24" s="106">
        <f t="shared" si="60"/>
        <v>11862</v>
      </c>
      <c r="T24" s="101">
        <f t="shared" si="61"/>
        <v>4.87576299401936E-2</v>
      </c>
      <c r="U24" s="236">
        <v>30484</v>
      </c>
      <c r="V24" s="101">
        <f t="shared" si="62"/>
        <v>0.12530160100293894</v>
      </c>
      <c r="W24" s="236">
        <v>2113</v>
      </c>
      <c r="X24" s="101">
        <f t="shared" si="63"/>
        <v>8.6852868035431699E-3</v>
      </c>
      <c r="Y24" s="236">
        <v>28370</v>
      </c>
      <c r="Z24" s="101">
        <f t="shared" si="64"/>
        <v>0.11661220379390427</v>
      </c>
      <c r="AA24" s="236">
        <v>23579</v>
      </c>
      <c r="AB24" s="101">
        <f t="shared" si="32"/>
        <v>9.6919251084119445E-2</v>
      </c>
      <c r="AC24" s="106">
        <f t="shared" si="65"/>
        <v>51949</v>
      </c>
      <c r="AD24" s="101">
        <f t="shared" si="66"/>
        <v>0.21353145487802372</v>
      </c>
      <c r="AE24" s="236">
        <v>23295</v>
      </c>
      <c r="AF24" s="101">
        <f t="shared" si="67"/>
        <v>9.5751895924532954E-2</v>
      </c>
      <c r="AG24" s="236">
        <v>5328</v>
      </c>
      <c r="AH24" s="101">
        <f t="shared" si="68"/>
        <v>2.1900240458721253E-2</v>
      </c>
      <c r="AI24" s="236">
        <v>24211</v>
      </c>
      <c r="AJ24" s="101">
        <f t="shared" si="69"/>
        <v>9.9517027354748544E-2</v>
      </c>
      <c r="AK24" s="236">
        <v>19706</v>
      </c>
      <c r="AL24" s="101">
        <f t="shared" si="70"/>
        <v>8.0999650615533228E-2</v>
      </c>
    </row>
    <row r="25" spans="2:38" ht="14.25">
      <c r="B25" s="98"/>
      <c r="C25" s="83"/>
      <c r="D25" s="553">
        <f t="shared" si="19"/>
        <v>46100</v>
      </c>
      <c r="E25" s="553" t="s">
        <v>586</v>
      </c>
      <c r="F25" s="88">
        <f t="shared" si="20"/>
        <v>227839</v>
      </c>
      <c r="G25" s="340"/>
      <c r="H25" s="456"/>
      <c r="I25" s="236">
        <v>28758</v>
      </c>
      <c r="J25" s="101">
        <f t="shared" si="55"/>
        <v>0.12622070848274439</v>
      </c>
      <c r="K25" s="236">
        <v>40348</v>
      </c>
      <c r="L25" s="101">
        <f t="shared" si="56"/>
        <v>0.1770899626490636</v>
      </c>
      <c r="M25" s="106">
        <f t="shared" si="57"/>
        <v>69106</v>
      </c>
      <c r="N25" s="101">
        <f t="shared" si="58"/>
        <v>0.30331067113180799</v>
      </c>
      <c r="O25" s="236">
        <v>7843</v>
      </c>
      <c r="P25" s="101">
        <f t="shared" si="59"/>
        <v>3.4423430580365962E-2</v>
      </c>
      <c r="Q25" s="236">
        <v>3281</v>
      </c>
      <c r="R25" s="101">
        <f t="shared" si="26"/>
        <v>1.4400519665202182E-2</v>
      </c>
      <c r="S25" s="106">
        <f t="shared" si="60"/>
        <v>11124</v>
      </c>
      <c r="T25" s="101">
        <f t="shared" si="61"/>
        <v>4.882395024556814E-2</v>
      </c>
      <c r="U25" s="236">
        <v>29974</v>
      </c>
      <c r="V25" s="101">
        <f t="shared" si="62"/>
        <v>0.13155781055921068</v>
      </c>
      <c r="W25" s="236">
        <v>2166</v>
      </c>
      <c r="X25" s="101">
        <f t="shared" si="63"/>
        <v>9.5067130737055555E-3</v>
      </c>
      <c r="Y25" s="236">
        <v>26923</v>
      </c>
      <c r="Z25" s="101">
        <f t="shared" si="64"/>
        <v>0.11816677566176116</v>
      </c>
      <c r="AA25" s="236">
        <v>19738</v>
      </c>
      <c r="AB25" s="101">
        <f t="shared" si="32"/>
        <v>8.663134933000935E-2</v>
      </c>
      <c r="AC25" s="106">
        <f t="shared" si="65"/>
        <v>46661</v>
      </c>
      <c r="AD25" s="101">
        <f t="shared" si="66"/>
        <v>0.2047981249917705</v>
      </c>
      <c r="AE25" s="236">
        <v>20303</v>
      </c>
      <c r="AF25" s="101">
        <f t="shared" si="67"/>
        <v>8.9111170607314813E-2</v>
      </c>
      <c r="AG25" s="236">
        <v>5199</v>
      </c>
      <c r="AH25" s="101">
        <f t="shared" si="68"/>
        <v>2.2818744815417905E-2</v>
      </c>
      <c r="AI25" s="236">
        <v>23901</v>
      </c>
      <c r="AJ25" s="101">
        <f t="shared" si="69"/>
        <v>0.10490302362633264</v>
      </c>
      <c r="AK25" s="236">
        <v>19405</v>
      </c>
      <c r="AL25" s="101">
        <f t="shared" si="70"/>
        <v>8.5169790948871796E-2</v>
      </c>
    </row>
    <row r="26" spans="2:38" ht="14.25">
      <c r="B26" s="98"/>
      <c r="C26" s="83"/>
      <c r="D26" s="553">
        <f t="shared" si="19"/>
        <v>46101</v>
      </c>
      <c r="E26" s="553" t="s">
        <v>587</v>
      </c>
      <c r="F26" s="88">
        <f t="shared" si="20"/>
        <v>205172</v>
      </c>
      <c r="G26" s="340"/>
      <c r="H26" s="456"/>
      <c r="I26" s="236">
        <v>24598</v>
      </c>
      <c r="J26" s="101">
        <f t="shared" si="55"/>
        <v>0.11988965355896516</v>
      </c>
      <c r="K26" s="236">
        <v>37534</v>
      </c>
      <c r="L26" s="101">
        <f t="shared" si="56"/>
        <v>0.18293919248240501</v>
      </c>
      <c r="M26" s="106">
        <f t="shared" si="57"/>
        <v>62132</v>
      </c>
      <c r="N26" s="101">
        <f t="shared" si="58"/>
        <v>0.30282884604137017</v>
      </c>
      <c r="O26" s="236">
        <v>7315</v>
      </c>
      <c r="P26" s="101">
        <f t="shared" si="59"/>
        <v>3.5653013081707055E-2</v>
      </c>
      <c r="Q26" s="236">
        <v>2685</v>
      </c>
      <c r="R26" s="101">
        <f t="shared" si="26"/>
        <v>1.3086581014953308E-2</v>
      </c>
      <c r="S26" s="106">
        <f t="shared" si="60"/>
        <v>10000</v>
      </c>
      <c r="T26" s="101">
        <f t="shared" si="61"/>
        <v>4.8739594096660364E-2</v>
      </c>
      <c r="U26" s="236">
        <v>27204</v>
      </c>
      <c r="V26" s="101">
        <f t="shared" si="62"/>
        <v>0.13259119178055484</v>
      </c>
      <c r="W26" s="236">
        <v>1532</v>
      </c>
      <c r="X26" s="101">
        <f t="shared" si="63"/>
        <v>7.4669058156083675E-3</v>
      </c>
      <c r="Y26" s="236">
        <v>21145</v>
      </c>
      <c r="Z26" s="101">
        <f t="shared" si="64"/>
        <v>0.10305987171738834</v>
      </c>
      <c r="AA26" s="236">
        <v>21987</v>
      </c>
      <c r="AB26" s="101">
        <f t="shared" si="32"/>
        <v>0.10716374554032713</v>
      </c>
      <c r="AC26" s="106">
        <f t="shared" si="65"/>
        <v>43132</v>
      </c>
      <c r="AD26" s="101">
        <f t="shared" si="66"/>
        <v>0.21022361725771549</v>
      </c>
      <c r="AE26" s="236">
        <v>17999</v>
      </c>
      <c r="AF26" s="101">
        <f t="shared" si="67"/>
        <v>8.7726395414578981E-2</v>
      </c>
      <c r="AG26" s="236">
        <v>4208</v>
      </c>
      <c r="AH26" s="101">
        <f t="shared" si="68"/>
        <v>2.050962119587468E-2</v>
      </c>
      <c r="AI26" s="236">
        <v>22218</v>
      </c>
      <c r="AJ26" s="101">
        <f t="shared" si="69"/>
        <v>0.10828963016396</v>
      </c>
      <c r="AK26" s="236">
        <v>16747</v>
      </c>
      <c r="AL26" s="101">
        <f t="shared" si="70"/>
        <v>8.1624198233677114E-2</v>
      </c>
    </row>
    <row r="27" spans="2:38" ht="14.25">
      <c r="B27" s="98"/>
      <c r="C27" s="83"/>
      <c r="D27" s="553">
        <f t="shared" si="19"/>
        <v>46102</v>
      </c>
      <c r="E27" s="553" t="s">
        <v>588</v>
      </c>
      <c r="F27" s="88">
        <f t="shared" si="20"/>
        <v>215989</v>
      </c>
      <c r="G27" s="340"/>
      <c r="H27" s="456"/>
      <c r="I27" s="236">
        <v>23726</v>
      </c>
      <c r="J27" s="101">
        <f t="shared" si="55"/>
        <v>0.10984818671321225</v>
      </c>
      <c r="K27" s="236">
        <v>40547</v>
      </c>
      <c r="L27" s="101">
        <f t="shared" si="56"/>
        <v>0.18772715277166893</v>
      </c>
      <c r="M27" s="106">
        <f t="shared" si="57"/>
        <v>64273</v>
      </c>
      <c r="N27" s="101">
        <f t="shared" si="58"/>
        <v>0.29757533948488119</v>
      </c>
      <c r="O27" s="236">
        <v>6889</v>
      </c>
      <c r="P27" s="101">
        <f t="shared" si="59"/>
        <v>3.1895142808198565E-2</v>
      </c>
      <c r="Q27" s="236">
        <v>2499</v>
      </c>
      <c r="R27" s="101">
        <f t="shared" si="26"/>
        <v>1.1570033659121529E-2</v>
      </c>
      <c r="S27" s="106">
        <f t="shared" si="60"/>
        <v>9388</v>
      </c>
      <c r="T27" s="101">
        <f t="shared" si="61"/>
        <v>4.3465176467320094E-2</v>
      </c>
      <c r="U27" s="236">
        <v>29561</v>
      </c>
      <c r="V27" s="101">
        <f t="shared" si="62"/>
        <v>0.1368634513794684</v>
      </c>
      <c r="W27" s="236">
        <v>1747</v>
      </c>
      <c r="X27" s="101">
        <f t="shared" si="63"/>
        <v>8.088374870942501E-3</v>
      </c>
      <c r="Y27" s="236">
        <v>23216</v>
      </c>
      <c r="Z27" s="101">
        <f t="shared" si="64"/>
        <v>0.10748695535420785</v>
      </c>
      <c r="AA27" s="236">
        <v>22231</v>
      </c>
      <c r="AB27" s="101">
        <f t="shared" si="32"/>
        <v>0.1029265379255425</v>
      </c>
      <c r="AC27" s="106">
        <f t="shared" si="65"/>
        <v>45447</v>
      </c>
      <c r="AD27" s="101">
        <f t="shared" si="66"/>
        <v>0.21041349327975037</v>
      </c>
      <c r="AE27" s="236">
        <v>19743</v>
      </c>
      <c r="AF27" s="101">
        <f t="shared" si="67"/>
        <v>9.1407432785928916E-2</v>
      </c>
      <c r="AG27" s="236">
        <v>4437</v>
      </c>
      <c r="AH27" s="101">
        <f t="shared" si="68"/>
        <v>2.0542712823338225E-2</v>
      </c>
      <c r="AI27" s="236">
        <v>23236</v>
      </c>
      <c r="AJ27" s="101">
        <f t="shared" si="69"/>
        <v>0.1075795526624041</v>
      </c>
      <c r="AK27" s="236">
        <v>18157</v>
      </c>
      <c r="AL27" s="101">
        <f t="shared" si="70"/>
        <v>8.4064466245966224E-2</v>
      </c>
    </row>
    <row r="28" spans="2:38" ht="14.25">
      <c r="B28" s="98"/>
      <c r="C28" s="83"/>
      <c r="D28" s="553">
        <f t="shared" si="19"/>
        <v>46103</v>
      </c>
      <c r="E28" s="553" t="s">
        <v>589</v>
      </c>
      <c r="F28" s="88">
        <f t="shared" si="20"/>
        <v>257635</v>
      </c>
      <c r="G28" s="340"/>
      <c r="H28" s="456"/>
      <c r="I28" s="236">
        <v>30421</v>
      </c>
      <c r="J28" s="101">
        <f t="shared" si="55"/>
        <v>0.11807790090632096</v>
      </c>
      <c r="K28" s="236">
        <v>43523</v>
      </c>
      <c r="L28" s="101">
        <f t="shared" si="56"/>
        <v>0.16893279251654472</v>
      </c>
      <c r="M28" s="106">
        <f t="shared" si="57"/>
        <v>73944</v>
      </c>
      <c r="N28" s="101">
        <f t="shared" si="58"/>
        <v>0.28701069342286567</v>
      </c>
      <c r="O28" s="236">
        <v>9032</v>
      </c>
      <c r="P28" s="101">
        <f t="shared" si="59"/>
        <v>3.5057348574533742E-2</v>
      </c>
      <c r="Q28" s="236">
        <v>3119</v>
      </c>
      <c r="R28" s="101">
        <f t="shared" si="26"/>
        <v>1.2106274380421915E-2</v>
      </c>
      <c r="S28" s="106">
        <f t="shared" si="60"/>
        <v>12151</v>
      </c>
      <c r="T28" s="101">
        <f t="shared" si="61"/>
        <v>4.7163622954955652E-2</v>
      </c>
      <c r="U28" s="236">
        <v>36587</v>
      </c>
      <c r="V28" s="101">
        <f t="shared" si="62"/>
        <v>0.14201098453238109</v>
      </c>
      <c r="W28" s="236">
        <v>1680</v>
      </c>
      <c r="X28" s="101">
        <f t="shared" si="63"/>
        <v>6.5208531449531312E-3</v>
      </c>
      <c r="Y28" s="236">
        <v>28879</v>
      </c>
      <c r="Z28" s="101">
        <f t="shared" si="64"/>
        <v>0.11209268926970327</v>
      </c>
      <c r="AA28" s="236">
        <v>25130</v>
      </c>
      <c r="AB28" s="101">
        <f t="shared" si="32"/>
        <v>9.7541094959923927E-2</v>
      </c>
      <c r="AC28" s="106">
        <f t="shared" si="65"/>
        <v>54009</v>
      </c>
      <c r="AD28" s="101">
        <f t="shared" si="66"/>
        <v>0.2096337842296272</v>
      </c>
      <c r="AE28" s="236">
        <v>25055</v>
      </c>
      <c r="AF28" s="101">
        <f t="shared" si="67"/>
        <v>9.7249985444524234E-2</v>
      </c>
      <c r="AG28" s="236">
        <v>5318</v>
      </c>
      <c r="AH28" s="101">
        <f t="shared" si="68"/>
        <v>2.0641605371940923E-2</v>
      </c>
      <c r="AI28" s="236">
        <v>28403</v>
      </c>
      <c r="AJ28" s="101">
        <f t="shared" si="69"/>
        <v>0.11024511421196655</v>
      </c>
      <c r="AK28" s="236">
        <v>20488</v>
      </c>
      <c r="AL28" s="101">
        <f t="shared" si="70"/>
        <v>7.9523356686785562E-2</v>
      </c>
    </row>
    <row r="29" spans="2:38" ht="14.25">
      <c r="B29" s="98"/>
      <c r="C29" s="83"/>
      <c r="D29" s="553">
        <f t="shared" si="19"/>
        <v>46104</v>
      </c>
      <c r="E29" s="553" t="s">
        <v>583</v>
      </c>
      <c r="F29" s="88">
        <f t="shared" si="20"/>
        <v>247737</v>
      </c>
      <c r="G29" s="340"/>
      <c r="H29" s="456"/>
      <c r="I29" s="236">
        <v>28536</v>
      </c>
      <c r="J29" s="101">
        <f t="shared" si="55"/>
        <v>0.11518666973443611</v>
      </c>
      <c r="K29" s="236">
        <v>42740</v>
      </c>
      <c r="L29" s="101">
        <f t="shared" si="56"/>
        <v>0.17252166612173395</v>
      </c>
      <c r="M29" s="106">
        <f t="shared" si="57"/>
        <v>71276</v>
      </c>
      <c r="N29" s="101">
        <f t="shared" si="58"/>
        <v>0.28770833585617006</v>
      </c>
      <c r="O29" s="236">
        <v>7604</v>
      </c>
      <c r="P29" s="101">
        <f t="shared" si="59"/>
        <v>3.0693840645523277E-2</v>
      </c>
      <c r="Q29" s="236">
        <v>3141</v>
      </c>
      <c r="R29" s="101">
        <f t="shared" si="26"/>
        <v>1.267876820983543E-2</v>
      </c>
      <c r="S29" s="106">
        <f t="shared" si="60"/>
        <v>10745</v>
      </c>
      <c r="T29" s="101">
        <f t="shared" si="61"/>
        <v>4.3372608855358707E-2</v>
      </c>
      <c r="U29" s="236">
        <v>35423</v>
      </c>
      <c r="V29" s="101">
        <f t="shared" si="62"/>
        <v>0.14298631209710297</v>
      </c>
      <c r="W29" s="236">
        <v>2094</v>
      </c>
      <c r="X29" s="101">
        <f t="shared" si="63"/>
        <v>8.4525121398902874E-3</v>
      </c>
      <c r="Y29" s="236">
        <v>26706</v>
      </c>
      <c r="Z29" s="101">
        <f t="shared" si="64"/>
        <v>0.10779980382421681</v>
      </c>
      <c r="AA29" s="236">
        <v>24364</v>
      </c>
      <c r="AB29" s="101">
        <f t="shared" si="32"/>
        <v>9.8346230074635596E-2</v>
      </c>
      <c r="AC29" s="106">
        <f t="shared" si="65"/>
        <v>51070</v>
      </c>
      <c r="AD29" s="101">
        <f t="shared" si="66"/>
        <v>0.20614603389885242</v>
      </c>
      <c r="AE29" s="236">
        <v>23710</v>
      </c>
      <c r="AF29" s="101">
        <f t="shared" si="67"/>
        <v>9.5706333732950663E-2</v>
      </c>
      <c r="AG29" s="236">
        <v>5228</v>
      </c>
      <c r="AH29" s="101">
        <f t="shared" si="68"/>
        <v>2.1103024578484442E-2</v>
      </c>
      <c r="AI29" s="236">
        <v>26861</v>
      </c>
      <c r="AJ29" s="101">
        <f t="shared" si="69"/>
        <v>0.10842546733027364</v>
      </c>
      <c r="AK29" s="236">
        <v>21330</v>
      </c>
      <c r="AL29" s="101">
        <f t="shared" si="70"/>
        <v>8.6099371510916817E-2</v>
      </c>
    </row>
    <row r="30" spans="2:38" ht="14.25">
      <c r="B30" s="98"/>
      <c r="C30" s="83"/>
      <c r="D30" s="519">
        <f t="shared" si="19"/>
        <v>46105</v>
      </c>
      <c r="E30" s="519" t="s">
        <v>584</v>
      </c>
      <c r="F30" s="88">
        <f t="shared" si="20"/>
        <v>247432</v>
      </c>
      <c r="G30" s="340">
        <f>SUM(F30:F36)</f>
        <v>1653343</v>
      </c>
      <c r="H30" s="456"/>
      <c r="I30" s="236">
        <v>28159</v>
      </c>
      <c r="J30" s="101">
        <f t="shared" si="55"/>
        <v>0.1138050050114779</v>
      </c>
      <c r="K30" s="236">
        <v>41945</v>
      </c>
      <c r="L30" s="101">
        <f t="shared" si="56"/>
        <v>0.16952132303016587</v>
      </c>
      <c r="M30" s="106">
        <f t="shared" si="57"/>
        <v>70104</v>
      </c>
      <c r="N30" s="101">
        <f t="shared" si="58"/>
        <v>0.28332632804164376</v>
      </c>
      <c r="O30" s="236">
        <v>7962</v>
      </c>
      <c r="P30" s="101">
        <f t="shared" si="59"/>
        <v>3.2178537941737528E-2</v>
      </c>
      <c r="Q30" s="236">
        <v>3142</v>
      </c>
      <c r="R30" s="101">
        <f t="shared" si="26"/>
        <v>1.2698438358821817E-2</v>
      </c>
      <c r="S30" s="106">
        <f t="shared" si="60"/>
        <v>11104</v>
      </c>
      <c r="T30" s="101">
        <f t="shared" si="61"/>
        <v>4.4876976300559347E-2</v>
      </c>
      <c r="U30" s="236">
        <v>33663</v>
      </c>
      <c r="V30" s="101">
        <f t="shared" si="62"/>
        <v>0.13604950046881567</v>
      </c>
      <c r="W30" s="236">
        <v>1921</v>
      </c>
      <c r="X30" s="101">
        <f t="shared" si="63"/>
        <v>7.7637492321122568E-3</v>
      </c>
      <c r="Y30" s="236">
        <v>30014</v>
      </c>
      <c r="Z30" s="101">
        <f t="shared" si="64"/>
        <v>0.12130201429079504</v>
      </c>
      <c r="AA30" s="236">
        <v>24196</v>
      </c>
      <c r="AB30" s="101">
        <f t="shared" si="32"/>
        <v>9.7788483300462345E-2</v>
      </c>
      <c r="AC30" s="106">
        <f t="shared" si="65"/>
        <v>54210</v>
      </c>
      <c r="AD30" s="101">
        <f t="shared" si="66"/>
        <v>0.2190904975912574</v>
      </c>
      <c r="AE30" s="236">
        <v>22320</v>
      </c>
      <c r="AF30" s="101">
        <f t="shared" si="67"/>
        <v>9.0206602217983128E-2</v>
      </c>
      <c r="AG30" s="236">
        <v>5093</v>
      </c>
      <c r="AH30" s="101">
        <f t="shared" si="68"/>
        <v>2.0583433024022761E-2</v>
      </c>
      <c r="AI30" s="236">
        <v>28301</v>
      </c>
      <c r="AJ30" s="101">
        <f t="shared" si="69"/>
        <v>0.11437890006143102</v>
      </c>
      <c r="AK30" s="236">
        <v>20716</v>
      </c>
      <c r="AL30" s="101">
        <f t="shared" si="70"/>
        <v>8.3724013062174654E-2</v>
      </c>
    </row>
    <row r="31" spans="2:38" ht="14.25">
      <c r="B31" s="98"/>
      <c r="C31" s="83"/>
      <c r="D31" s="554">
        <f t="shared" si="19"/>
        <v>46106</v>
      </c>
      <c r="E31" s="554" t="s">
        <v>585</v>
      </c>
      <c r="F31" s="88">
        <f t="shared" si="20"/>
        <v>237565</v>
      </c>
      <c r="G31" s="340"/>
      <c r="H31" s="456"/>
      <c r="I31" s="236">
        <v>27982</v>
      </c>
      <c r="J31" s="101">
        <f t="shared" si="55"/>
        <v>0.11778671100540905</v>
      </c>
      <c r="K31" s="236">
        <v>41073</v>
      </c>
      <c r="L31" s="101">
        <f t="shared" si="56"/>
        <v>0.17289162965925114</v>
      </c>
      <c r="M31" s="106">
        <f t="shared" si="57"/>
        <v>69055</v>
      </c>
      <c r="N31" s="101">
        <f t="shared" si="58"/>
        <v>0.2906783406646602</v>
      </c>
      <c r="O31" s="236">
        <v>7604</v>
      </c>
      <c r="P31" s="101">
        <f t="shared" si="59"/>
        <v>3.2008081998610903E-2</v>
      </c>
      <c r="Q31" s="236">
        <v>3134</v>
      </c>
      <c r="R31" s="101">
        <f t="shared" si="26"/>
        <v>1.3192178982594237E-2</v>
      </c>
      <c r="S31" s="106">
        <f t="shared" si="60"/>
        <v>10738</v>
      </c>
      <c r="T31" s="101">
        <f t="shared" si="61"/>
        <v>4.5200260981205144E-2</v>
      </c>
      <c r="U31" s="236">
        <v>30943</v>
      </c>
      <c r="V31" s="101">
        <f t="shared" si="62"/>
        <v>0.13025066823816639</v>
      </c>
      <c r="W31" s="236">
        <v>1973</v>
      </c>
      <c r="X31" s="101">
        <f t="shared" si="63"/>
        <v>8.3050954475617205E-3</v>
      </c>
      <c r="Y31" s="236">
        <v>27002</v>
      </c>
      <c r="Z31" s="101">
        <f t="shared" si="64"/>
        <v>0.11366152421442552</v>
      </c>
      <c r="AA31" s="236">
        <v>21883</v>
      </c>
      <c r="AB31" s="101">
        <f t="shared" si="32"/>
        <v>9.21137372929514E-2</v>
      </c>
      <c r="AC31" s="106">
        <f t="shared" si="65"/>
        <v>48885</v>
      </c>
      <c r="AD31" s="101">
        <f t="shared" si="66"/>
        <v>0.20577526150737693</v>
      </c>
      <c r="AE31" s="236">
        <v>21710</v>
      </c>
      <c r="AF31" s="101">
        <f t="shared" si="67"/>
        <v>9.1385515543114512E-2</v>
      </c>
      <c r="AG31" s="236">
        <v>4928</v>
      </c>
      <c r="AH31" s="101">
        <f t="shared" si="68"/>
        <v>2.0743796434659987E-2</v>
      </c>
      <c r="AI31" s="236">
        <v>28943</v>
      </c>
      <c r="AJ31" s="101">
        <f t="shared" si="69"/>
        <v>0.1218319196851388</v>
      </c>
      <c r="AK31" s="236">
        <v>20390</v>
      </c>
      <c r="AL31" s="101">
        <f t="shared" si="70"/>
        <v>8.582914149811631E-2</v>
      </c>
    </row>
    <row r="32" spans="2:38" ht="14.25">
      <c r="B32" s="98"/>
      <c r="C32" s="83"/>
      <c r="D32" s="554">
        <f t="shared" si="19"/>
        <v>46107</v>
      </c>
      <c r="E32" s="554" t="s">
        <v>586</v>
      </c>
      <c r="F32" s="88">
        <f t="shared" si="20"/>
        <v>223124</v>
      </c>
      <c r="G32" s="340"/>
      <c r="H32" s="456"/>
      <c r="I32" s="236">
        <v>26984</v>
      </c>
      <c r="J32" s="101">
        <f t="shared" si="55"/>
        <v>0.12093723669349779</v>
      </c>
      <c r="K32" s="236">
        <v>38153</v>
      </c>
      <c r="L32" s="101">
        <f t="shared" si="56"/>
        <v>0.17099460389738441</v>
      </c>
      <c r="M32" s="106">
        <f t="shared" si="57"/>
        <v>65137</v>
      </c>
      <c r="N32" s="101">
        <f t="shared" si="58"/>
        <v>0.29193184059088217</v>
      </c>
      <c r="O32" s="236">
        <v>7673</v>
      </c>
      <c r="P32" s="101">
        <f t="shared" si="59"/>
        <v>3.4388949642351341E-2</v>
      </c>
      <c r="Q32" s="236">
        <v>3084</v>
      </c>
      <c r="R32" s="101">
        <f t="shared" si="26"/>
        <v>1.3821910686434449E-2</v>
      </c>
      <c r="S32" s="106">
        <f t="shared" si="60"/>
        <v>10757</v>
      </c>
      <c r="T32" s="101">
        <f t="shared" si="61"/>
        <v>4.8210860328785785E-2</v>
      </c>
      <c r="U32" s="236">
        <v>30328</v>
      </c>
      <c r="V32" s="101">
        <f t="shared" si="62"/>
        <v>0.13592441870887936</v>
      </c>
      <c r="W32" s="236">
        <v>2068</v>
      </c>
      <c r="X32" s="101">
        <f t="shared" si="63"/>
        <v>9.2683888779333465E-3</v>
      </c>
      <c r="Y32" s="236">
        <v>25972</v>
      </c>
      <c r="Z32" s="101">
        <f t="shared" si="64"/>
        <v>0.11640164213621125</v>
      </c>
      <c r="AA32" s="236">
        <v>19185</v>
      </c>
      <c r="AB32" s="101">
        <f t="shared" si="32"/>
        <v>8.5983578637887456E-2</v>
      </c>
      <c r="AC32" s="106">
        <f t="shared" si="65"/>
        <v>45157</v>
      </c>
      <c r="AD32" s="101">
        <f t="shared" si="66"/>
        <v>0.20238522077409871</v>
      </c>
      <c r="AE32" s="236">
        <v>20881</v>
      </c>
      <c r="AF32" s="101">
        <f t="shared" si="67"/>
        <v>9.3584733152865668E-2</v>
      </c>
      <c r="AG32" s="236">
        <v>4859</v>
      </c>
      <c r="AH32" s="101">
        <f t="shared" si="68"/>
        <v>2.177712841290045E-2</v>
      </c>
      <c r="AI32" s="236">
        <v>23515</v>
      </c>
      <c r="AJ32" s="101">
        <f t="shared" si="69"/>
        <v>0.10538982807766085</v>
      </c>
      <c r="AK32" s="236">
        <v>20422</v>
      </c>
      <c r="AL32" s="101">
        <f t="shared" si="70"/>
        <v>9.1527581075993625E-2</v>
      </c>
    </row>
    <row r="33" spans="2:38" ht="14.25">
      <c r="B33" s="98"/>
      <c r="C33" s="83"/>
      <c r="D33" s="554">
        <f t="shared" si="19"/>
        <v>46108</v>
      </c>
      <c r="E33" s="554" t="s">
        <v>587</v>
      </c>
      <c r="F33" s="88">
        <f t="shared" si="20"/>
        <v>216121</v>
      </c>
      <c r="G33" s="340"/>
      <c r="H33" s="456"/>
      <c r="I33" s="236">
        <v>23679</v>
      </c>
      <c r="J33" s="101">
        <f t="shared" si="55"/>
        <v>0.10956362408095464</v>
      </c>
      <c r="K33" s="236">
        <v>37320</v>
      </c>
      <c r="L33" s="101">
        <f t="shared" si="56"/>
        <v>0.17268104441493423</v>
      </c>
      <c r="M33" s="106">
        <f t="shared" si="57"/>
        <v>60999</v>
      </c>
      <c r="N33" s="101">
        <f t="shared" si="58"/>
        <v>0.28224466849588886</v>
      </c>
      <c r="O33" s="236">
        <v>6393</v>
      </c>
      <c r="P33" s="101">
        <f t="shared" si="59"/>
        <v>2.9580651579439295E-2</v>
      </c>
      <c r="Q33" s="236">
        <v>2700</v>
      </c>
      <c r="R33" s="101">
        <f t="shared" si="26"/>
        <v>1.2493001605582059E-2</v>
      </c>
      <c r="S33" s="106">
        <f t="shared" si="60"/>
        <v>9093</v>
      </c>
      <c r="T33" s="101">
        <f t="shared" si="61"/>
        <v>4.2073653185021355E-2</v>
      </c>
      <c r="U33" s="236">
        <v>28166</v>
      </c>
      <c r="V33" s="101">
        <f t="shared" si="62"/>
        <v>0.13032514193437936</v>
      </c>
      <c r="W33" s="236">
        <v>1478</v>
      </c>
      <c r="X33" s="101">
        <f t="shared" si="63"/>
        <v>6.8387616196482525E-3</v>
      </c>
      <c r="Y33" s="236">
        <v>27542</v>
      </c>
      <c r="Z33" s="101">
        <f t="shared" si="64"/>
        <v>0.1274378704522004</v>
      </c>
      <c r="AA33" s="236">
        <v>21708</v>
      </c>
      <c r="AB33" s="101">
        <f t="shared" si="32"/>
        <v>0.10044373290887974</v>
      </c>
      <c r="AC33" s="106">
        <f t="shared" si="65"/>
        <v>49250</v>
      </c>
      <c r="AD33" s="101">
        <f t="shared" si="66"/>
        <v>0.22788160336108013</v>
      </c>
      <c r="AE33" s="236">
        <v>19601</v>
      </c>
      <c r="AF33" s="101">
        <f t="shared" si="67"/>
        <v>9.0694564618894039E-2</v>
      </c>
      <c r="AG33" s="236">
        <v>3728</v>
      </c>
      <c r="AH33" s="101">
        <f t="shared" si="68"/>
        <v>1.7249596290966635E-2</v>
      </c>
      <c r="AI33" s="236">
        <v>25696</v>
      </c>
      <c r="AJ33" s="101">
        <f t="shared" si="69"/>
        <v>0.11889635898408762</v>
      </c>
      <c r="AK33" s="236">
        <v>18110</v>
      </c>
      <c r="AL33" s="101">
        <f t="shared" si="70"/>
        <v>8.3795651510033736E-2</v>
      </c>
    </row>
    <row r="34" spans="2:38" ht="14.25">
      <c r="B34" s="98"/>
      <c r="C34" s="83"/>
      <c r="D34" s="554">
        <f t="shared" si="19"/>
        <v>46109</v>
      </c>
      <c r="E34" s="554" t="s">
        <v>588</v>
      </c>
      <c r="F34" s="88">
        <f t="shared" si="20"/>
        <v>221930</v>
      </c>
      <c r="G34" s="340"/>
      <c r="H34" s="456"/>
      <c r="I34" s="236">
        <v>22976</v>
      </c>
      <c r="J34" s="101">
        <f t="shared" si="55"/>
        <v>0.10352813950344704</v>
      </c>
      <c r="K34" s="236">
        <v>40500</v>
      </c>
      <c r="L34" s="101">
        <f t="shared" si="56"/>
        <v>0.18248997431622585</v>
      </c>
      <c r="M34" s="106">
        <f t="shared" si="57"/>
        <v>63476</v>
      </c>
      <c r="N34" s="101">
        <f t="shared" si="58"/>
        <v>0.28601811381967285</v>
      </c>
      <c r="O34" s="236">
        <v>5912</v>
      </c>
      <c r="P34" s="101">
        <f t="shared" si="59"/>
        <v>2.6639030324877213E-2</v>
      </c>
      <c r="Q34" s="236">
        <v>2575</v>
      </c>
      <c r="R34" s="101">
        <f t="shared" si="26"/>
        <v>1.1602757626278557E-2</v>
      </c>
      <c r="S34" s="106">
        <f t="shared" si="60"/>
        <v>8487</v>
      </c>
      <c r="T34" s="101">
        <f t="shared" si="61"/>
        <v>3.8241787951155772E-2</v>
      </c>
      <c r="U34" s="236">
        <v>30588</v>
      </c>
      <c r="V34" s="101">
        <f t="shared" si="62"/>
        <v>0.13782724282431397</v>
      </c>
      <c r="W34" s="236">
        <v>1751</v>
      </c>
      <c r="X34" s="101">
        <f t="shared" si="63"/>
        <v>7.8898751858694181E-3</v>
      </c>
      <c r="Y34" s="236">
        <v>27801</v>
      </c>
      <c r="Z34" s="101">
        <f t="shared" si="64"/>
        <v>0.12526922903618257</v>
      </c>
      <c r="AA34" s="236">
        <v>21508</v>
      </c>
      <c r="AB34" s="101">
        <f t="shared" si="32"/>
        <v>9.6913441175145318E-2</v>
      </c>
      <c r="AC34" s="106">
        <f t="shared" si="65"/>
        <v>49309</v>
      </c>
      <c r="AD34" s="101">
        <f t="shared" si="66"/>
        <v>0.2221826702113279</v>
      </c>
      <c r="AE34" s="236">
        <v>21253</v>
      </c>
      <c r="AF34" s="101">
        <f t="shared" si="67"/>
        <v>9.5764430225746863E-2</v>
      </c>
      <c r="AG34" s="236">
        <v>4081</v>
      </c>
      <c r="AH34" s="101">
        <f t="shared" si="68"/>
        <v>1.8388681115667101E-2</v>
      </c>
      <c r="AI34" s="236">
        <v>25931</v>
      </c>
      <c r="AJ34" s="101">
        <f t="shared" si="69"/>
        <v>0.11684314874059389</v>
      </c>
      <c r="AK34" s="236">
        <v>17054</v>
      </c>
      <c r="AL34" s="101">
        <f t="shared" si="70"/>
        <v>7.6844049925652233E-2</v>
      </c>
    </row>
    <row r="35" spans="2:38" ht="14.25">
      <c r="B35" s="98"/>
      <c r="C35" s="83"/>
      <c r="D35" s="554">
        <f t="shared" si="19"/>
        <v>46110</v>
      </c>
      <c r="E35" s="554" t="s">
        <v>589</v>
      </c>
      <c r="F35" s="88">
        <f t="shared" si="20"/>
        <v>256372</v>
      </c>
      <c r="G35" s="340"/>
      <c r="H35" s="456"/>
      <c r="I35" s="236">
        <v>29075</v>
      </c>
      <c r="J35" s="101">
        <f t="shared" si="55"/>
        <v>0.11340942068556628</v>
      </c>
      <c r="K35" s="236">
        <v>43086</v>
      </c>
      <c r="L35" s="101">
        <f t="shared" si="56"/>
        <v>0.16806047462281373</v>
      </c>
      <c r="M35" s="106">
        <f t="shared" si="57"/>
        <v>72161</v>
      </c>
      <c r="N35" s="101">
        <f t="shared" si="58"/>
        <v>0.28146989530838001</v>
      </c>
      <c r="O35" s="236">
        <v>7464</v>
      </c>
      <c r="P35" s="101">
        <f t="shared" si="59"/>
        <v>2.9113943800415022E-2</v>
      </c>
      <c r="Q35" s="236">
        <v>3041</v>
      </c>
      <c r="R35" s="101">
        <f t="shared" si="26"/>
        <v>1.186166976112836E-2</v>
      </c>
      <c r="S35" s="106">
        <f t="shared" si="60"/>
        <v>10505</v>
      </c>
      <c r="T35" s="101">
        <f t="shared" si="61"/>
        <v>4.0975613561543382E-2</v>
      </c>
      <c r="U35" s="236">
        <v>37196</v>
      </c>
      <c r="V35" s="101">
        <f t="shared" si="62"/>
        <v>0.14508604683818827</v>
      </c>
      <c r="W35" s="236">
        <v>1683</v>
      </c>
      <c r="X35" s="101">
        <f t="shared" si="63"/>
        <v>6.5646794501739662E-3</v>
      </c>
      <c r="Y35" s="236">
        <v>32368</v>
      </c>
      <c r="Z35" s="101">
        <f t="shared" si="64"/>
        <v>0.12625403710233568</v>
      </c>
      <c r="AA35" s="236">
        <v>24030</v>
      </c>
      <c r="AB35" s="101">
        <f t="shared" si="32"/>
        <v>9.3730984662911701E-2</v>
      </c>
      <c r="AC35" s="106">
        <f t="shared" si="65"/>
        <v>56398</v>
      </c>
      <c r="AD35" s="101">
        <f t="shared" si="66"/>
        <v>0.21998502176524737</v>
      </c>
      <c r="AE35" s="236">
        <v>26352</v>
      </c>
      <c r="AF35" s="101">
        <f t="shared" si="67"/>
        <v>0.10278813598988969</v>
      </c>
      <c r="AG35" s="236">
        <v>4874</v>
      </c>
      <c r="AH35" s="101">
        <f t="shared" si="68"/>
        <v>1.9011436506326744E-2</v>
      </c>
      <c r="AI35" s="236">
        <v>27961</v>
      </c>
      <c r="AJ35" s="101">
        <f t="shared" si="69"/>
        <v>0.10906417237451828</v>
      </c>
      <c r="AK35" s="236">
        <v>19242</v>
      </c>
      <c r="AL35" s="101">
        <f t="shared" si="70"/>
        <v>7.505499820573229E-2</v>
      </c>
    </row>
    <row r="36" spans="2:38" ht="14.25">
      <c r="B36" s="98"/>
      <c r="C36" s="83"/>
      <c r="D36" s="554">
        <f t="shared" si="19"/>
        <v>46111</v>
      </c>
      <c r="E36" s="554" t="s">
        <v>583</v>
      </c>
      <c r="F36" s="88">
        <f t="shared" si="20"/>
        <v>250799</v>
      </c>
      <c r="G36" s="340"/>
      <c r="H36" s="456"/>
      <c r="I36" s="236">
        <v>28405</v>
      </c>
      <c r="J36" s="101">
        <f t="shared" si="55"/>
        <v>0.11325802734460663</v>
      </c>
      <c r="K36" s="236">
        <v>46431</v>
      </c>
      <c r="L36" s="101">
        <f t="shared" si="56"/>
        <v>0.18513231711450207</v>
      </c>
      <c r="M36" s="106">
        <f t="shared" si="57"/>
        <v>74836</v>
      </c>
      <c r="N36" s="101">
        <f t="shared" si="58"/>
        <v>0.29839034445910867</v>
      </c>
      <c r="O36" s="236">
        <v>7008</v>
      </c>
      <c r="P36" s="101">
        <f t="shared" si="59"/>
        <v>2.7942695146312386E-2</v>
      </c>
      <c r="Q36" s="236">
        <v>3100</v>
      </c>
      <c r="R36" s="101">
        <f t="shared" si="26"/>
        <v>1.2360495855246631E-2</v>
      </c>
      <c r="S36" s="106">
        <f t="shared" si="60"/>
        <v>10108</v>
      </c>
      <c r="T36" s="101">
        <f t="shared" si="61"/>
        <v>4.0303191001559019E-2</v>
      </c>
      <c r="U36" s="236">
        <v>35069</v>
      </c>
      <c r="V36" s="101">
        <f t="shared" si="62"/>
        <v>0.13982910617665939</v>
      </c>
      <c r="W36" s="236">
        <v>2084</v>
      </c>
      <c r="X36" s="101">
        <f t="shared" si="63"/>
        <v>8.3094430201077363E-3</v>
      </c>
      <c r="Y36" s="236">
        <v>29631</v>
      </c>
      <c r="Z36" s="101">
        <f t="shared" si="64"/>
        <v>0.11814640409252031</v>
      </c>
      <c r="AA36" s="236">
        <v>23450</v>
      </c>
      <c r="AB36" s="101">
        <f t="shared" si="32"/>
        <v>9.3501170259849525E-2</v>
      </c>
      <c r="AC36" s="106">
        <f t="shared" si="65"/>
        <v>53081</v>
      </c>
      <c r="AD36" s="101">
        <f t="shared" si="66"/>
        <v>0.21164757435236983</v>
      </c>
      <c r="AE36" s="236">
        <v>24306</v>
      </c>
      <c r="AF36" s="101">
        <f t="shared" si="67"/>
        <v>9.691426201858859E-2</v>
      </c>
      <c r="AG36" s="236">
        <v>5007</v>
      </c>
      <c r="AH36" s="101">
        <f t="shared" si="68"/>
        <v>1.9964194434587058E-2</v>
      </c>
      <c r="AI36" s="236">
        <v>26517</v>
      </c>
      <c r="AJ36" s="101">
        <f t="shared" si="69"/>
        <v>0.10573008664308869</v>
      </c>
      <c r="AK36" s="236">
        <v>19791</v>
      </c>
      <c r="AL36" s="101">
        <f t="shared" si="70"/>
        <v>7.8911797893930991E-2</v>
      </c>
    </row>
    <row r="37" spans="2:38" ht="14.25">
      <c r="B37" s="98"/>
      <c r="C37" s="83"/>
      <c r="D37" s="332">
        <f>D36+1</f>
        <v>46112</v>
      </c>
      <c r="E37" s="332" t="s">
        <v>584</v>
      </c>
      <c r="F37" s="88">
        <f t="shared" si="20"/>
        <v>0</v>
      </c>
      <c r="G37" s="340"/>
      <c r="H37" s="456"/>
      <c r="I37" s="236"/>
      <c r="J37" s="101" t="e">
        <f t="shared" si="55"/>
        <v>#DIV/0!</v>
      </c>
      <c r="K37" s="236"/>
      <c r="L37" s="101" t="e">
        <f t="shared" si="56"/>
        <v>#DIV/0!</v>
      </c>
      <c r="M37" s="106">
        <f t="shared" si="57"/>
        <v>0</v>
      </c>
      <c r="N37" s="101" t="e">
        <f t="shared" si="58"/>
        <v>#DIV/0!</v>
      </c>
      <c r="O37" s="236"/>
      <c r="P37" s="101" t="e">
        <f t="shared" si="59"/>
        <v>#DIV/0!</v>
      </c>
      <c r="Q37" s="236"/>
      <c r="R37" s="101" t="e">
        <f t="shared" si="26"/>
        <v>#DIV/0!</v>
      </c>
      <c r="S37" s="106">
        <f t="shared" si="60"/>
        <v>0</v>
      </c>
      <c r="T37" s="101" t="e">
        <f t="shared" si="61"/>
        <v>#DIV/0!</v>
      </c>
      <c r="U37" s="236"/>
      <c r="V37" s="101" t="e">
        <f t="shared" si="62"/>
        <v>#DIV/0!</v>
      </c>
      <c r="W37" s="236"/>
      <c r="X37" s="101" t="e">
        <f t="shared" si="63"/>
        <v>#DIV/0!</v>
      </c>
      <c r="Y37" s="236"/>
      <c r="Z37" s="101" t="e">
        <f t="shared" si="64"/>
        <v>#DIV/0!</v>
      </c>
      <c r="AA37" s="236"/>
      <c r="AB37" s="101" t="e">
        <f t="shared" si="32"/>
        <v>#DIV/0!</v>
      </c>
      <c r="AC37" s="106">
        <f t="shared" si="65"/>
        <v>0</v>
      </c>
      <c r="AD37" s="101" t="e">
        <f t="shared" si="66"/>
        <v>#DIV/0!</v>
      </c>
      <c r="AE37" s="236"/>
      <c r="AF37" s="101" t="e">
        <f t="shared" si="67"/>
        <v>#DIV/0!</v>
      </c>
      <c r="AG37" s="236"/>
      <c r="AH37" s="101" t="e">
        <f t="shared" si="68"/>
        <v>#DIV/0!</v>
      </c>
      <c r="AI37" s="236"/>
      <c r="AJ37" s="101" t="e">
        <f t="shared" si="69"/>
        <v>#DIV/0!</v>
      </c>
      <c r="AK37" s="236"/>
      <c r="AL37" s="101" t="e">
        <f t="shared" si="70"/>
        <v>#DIV/0!</v>
      </c>
    </row>
    <row r="38" spans="2:38" ht="14.25">
      <c r="B38" s="98"/>
      <c r="C38" s="83"/>
      <c r="D38" s="332">
        <f t="shared" ref="D38:D43" si="71">D37+1</f>
        <v>46113</v>
      </c>
      <c r="E38" s="553" t="s">
        <v>585</v>
      </c>
      <c r="F38" s="88">
        <f t="shared" si="20"/>
        <v>0</v>
      </c>
      <c r="G38" s="340"/>
      <c r="H38" s="456"/>
      <c r="I38" s="236"/>
      <c r="J38" s="101" t="e">
        <f t="shared" si="55"/>
        <v>#DIV/0!</v>
      </c>
      <c r="K38" s="236"/>
      <c r="L38" s="101" t="e">
        <f t="shared" si="56"/>
        <v>#DIV/0!</v>
      </c>
      <c r="M38" s="106">
        <f t="shared" si="57"/>
        <v>0</v>
      </c>
      <c r="N38" s="101" t="e">
        <f t="shared" si="58"/>
        <v>#DIV/0!</v>
      </c>
      <c r="O38" s="236"/>
      <c r="P38" s="101" t="e">
        <f t="shared" si="59"/>
        <v>#DIV/0!</v>
      </c>
      <c r="Q38" s="236"/>
      <c r="R38" s="101" t="e">
        <f t="shared" si="26"/>
        <v>#DIV/0!</v>
      </c>
      <c r="S38" s="106">
        <f t="shared" si="60"/>
        <v>0</v>
      </c>
      <c r="T38" s="101" t="e">
        <f t="shared" si="61"/>
        <v>#DIV/0!</v>
      </c>
      <c r="U38" s="236"/>
      <c r="V38" s="101" t="e">
        <f t="shared" si="62"/>
        <v>#DIV/0!</v>
      </c>
      <c r="W38" s="236"/>
      <c r="X38" s="101" t="e">
        <f t="shared" si="63"/>
        <v>#DIV/0!</v>
      </c>
      <c r="Y38" s="236"/>
      <c r="Z38" s="101" t="e">
        <f t="shared" si="64"/>
        <v>#DIV/0!</v>
      </c>
      <c r="AA38" s="236"/>
      <c r="AB38" s="101" t="e">
        <f t="shared" si="32"/>
        <v>#DIV/0!</v>
      </c>
      <c r="AC38" s="106">
        <f t="shared" si="65"/>
        <v>0</v>
      </c>
      <c r="AD38" s="101" t="e">
        <f t="shared" si="66"/>
        <v>#DIV/0!</v>
      </c>
      <c r="AE38" s="236"/>
      <c r="AF38" s="101" t="e">
        <f t="shared" si="67"/>
        <v>#DIV/0!</v>
      </c>
      <c r="AG38" s="236"/>
      <c r="AH38" s="101" t="e">
        <f t="shared" si="68"/>
        <v>#DIV/0!</v>
      </c>
      <c r="AI38" s="236"/>
      <c r="AJ38" s="101" t="e">
        <f t="shared" si="69"/>
        <v>#DIV/0!</v>
      </c>
      <c r="AK38" s="236"/>
      <c r="AL38" s="101" t="e">
        <f t="shared" si="70"/>
        <v>#DIV/0!</v>
      </c>
    </row>
    <row r="39" spans="2:38" s="443" customFormat="1" ht="14.25">
      <c r="B39" s="436"/>
      <c r="C39" s="437"/>
      <c r="D39" s="332">
        <f t="shared" si="71"/>
        <v>46114</v>
      </c>
      <c r="E39" s="553" t="s">
        <v>586</v>
      </c>
      <c r="F39" s="438">
        <f t="shared" si="20"/>
        <v>0</v>
      </c>
      <c r="G39" s="439"/>
      <c r="H39" s="456"/>
      <c r="I39" s="440"/>
      <c r="J39" s="441" t="e">
        <f t="shared" si="55"/>
        <v>#DIV/0!</v>
      </c>
      <c r="K39" s="440"/>
      <c r="L39" s="441" t="e">
        <f t="shared" si="56"/>
        <v>#DIV/0!</v>
      </c>
      <c r="M39" s="442">
        <f t="shared" si="57"/>
        <v>0</v>
      </c>
      <c r="N39" s="441" t="e">
        <f t="shared" si="58"/>
        <v>#DIV/0!</v>
      </c>
      <c r="O39" s="440"/>
      <c r="P39" s="441" t="e">
        <f t="shared" si="59"/>
        <v>#DIV/0!</v>
      </c>
      <c r="Q39" s="440"/>
      <c r="R39" s="441" t="e">
        <f t="shared" si="26"/>
        <v>#DIV/0!</v>
      </c>
      <c r="S39" s="442">
        <f t="shared" si="60"/>
        <v>0</v>
      </c>
      <c r="T39" s="441" t="e">
        <f t="shared" si="61"/>
        <v>#DIV/0!</v>
      </c>
      <c r="U39" s="440"/>
      <c r="V39" s="441" t="e">
        <f t="shared" si="62"/>
        <v>#DIV/0!</v>
      </c>
      <c r="W39" s="440"/>
      <c r="X39" s="441" t="e">
        <f t="shared" si="63"/>
        <v>#DIV/0!</v>
      </c>
      <c r="Y39" s="440"/>
      <c r="Z39" s="441" t="e">
        <f t="shared" si="64"/>
        <v>#DIV/0!</v>
      </c>
      <c r="AA39" s="440"/>
      <c r="AB39" s="441" t="e">
        <f t="shared" si="32"/>
        <v>#DIV/0!</v>
      </c>
      <c r="AC39" s="442">
        <f t="shared" si="65"/>
        <v>0</v>
      </c>
      <c r="AD39" s="441" t="e">
        <f t="shared" si="66"/>
        <v>#DIV/0!</v>
      </c>
      <c r="AE39" s="440"/>
      <c r="AF39" s="441" t="e">
        <f t="shared" si="67"/>
        <v>#DIV/0!</v>
      </c>
      <c r="AG39" s="440"/>
      <c r="AH39" s="441" t="e">
        <f t="shared" si="68"/>
        <v>#DIV/0!</v>
      </c>
      <c r="AI39" s="440"/>
      <c r="AJ39" s="441" t="e">
        <f t="shared" si="69"/>
        <v>#DIV/0!</v>
      </c>
      <c r="AK39" s="440"/>
      <c r="AL39" s="441" t="e">
        <f t="shared" si="70"/>
        <v>#DIV/0!</v>
      </c>
    </row>
    <row r="40" spans="2:38" ht="14.25">
      <c r="B40" s="98"/>
      <c r="C40" s="83"/>
      <c r="D40" s="332">
        <f t="shared" si="71"/>
        <v>46115</v>
      </c>
      <c r="E40" s="553" t="s">
        <v>587</v>
      </c>
      <c r="F40" s="88">
        <f t="shared" si="20"/>
        <v>0</v>
      </c>
      <c r="G40" s="340"/>
      <c r="H40" s="88"/>
      <c r="I40" s="236"/>
      <c r="J40" s="101" t="e">
        <f t="shared" si="55"/>
        <v>#DIV/0!</v>
      </c>
      <c r="K40" s="236"/>
      <c r="L40" s="101" t="e">
        <f t="shared" si="56"/>
        <v>#DIV/0!</v>
      </c>
      <c r="M40" s="106">
        <f t="shared" si="57"/>
        <v>0</v>
      </c>
      <c r="N40" s="101" t="e">
        <f t="shared" si="58"/>
        <v>#DIV/0!</v>
      </c>
      <c r="O40" s="236"/>
      <c r="P40" s="101" t="e">
        <f t="shared" si="59"/>
        <v>#DIV/0!</v>
      </c>
      <c r="Q40" s="236"/>
      <c r="R40" s="101" t="e">
        <f t="shared" si="26"/>
        <v>#DIV/0!</v>
      </c>
      <c r="S40" s="106">
        <f t="shared" si="60"/>
        <v>0</v>
      </c>
      <c r="T40" s="101" t="e">
        <f t="shared" si="61"/>
        <v>#DIV/0!</v>
      </c>
      <c r="U40" s="236"/>
      <c r="V40" s="101" t="e">
        <f t="shared" si="62"/>
        <v>#DIV/0!</v>
      </c>
      <c r="W40" s="236"/>
      <c r="X40" s="101" t="e">
        <f t="shared" si="63"/>
        <v>#DIV/0!</v>
      </c>
      <c r="Y40" s="236"/>
      <c r="Z40" s="101" t="e">
        <f t="shared" si="64"/>
        <v>#DIV/0!</v>
      </c>
      <c r="AA40" s="236"/>
      <c r="AB40" s="101" t="e">
        <f t="shared" si="32"/>
        <v>#DIV/0!</v>
      </c>
      <c r="AC40" s="106">
        <f t="shared" si="65"/>
        <v>0</v>
      </c>
      <c r="AD40" s="101" t="e">
        <f t="shared" si="66"/>
        <v>#DIV/0!</v>
      </c>
      <c r="AE40" s="236"/>
      <c r="AF40" s="101" t="e">
        <f t="shared" si="67"/>
        <v>#DIV/0!</v>
      </c>
      <c r="AG40" s="236"/>
      <c r="AH40" s="101" t="e">
        <f t="shared" si="68"/>
        <v>#DIV/0!</v>
      </c>
      <c r="AI40" s="236"/>
      <c r="AJ40" s="101" t="e">
        <f t="shared" si="69"/>
        <v>#DIV/0!</v>
      </c>
      <c r="AK40" s="236"/>
      <c r="AL40" s="101" t="e">
        <f t="shared" si="70"/>
        <v>#DIV/0!</v>
      </c>
    </row>
    <row r="41" spans="2:38" ht="14.25">
      <c r="B41" s="98"/>
      <c r="C41" s="83"/>
      <c r="D41" s="332">
        <f t="shared" si="71"/>
        <v>46116</v>
      </c>
      <c r="E41" s="553" t="s">
        <v>588</v>
      </c>
      <c r="F41" s="88">
        <f t="shared" si="20"/>
        <v>0</v>
      </c>
      <c r="G41" s="340"/>
      <c r="H41" s="88"/>
      <c r="I41" s="236"/>
      <c r="J41" s="101" t="e">
        <f t="shared" si="55"/>
        <v>#DIV/0!</v>
      </c>
      <c r="K41" s="236"/>
      <c r="L41" s="101" t="e">
        <f t="shared" si="56"/>
        <v>#DIV/0!</v>
      </c>
      <c r="M41" s="106">
        <f t="shared" si="57"/>
        <v>0</v>
      </c>
      <c r="N41" s="101" t="e">
        <f t="shared" si="58"/>
        <v>#DIV/0!</v>
      </c>
      <c r="O41" s="236"/>
      <c r="P41" s="101" t="e">
        <f t="shared" si="59"/>
        <v>#DIV/0!</v>
      </c>
      <c r="Q41" s="236"/>
      <c r="R41" s="101" t="e">
        <f t="shared" si="26"/>
        <v>#DIV/0!</v>
      </c>
      <c r="S41" s="106">
        <f t="shared" si="60"/>
        <v>0</v>
      </c>
      <c r="T41" s="101" t="e">
        <f t="shared" si="61"/>
        <v>#DIV/0!</v>
      </c>
      <c r="U41" s="236"/>
      <c r="V41" s="101" t="e">
        <f t="shared" si="62"/>
        <v>#DIV/0!</v>
      </c>
      <c r="W41" s="236"/>
      <c r="X41" s="101" t="e">
        <f t="shared" si="63"/>
        <v>#DIV/0!</v>
      </c>
      <c r="Y41" s="236"/>
      <c r="Z41" s="101" t="e">
        <f t="shared" si="64"/>
        <v>#DIV/0!</v>
      </c>
      <c r="AA41" s="236"/>
      <c r="AB41" s="101" t="e">
        <f t="shared" si="32"/>
        <v>#DIV/0!</v>
      </c>
      <c r="AC41" s="106">
        <f t="shared" si="65"/>
        <v>0</v>
      </c>
      <c r="AD41" s="101" t="e">
        <f t="shared" si="66"/>
        <v>#DIV/0!</v>
      </c>
      <c r="AE41" s="236"/>
      <c r="AF41" s="101" t="e">
        <f t="shared" si="67"/>
        <v>#DIV/0!</v>
      </c>
      <c r="AG41" s="236"/>
      <c r="AH41" s="101" t="e">
        <f t="shared" si="68"/>
        <v>#DIV/0!</v>
      </c>
      <c r="AI41" s="236"/>
      <c r="AJ41" s="101" t="e">
        <f t="shared" si="69"/>
        <v>#DIV/0!</v>
      </c>
      <c r="AK41" s="236"/>
      <c r="AL41" s="101" t="e">
        <f t="shared" si="70"/>
        <v>#DIV/0!</v>
      </c>
    </row>
    <row r="42" spans="2:38" ht="14.25">
      <c r="B42" s="98"/>
      <c r="C42" s="83"/>
      <c r="D42" s="332">
        <f t="shared" si="71"/>
        <v>46117</v>
      </c>
      <c r="E42" s="553" t="s">
        <v>589</v>
      </c>
      <c r="F42" s="88">
        <f t="shared" si="20"/>
        <v>0</v>
      </c>
      <c r="G42" s="340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26"/>
        <v>#DIV/0!</v>
      </c>
      <c r="S42" s="106">
        <f t="shared" si="60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32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4.25">
      <c r="B43" s="98"/>
      <c r="C43" s="83"/>
      <c r="D43" s="332">
        <f t="shared" si="71"/>
        <v>46118</v>
      </c>
      <c r="E43" s="553" t="s">
        <v>583</v>
      </c>
      <c r="F43" s="88">
        <f t="shared" ref="F43" si="72">SUM(M43,S43,U43,W43,AC43,AE43,AG43,AI43,AK43)</f>
        <v>0</v>
      </c>
      <c r="G43" s="340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26"/>
        <v>#DIV/0!</v>
      </c>
      <c r="S43" s="106">
        <f t="shared" ref="S43" si="73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32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40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26"/>
        <v>#DIV/0!</v>
      </c>
      <c r="S44" s="106">
        <f t="shared" si="60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32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40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26"/>
        <v>#DIV/0!</v>
      </c>
      <c r="S45" s="106">
        <f t="shared" si="60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32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9">
        <f>SUM(I7:I44)</f>
        <v>855420</v>
      </c>
      <c r="J46" s="288">
        <f>I46/$H$12</f>
        <v>0.12165239742343004</v>
      </c>
      <c r="K46" s="289">
        <f>SUM(K7:K44)</f>
        <v>1234753</v>
      </c>
      <c r="L46" s="288">
        <f>K46/$H$12</f>
        <v>0.17559872656212447</v>
      </c>
      <c r="M46" s="289">
        <f>SUM(M7:M44)</f>
        <v>2090173</v>
      </c>
      <c r="N46" s="288">
        <f>M46/$H$12</f>
        <v>0.29725112398555453</v>
      </c>
      <c r="O46" s="289">
        <f>SUM(O7:O44)</f>
        <v>210230</v>
      </c>
      <c r="P46" s="288">
        <f>O46/$H$12</f>
        <v>2.9897574887573001E-2</v>
      </c>
      <c r="Q46" s="289">
        <f>SUM(Q7:Q44)</f>
        <v>92761</v>
      </c>
      <c r="R46" s="288">
        <f>Q46/$H$12</f>
        <v>1.3191880055872898E-2</v>
      </c>
      <c r="S46" s="289">
        <f>SUM(S7:S44)</f>
        <v>302991</v>
      </c>
      <c r="T46" s="288">
        <f>S46/$H$12</f>
        <v>4.3089454943445897E-2</v>
      </c>
      <c r="U46" s="289">
        <f>SUM(U7:U44)</f>
        <v>1008218</v>
      </c>
      <c r="V46" s="288">
        <f>U46/$H$12</f>
        <v>0.14338235816961936</v>
      </c>
      <c r="W46" s="289">
        <f>SUM(W7:W44)</f>
        <v>61194</v>
      </c>
      <c r="X46" s="288">
        <f>W46/$H$12</f>
        <v>8.7026218792281892E-3</v>
      </c>
      <c r="Y46" s="289">
        <f>SUM(Y7:Y44)</f>
        <v>772290</v>
      </c>
      <c r="Z46" s="288">
        <f>Y46/$H$12</f>
        <v>0.10983017699626006</v>
      </c>
      <c r="AA46" s="289">
        <f>SUM(AA7:AA44)</f>
        <v>736677</v>
      </c>
      <c r="AB46" s="288">
        <f>AA46/$H$12</f>
        <v>0.10476552240618664</v>
      </c>
      <c r="AC46" s="289">
        <f>SUM(AC7:AC44)</f>
        <v>1508967</v>
      </c>
      <c r="AD46" s="288">
        <f>AC46/$H$12</f>
        <v>0.21459569940244669</v>
      </c>
      <c r="AE46" s="289">
        <f>SUM(AE7:AE44)</f>
        <v>667038</v>
      </c>
      <c r="AF46" s="288">
        <f>AE46/$H$12</f>
        <v>9.4861906282913577E-2</v>
      </c>
      <c r="AG46" s="289">
        <f>SUM(AG7:AG44)</f>
        <v>171501</v>
      </c>
      <c r="AH46" s="288">
        <f>AG46/$H$12</f>
        <v>2.4389782575244528E-2</v>
      </c>
      <c r="AI46" s="289">
        <f>SUM(AI7:AI44)</f>
        <v>639732</v>
      </c>
      <c r="AJ46" s="288">
        <f>AI46/$H$12</f>
        <v>9.0978620453678591E-2</v>
      </c>
      <c r="AK46" s="289">
        <f>SUM(AK7:AK44)</f>
        <v>581860</v>
      </c>
      <c r="AL46" s="288">
        <f>AK46/$H$12</f>
        <v>8.2748432307868658E-2</v>
      </c>
    </row>
    <row r="47" spans="2:38" ht="14.25">
      <c r="B47" s="98"/>
      <c r="C47" s="83"/>
      <c r="D47" s="84"/>
      <c r="F47" s="88"/>
      <c r="G47" s="88"/>
      <c r="H47" s="88"/>
      <c r="M47" s="290">
        <f>M46</f>
        <v>2090173</v>
      </c>
      <c r="S47" s="290">
        <f>S46</f>
        <v>302991</v>
      </c>
      <c r="U47" s="290">
        <f>U46</f>
        <v>1008218</v>
      </c>
      <c r="W47" s="290">
        <f>W46</f>
        <v>61194</v>
      </c>
      <c r="Y47" s="290"/>
      <c r="AA47" s="290"/>
      <c r="AC47" s="290">
        <f>AC46</f>
        <v>1508967</v>
      </c>
      <c r="AE47" s="290">
        <f>AE46</f>
        <v>667038</v>
      </c>
      <c r="AG47" s="290">
        <f>AG46</f>
        <v>171501</v>
      </c>
      <c r="AI47" s="290">
        <f>AI46</f>
        <v>639732</v>
      </c>
      <c r="AK47" s="290">
        <f>AK46</f>
        <v>581860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60" zoomScale="40" zoomScaleNormal="40" workbookViewId="0">
      <pane xSplit="15" topLeftCell="P1" activePane="topRight" state="frozen"/>
      <selection activeCell="P2" sqref="P2:AN2"/>
      <selection pane="topRight" activeCell="AT112" sqref="AT112:AV13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333</v>
      </c>
      <c r="C1" s="221">
        <f>AVERAGE(L7,L42,L77,L112,L147,L182)</f>
        <v>786.35159385491033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5" t="s">
        <v>158</v>
      </c>
      <c r="Q3" s="676"/>
      <c r="R3" s="676"/>
      <c r="S3" s="676"/>
      <c r="T3" s="676"/>
      <c r="U3" s="675" t="s">
        <v>114</v>
      </c>
      <c r="V3" s="676"/>
      <c r="W3" s="676"/>
      <c r="X3" s="676"/>
      <c r="Y3" s="676"/>
      <c r="Z3" s="675" t="s">
        <v>159</v>
      </c>
      <c r="AA3" s="676"/>
      <c r="AB3" s="676"/>
      <c r="AC3" s="676"/>
      <c r="AD3" s="676"/>
      <c r="AE3" s="675" t="s">
        <v>157</v>
      </c>
      <c r="AF3" s="676"/>
      <c r="AG3" s="676"/>
      <c r="AH3" s="676"/>
      <c r="AI3" s="676"/>
      <c r="AJ3" s="675" t="s">
        <v>160</v>
      </c>
      <c r="AK3" s="676"/>
      <c r="AL3" s="676"/>
      <c r="AM3" s="676"/>
      <c r="AN3" s="676"/>
      <c r="AO3" s="675" t="s">
        <v>115</v>
      </c>
      <c r="AP3" s="676"/>
      <c r="AQ3" s="676"/>
      <c r="AR3" s="676"/>
      <c r="AS3" s="676"/>
      <c r="AT3" s="675" t="s">
        <v>162</v>
      </c>
      <c r="AU3" s="676"/>
      <c r="AV3" s="676"/>
      <c r="AW3" s="676"/>
      <c r="AX3" s="676"/>
    </row>
    <row r="4" spans="1:54" ht="14.25">
      <c r="A4" s="81"/>
      <c r="B4" s="668" t="s">
        <v>419</v>
      </c>
      <c r="C4" s="668" t="s">
        <v>429</v>
      </c>
      <c r="D4" s="668"/>
      <c r="E4" s="668" t="s">
        <v>420</v>
      </c>
      <c r="F4" s="668"/>
      <c r="G4" s="668"/>
      <c r="H4" s="684" t="s">
        <v>416</v>
      </c>
      <c r="I4" s="652" t="s">
        <v>463</v>
      </c>
      <c r="J4" s="652"/>
      <c r="K4" s="652"/>
      <c r="L4" s="653" t="s">
        <v>416</v>
      </c>
      <c r="M4" s="659" t="s">
        <v>464</v>
      </c>
      <c r="N4" s="668"/>
      <c r="O4" s="668" t="s">
        <v>422</v>
      </c>
      <c r="P4" s="665" t="s">
        <v>418</v>
      </c>
      <c r="Q4" s="666"/>
      <c r="R4" s="666"/>
      <c r="S4" s="667"/>
      <c r="T4" s="668" t="s">
        <v>416</v>
      </c>
      <c r="U4" s="665" t="s">
        <v>418</v>
      </c>
      <c r="V4" s="666"/>
      <c r="W4" s="666"/>
      <c r="X4" s="667"/>
      <c r="Y4" s="668" t="s">
        <v>416</v>
      </c>
      <c r="Z4" s="665" t="s">
        <v>418</v>
      </c>
      <c r="AA4" s="666"/>
      <c r="AB4" s="666"/>
      <c r="AC4" s="667"/>
      <c r="AD4" s="668" t="s">
        <v>416</v>
      </c>
      <c r="AE4" s="665" t="s">
        <v>418</v>
      </c>
      <c r="AF4" s="666"/>
      <c r="AG4" s="666"/>
      <c r="AH4" s="667"/>
      <c r="AI4" s="668" t="s">
        <v>416</v>
      </c>
      <c r="AJ4" s="665" t="s">
        <v>418</v>
      </c>
      <c r="AK4" s="666"/>
      <c r="AL4" s="666"/>
      <c r="AM4" s="667"/>
      <c r="AN4" s="668" t="s">
        <v>416</v>
      </c>
      <c r="AO4" s="665" t="s">
        <v>418</v>
      </c>
      <c r="AP4" s="666"/>
      <c r="AQ4" s="666"/>
      <c r="AR4" s="667"/>
      <c r="AS4" s="668" t="s">
        <v>416</v>
      </c>
      <c r="AT4" s="665" t="s">
        <v>418</v>
      </c>
      <c r="AU4" s="666"/>
      <c r="AV4" s="666"/>
      <c r="AW4" s="667"/>
      <c r="AX4" s="668" t="s">
        <v>416</v>
      </c>
    </row>
    <row r="5" spans="1:54" ht="14.25">
      <c r="A5" s="81"/>
      <c r="B5" s="668"/>
      <c r="C5" s="668"/>
      <c r="D5" s="668"/>
      <c r="E5" s="668" t="s">
        <v>467</v>
      </c>
      <c r="F5" s="668"/>
      <c r="G5" s="668"/>
      <c r="H5" s="685"/>
      <c r="I5" s="652" t="s">
        <v>467</v>
      </c>
      <c r="J5" s="652"/>
      <c r="K5" s="652"/>
      <c r="L5" s="654"/>
      <c r="M5" s="660"/>
      <c r="N5" s="668"/>
      <c r="O5" s="668"/>
      <c r="P5" s="665" t="s">
        <v>424</v>
      </c>
      <c r="Q5" s="666"/>
      <c r="R5" s="666"/>
      <c r="S5" s="667"/>
      <c r="T5" s="668"/>
      <c r="U5" s="665" t="s">
        <v>424</v>
      </c>
      <c r="V5" s="666"/>
      <c r="W5" s="666"/>
      <c r="X5" s="667"/>
      <c r="Y5" s="668"/>
      <c r="Z5" s="665" t="s">
        <v>424</v>
      </c>
      <c r="AA5" s="666"/>
      <c r="AB5" s="666"/>
      <c r="AC5" s="667"/>
      <c r="AD5" s="668"/>
      <c r="AE5" s="665" t="s">
        <v>424</v>
      </c>
      <c r="AF5" s="666"/>
      <c r="AG5" s="666"/>
      <c r="AH5" s="667"/>
      <c r="AI5" s="668"/>
      <c r="AJ5" s="665" t="s">
        <v>424</v>
      </c>
      <c r="AK5" s="666"/>
      <c r="AL5" s="666"/>
      <c r="AM5" s="667"/>
      <c r="AN5" s="668"/>
      <c r="AO5" s="665" t="s">
        <v>424</v>
      </c>
      <c r="AP5" s="666"/>
      <c r="AQ5" s="666"/>
      <c r="AR5" s="667"/>
      <c r="AS5" s="668"/>
      <c r="AT5" s="665" t="s">
        <v>424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49" t="s">
        <v>469</v>
      </c>
      <c r="F6" s="549" t="s">
        <v>426</v>
      </c>
      <c r="G6" s="549" t="s">
        <v>427</v>
      </c>
      <c r="H6" s="686"/>
      <c r="I6" s="550" t="s">
        <v>469</v>
      </c>
      <c r="J6" s="550" t="s">
        <v>426</v>
      </c>
      <c r="K6" s="550" t="s">
        <v>427</v>
      </c>
      <c r="L6" s="655"/>
      <c r="M6" s="661"/>
      <c r="N6" s="668"/>
      <c r="O6" s="668"/>
      <c r="P6" s="549" t="s">
        <v>469</v>
      </c>
      <c r="Q6" s="549" t="s">
        <v>426</v>
      </c>
      <c r="R6" s="549" t="s">
        <v>427</v>
      </c>
      <c r="S6" s="549" t="s">
        <v>464</v>
      </c>
      <c r="T6" s="668"/>
      <c r="U6" s="549" t="s">
        <v>469</v>
      </c>
      <c r="V6" s="549" t="s">
        <v>426</v>
      </c>
      <c r="W6" s="549" t="s">
        <v>427</v>
      </c>
      <c r="X6" s="549" t="s">
        <v>464</v>
      </c>
      <c r="Y6" s="668"/>
      <c r="Z6" s="549" t="s">
        <v>469</v>
      </c>
      <c r="AA6" s="549" t="s">
        <v>426</v>
      </c>
      <c r="AB6" s="549" t="s">
        <v>427</v>
      </c>
      <c r="AC6" s="549" t="s">
        <v>464</v>
      </c>
      <c r="AD6" s="668"/>
      <c r="AE6" s="549" t="s">
        <v>469</v>
      </c>
      <c r="AF6" s="549" t="s">
        <v>426</v>
      </c>
      <c r="AG6" s="549" t="s">
        <v>427</v>
      </c>
      <c r="AH6" s="549" t="s">
        <v>464</v>
      </c>
      <c r="AI6" s="668"/>
      <c r="AJ6" s="549" t="s">
        <v>469</v>
      </c>
      <c r="AK6" s="549" t="s">
        <v>426</v>
      </c>
      <c r="AL6" s="549" t="s">
        <v>427</v>
      </c>
      <c r="AM6" s="549" t="s">
        <v>464</v>
      </c>
      <c r="AN6" s="668"/>
      <c r="AO6" s="549" t="s">
        <v>469</v>
      </c>
      <c r="AP6" s="549" t="s">
        <v>426</v>
      </c>
      <c r="AQ6" s="549" t="s">
        <v>427</v>
      </c>
      <c r="AR6" s="549" t="s">
        <v>464</v>
      </c>
      <c r="AS6" s="668"/>
      <c r="AT6" s="549" t="s">
        <v>469</v>
      </c>
      <c r="AU6" s="549" t="s">
        <v>426</v>
      </c>
      <c r="AV6" s="549" t="s">
        <v>427</v>
      </c>
      <c r="AW6" s="549" t="s">
        <v>464</v>
      </c>
      <c r="AX6" s="668"/>
    </row>
    <row r="7" spans="1:54" ht="14.25">
      <c r="A7" s="81"/>
      <c r="B7" s="676" t="s">
        <v>150</v>
      </c>
      <c r="C7" s="545">
        <v>1</v>
      </c>
      <c r="D7" s="569" t="s">
        <v>358</v>
      </c>
      <c r="E7" s="569">
        <v>3</v>
      </c>
      <c r="F7" s="569">
        <v>3200</v>
      </c>
      <c r="G7" s="182">
        <v>1066.6666666666667</v>
      </c>
      <c r="H7" s="677">
        <f>AVERAGE(G7:G36)</f>
        <v>778.97727272727275</v>
      </c>
      <c r="I7" s="547">
        <f>AVERAGE(P7,U7,Z7,AE7,AJ7,AO7,AT7)</f>
        <v>3</v>
      </c>
      <c r="J7" s="547">
        <f>AVERAGE(Q7,V7,AA7,AF7,AK7,AP7,AU7)</f>
        <v>3203.6026471194555</v>
      </c>
      <c r="K7" s="200">
        <f>AVERAGE(R7,W7,AB7,AG7,AL7,AQ7,AV7)</f>
        <v>1067.8675490398184</v>
      </c>
      <c r="L7" s="649">
        <f>IFERROR(AVERAGE(K7:K36),"-")</f>
        <v>793.10158304582899</v>
      </c>
      <c r="M7" s="547" t="e">
        <f>RANK(K7, K$147:$K$176)</f>
        <v>#DIV/0!</v>
      </c>
      <c r="N7" s="668"/>
      <c r="O7" s="668"/>
      <c r="P7" s="182">
        <v>3</v>
      </c>
      <c r="Q7" s="182">
        <v>3178.9285714285738</v>
      </c>
      <c r="R7" s="182">
        <v>1059.642857142858</v>
      </c>
      <c r="S7" s="545">
        <f>RANK(R7, R$7:R$36)</f>
        <v>1</v>
      </c>
      <c r="T7" s="690">
        <f>AVERAGE(R7:R36)</f>
        <v>787.14896234584558</v>
      </c>
      <c r="U7" s="182">
        <v>3</v>
      </c>
      <c r="V7" s="182">
        <v>3229.0909090909113</v>
      </c>
      <c r="W7" s="182">
        <v>1076.3636363636372</v>
      </c>
      <c r="X7" s="545">
        <f>RANK(W7, W$7:W$36)</f>
        <v>4</v>
      </c>
      <c r="Y7" s="690">
        <f>AVERAGE(W7:W36)</f>
        <v>794.09341012078778</v>
      </c>
      <c r="Z7" s="182">
        <v>3</v>
      </c>
      <c r="AA7" s="182">
        <v>3211.7647058823545</v>
      </c>
      <c r="AB7" s="182">
        <v>1070.5882352941182</v>
      </c>
      <c r="AC7" s="545">
        <f>RANK(AB7, AB$7:AB$36)</f>
        <v>2</v>
      </c>
      <c r="AD7" s="690">
        <f>AVERAGE(AB7:AB36)</f>
        <v>796.90366382623063</v>
      </c>
      <c r="AE7" s="182">
        <v>3</v>
      </c>
      <c r="AF7" s="182">
        <v>3250.6666666666665</v>
      </c>
      <c r="AG7" s="182">
        <v>1083.5555555555554</v>
      </c>
      <c r="AH7" s="545">
        <f>RANK(AG7, AG$7:AG$36)</f>
        <v>3</v>
      </c>
      <c r="AI7" s="690">
        <f>AVERAGE(AG7:AG36)</f>
        <v>789.25932142273825</v>
      </c>
      <c r="AJ7" s="182">
        <v>3</v>
      </c>
      <c r="AK7" s="182">
        <v>3133.3333333333335</v>
      </c>
      <c r="AL7" s="182">
        <v>1044.4444444444446</v>
      </c>
      <c r="AM7" s="545">
        <f>RANK(AL7, AL$7:AL$36)</f>
        <v>3</v>
      </c>
      <c r="AN7" s="690">
        <f>AVERAGE(AL7:AL36)</f>
        <v>796.3451210405758</v>
      </c>
      <c r="AO7" s="182">
        <v>3</v>
      </c>
      <c r="AP7" s="182">
        <v>3222.5454545454568</v>
      </c>
      <c r="AQ7" s="182">
        <v>1074.1818181818189</v>
      </c>
      <c r="AR7" s="545">
        <f>RANK(AQ7, AQ$7:AQ$36)</f>
        <v>3</v>
      </c>
      <c r="AS7" s="690">
        <f>AVERAGE(AQ7:AQ36)</f>
        <v>800.32650601075773</v>
      </c>
      <c r="AT7" s="182">
        <v>3</v>
      </c>
      <c r="AU7" s="182">
        <v>3198.8888888888905</v>
      </c>
      <c r="AV7" s="182">
        <v>1066.2962962962968</v>
      </c>
      <c r="AW7" s="545">
        <f>RANK(AV7, AV$7:AV$36)</f>
        <v>1</v>
      </c>
      <c r="AX7" s="690">
        <f>AVERAGE(AV7:AV36)</f>
        <v>787.63409655386749</v>
      </c>
      <c r="AZ7" s="361" t="e">
        <f>RANK(AX7, $K$7:AX$36)</f>
        <v>#DIV/0!</v>
      </c>
      <c r="BB7" s="359" t="e">
        <f t="shared" ref="BB7:BB36" si="0">RANK(BA7, BA$7:BA$36)</f>
        <v>#N/A</v>
      </c>
    </row>
    <row r="8" spans="1:54" ht="15" customHeight="1">
      <c r="A8" s="81"/>
      <c r="B8" s="676"/>
      <c r="C8" s="545">
        <v>2</v>
      </c>
      <c r="D8" s="571" t="s">
        <v>359</v>
      </c>
      <c r="E8" s="569">
        <v>3</v>
      </c>
      <c r="F8" s="569">
        <v>3200</v>
      </c>
      <c r="G8" s="182">
        <v>1066.6666666666667</v>
      </c>
      <c r="H8" s="678"/>
      <c r="I8" s="547">
        <f t="shared" ref="I8:I26" si="1">AVERAGE(P8,U8,Z8,AE8,AJ8,AO8,AT8)</f>
        <v>3</v>
      </c>
      <c r="J8" s="547">
        <f t="shared" ref="J8:J26" si="2">AVERAGE(Q8,V8,AA8,AF8,AK8,AP8,AU8)</f>
        <v>3176.7735940530079</v>
      </c>
      <c r="K8" s="200">
        <f t="shared" ref="K8:K26" si="3">AVERAGE(R8,W8,AB8,AG8,AL8,AQ8,AV8)</f>
        <v>1058.9245313510025</v>
      </c>
      <c r="L8" s="650"/>
      <c r="M8" s="547" t="e">
        <f>RANK(K8, K$147:$K$176)</f>
        <v>#DIV/0!</v>
      </c>
      <c r="N8" s="668"/>
      <c r="O8" s="668"/>
      <c r="P8" s="182">
        <v>3</v>
      </c>
      <c r="Q8" s="182">
        <v>3070.5882352941139</v>
      </c>
      <c r="R8" s="182">
        <v>1023.5294117647046</v>
      </c>
      <c r="S8" s="545">
        <f t="shared" ref="S8:S36" si="4">RANK(R8, R$7:R$36)</f>
        <v>2</v>
      </c>
      <c r="T8" s="690"/>
      <c r="U8" s="182">
        <v>3</v>
      </c>
      <c r="V8" s="182">
        <v>3255.0000000000036</v>
      </c>
      <c r="W8" s="182">
        <v>1085.0000000000011</v>
      </c>
      <c r="X8" s="545">
        <f t="shared" ref="X8:X36" si="5">RANK(W8, W$7:W$36)</f>
        <v>2</v>
      </c>
      <c r="Y8" s="690"/>
      <c r="Z8" s="182">
        <v>3</v>
      </c>
      <c r="AA8" s="182">
        <v>3187.5000000000036</v>
      </c>
      <c r="AB8" s="182">
        <v>1062.5000000000011</v>
      </c>
      <c r="AC8" s="545">
        <f t="shared" ref="AC8:AC36" si="6">RANK(AB8, AB$7:AB$36)</f>
        <v>4</v>
      </c>
      <c r="AD8" s="690"/>
      <c r="AE8" s="182">
        <v>3</v>
      </c>
      <c r="AF8" s="182">
        <v>3309.2307692307709</v>
      </c>
      <c r="AG8" s="182">
        <v>1103.0769230769235</v>
      </c>
      <c r="AH8" s="545">
        <f t="shared" ref="AH8:AH36" si="7">RANK(AG8, AG$7:AG$36)</f>
        <v>1</v>
      </c>
      <c r="AI8" s="690"/>
      <c r="AJ8" s="182">
        <v>3</v>
      </c>
      <c r="AK8" s="182">
        <v>3133.8461538461556</v>
      </c>
      <c r="AL8" s="182">
        <v>1044.6153846153852</v>
      </c>
      <c r="AM8" s="545">
        <f t="shared" ref="AM8:AM36" si="8">RANK(AL8, AL$7:AL$36)</f>
        <v>2</v>
      </c>
      <c r="AN8" s="690"/>
      <c r="AO8" s="182">
        <v>3</v>
      </c>
      <c r="AP8" s="182">
        <v>3258.7500000000036</v>
      </c>
      <c r="AQ8" s="182">
        <v>1086.2500000000011</v>
      </c>
      <c r="AR8" s="545">
        <f t="shared" ref="AR8:AR36" si="9">RANK(AQ8, AQ$7:AQ$36)</f>
        <v>2</v>
      </c>
      <c r="AS8" s="690"/>
      <c r="AT8" s="182">
        <v>3</v>
      </c>
      <c r="AU8" s="182">
        <v>3022.5000000000036</v>
      </c>
      <c r="AV8" s="182">
        <v>1007.5000000000013</v>
      </c>
      <c r="AW8" s="545">
        <f t="shared" ref="AW8:AW36" si="10">RANK(AV8, AV$7:AV$36)</f>
        <v>5</v>
      </c>
      <c r="AX8" s="690"/>
      <c r="AZ8" s="361" t="e">
        <f>RANK(AX8, $K$7:AX$36)</f>
        <v>#DIV/0!</v>
      </c>
      <c r="BB8" s="359" t="e">
        <f t="shared" si="0"/>
        <v>#N/A</v>
      </c>
    </row>
    <row r="9" spans="1:54" ht="14.25">
      <c r="A9" s="81"/>
      <c r="B9" s="676"/>
      <c r="C9" s="545">
        <v>3</v>
      </c>
      <c r="D9" s="569" t="s">
        <v>348</v>
      </c>
      <c r="E9" s="569">
        <v>4</v>
      </c>
      <c r="F9" s="569">
        <v>3200</v>
      </c>
      <c r="G9" s="182">
        <v>800</v>
      </c>
      <c r="H9" s="678"/>
      <c r="I9" s="547">
        <f t="shared" si="1"/>
        <v>4</v>
      </c>
      <c r="J9" s="547">
        <f t="shared" si="2"/>
        <v>3195.0726817042605</v>
      </c>
      <c r="K9" s="200">
        <f t="shared" si="3"/>
        <v>798.76817042606513</v>
      </c>
      <c r="L9" s="650"/>
      <c r="M9" s="547" t="e">
        <f>RANK(K9, K$147:$K$176)</f>
        <v>#DIV/0!</v>
      </c>
      <c r="N9" s="668"/>
      <c r="O9" s="668"/>
      <c r="P9" s="182">
        <v>4</v>
      </c>
      <c r="Q9" s="182">
        <v>3316.6666666666715</v>
      </c>
      <c r="R9" s="182">
        <v>829.16666666666788</v>
      </c>
      <c r="S9" s="545">
        <f t="shared" si="4"/>
        <v>10</v>
      </c>
      <c r="T9" s="690"/>
      <c r="U9" s="182">
        <v>4</v>
      </c>
      <c r="V9" s="182">
        <v>3262.1052631578923</v>
      </c>
      <c r="W9" s="182">
        <v>815.52631578947307</v>
      </c>
      <c r="X9" s="545">
        <f t="shared" si="5"/>
        <v>11</v>
      </c>
      <c r="Y9" s="690"/>
      <c r="Z9" s="182">
        <v>4</v>
      </c>
      <c r="AA9" s="182">
        <v>3138.9473684210575</v>
      </c>
      <c r="AB9" s="182">
        <v>784.73684210526437</v>
      </c>
      <c r="AC9" s="545">
        <f t="shared" si="6"/>
        <v>11</v>
      </c>
      <c r="AD9" s="690"/>
      <c r="AE9" s="182">
        <v>4</v>
      </c>
      <c r="AF9" s="182">
        <v>3303.9999999999941</v>
      </c>
      <c r="AG9" s="182">
        <v>825.99999999999852</v>
      </c>
      <c r="AH9" s="545">
        <f t="shared" si="7"/>
        <v>9</v>
      </c>
      <c r="AI9" s="690"/>
      <c r="AJ9" s="182">
        <v>4</v>
      </c>
      <c r="AK9" s="182">
        <v>3087.9999999999945</v>
      </c>
      <c r="AL9" s="182">
        <v>771.99999999999864</v>
      </c>
      <c r="AM9" s="545">
        <f t="shared" si="8"/>
        <v>11</v>
      </c>
      <c r="AN9" s="690"/>
      <c r="AO9" s="182">
        <v>4</v>
      </c>
      <c r="AP9" s="182">
        <v>3217.8947368421032</v>
      </c>
      <c r="AQ9" s="182">
        <v>804.47368421052579</v>
      </c>
      <c r="AR9" s="545">
        <f t="shared" si="9"/>
        <v>11</v>
      </c>
      <c r="AS9" s="690"/>
      <c r="AT9" s="182">
        <v>4</v>
      </c>
      <c r="AU9" s="182">
        <v>3037.8947368421095</v>
      </c>
      <c r="AV9" s="182">
        <v>759.47368421052738</v>
      </c>
      <c r="AW9" s="545">
        <f t="shared" si="10"/>
        <v>13</v>
      </c>
      <c r="AX9" s="690"/>
      <c r="AZ9" s="361" t="e">
        <f>RANK(AX9, $K$7:AX$36)</f>
        <v>#DIV/0!</v>
      </c>
      <c r="BB9" s="359" t="e">
        <f t="shared" si="0"/>
        <v>#N/A</v>
      </c>
    </row>
    <row r="10" spans="1:54" ht="14.25">
      <c r="A10" s="81"/>
      <c r="B10" s="676"/>
      <c r="C10" s="545">
        <v>4</v>
      </c>
      <c r="D10" s="569" t="s">
        <v>360</v>
      </c>
      <c r="E10" s="569">
        <v>3</v>
      </c>
      <c r="F10" s="569">
        <v>3200</v>
      </c>
      <c r="G10" s="182">
        <v>1066.6666666666667</v>
      </c>
      <c r="H10" s="678"/>
      <c r="I10" s="547">
        <f t="shared" si="1"/>
        <v>3</v>
      </c>
      <c r="J10" s="547">
        <f t="shared" si="2"/>
        <v>3191.2332396285883</v>
      </c>
      <c r="K10" s="200">
        <f t="shared" si="3"/>
        <v>1063.7444132095293</v>
      </c>
      <c r="L10" s="650"/>
      <c r="M10" s="547" t="e">
        <f>RANK(K10, K$147:$K$176)</f>
        <v>#DIV/0!</v>
      </c>
      <c r="N10" s="668"/>
      <c r="O10" s="668"/>
      <c r="P10" s="182">
        <v>3</v>
      </c>
      <c r="Q10" s="182">
        <v>3044</v>
      </c>
      <c r="R10" s="182">
        <v>1014.6666666666666</v>
      </c>
      <c r="S10" s="545">
        <f t="shared" si="4"/>
        <v>3</v>
      </c>
      <c r="T10" s="690"/>
      <c r="U10" s="182">
        <v>3</v>
      </c>
      <c r="V10" s="182">
        <v>3284.9999999999986</v>
      </c>
      <c r="W10" s="182">
        <v>1094.9999999999995</v>
      </c>
      <c r="X10" s="545">
        <f t="shared" si="5"/>
        <v>1</v>
      </c>
      <c r="Y10" s="690"/>
      <c r="Z10" s="182">
        <v>3</v>
      </c>
      <c r="AA10" s="182">
        <v>3192.3076923076906</v>
      </c>
      <c r="AB10" s="182">
        <v>1064.1025641025635</v>
      </c>
      <c r="AC10" s="545">
        <f t="shared" si="6"/>
        <v>3</v>
      </c>
      <c r="AD10" s="690"/>
      <c r="AE10" s="182">
        <v>3</v>
      </c>
      <c r="AF10" s="182">
        <v>3270.4615384615377</v>
      </c>
      <c r="AG10" s="182">
        <v>1090.153846153846</v>
      </c>
      <c r="AH10" s="545">
        <f t="shared" si="7"/>
        <v>2</v>
      </c>
      <c r="AI10" s="690"/>
      <c r="AJ10" s="182">
        <v>3</v>
      </c>
      <c r="AK10" s="182">
        <v>3232.6153846153879</v>
      </c>
      <c r="AL10" s="182">
        <v>1077.5384615384626</v>
      </c>
      <c r="AM10" s="545">
        <f t="shared" si="8"/>
        <v>1</v>
      </c>
      <c r="AN10" s="690"/>
      <c r="AO10" s="182">
        <v>3</v>
      </c>
      <c r="AP10" s="182">
        <v>3128.666666666667</v>
      </c>
      <c r="AQ10" s="182">
        <v>1042.8888888888889</v>
      </c>
      <c r="AR10" s="545">
        <f t="shared" si="9"/>
        <v>4</v>
      </c>
      <c r="AS10" s="690"/>
      <c r="AT10" s="182">
        <v>3</v>
      </c>
      <c r="AU10" s="182">
        <v>3185.5813953488368</v>
      </c>
      <c r="AV10" s="182">
        <v>1061.8604651162789</v>
      </c>
      <c r="AW10" s="545">
        <f t="shared" si="10"/>
        <v>2</v>
      </c>
      <c r="AX10" s="690"/>
      <c r="AZ10" s="361" t="e">
        <f>RANK(AX10, $K$7:AX$36)</f>
        <v>#DIV/0!</v>
      </c>
      <c r="BB10" s="359" t="e">
        <f t="shared" si="0"/>
        <v>#N/A</v>
      </c>
    </row>
    <row r="11" spans="1:54" ht="14.25">
      <c r="A11" s="81"/>
      <c r="B11" s="676"/>
      <c r="C11" s="545">
        <v>5</v>
      </c>
      <c r="D11" s="569" t="s">
        <v>913</v>
      </c>
      <c r="E11" s="569">
        <v>4</v>
      </c>
      <c r="F11" s="569">
        <v>3200</v>
      </c>
      <c r="G11" s="182">
        <v>800</v>
      </c>
      <c r="H11" s="678"/>
      <c r="I11" s="547">
        <f t="shared" si="1"/>
        <v>4</v>
      </c>
      <c r="J11" s="547">
        <f t="shared" si="2"/>
        <v>3227.573041474654</v>
      </c>
      <c r="K11" s="200">
        <f t="shared" si="3"/>
        <v>806.8932603686635</v>
      </c>
      <c r="L11" s="650"/>
      <c r="M11" s="547" t="e">
        <f>RANK(K11, K$147:$K$176)</f>
        <v>#DIV/0!</v>
      </c>
      <c r="N11" s="668"/>
      <c r="O11" s="668"/>
      <c r="P11" s="182">
        <v>4</v>
      </c>
      <c r="Q11" s="182">
        <v>3198.7499999999991</v>
      </c>
      <c r="R11" s="182">
        <v>799.68749999999977</v>
      </c>
      <c r="S11" s="545">
        <f t="shared" si="4"/>
        <v>11</v>
      </c>
      <c r="T11" s="690"/>
      <c r="U11" s="182">
        <v>4</v>
      </c>
      <c r="V11" s="182">
        <v>3303.8709677419347</v>
      </c>
      <c r="W11" s="182">
        <v>825.96774193548367</v>
      </c>
      <c r="X11" s="545">
        <f t="shared" si="5"/>
        <v>9</v>
      </c>
      <c r="Y11" s="690"/>
      <c r="Z11" s="182">
        <v>4</v>
      </c>
      <c r="AA11" s="182">
        <v>3193.9999999999982</v>
      </c>
      <c r="AB11" s="182">
        <v>798.49999999999955</v>
      </c>
      <c r="AC11" s="545">
        <f t="shared" si="6"/>
        <v>10</v>
      </c>
      <c r="AD11" s="690"/>
      <c r="AE11" s="182">
        <v>4</v>
      </c>
      <c r="AF11" s="182">
        <v>3208.8000000000011</v>
      </c>
      <c r="AG11" s="182">
        <v>802.20000000000027</v>
      </c>
      <c r="AH11" s="545">
        <f t="shared" si="7"/>
        <v>11</v>
      </c>
      <c r="AI11" s="690"/>
      <c r="AJ11" s="182">
        <v>4</v>
      </c>
      <c r="AK11" s="182">
        <v>3148.8000000000011</v>
      </c>
      <c r="AL11" s="182">
        <v>787.20000000000027</v>
      </c>
      <c r="AM11" s="545">
        <f t="shared" si="8"/>
        <v>10</v>
      </c>
      <c r="AN11" s="690"/>
      <c r="AO11" s="182">
        <v>4</v>
      </c>
      <c r="AP11" s="182">
        <v>3381.290322580644</v>
      </c>
      <c r="AQ11" s="182">
        <v>845.322580645161</v>
      </c>
      <c r="AR11" s="545">
        <f t="shared" si="9"/>
        <v>8</v>
      </c>
      <c r="AS11" s="690"/>
      <c r="AT11" s="182">
        <v>4</v>
      </c>
      <c r="AU11" s="182">
        <v>3157.4999999999991</v>
      </c>
      <c r="AV11" s="182">
        <v>789.37499999999977</v>
      </c>
      <c r="AW11" s="545">
        <f t="shared" si="10"/>
        <v>10</v>
      </c>
      <c r="AX11" s="690"/>
      <c r="AZ11" s="361" t="e">
        <f>RANK(AX11, $K$7:AX$36)</f>
        <v>#DIV/0!</v>
      </c>
      <c r="BB11" s="359" t="e">
        <f t="shared" si="0"/>
        <v>#N/A</v>
      </c>
    </row>
    <row r="12" spans="1:54" ht="14.25">
      <c r="A12" s="81"/>
      <c r="B12" s="676"/>
      <c r="C12" s="545">
        <v>6</v>
      </c>
      <c r="D12" s="569" t="s">
        <v>914</v>
      </c>
      <c r="E12" s="569">
        <v>4</v>
      </c>
      <c r="F12" s="569">
        <v>3200</v>
      </c>
      <c r="G12" s="182">
        <v>800</v>
      </c>
      <c r="H12" s="678"/>
      <c r="I12" s="547">
        <f t="shared" si="1"/>
        <v>4</v>
      </c>
      <c r="J12" s="547">
        <f t="shared" si="2"/>
        <v>3317.4322820037123</v>
      </c>
      <c r="K12" s="200">
        <f t="shared" si="3"/>
        <v>829.35807050092808</v>
      </c>
      <c r="L12" s="650"/>
      <c r="M12" s="547" t="e">
        <f>RANK(K12, K$147:$K$176)</f>
        <v>#DIV/0!</v>
      </c>
      <c r="N12" s="668"/>
      <c r="O12" s="668"/>
      <c r="P12" s="182">
        <v>4</v>
      </c>
      <c r="Q12" s="182">
        <v>3334.2857142857165</v>
      </c>
      <c r="R12" s="182">
        <v>833.57142857142912</v>
      </c>
      <c r="S12" s="545">
        <f t="shared" si="4"/>
        <v>9</v>
      </c>
      <c r="T12" s="690"/>
      <c r="U12" s="182">
        <v>4</v>
      </c>
      <c r="V12" s="182">
        <v>3407.1428571428596</v>
      </c>
      <c r="W12" s="182">
        <v>851.7857142857149</v>
      </c>
      <c r="X12" s="545">
        <f t="shared" si="5"/>
        <v>8</v>
      </c>
      <c r="Y12" s="690"/>
      <c r="Z12" s="182">
        <v>4</v>
      </c>
      <c r="AA12" s="182">
        <v>3244.2857142857165</v>
      </c>
      <c r="AB12" s="182">
        <v>811.07142857142912</v>
      </c>
      <c r="AC12" s="545">
        <f t="shared" si="6"/>
        <v>9</v>
      </c>
      <c r="AD12" s="690"/>
      <c r="AE12" s="182">
        <v>4</v>
      </c>
      <c r="AF12" s="182">
        <v>3245.4545454545455</v>
      </c>
      <c r="AG12" s="182">
        <v>811.36363636363637</v>
      </c>
      <c r="AH12" s="545">
        <f t="shared" si="7"/>
        <v>10</v>
      </c>
      <c r="AI12" s="690"/>
      <c r="AJ12" s="182">
        <v>4</v>
      </c>
      <c r="AK12" s="182">
        <v>3437.9999999999991</v>
      </c>
      <c r="AL12" s="182">
        <v>859.49999999999977</v>
      </c>
      <c r="AM12" s="545">
        <f t="shared" si="8"/>
        <v>9</v>
      </c>
      <c r="AN12" s="690"/>
      <c r="AO12" s="182">
        <v>4</v>
      </c>
      <c r="AP12" s="182">
        <v>3368.5714285714312</v>
      </c>
      <c r="AQ12" s="182">
        <v>842.14285714285779</v>
      </c>
      <c r="AR12" s="545">
        <f t="shared" si="9"/>
        <v>9</v>
      </c>
      <c r="AS12" s="690"/>
      <c r="AT12" s="182">
        <v>4</v>
      </c>
      <c r="AU12" s="182">
        <v>3184.2857142857165</v>
      </c>
      <c r="AV12" s="182">
        <v>796.07142857142912</v>
      </c>
      <c r="AW12" s="545">
        <f t="shared" si="10"/>
        <v>9</v>
      </c>
      <c r="AX12" s="690"/>
      <c r="AZ12" s="361" t="e">
        <f>RANK(AX12, $K$7:AX$36)</f>
        <v>#DIV/0!</v>
      </c>
      <c r="BB12" s="359" t="e">
        <f t="shared" si="0"/>
        <v>#N/A</v>
      </c>
    </row>
    <row r="13" spans="1:54" ht="14.25">
      <c r="A13" s="81"/>
      <c r="B13" s="676"/>
      <c r="C13" s="545">
        <v>7</v>
      </c>
      <c r="D13" s="569" t="s">
        <v>361</v>
      </c>
      <c r="E13" s="569">
        <v>4</v>
      </c>
      <c r="F13" s="569">
        <v>2800</v>
      </c>
      <c r="G13" s="182">
        <v>700</v>
      </c>
      <c r="H13" s="678"/>
      <c r="I13" s="547">
        <f t="shared" si="1"/>
        <v>4</v>
      </c>
      <c r="J13" s="547">
        <f t="shared" si="2"/>
        <v>2799.4970743542185</v>
      </c>
      <c r="K13" s="200">
        <f t="shared" si="3"/>
        <v>699.87426858855463</v>
      </c>
      <c r="L13" s="650"/>
      <c r="M13" s="547" t="e">
        <f>RANK(K13, K$147:$K$176)</f>
        <v>#DIV/0!</v>
      </c>
      <c r="N13" s="668"/>
      <c r="O13" s="668"/>
      <c r="P13" s="182">
        <v>4</v>
      </c>
      <c r="Q13" s="182">
        <v>2628.0000000000023</v>
      </c>
      <c r="R13" s="182">
        <v>657.00000000000057</v>
      </c>
      <c r="S13" s="545">
        <f t="shared" si="4"/>
        <v>19</v>
      </c>
      <c r="T13" s="690"/>
      <c r="U13" s="182">
        <v>4</v>
      </c>
      <c r="V13" s="182">
        <v>2963.0769230769247</v>
      </c>
      <c r="W13" s="182">
        <v>740.76923076923117</v>
      </c>
      <c r="X13" s="545">
        <f t="shared" si="5"/>
        <v>13</v>
      </c>
      <c r="Y13" s="690"/>
      <c r="Z13" s="182">
        <v>4</v>
      </c>
      <c r="AA13" s="182">
        <v>2691.4285714285734</v>
      </c>
      <c r="AB13" s="182">
        <v>672.85714285714334</v>
      </c>
      <c r="AC13" s="545">
        <f t="shared" si="6"/>
        <v>18</v>
      </c>
      <c r="AD13" s="690"/>
      <c r="AE13" s="182">
        <v>4</v>
      </c>
      <c r="AF13" s="182">
        <v>2814.5454545454545</v>
      </c>
      <c r="AG13" s="182">
        <v>703.63636363636363</v>
      </c>
      <c r="AH13" s="545">
        <f t="shared" si="7"/>
        <v>17</v>
      </c>
      <c r="AI13" s="690"/>
      <c r="AJ13" s="182">
        <v>4</v>
      </c>
      <c r="AK13" s="182">
        <v>2927.9999999999991</v>
      </c>
      <c r="AL13" s="182">
        <v>731.99999999999977</v>
      </c>
      <c r="AM13" s="545">
        <f t="shared" si="8"/>
        <v>15</v>
      </c>
      <c r="AN13" s="690"/>
      <c r="AO13" s="182">
        <v>4</v>
      </c>
      <c r="AP13" s="182">
        <v>2807.1428571428592</v>
      </c>
      <c r="AQ13" s="182">
        <v>701.78571428571479</v>
      </c>
      <c r="AR13" s="545">
        <f t="shared" si="9"/>
        <v>18</v>
      </c>
      <c r="AS13" s="690"/>
      <c r="AT13" s="182">
        <v>4</v>
      </c>
      <c r="AU13" s="182">
        <v>2764.2857142857165</v>
      </c>
      <c r="AV13" s="182">
        <v>691.07142857142912</v>
      </c>
      <c r="AW13" s="545">
        <f t="shared" si="10"/>
        <v>17</v>
      </c>
      <c r="AX13" s="690"/>
      <c r="AZ13" s="361" t="e">
        <f>RANK(AX13, $K$7:AX$36)</f>
        <v>#DIV/0!</v>
      </c>
      <c r="BB13" s="359" t="e">
        <f t="shared" si="0"/>
        <v>#N/A</v>
      </c>
    </row>
    <row r="14" spans="1:54" ht="14.25">
      <c r="A14" s="81"/>
      <c r="B14" s="676"/>
      <c r="C14" s="545">
        <v>8</v>
      </c>
      <c r="D14" s="569" t="s">
        <v>362</v>
      </c>
      <c r="E14" s="569">
        <v>3</v>
      </c>
      <c r="F14" s="569">
        <v>3200</v>
      </c>
      <c r="G14" s="182">
        <v>1066.6666666666667</v>
      </c>
      <c r="H14" s="678"/>
      <c r="I14" s="547">
        <f t="shared" si="1"/>
        <v>3</v>
      </c>
      <c r="J14" s="547">
        <f t="shared" si="2"/>
        <v>3137.5740259740219</v>
      </c>
      <c r="K14" s="200">
        <f t="shared" si="3"/>
        <v>1045.8580086580073</v>
      </c>
      <c r="L14" s="650"/>
      <c r="M14" s="547" t="e">
        <f>RANK(K14, K$147:$K$176)</f>
        <v>#DIV/0!</v>
      </c>
      <c r="N14" s="668"/>
      <c r="O14" s="668"/>
      <c r="P14" s="182">
        <v>3</v>
      </c>
      <c r="Q14" s="182">
        <v>2941.8181818181779</v>
      </c>
      <c r="R14" s="182">
        <v>980.60606060605926</v>
      </c>
      <c r="S14" s="545">
        <f t="shared" si="4"/>
        <v>6</v>
      </c>
      <c r="T14" s="690"/>
      <c r="U14" s="182">
        <v>3</v>
      </c>
      <c r="V14" s="182">
        <v>3229.9999999999941</v>
      </c>
      <c r="W14" s="182">
        <v>1076.6666666666647</v>
      </c>
      <c r="X14" s="545">
        <f t="shared" si="5"/>
        <v>3</v>
      </c>
      <c r="Y14" s="690"/>
      <c r="Z14" s="182">
        <v>3</v>
      </c>
      <c r="AA14" s="182">
        <v>3100.0000000000027</v>
      </c>
      <c r="AB14" s="182">
        <v>1033.3333333333342</v>
      </c>
      <c r="AC14" s="545">
        <f t="shared" si="6"/>
        <v>5</v>
      </c>
      <c r="AD14" s="690"/>
      <c r="AE14" s="182">
        <v>3</v>
      </c>
      <c r="AF14" s="182">
        <v>3203.9999999999909</v>
      </c>
      <c r="AG14" s="182">
        <v>1067.999999999997</v>
      </c>
      <c r="AH14" s="545">
        <f t="shared" si="7"/>
        <v>4</v>
      </c>
      <c r="AI14" s="690"/>
      <c r="AJ14" s="182">
        <v>3</v>
      </c>
      <c r="AK14" s="182">
        <v>3091.2000000000012</v>
      </c>
      <c r="AL14" s="182">
        <v>1030.4000000000003</v>
      </c>
      <c r="AM14" s="545">
        <f t="shared" si="8"/>
        <v>4</v>
      </c>
      <c r="AN14" s="690"/>
      <c r="AO14" s="182">
        <v>3</v>
      </c>
      <c r="AP14" s="182">
        <v>3259.9999999999941</v>
      </c>
      <c r="AQ14" s="182">
        <v>1086.6666666666647</v>
      </c>
      <c r="AR14" s="545">
        <f t="shared" si="9"/>
        <v>1</v>
      </c>
      <c r="AS14" s="690"/>
      <c r="AT14" s="182">
        <v>3</v>
      </c>
      <c r="AU14" s="182">
        <v>3135.9999999999945</v>
      </c>
      <c r="AV14" s="182">
        <v>1045.3333333333314</v>
      </c>
      <c r="AW14" s="545">
        <f t="shared" si="10"/>
        <v>3</v>
      </c>
      <c r="AX14" s="690"/>
      <c r="AZ14" s="361" t="e">
        <f>RANK(AX14, $K$7:AX$36)</f>
        <v>#DIV/0!</v>
      </c>
      <c r="BB14" s="359" t="e">
        <f t="shared" si="0"/>
        <v>#N/A</v>
      </c>
    </row>
    <row r="15" spans="1:54" ht="14.25">
      <c r="A15" s="81"/>
      <c r="B15" s="676"/>
      <c r="C15" s="545">
        <v>9</v>
      </c>
      <c r="D15" s="569" t="s">
        <v>363</v>
      </c>
      <c r="E15" s="569">
        <v>3</v>
      </c>
      <c r="F15" s="569">
        <v>2800</v>
      </c>
      <c r="G15" s="182">
        <v>933.33333333333337</v>
      </c>
      <c r="H15" s="678"/>
      <c r="I15" s="547">
        <f t="shared" si="1"/>
        <v>3</v>
      </c>
      <c r="J15" s="547">
        <f t="shared" si="2"/>
        <v>3068.4724700691099</v>
      </c>
      <c r="K15" s="200">
        <f t="shared" si="3"/>
        <v>1022.8241566897033</v>
      </c>
      <c r="L15" s="650"/>
      <c r="M15" s="547" t="e">
        <f>RANK(K15, K$147:$K$176)</f>
        <v>#DIV/0!</v>
      </c>
      <c r="N15" s="668"/>
      <c r="O15" s="668"/>
      <c r="P15" s="182">
        <v>3</v>
      </c>
      <c r="Q15" s="182">
        <v>2965.9459459459435</v>
      </c>
      <c r="R15" s="182">
        <v>988.64864864864785</v>
      </c>
      <c r="S15" s="545">
        <f t="shared" si="4"/>
        <v>4</v>
      </c>
      <c r="T15" s="690"/>
      <c r="U15" s="182">
        <v>3</v>
      </c>
      <c r="V15" s="182">
        <v>3070.2857142857183</v>
      </c>
      <c r="W15" s="182">
        <v>1023.4285714285728</v>
      </c>
      <c r="X15" s="545">
        <f t="shared" si="5"/>
        <v>5</v>
      </c>
      <c r="Y15" s="690"/>
      <c r="Z15" s="182">
        <v>3</v>
      </c>
      <c r="AA15" s="182">
        <v>3047.6470588235334</v>
      </c>
      <c r="AB15" s="182">
        <v>1015.8823529411778</v>
      </c>
      <c r="AC15" s="545">
        <f t="shared" si="6"/>
        <v>6</v>
      </c>
      <c r="AD15" s="690"/>
      <c r="AE15" s="182">
        <v>3</v>
      </c>
      <c r="AF15" s="182">
        <v>3177.8571428571404</v>
      </c>
      <c r="AG15" s="182">
        <v>1059.2857142857135</v>
      </c>
      <c r="AH15" s="545">
        <f t="shared" si="7"/>
        <v>5</v>
      </c>
      <c r="AI15" s="690"/>
      <c r="AJ15" s="182">
        <v>3</v>
      </c>
      <c r="AK15" s="182">
        <v>3068.5714285714307</v>
      </c>
      <c r="AL15" s="182">
        <v>1022.8571428571436</v>
      </c>
      <c r="AM15" s="545">
        <f t="shared" si="8"/>
        <v>5</v>
      </c>
      <c r="AN15" s="690"/>
      <c r="AO15" s="182">
        <v>3</v>
      </c>
      <c r="AP15" s="182">
        <v>3124.9999999999977</v>
      </c>
      <c r="AQ15" s="182">
        <v>1041.6666666666658</v>
      </c>
      <c r="AR15" s="545">
        <f t="shared" si="9"/>
        <v>5</v>
      </c>
      <c r="AS15" s="690"/>
      <c r="AT15" s="182">
        <v>3</v>
      </c>
      <c r="AU15" s="182">
        <v>3024.0000000000036</v>
      </c>
      <c r="AV15" s="182">
        <v>1008.0000000000013</v>
      </c>
      <c r="AW15" s="545">
        <f t="shared" si="10"/>
        <v>4</v>
      </c>
      <c r="AX15" s="690"/>
      <c r="AZ15" s="361" t="e">
        <f>RANK(AX15, $K$7:AX$36)</f>
        <v>#DIV/0!</v>
      </c>
      <c r="BB15" s="359" t="e">
        <f t="shared" si="0"/>
        <v>#N/A</v>
      </c>
    </row>
    <row r="16" spans="1:54" ht="14.25">
      <c r="A16" s="81"/>
      <c r="B16" s="676"/>
      <c r="C16" s="545">
        <v>10</v>
      </c>
      <c r="D16" s="569" t="s">
        <v>364</v>
      </c>
      <c r="E16" s="569">
        <v>4</v>
      </c>
      <c r="F16" s="569">
        <v>2800</v>
      </c>
      <c r="G16" s="182">
        <v>700</v>
      </c>
      <c r="H16" s="678"/>
      <c r="I16" s="547">
        <f t="shared" si="1"/>
        <v>4</v>
      </c>
      <c r="J16" s="547">
        <f t="shared" si="2"/>
        <v>3017.4259032477203</v>
      </c>
      <c r="K16" s="200">
        <f t="shared" si="3"/>
        <v>754.35647581193007</v>
      </c>
      <c r="L16" s="650"/>
      <c r="M16" s="547" t="e">
        <f>RANK(K16, K$147:$K$176)</f>
        <v>#DIV/0!</v>
      </c>
      <c r="N16" s="668"/>
      <c r="O16" s="668"/>
      <c r="P16" s="182">
        <v>4</v>
      </c>
      <c r="Q16" s="182">
        <v>2955.0000000000009</v>
      </c>
      <c r="R16" s="182">
        <v>738.75000000000023</v>
      </c>
      <c r="S16" s="545">
        <f t="shared" si="4"/>
        <v>14</v>
      </c>
      <c r="T16" s="690"/>
      <c r="U16" s="182">
        <v>4</v>
      </c>
      <c r="V16" s="182">
        <v>3011.1864406779669</v>
      </c>
      <c r="W16" s="182">
        <v>752.79661016949171</v>
      </c>
      <c r="X16" s="545">
        <f t="shared" si="5"/>
        <v>12</v>
      </c>
      <c r="Y16" s="690"/>
      <c r="Z16" s="182">
        <v>4</v>
      </c>
      <c r="AA16" s="182">
        <v>3022.9090909090928</v>
      </c>
      <c r="AB16" s="182">
        <v>755.7272727272732</v>
      </c>
      <c r="AC16" s="545">
        <f t="shared" si="6"/>
        <v>12</v>
      </c>
      <c r="AD16" s="690"/>
      <c r="AE16" s="182">
        <v>4</v>
      </c>
      <c r="AF16" s="182">
        <v>3001.2765957446813</v>
      </c>
      <c r="AG16" s="182">
        <v>750.31914893617034</v>
      </c>
      <c r="AH16" s="545">
        <f t="shared" si="7"/>
        <v>12</v>
      </c>
      <c r="AI16" s="690"/>
      <c r="AJ16" s="182">
        <v>4</v>
      </c>
      <c r="AK16" s="182">
        <v>3057.3333333333335</v>
      </c>
      <c r="AL16" s="182">
        <v>764.33333333333337</v>
      </c>
      <c r="AM16" s="545">
        <f t="shared" si="8"/>
        <v>12</v>
      </c>
      <c r="AN16" s="690"/>
      <c r="AO16" s="182">
        <v>4</v>
      </c>
      <c r="AP16" s="182">
        <v>3036.0000000000005</v>
      </c>
      <c r="AQ16" s="182">
        <v>759.00000000000011</v>
      </c>
      <c r="AR16" s="545">
        <f t="shared" si="9"/>
        <v>13</v>
      </c>
      <c r="AS16" s="690"/>
      <c r="AT16" s="182">
        <v>4</v>
      </c>
      <c r="AU16" s="182">
        <v>3038.2758620689656</v>
      </c>
      <c r="AV16" s="182">
        <v>759.56896551724139</v>
      </c>
      <c r="AW16" s="545">
        <f t="shared" si="10"/>
        <v>12</v>
      </c>
      <c r="AX16" s="690"/>
      <c r="AZ16" s="361" t="e">
        <f>RANK(AX16, $K$7:AX$36)</f>
        <v>#DIV/0!</v>
      </c>
      <c r="BB16" s="359" t="e">
        <f t="shared" si="0"/>
        <v>#N/A</v>
      </c>
    </row>
    <row r="17" spans="2:54">
      <c r="B17" s="676"/>
      <c r="C17" s="545">
        <v>11</v>
      </c>
      <c r="D17" s="569" t="s">
        <v>915</v>
      </c>
      <c r="E17" s="569">
        <v>4</v>
      </c>
      <c r="F17" s="569">
        <v>2800</v>
      </c>
      <c r="G17" s="182">
        <v>700</v>
      </c>
      <c r="H17" s="678"/>
      <c r="I17" s="547">
        <f t="shared" si="1"/>
        <v>4</v>
      </c>
      <c r="J17" s="547">
        <f t="shared" si="2"/>
        <v>2818.1736079983189</v>
      </c>
      <c r="K17" s="200">
        <f t="shared" si="3"/>
        <v>704.54340199957971</v>
      </c>
      <c r="L17" s="650"/>
      <c r="M17" s="547" t="e">
        <f>RANK(K17, K$147:$K$176)</f>
        <v>#DIV/0!</v>
      </c>
      <c r="N17" s="668"/>
      <c r="O17" s="668"/>
      <c r="P17" s="182">
        <v>4</v>
      </c>
      <c r="Q17" s="182">
        <v>2778.8059701492557</v>
      </c>
      <c r="R17" s="182">
        <v>694.70149253731392</v>
      </c>
      <c r="S17" s="545">
        <f t="shared" si="4"/>
        <v>16</v>
      </c>
      <c r="T17" s="690"/>
      <c r="U17" s="182">
        <v>4</v>
      </c>
      <c r="V17" s="182">
        <v>2807.0769230769215</v>
      </c>
      <c r="W17" s="182">
        <v>701.76923076923038</v>
      </c>
      <c r="X17" s="545">
        <f t="shared" si="5"/>
        <v>18</v>
      </c>
      <c r="Y17" s="690"/>
      <c r="Z17" s="182">
        <v>4</v>
      </c>
      <c r="AA17" s="182">
        <v>2762.857142857144</v>
      </c>
      <c r="AB17" s="182">
        <v>690.71428571428601</v>
      </c>
      <c r="AC17" s="545">
        <f t="shared" si="6"/>
        <v>15</v>
      </c>
      <c r="AD17" s="690"/>
      <c r="AE17" s="182">
        <v>4</v>
      </c>
      <c r="AF17" s="182">
        <v>2835.8490566037708</v>
      </c>
      <c r="AG17" s="182">
        <v>708.9622641509427</v>
      </c>
      <c r="AH17" s="545">
        <f t="shared" si="7"/>
        <v>14</v>
      </c>
      <c r="AI17" s="690"/>
      <c r="AJ17" s="182">
        <v>4</v>
      </c>
      <c r="AK17" s="182">
        <v>2950.7999999999961</v>
      </c>
      <c r="AL17" s="182">
        <v>737.69999999999902</v>
      </c>
      <c r="AM17" s="545">
        <f t="shared" si="8"/>
        <v>14</v>
      </c>
      <c r="AN17" s="690"/>
      <c r="AO17" s="182">
        <v>4</v>
      </c>
      <c r="AP17" s="182">
        <v>2807.6470588235311</v>
      </c>
      <c r="AQ17" s="182">
        <v>701.91176470588277</v>
      </c>
      <c r="AR17" s="545">
        <f t="shared" si="9"/>
        <v>17</v>
      </c>
      <c r="AS17" s="690"/>
      <c r="AT17" s="182">
        <v>4</v>
      </c>
      <c r="AU17" s="182">
        <v>2784.1791044776137</v>
      </c>
      <c r="AV17" s="182">
        <v>696.04477611940342</v>
      </c>
      <c r="AW17" s="545">
        <f t="shared" si="10"/>
        <v>16</v>
      </c>
      <c r="AX17" s="690"/>
      <c r="AZ17" s="361" t="e">
        <f>RANK(AX17, $K$7:AX$36)</f>
        <v>#DIV/0!</v>
      </c>
      <c r="BB17" s="359" t="e">
        <f t="shared" si="0"/>
        <v>#N/A</v>
      </c>
    </row>
    <row r="18" spans="2:54">
      <c r="B18" s="676"/>
      <c r="C18" s="545">
        <v>12</v>
      </c>
      <c r="D18" s="569" t="s">
        <v>916</v>
      </c>
      <c r="E18" s="569">
        <v>4</v>
      </c>
      <c r="F18" s="569">
        <v>2800</v>
      </c>
      <c r="G18" s="182">
        <v>700</v>
      </c>
      <c r="H18" s="678"/>
      <c r="I18" s="547">
        <f t="shared" si="1"/>
        <v>4</v>
      </c>
      <c r="J18" s="547">
        <f t="shared" si="2"/>
        <v>2898.4285714285593</v>
      </c>
      <c r="K18" s="200">
        <f t="shared" si="3"/>
        <v>724.60714285713982</v>
      </c>
      <c r="L18" s="650"/>
      <c r="M18" s="547" t="e">
        <f>RANK(K18, K$147:$K$176)</f>
        <v>#DIV/0!</v>
      </c>
      <c r="N18" s="668"/>
      <c r="O18" s="668"/>
      <c r="P18" s="182">
        <v>4</v>
      </c>
      <c r="Q18" s="182">
        <v>3092.9999999999864</v>
      </c>
      <c r="R18" s="182">
        <v>773.24999999999659</v>
      </c>
      <c r="S18" s="545">
        <f t="shared" si="4"/>
        <v>13</v>
      </c>
      <c r="T18" s="690"/>
      <c r="U18" s="182">
        <v>4</v>
      </c>
      <c r="V18" s="182">
        <v>2507.9999999999932</v>
      </c>
      <c r="W18" s="182">
        <v>626.99999999999829</v>
      </c>
      <c r="X18" s="545">
        <f t="shared" si="5"/>
        <v>19</v>
      </c>
      <c r="Y18" s="690"/>
      <c r="Z18" s="182">
        <v>4</v>
      </c>
      <c r="AA18" s="182">
        <v>2963.9999999999868</v>
      </c>
      <c r="AB18" s="182">
        <v>740.9999999999967</v>
      </c>
      <c r="AC18" s="545">
        <f t="shared" si="6"/>
        <v>13</v>
      </c>
      <c r="AD18" s="690"/>
      <c r="AE18" s="182">
        <v>4</v>
      </c>
      <c r="AF18" s="182">
        <v>2669.9999999999882</v>
      </c>
      <c r="AG18" s="182">
        <v>667.49999999999704</v>
      </c>
      <c r="AH18" s="545">
        <f t="shared" si="7"/>
        <v>18</v>
      </c>
      <c r="AI18" s="690"/>
      <c r="AJ18" s="182">
        <v>4</v>
      </c>
      <c r="AK18" s="182">
        <v>2903.9999999999873</v>
      </c>
      <c r="AL18" s="182">
        <v>725.99999999999682</v>
      </c>
      <c r="AM18" s="545">
        <f t="shared" si="8"/>
        <v>16</v>
      </c>
      <c r="AN18" s="690"/>
      <c r="AO18" s="182">
        <v>4</v>
      </c>
      <c r="AP18" s="182">
        <v>3065.9999999999864</v>
      </c>
      <c r="AQ18" s="182">
        <v>766.49999999999659</v>
      </c>
      <c r="AR18" s="545">
        <f t="shared" si="9"/>
        <v>12</v>
      </c>
      <c r="AS18" s="690"/>
      <c r="AT18" s="182">
        <v>4</v>
      </c>
      <c r="AU18" s="182">
        <v>3083.9999999999864</v>
      </c>
      <c r="AV18" s="182">
        <v>770.99999999999659</v>
      </c>
      <c r="AW18" s="545">
        <f t="shared" si="10"/>
        <v>11</v>
      </c>
      <c r="AX18" s="690"/>
      <c r="AZ18" s="361" t="e">
        <f>RANK(AX18, $K$7:AX$36)</f>
        <v>#DIV/0!</v>
      </c>
      <c r="BB18" s="359" t="e">
        <f t="shared" si="0"/>
        <v>#N/A</v>
      </c>
    </row>
    <row r="19" spans="2:54">
      <c r="B19" s="676"/>
      <c r="C19" s="545">
        <v>13</v>
      </c>
      <c r="D19" s="569" t="s">
        <v>365</v>
      </c>
      <c r="E19" s="569">
        <v>4</v>
      </c>
      <c r="F19" s="569">
        <v>2800</v>
      </c>
      <c r="G19" s="182">
        <v>700</v>
      </c>
      <c r="H19" s="678"/>
      <c r="I19" s="547">
        <f t="shared" si="1"/>
        <v>4</v>
      </c>
      <c r="J19" s="547">
        <f t="shared" si="2"/>
        <v>2605.7142857142949</v>
      </c>
      <c r="K19" s="200">
        <f t="shared" si="3"/>
        <v>651.42857142857372</v>
      </c>
      <c r="L19" s="650"/>
      <c r="M19" s="547" t="e">
        <f>RANK(K19, K$147:$K$176)</f>
        <v>#DIV/0!</v>
      </c>
      <c r="N19" s="668"/>
      <c r="O19" s="668"/>
      <c r="P19" s="182">
        <v>4</v>
      </c>
      <c r="Q19" s="182">
        <v>2736.00000000001</v>
      </c>
      <c r="R19" s="182">
        <v>684.0000000000025</v>
      </c>
      <c r="S19" s="545">
        <f t="shared" si="4"/>
        <v>17</v>
      </c>
      <c r="T19" s="690"/>
      <c r="U19" s="182">
        <v>4</v>
      </c>
      <c r="V19" s="182">
        <v>2844.00000000001</v>
      </c>
      <c r="W19" s="182">
        <v>711.0000000000025</v>
      </c>
      <c r="X19" s="545">
        <f t="shared" si="5"/>
        <v>16</v>
      </c>
      <c r="Y19" s="690"/>
      <c r="Z19" s="182">
        <v>4</v>
      </c>
      <c r="AA19" s="182">
        <v>2526.0000000000091</v>
      </c>
      <c r="AB19" s="182">
        <v>631.50000000000227</v>
      </c>
      <c r="AC19" s="545">
        <f t="shared" si="6"/>
        <v>19</v>
      </c>
      <c r="AD19" s="690"/>
      <c r="AE19" s="182">
        <v>4</v>
      </c>
      <c r="AF19" s="182">
        <v>2154.0000000000077</v>
      </c>
      <c r="AG19" s="182">
        <v>538.50000000000193</v>
      </c>
      <c r="AH19" s="545">
        <f t="shared" si="7"/>
        <v>21</v>
      </c>
      <c r="AI19" s="690"/>
      <c r="AJ19" s="182">
        <v>4</v>
      </c>
      <c r="AK19" s="182">
        <v>2502.0000000000086</v>
      </c>
      <c r="AL19" s="182">
        <v>625.50000000000216</v>
      </c>
      <c r="AM19" s="545">
        <f t="shared" si="8"/>
        <v>18</v>
      </c>
      <c r="AN19" s="690"/>
      <c r="AO19" s="182">
        <v>4</v>
      </c>
      <c r="AP19" s="182">
        <v>2772.00000000001</v>
      </c>
      <c r="AQ19" s="182">
        <v>693.0000000000025</v>
      </c>
      <c r="AR19" s="545">
        <f t="shared" si="9"/>
        <v>19</v>
      </c>
      <c r="AS19" s="690"/>
      <c r="AT19" s="182">
        <v>4</v>
      </c>
      <c r="AU19" s="182">
        <v>2706.0000000000095</v>
      </c>
      <c r="AV19" s="182">
        <v>676.50000000000239</v>
      </c>
      <c r="AW19" s="545">
        <f t="shared" si="10"/>
        <v>19</v>
      </c>
      <c r="AX19" s="690"/>
      <c r="AZ19" s="361" t="e">
        <f>RANK(AX19, $K$7:AX$36)</f>
        <v>#DIV/0!</v>
      </c>
      <c r="BB19" s="359" t="e">
        <f t="shared" si="0"/>
        <v>#N/A</v>
      </c>
    </row>
    <row r="20" spans="2:54">
      <c r="B20" s="676"/>
      <c r="C20" s="545">
        <v>14</v>
      </c>
      <c r="D20" s="569" t="s">
        <v>646</v>
      </c>
      <c r="E20" s="569">
        <v>3</v>
      </c>
      <c r="F20" s="569">
        <v>2800</v>
      </c>
      <c r="G20" s="182">
        <v>933.33333333333337</v>
      </c>
      <c r="H20" s="678"/>
      <c r="I20" s="547">
        <f t="shared" si="1"/>
        <v>3</v>
      </c>
      <c r="J20" s="547">
        <f t="shared" si="2"/>
        <v>2836.9183673469411</v>
      </c>
      <c r="K20" s="200">
        <f t="shared" si="3"/>
        <v>945.63945578231358</v>
      </c>
      <c r="L20" s="650"/>
      <c r="M20" s="547" t="e">
        <f>RANK(K20, K$147:$K$176)</f>
        <v>#DIV/0!</v>
      </c>
      <c r="N20" s="668"/>
      <c r="O20" s="668"/>
      <c r="P20" s="182">
        <v>3</v>
      </c>
      <c r="Q20" s="182">
        <v>2745.7142857142849</v>
      </c>
      <c r="R20" s="182">
        <v>915.23809523809496</v>
      </c>
      <c r="S20" s="545">
        <f t="shared" si="4"/>
        <v>8</v>
      </c>
      <c r="T20" s="690"/>
      <c r="U20" s="182">
        <v>3</v>
      </c>
      <c r="V20" s="182">
        <v>2805.7142857142908</v>
      </c>
      <c r="W20" s="182">
        <v>935.23809523809689</v>
      </c>
      <c r="X20" s="545">
        <f t="shared" si="5"/>
        <v>7</v>
      </c>
      <c r="Y20" s="690"/>
      <c r="Z20" s="182">
        <v>3</v>
      </c>
      <c r="AA20" s="182">
        <v>2738.9999999999991</v>
      </c>
      <c r="AB20" s="182">
        <v>912.99999999999966</v>
      </c>
      <c r="AC20" s="545">
        <f t="shared" si="6"/>
        <v>8</v>
      </c>
      <c r="AD20" s="690"/>
      <c r="AE20" s="182">
        <v>3</v>
      </c>
      <c r="AF20" s="182">
        <v>2895.0000000000036</v>
      </c>
      <c r="AG20" s="182">
        <v>965.00000000000125</v>
      </c>
      <c r="AH20" s="545">
        <f t="shared" si="7"/>
        <v>6</v>
      </c>
      <c r="AI20" s="690"/>
      <c r="AJ20" s="182">
        <v>3</v>
      </c>
      <c r="AK20" s="182">
        <v>2988.0000000000027</v>
      </c>
      <c r="AL20" s="182">
        <v>996.00000000000091</v>
      </c>
      <c r="AM20" s="545">
        <f t="shared" si="8"/>
        <v>6</v>
      </c>
      <c r="AN20" s="690"/>
      <c r="AO20" s="182">
        <v>3</v>
      </c>
      <c r="AP20" s="182">
        <v>2886.0000000000045</v>
      </c>
      <c r="AQ20" s="182">
        <v>962.00000000000148</v>
      </c>
      <c r="AR20" s="545">
        <f t="shared" si="9"/>
        <v>6</v>
      </c>
      <c r="AS20" s="690"/>
      <c r="AT20" s="182">
        <v>3</v>
      </c>
      <c r="AU20" s="182">
        <v>2798.9999999999991</v>
      </c>
      <c r="AV20" s="182">
        <v>932.99999999999966</v>
      </c>
      <c r="AW20" s="545">
        <f t="shared" si="10"/>
        <v>7</v>
      </c>
      <c r="AX20" s="690"/>
      <c r="AZ20" s="361" t="e">
        <f>RANK(AX20, $K$7:AX$36)</f>
        <v>#DIV/0!</v>
      </c>
      <c r="BB20" s="359" t="e">
        <f t="shared" si="0"/>
        <v>#N/A</v>
      </c>
    </row>
    <row r="21" spans="2:54">
      <c r="B21" s="676"/>
      <c r="C21" s="545">
        <v>15</v>
      </c>
      <c r="D21" s="569" t="s">
        <v>917</v>
      </c>
      <c r="E21" s="569">
        <v>3</v>
      </c>
      <c r="F21" s="569">
        <v>2800</v>
      </c>
      <c r="G21" s="182">
        <v>933.33333333333337</v>
      </c>
      <c r="H21" s="678"/>
      <c r="I21" s="547">
        <f t="shared" si="1"/>
        <v>3</v>
      </c>
      <c r="J21" s="547">
        <f t="shared" si="2"/>
        <v>2784.2857142857024</v>
      </c>
      <c r="K21" s="200">
        <f t="shared" si="3"/>
        <v>928.09523809523432</v>
      </c>
      <c r="L21" s="650"/>
      <c r="M21" s="547" t="e">
        <f>RANK(K21, K$147:$K$176)</f>
        <v>#DIV/0!</v>
      </c>
      <c r="N21" s="668"/>
      <c r="O21" s="668"/>
      <c r="P21" s="182">
        <v>3</v>
      </c>
      <c r="Q21" s="182">
        <v>2942.3999999999919</v>
      </c>
      <c r="R21" s="182">
        <v>980.79999999999734</v>
      </c>
      <c r="S21" s="545">
        <f t="shared" si="4"/>
        <v>5</v>
      </c>
      <c r="T21" s="690"/>
      <c r="U21" s="182">
        <v>3</v>
      </c>
      <c r="V21" s="182">
        <v>2473.9999999999959</v>
      </c>
      <c r="W21" s="182">
        <v>824.66666666666526</v>
      </c>
      <c r="X21" s="545">
        <f t="shared" si="5"/>
        <v>10</v>
      </c>
      <c r="Y21" s="690"/>
      <c r="Z21" s="182">
        <v>3</v>
      </c>
      <c r="AA21" s="182">
        <v>3359.9999999999582</v>
      </c>
      <c r="AB21" s="182">
        <v>1119.9999999999861</v>
      </c>
      <c r="AC21" s="545">
        <f t="shared" si="6"/>
        <v>1</v>
      </c>
      <c r="AD21" s="690"/>
      <c r="AE21" s="182">
        <v>3</v>
      </c>
      <c r="AF21" s="182">
        <v>2483.9999999999932</v>
      </c>
      <c r="AG21" s="182">
        <v>827.99999999999773</v>
      </c>
      <c r="AH21" s="545">
        <f t="shared" si="7"/>
        <v>8</v>
      </c>
      <c r="AI21" s="690"/>
      <c r="AJ21" s="182">
        <v>3</v>
      </c>
      <c r="AK21" s="182">
        <v>2815.1999999999921</v>
      </c>
      <c r="AL21" s="182">
        <v>938.39999999999736</v>
      </c>
      <c r="AM21" s="545">
        <f t="shared" si="8"/>
        <v>8</v>
      </c>
      <c r="AN21" s="690"/>
      <c r="AO21" s="182">
        <v>3</v>
      </c>
      <c r="AP21" s="182">
        <v>2459.9999999999959</v>
      </c>
      <c r="AQ21" s="182">
        <v>819.99999999999864</v>
      </c>
      <c r="AR21" s="545">
        <f t="shared" si="9"/>
        <v>10</v>
      </c>
      <c r="AS21" s="690"/>
      <c r="AT21" s="182">
        <v>3</v>
      </c>
      <c r="AU21" s="182">
        <v>2954.3999999999915</v>
      </c>
      <c r="AV21" s="182">
        <v>984.79999999999711</v>
      </c>
      <c r="AW21" s="545">
        <f t="shared" si="10"/>
        <v>6</v>
      </c>
      <c r="AX21" s="690"/>
      <c r="AZ21" s="361" t="e">
        <f>RANK(AX21, $K$7:AX$36)</f>
        <v>#DIV/0!</v>
      </c>
      <c r="BB21" s="359" t="e">
        <f t="shared" si="0"/>
        <v>#N/A</v>
      </c>
    </row>
    <row r="22" spans="2:54">
      <c r="B22" s="676"/>
      <c r="C22" s="545">
        <v>16</v>
      </c>
      <c r="D22" s="569" t="s">
        <v>918</v>
      </c>
      <c r="E22" s="569">
        <v>4</v>
      </c>
      <c r="F22" s="569">
        <v>2200</v>
      </c>
      <c r="G22" s="182">
        <v>550</v>
      </c>
      <c r="H22" s="678"/>
      <c r="I22" s="547">
        <f t="shared" si="1"/>
        <v>3</v>
      </c>
      <c r="J22" s="547">
        <f t="shared" si="2"/>
        <v>2218.8952380952355</v>
      </c>
      <c r="K22" s="200">
        <f t="shared" si="3"/>
        <v>739.63174603174514</v>
      </c>
      <c r="L22" s="650"/>
      <c r="M22" s="547" t="e">
        <f>RANK(K22, K$147:$K$176)</f>
        <v>#DIV/0!</v>
      </c>
      <c r="N22" s="668"/>
      <c r="O22" s="668"/>
      <c r="P22" s="182">
        <v>3</v>
      </c>
      <c r="Q22" s="182">
        <v>2386.6666666666665</v>
      </c>
      <c r="R22" s="182">
        <v>795.55555555555554</v>
      </c>
      <c r="S22" s="545">
        <f t="shared" si="4"/>
        <v>12</v>
      </c>
      <c r="T22" s="690"/>
      <c r="U22" s="182">
        <v>3</v>
      </c>
      <c r="V22" s="182">
        <v>2114.3999999999942</v>
      </c>
      <c r="W22" s="182">
        <v>704.79999999999802</v>
      </c>
      <c r="X22" s="545">
        <f t="shared" si="5"/>
        <v>17</v>
      </c>
      <c r="Y22" s="690"/>
      <c r="Z22" s="182">
        <v>3</v>
      </c>
      <c r="AA22" s="182">
        <v>2205.333333333333</v>
      </c>
      <c r="AB22" s="182">
        <v>735.11111111111097</v>
      </c>
      <c r="AC22" s="545">
        <f t="shared" si="6"/>
        <v>14</v>
      </c>
      <c r="AD22" s="690"/>
      <c r="AE22" s="182">
        <v>3</v>
      </c>
      <c r="AF22" s="182">
        <v>2122.666666666667</v>
      </c>
      <c r="AG22" s="182">
        <v>707.55555555555566</v>
      </c>
      <c r="AH22" s="545">
        <f t="shared" si="7"/>
        <v>15</v>
      </c>
      <c r="AI22" s="690"/>
      <c r="AJ22" s="182">
        <v>3</v>
      </c>
      <c r="AK22" s="182">
        <v>2280</v>
      </c>
      <c r="AL22" s="182">
        <v>760</v>
      </c>
      <c r="AM22" s="545">
        <f t="shared" si="8"/>
        <v>13</v>
      </c>
      <c r="AN22" s="690"/>
      <c r="AO22" s="182">
        <v>3</v>
      </c>
      <c r="AP22" s="182">
        <v>2242.7999999999938</v>
      </c>
      <c r="AQ22" s="182">
        <v>747.59999999999798</v>
      </c>
      <c r="AR22" s="545">
        <f t="shared" si="9"/>
        <v>14</v>
      </c>
      <c r="AS22" s="690"/>
      <c r="AT22" s="182">
        <v>3</v>
      </c>
      <c r="AU22" s="182">
        <v>2180.3999999999937</v>
      </c>
      <c r="AV22" s="182">
        <v>726.79999999999791</v>
      </c>
      <c r="AW22" s="545">
        <f t="shared" si="10"/>
        <v>14</v>
      </c>
      <c r="AX22" s="690"/>
      <c r="AZ22" s="361" t="e">
        <f>RANK(AX22, $K$7:AX$36)</f>
        <v>#DIV/0!</v>
      </c>
      <c r="BB22" s="359" t="e">
        <f t="shared" si="0"/>
        <v>#N/A</v>
      </c>
    </row>
    <row r="23" spans="2:54">
      <c r="B23" s="676"/>
      <c r="C23" s="545">
        <v>17</v>
      </c>
      <c r="D23" s="569" t="s">
        <v>759</v>
      </c>
      <c r="E23" s="569">
        <v>8</v>
      </c>
      <c r="F23" s="569">
        <v>1500</v>
      </c>
      <c r="G23" s="182">
        <v>187.5</v>
      </c>
      <c r="H23" s="678"/>
      <c r="I23" s="547">
        <f t="shared" si="1"/>
        <v>10</v>
      </c>
      <c r="J23" s="547">
        <f t="shared" si="2"/>
        <v>1481.628371628372</v>
      </c>
      <c r="K23" s="200">
        <f t="shared" si="3"/>
        <v>148.16283716283718</v>
      </c>
      <c r="L23" s="650"/>
      <c r="M23" s="547" t="e">
        <f>RANK(K23, K$147:$K$176)</f>
        <v>#DIV/0!</v>
      </c>
      <c r="N23" s="668"/>
      <c r="O23" s="668"/>
      <c r="P23" s="182">
        <v>10</v>
      </c>
      <c r="Q23" s="182">
        <v>1410.0000000000018</v>
      </c>
      <c r="R23" s="182">
        <v>141.00000000000017</v>
      </c>
      <c r="S23" s="545">
        <f t="shared" si="4"/>
        <v>22</v>
      </c>
      <c r="T23" s="690"/>
      <c r="U23" s="182">
        <v>10</v>
      </c>
      <c r="V23" s="182">
        <v>1523.0769230769247</v>
      </c>
      <c r="W23" s="182">
        <v>152.30769230769246</v>
      </c>
      <c r="X23" s="545">
        <f t="shared" si="5"/>
        <v>22</v>
      </c>
      <c r="Y23" s="690"/>
      <c r="Z23" s="182">
        <v>10</v>
      </c>
      <c r="AA23" s="182">
        <v>1457.5384615384633</v>
      </c>
      <c r="AB23" s="182">
        <v>145.75384615384633</v>
      </c>
      <c r="AC23" s="545">
        <f t="shared" si="6"/>
        <v>22</v>
      </c>
      <c r="AD23" s="690"/>
      <c r="AE23" s="182">
        <v>10</v>
      </c>
      <c r="AF23" s="182">
        <v>1519.6363636363601</v>
      </c>
      <c r="AG23" s="182">
        <v>151.963636363636</v>
      </c>
      <c r="AH23" s="545">
        <f t="shared" si="7"/>
        <v>22</v>
      </c>
      <c r="AI23" s="690"/>
      <c r="AJ23" s="182">
        <v>10</v>
      </c>
      <c r="AK23" s="182">
        <v>1481.4545454545464</v>
      </c>
      <c r="AL23" s="182">
        <v>148.14545454545464</v>
      </c>
      <c r="AM23" s="545">
        <f t="shared" si="8"/>
        <v>22</v>
      </c>
      <c r="AN23" s="690"/>
      <c r="AO23" s="182">
        <v>10</v>
      </c>
      <c r="AP23" s="182">
        <v>1507.3846153846171</v>
      </c>
      <c r="AQ23" s="182">
        <v>150.73846153846171</v>
      </c>
      <c r="AR23" s="545">
        <f t="shared" si="9"/>
        <v>22</v>
      </c>
      <c r="AS23" s="690"/>
      <c r="AT23" s="182">
        <v>10</v>
      </c>
      <c r="AU23" s="182">
        <v>1472.3076923076903</v>
      </c>
      <c r="AV23" s="182">
        <v>147.23076923076903</v>
      </c>
      <c r="AW23" s="545">
        <f t="shared" si="10"/>
        <v>22</v>
      </c>
      <c r="AX23" s="690"/>
      <c r="AZ23" s="361" t="e">
        <f>RANK(AX23, $K$7:AX$36)</f>
        <v>#DIV/0!</v>
      </c>
      <c r="BB23" s="359" t="e">
        <f t="shared" si="0"/>
        <v>#N/A</v>
      </c>
    </row>
    <row r="24" spans="2:54">
      <c r="B24" s="676"/>
      <c r="C24" s="545">
        <v>18</v>
      </c>
      <c r="D24" s="569" t="s">
        <v>805</v>
      </c>
      <c r="E24" s="569">
        <v>4</v>
      </c>
      <c r="F24" s="569">
        <v>2200</v>
      </c>
      <c r="G24" s="182">
        <v>550</v>
      </c>
      <c r="H24" s="678"/>
      <c r="I24" s="547">
        <f t="shared" si="1"/>
        <v>4</v>
      </c>
      <c r="J24" s="547">
        <f t="shared" si="2"/>
        <v>2232.1142857142918</v>
      </c>
      <c r="K24" s="200">
        <f t="shared" si="3"/>
        <v>558.02857142857295</v>
      </c>
      <c r="L24" s="650"/>
      <c r="M24" s="547" t="e">
        <f>RANK(K24, K$147:$K$176)</f>
        <v>#DIV/0!</v>
      </c>
      <c r="N24" s="668"/>
      <c r="O24" s="668"/>
      <c r="P24" s="182">
        <v>4</v>
      </c>
      <c r="Q24" s="182">
        <v>2165.9999999999964</v>
      </c>
      <c r="R24" s="182">
        <v>541.49999999999909</v>
      </c>
      <c r="S24" s="545">
        <f t="shared" si="4"/>
        <v>21</v>
      </c>
      <c r="T24" s="690"/>
      <c r="U24" s="182">
        <v>4</v>
      </c>
      <c r="V24" s="182">
        <v>2182.0000000000077</v>
      </c>
      <c r="W24" s="182">
        <v>545.50000000000193</v>
      </c>
      <c r="X24" s="545">
        <f t="shared" si="5"/>
        <v>20</v>
      </c>
      <c r="Y24" s="690"/>
      <c r="Z24" s="182">
        <v>4</v>
      </c>
      <c r="AA24" s="182">
        <v>2450.4000000000087</v>
      </c>
      <c r="AB24" s="182">
        <v>612.60000000000218</v>
      </c>
      <c r="AC24" s="545">
        <f t="shared" si="6"/>
        <v>20</v>
      </c>
      <c r="AD24" s="690"/>
      <c r="AE24" s="182">
        <v>4</v>
      </c>
      <c r="AF24" s="182">
        <v>2200.8000000000075</v>
      </c>
      <c r="AG24" s="182">
        <v>550.20000000000186</v>
      </c>
      <c r="AH24" s="545">
        <f t="shared" si="7"/>
        <v>20</v>
      </c>
      <c r="AI24" s="690"/>
      <c r="AJ24" s="182">
        <v>4</v>
      </c>
      <c r="AK24" s="182">
        <v>2361.6000000000085</v>
      </c>
      <c r="AL24" s="182">
        <v>590.40000000000214</v>
      </c>
      <c r="AM24" s="545">
        <f t="shared" si="8"/>
        <v>20</v>
      </c>
      <c r="AN24" s="690"/>
      <c r="AO24" s="182">
        <v>4</v>
      </c>
      <c r="AP24" s="182">
        <v>2188.0000000000077</v>
      </c>
      <c r="AQ24" s="182">
        <v>547.00000000000193</v>
      </c>
      <c r="AR24" s="545">
        <f t="shared" si="9"/>
        <v>21</v>
      </c>
      <c r="AS24" s="690"/>
      <c r="AT24" s="182">
        <v>4</v>
      </c>
      <c r="AU24" s="182">
        <v>2076.0000000000073</v>
      </c>
      <c r="AV24" s="182">
        <v>519.00000000000182</v>
      </c>
      <c r="AW24" s="545">
        <f t="shared" si="10"/>
        <v>21</v>
      </c>
      <c r="AX24" s="690"/>
      <c r="AZ24" s="361" t="e">
        <f>RANK(AX24, $K$7:AX$36)</f>
        <v>#DIV/0!</v>
      </c>
      <c r="BB24" s="359" t="e">
        <f t="shared" si="0"/>
        <v>#N/A</v>
      </c>
    </row>
    <row r="25" spans="2:54">
      <c r="B25" s="676"/>
      <c r="C25" s="545">
        <v>19</v>
      </c>
      <c r="D25" s="569" t="s">
        <v>919</v>
      </c>
      <c r="E25" s="569">
        <v>3</v>
      </c>
      <c r="F25" s="569">
        <v>2800</v>
      </c>
      <c r="G25" s="182">
        <v>933.33333333333337</v>
      </c>
      <c r="H25" s="678"/>
      <c r="I25" s="547">
        <f t="shared" si="1"/>
        <v>3</v>
      </c>
      <c r="J25" s="547">
        <f t="shared" si="2"/>
        <v>2822.5458456241713</v>
      </c>
      <c r="K25" s="200">
        <f t="shared" si="3"/>
        <v>940.84861520805703</v>
      </c>
      <c r="L25" s="650"/>
      <c r="M25" s="547" t="e">
        <f>RANK(K25, K$147:$K$176)</f>
        <v>#DIV/0!</v>
      </c>
      <c r="N25" s="668"/>
      <c r="O25" s="668"/>
      <c r="P25" s="182">
        <v>3</v>
      </c>
      <c r="Q25" s="182">
        <v>2763.3962264150937</v>
      </c>
      <c r="R25" s="182">
        <v>921.13207547169793</v>
      </c>
      <c r="S25" s="545">
        <f t="shared" si="4"/>
        <v>7</v>
      </c>
      <c r="T25" s="690"/>
      <c r="U25" s="182">
        <v>3</v>
      </c>
      <c r="V25" s="182">
        <v>2827.058823529409</v>
      </c>
      <c r="W25" s="182">
        <v>942.3529411764697</v>
      </c>
      <c r="X25" s="545">
        <f t="shared" si="5"/>
        <v>6</v>
      </c>
      <c r="Y25" s="690"/>
      <c r="Z25" s="182">
        <v>3</v>
      </c>
      <c r="AA25" s="182">
        <v>2792.5000000000009</v>
      </c>
      <c r="AB25" s="182">
        <v>930.8333333333336</v>
      </c>
      <c r="AC25" s="545">
        <f t="shared" si="6"/>
        <v>7</v>
      </c>
      <c r="AD25" s="690"/>
      <c r="AE25" s="182">
        <v>3</v>
      </c>
      <c r="AF25" s="182">
        <v>2805.7142857142849</v>
      </c>
      <c r="AG25" s="182">
        <v>935.23809523809496</v>
      </c>
      <c r="AH25" s="545">
        <f t="shared" si="7"/>
        <v>7</v>
      </c>
      <c r="AI25" s="690"/>
      <c r="AJ25" s="182">
        <v>3</v>
      </c>
      <c r="AK25" s="182">
        <v>2962.5000000000045</v>
      </c>
      <c r="AL25" s="182">
        <v>987.50000000000148</v>
      </c>
      <c r="AM25" s="545">
        <f t="shared" si="8"/>
        <v>7</v>
      </c>
      <c r="AN25" s="690"/>
      <c r="AO25" s="182">
        <v>3</v>
      </c>
      <c r="AP25" s="182">
        <v>2840.7692307692278</v>
      </c>
      <c r="AQ25" s="182">
        <v>946.92307692307588</v>
      </c>
      <c r="AR25" s="545">
        <f t="shared" si="9"/>
        <v>7</v>
      </c>
      <c r="AS25" s="690"/>
      <c r="AT25" s="182">
        <v>3</v>
      </c>
      <c r="AU25" s="182">
        <v>2765.8823529411775</v>
      </c>
      <c r="AV25" s="182">
        <v>921.96078431372587</v>
      </c>
      <c r="AW25" s="545">
        <f t="shared" si="10"/>
        <v>8</v>
      </c>
      <c r="AX25" s="690"/>
      <c r="AZ25" s="361" t="e">
        <f>RANK(AX25, $K$7:AX$36)</f>
        <v>#DIV/0!</v>
      </c>
      <c r="BB25" s="359" t="e">
        <f t="shared" si="0"/>
        <v>#N/A</v>
      </c>
    </row>
    <row r="26" spans="2:54">
      <c r="B26" s="676"/>
      <c r="C26" s="545">
        <v>20</v>
      </c>
      <c r="D26" s="569" t="s">
        <v>897</v>
      </c>
      <c r="E26" s="569">
        <v>4</v>
      </c>
      <c r="F26" s="569">
        <v>2800</v>
      </c>
      <c r="G26" s="182">
        <v>700</v>
      </c>
      <c r="H26" s="678"/>
      <c r="I26" s="547">
        <f t="shared" si="1"/>
        <v>4</v>
      </c>
      <c r="J26" s="547">
        <f t="shared" si="2"/>
        <v>2770.8983309923156</v>
      </c>
      <c r="K26" s="200">
        <f t="shared" si="3"/>
        <v>692.72458274807889</v>
      </c>
      <c r="L26" s="650"/>
      <c r="M26" s="547" t="e">
        <f>RANK(K26, K$147:$K$176)</f>
        <v>#DIV/0!</v>
      </c>
      <c r="N26" s="668"/>
      <c r="O26" s="668"/>
      <c r="P26" s="182">
        <v>4</v>
      </c>
      <c r="Q26" s="182">
        <v>2734.6153846153861</v>
      </c>
      <c r="R26" s="182">
        <v>683.65384615384653</v>
      </c>
      <c r="S26" s="545">
        <f t="shared" si="4"/>
        <v>18</v>
      </c>
      <c r="T26" s="690"/>
      <c r="U26" s="182">
        <v>4</v>
      </c>
      <c r="V26" s="182">
        <v>2892.5000000000009</v>
      </c>
      <c r="W26" s="182">
        <v>723.12500000000023</v>
      </c>
      <c r="X26" s="545">
        <f t="shared" si="5"/>
        <v>14</v>
      </c>
      <c r="Y26" s="690"/>
      <c r="Z26" s="182">
        <v>4</v>
      </c>
      <c r="AA26" s="182">
        <v>2720.0000000000009</v>
      </c>
      <c r="AB26" s="182">
        <v>680.00000000000023</v>
      </c>
      <c r="AC26" s="545">
        <f t="shared" si="6"/>
        <v>17</v>
      </c>
      <c r="AD26" s="690"/>
      <c r="AE26" s="182">
        <v>4</v>
      </c>
      <c r="AF26" s="182">
        <v>2946.3157894736819</v>
      </c>
      <c r="AG26" s="182">
        <v>736.57894736842047</v>
      </c>
      <c r="AH26" s="545">
        <f t="shared" si="7"/>
        <v>13</v>
      </c>
      <c r="AI26" s="690"/>
      <c r="AJ26" s="182">
        <v>4</v>
      </c>
      <c r="AK26" s="182">
        <v>2459.9999999999991</v>
      </c>
      <c r="AL26" s="182">
        <v>614.99999999999977</v>
      </c>
      <c r="AM26" s="545">
        <f t="shared" si="8"/>
        <v>19</v>
      </c>
      <c r="AN26" s="690"/>
      <c r="AO26" s="182">
        <v>4</v>
      </c>
      <c r="AP26" s="182">
        <v>2922.8571428571422</v>
      </c>
      <c r="AQ26" s="182">
        <v>730.71428571428555</v>
      </c>
      <c r="AR26" s="545">
        <f t="shared" si="9"/>
        <v>15</v>
      </c>
      <c r="AS26" s="690"/>
      <c r="AT26" s="182">
        <v>4</v>
      </c>
      <c r="AU26" s="182">
        <v>2719.9999999999991</v>
      </c>
      <c r="AV26" s="182">
        <v>679.99999999999977</v>
      </c>
      <c r="AW26" s="545">
        <f t="shared" si="10"/>
        <v>18</v>
      </c>
      <c r="AX26" s="690"/>
      <c r="AZ26" s="361" t="e">
        <f>RANK(AX26, $K$7:AX$36)</f>
        <v>#DIV/0!</v>
      </c>
      <c r="BB26" s="359" t="e">
        <f t="shared" si="0"/>
        <v>#N/A</v>
      </c>
    </row>
    <row r="27" spans="2:54">
      <c r="B27" s="676"/>
      <c r="C27" s="545">
        <v>21</v>
      </c>
      <c r="D27" s="572" t="s">
        <v>920</v>
      </c>
      <c r="E27" s="569">
        <v>4</v>
      </c>
      <c r="F27" s="569">
        <v>2200</v>
      </c>
      <c r="G27" s="182">
        <v>550</v>
      </c>
      <c r="H27" s="678"/>
      <c r="I27" s="576">
        <f t="shared" ref="I27" si="11">AVERAGE(P27,U27,Z27,AE27,AJ27,AO27,AT27)</f>
        <v>4</v>
      </c>
      <c r="J27" s="576">
        <f t="shared" ref="J27" si="12">AVERAGE(Q27,V27,AA27,AF27,AK27,AP27,AU27)</f>
        <v>2250.161730374889</v>
      </c>
      <c r="K27" s="200">
        <f t="shared" ref="K27" si="13">AVERAGE(R27,W27,AB27,AG27,AL27,AQ27,AV27)</f>
        <v>562.54043259372224</v>
      </c>
      <c r="L27" s="650"/>
      <c r="M27" s="547" t="e">
        <f>RANK(K27, K$147:$K$176)</f>
        <v>#DIV/0!</v>
      </c>
      <c r="N27" s="668"/>
      <c r="O27" s="668"/>
      <c r="P27" s="182">
        <v>4</v>
      </c>
      <c r="Q27" s="182">
        <v>2261.6842105263195</v>
      </c>
      <c r="R27" s="182">
        <v>565.42105263157987</v>
      </c>
      <c r="S27" s="545">
        <f t="shared" si="4"/>
        <v>20</v>
      </c>
      <c r="T27" s="690"/>
      <c r="U27" s="182">
        <v>4</v>
      </c>
      <c r="V27" s="182">
        <v>2175.5999999999972</v>
      </c>
      <c r="W27" s="182">
        <v>543.8999999999993</v>
      </c>
      <c r="X27" s="545">
        <f t="shared" si="5"/>
        <v>21</v>
      </c>
      <c r="Y27" s="690"/>
      <c r="Z27" s="182">
        <v>4</v>
      </c>
      <c r="AA27" s="182">
        <v>2316.7500000000036</v>
      </c>
      <c r="AB27" s="182">
        <v>579.18750000000091</v>
      </c>
      <c r="AC27" s="545">
        <f t="shared" si="6"/>
        <v>21</v>
      </c>
      <c r="AD27" s="690"/>
      <c r="AE27" s="182">
        <v>4</v>
      </c>
      <c r="AF27" s="182">
        <v>2286.4615384615408</v>
      </c>
      <c r="AG27" s="182">
        <v>571.61538461538521</v>
      </c>
      <c r="AH27" s="545">
        <f t="shared" si="7"/>
        <v>19</v>
      </c>
      <c r="AI27" s="690"/>
      <c r="AJ27" s="182">
        <v>4</v>
      </c>
      <c r="AK27" s="182">
        <v>2161.0909090909172</v>
      </c>
      <c r="AL27" s="182">
        <v>540.2727272727293</v>
      </c>
      <c r="AM27" s="545">
        <f t="shared" si="8"/>
        <v>21</v>
      </c>
      <c r="AN27" s="690"/>
      <c r="AO27" s="182">
        <v>4</v>
      </c>
      <c r="AP27" s="182">
        <v>2202.9999999999964</v>
      </c>
      <c r="AQ27" s="182">
        <v>550.74999999999909</v>
      </c>
      <c r="AR27" s="545">
        <f t="shared" si="9"/>
        <v>20</v>
      </c>
      <c r="AS27" s="690"/>
      <c r="AT27" s="182">
        <v>4</v>
      </c>
      <c r="AU27" s="182">
        <v>2346.545454545449</v>
      </c>
      <c r="AV27" s="182">
        <v>586.63636363636226</v>
      </c>
      <c r="AW27" s="545">
        <f t="shared" si="10"/>
        <v>20</v>
      </c>
      <c r="AX27" s="690"/>
      <c r="AZ27" s="361" t="e">
        <f>RANK(AX27, $K$7:AX$36)</f>
        <v>#DIV/0!</v>
      </c>
      <c r="BB27" s="359" t="e">
        <f t="shared" si="0"/>
        <v>#N/A</v>
      </c>
    </row>
    <row r="28" spans="2:54">
      <c r="B28" s="676"/>
      <c r="C28" s="545">
        <v>22</v>
      </c>
      <c r="D28" s="569" t="s">
        <v>921</v>
      </c>
      <c r="E28" s="569">
        <v>4</v>
      </c>
      <c r="F28" s="569">
        <v>2800</v>
      </c>
      <c r="G28" s="569">
        <v>700</v>
      </c>
      <c r="H28" s="678"/>
      <c r="I28" s="547">
        <f t="shared" ref="I28" si="14">AVERAGE(P28,U28,Z28,AE28,AJ28,AO28,AT28)</f>
        <v>4</v>
      </c>
      <c r="J28" s="547">
        <f t="shared" ref="J28" si="15">AVERAGE(Q28,V28,AA28,AF28,AK28,AP28,AU28)</f>
        <v>2814.0613081127294</v>
      </c>
      <c r="K28" s="200">
        <f t="shared" ref="K28" si="16">AVERAGE(R28,W28,AB28,AG28,AL28,AQ28,AV28)</f>
        <v>703.51532702818236</v>
      </c>
      <c r="L28" s="650"/>
      <c r="M28" s="547" t="e">
        <f>RANK(K28, K$147:$K$176)</f>
        <v>#DIV/0!</v>
      </c>
      <c r="N28" s="668"/>
      <c r="O28" s="668"/>
      <c r="P28" s="182">
        <v>4</v>
      </c>
      <c r="Q28" s="182">
        <v>2783.0232558139528</v>
      </c>
      <c r="R28" s="182">
        <v>695.7558139534882</v>
      </c>
      <c r="S28" s="545">
        <f t="shared" si="4"/>
        <v>15</v>
      </c>
      <c r="T28" s="690"/>
      <c r="U28" s="182">
        <v>4</v>
      </c>
      <c r="V28" s="182">
        <v>2860.3636363636379</v>
      </c>
      <c r="W28" s="182">
        <v>715.09090909090946</v>
      </c>
      <c r="X28" s="545">
        <f t="shared" si="5"/>
        <v>15</v>
      </c>
      <c r="Y28" s="690"/>
      <c r="Z28" s="182">
        <v>4</v>
      </c>
      <c r="AA28" s="182">
        <v>2731.5254237288159</v>
      </c>
      <c r="AB28" s="182">
        <v>682.88135593220397</v>
      </c>
      <c r="AC28" s="545">
        <f t="shared" si="6"/>
        <v>16</v>
      </c>
      <c r="AD28" s="690"/>
      <c r="AE28" s="182">
        <v>4</v>
      </c>
      <c r="AF28" s="182">
        <v>2820.0000000000009</v>
      </c>
      <c r="AG28" s="182">
        <v>705.00000000000023</v>
      </c>
      <c r="AH28" s="545">
        <f t="shared" si="7"/>
        <v>16</v>
      </c>
      <c r="AI28" s="690"/>
      <c r="AJ28" s="182">
        <v>4</v>
      </c>
      <c r="AK28" s="182">
        <v>2879.1428571428578</v>
      </c>
      <c r="AL28" s="182">
        <v>719.78571428571445</v>
      </c>
      <c r="AM28" s="545">
        <f t="shared" si="8"/>
        <v>17</v>
      </c>
      <c r="AN28" s="690"/>
      <c r="AO28" s="182">
        <v>4</v>
      </c>
      <c r="AP28" s="182">
        <v>2822.6666666666665</v>
      </c>
      <c r="AQ28" s="182">
        <v>705.66666666666663</v>
      </c>
      <c r="AR28" s="545">
        <f t="shared" si="9"/>
        <v>16</v>
      </c>
      <c r="AS28" s="690"/>
      <c r="AT28" s="182">
        <v>4</v>
      </c>
      <c r="AU28" s="182">
        <v>2801.7073170731701</v>
      </c>
      <c r="AV28" s="182">
        <v>700.42682926829252</v>
      </c>
      <c r="AW28" s="545">
        <f t="shared" si="10"/>
        <v>15</v>
      </c>
      <c r="AX28" s="690"/>
      <c r="AZ28" s="361" t="e">
        <f>RANK(AX28, $K$7:AX$36)</f>
        <v>#DIV/0!</v>
      </c>
      <c r="BB28" s="359" t="e">
        <f t="shared" si="0"/>
        <v>#N/A</v>
      </c>
    </row>
    <row r="29" spans="2:54">
      <c r="B29" s="676"/>
      <c r="C29" s="545">
        <v>23</v>
      </c>
      <c r="D29" s="569"/>
      <c r="E29" s="569"/>
      <c r="F29" s="569"/>
      <c r="G29" s="569"/>
      <c r="H29" s="678"/>
      <c r="I29" s="547"/>
      <c r="J29" s="547"/>
      <c r="K29" s="200"/>
      <c r="L29" s="650"/>
      <c r="M29" s="547" t="e">
        <f>RANK(K29, K$147:$K$176)</f>
        <v>#DIV/0!</v>
      </c>
      <c r="N29" s="668"/>
      <c r="O29" s="668"/>
      <c r="P29" s="545"/>
      <c r="Q29" s="545"/>
      <c r="R29" s="546"/>
      <c r="S29" s="545" t="e">
        <f t="shared" si="4"/>
        <v>#N/A</v>
      </c>
      <c r="T29" s="690"/>
      <c r="U29" s="545"/>
      <c r="V29" s="545"/>
      <c r="W29" s="546"/>
      <c r="X29" s="545" t="e">
        <f t="shared" si="5"/>
        <v>#N/A</v>
      </c>
      <c r="Y29" s="690"/>
      <c r="Z29" s="545"/>
      <c r="AA29" s="545"/>
      <c r="AB29" s="546"/>
      <c r="AC29" s="545" t="e">
        <f t="shared" si="6"/>
        <v>#N/A</v>
      </c>
      <c r="AD29" s="690"/>
      <c r="AE29" s="545"/>
      <c r="AF29" s="545"/>
      <c r="AG29" s="546"/>
      <c r="AH29" s="545" t="e">
        <f t="shared" si="7"/>
        <v>#N/A</v>
      </c>
      <c r="AI29" s="690"/>
      <c r="AJ29" s="545"/>
      <c r="AK29" s="545"/>
      <c r="AL29" s="546"/>
      <c r="AM29" s="545" t="e">
        <f t="shared" si="8"/>
        <v>#N/A</v>
      </c>
      <c r="AN29" s="690"/>
      <c r="AO29" s="545"/>
      <c r="AP29" s="545"/>
      <c r="AQ29" s="546"/>
      <c r="AR29" s="545" t="e">
        <f t="shared" si="9"/>
        <v>#N/A</v>
      </c>
      <c r="AS29" s="690"/>
      <c r="AT29" s="182"/>
      <c r="AU29" s="182"/>
      <c r="AV29" s="182"/>
      <c r="AW29" s="545" t="e">
        <f t="shared" si="10"/>
        <v>#N/A</v>
      </c>
      <c r="AX29" s="690"/>
      <c r="AZ29" s="361" t="e">
        <f>RANK(AX29, $K$7:AX$36)</f>
        <v>#DIV/0!</v>
      </c>
      <c r="BB29" s="359" t="e">
        <f t="shared" si="0"/>
        <v>#N/A</v>
      </c>
    </row>
    <row r="30" spans="2:54">
      <c r="B30" s="676"/>
      <c r="C30" s="545">
        <v>24</v>
      </c>
      <c r="D30" s="569"/>
      <c r="E30" s="569"/>
      <c r="F30" s="569"/>
      <c r="G30" s="569"/>
      <c r="H30" s="678"/>
      <c r="I30" s="547"/>
      <c r="J30" s="547"/>
      <c r="K30" s="200"/>
      <c r="L30" s="650"/>
      <c r="M30" s="547" t="e">
        <f>RANK(K30, K$147:$K$176)</f>
        <v>#DIV/0!</v>
      </c>
      <c r="N30" s="668"/>
      <c r="O30" s="668"/>
      <c r="P30" s="545"/>
      <c r="Q30" s="545"/>
      <c r="R30" s="545"/>
      <c r="S30" s="545" t="e">
        <f t="shared" si="4"/>
        <v>#N/A</v>
      </c>
      <c r="T30" s="690"/>
      <c r="U30" s="545"/>
      <c r="V30" s="545"/>
      <c r="W30" s="545"/>
      <c r="X30" s="545" t="e">
        <f t="shared" si="5"/>
        <v>#N/A</v>
      </c>
      <c r="Y30" s="690"/>
      <c r="Z30" s="545"/>
      <c r="AA30" s="545"/>
      <c r="AB30" s="545"/>
      <c r="AC30" s="545" t="e">
        <f t="shared" si="6"/>
        <v>#N/A</v>
      </c>
      <c r="AD30" s="690"/>
      <c r="AE30" s="545"/>
      <c r="AF30" s="545"/>
      <c r="AG30" s="545"/>
      <c r="AH30" s="545" t="e">
        <f t="shared" si="7"/>
        <v>#N/A</v>
      </c>
      <c r="AI30" s="690"/>
      <c r="AJ30" s="545"/>
      <c r="AK30" s="545"/>
      <c r="AL30" s="545"/>
      <c r="AM30" s="545" t="e">
        <f t="shared" si="8"/>
        <v>#N/A</v>
      </c>
      <c r="AN30" s="690"/>
      <c r="AO30" s="545"/>
      <c r="AP30" s="545"/>
      <c r="AQ30" s="545"/>
      <c r="AR30" s="545" t="e">
        <f t="shared" si="9"/>
        <v>#N/A</v>
      </c>
      <c r="AS30" s="690"/>
      <c r="AT30" s="182"/>
      <c r="AU30" s="182"/>
      <c r="AV30" s="182"/>
      <c r="AW30" s="545" t="e">
        <f t="shared" si="10"/>
        <v>#N/A</v>
      </c>
      <c r="AX30" s="690"/>
      <c r="AZ30" s="361" t="e">
        <f>RANK(AX30, $K$7:AX$36)</f>
        <v>#DIV/0!</v>
      </c>
      <c r="BB30" s="359" t="e">
        <f t="shared" si="0"/>
        <v>#N/A</v>
      </c>
    </row>
    <row r="31" spans="2:54">
      <c r="B31" s="676"/>
      <c r="C31" s="545">
        <v>25</v>
      </c>
      <c r="D31" s="569"/>
      <c r="E31" s="569"/>
      <c r="F31" s="569"/>
      <c r="G31" s="569"/>
      <c r="H31" s="678"/>
      <c r="I31" s="202"/>
      <c r="J31" s="202"/>
      <c r="K31" s="202"/>
      <c r="L31" s="650"/>
      <c r="M31" s="547" t="e">
        <f>RANK(K31, K$147:$K$176)</f>
        <v>#DIV/0!</v>
      </c>
      <c r="N31" s="668"/>
      <c r="O31" s="668"/>
      <c r="P31" s="545"/>
      <c r="Q31" s="545"/>
      <c r="R31" s="545"/>
      <c r="S31" s="545" t="e">
        <f t="shared" si="4"/>
        <v>#N/A</v>
      </c>
      <c r="T31" s="690"/>
      <c r="U31" s="545"/>
      <c r="V31" s="545"/>
      <c r="W31" s="545"/>
      <c r="X31" s="545" t="e">
        <f t="shared" si="5"/>
        <v>#N/A</v>
      </c>
      <c r="Y31" s="690"/>
      <c r="Z31" s="545"/>
      <c r="AA31" s="545"/>
      <c r="AB31" s="545"/>
      <c r="AC31" s="545" t="e">
        <f t="shared" si="6"/>
        <v>#N/A</v>
      </c>
      <c r="AD31" s="690"/>
      <c r="AE31" s="545"/>
      <c r="AF31" s="545"/>
      <c r="AG31" s="545"/>
      <c r="AH31" s="545" t="e">
        <f t="shared" si="7"/>
        <v>#N/A</v>
      </c>
      <c r="AI31" s="690"/>
      <c r="AJ31" s="545"/>
      <c r="AK31" s="545"/>
      <c r="AL31" s="545"/>
      <c r="AM31" s="545" t="e">
        <f t="shared" si="8"/>
        <v>#N/A</v>
      </c>
      <c r="AN31" s="690"/>
      <c r="AO31" s="545"/>
      <c r="AP31" s="545"/>
      <c r="AQ31" s="545"/>
      <c r="AR31" s="545" t="e">
        <f t="shared" si="9"/>
        <v>#N/A</v>
      </c>
      <c r="AS31" s="690"/>
      <c r="AT31" s="545"/>
      <c r="AU31" s="545"/>
      <c r="AV31" s="545"/>
      <c r="AW31" s="545" t="e">
        <f t="shared" si="10"/>
        <v>#N/A</v>
      </c>
      <c r="AX31" s="690"/>
      <c r="AZ31" s="361" t="e">
        <f>RANK(AX31, $K$7:AX$36)</f>
        <v>#DIV/0!</v>
      </c>
      <c r="BB31" s="359" t="e">
        <f t="shared" si="0"/>
        <v>#N/A</v>
      </c>
    </row>
    <row r="32" spans="2:54">
      <c r="B32" s="676"/>
      <c r="C32" s="545">
        <v>26</v>
      </c>
      <c r="D32" s="569"/>
      <c r="E32" s="569"/>
      <c r="F32" s="569"/>
      <c r="G32" s="569"/>
      <c r="H32" s="678"/>
      <c r="I32" s="202"/>
      <c r="J32" s="202"/>
      <c r="K32" s="202"/>
      <c r="L32" s="650"/>
      <c r="M32" s="547" t="e">
        <f>RANK(K32, K$147:$K$176)</f>
        <v>#DIV/0!</v>
      </c>
      <c r="N32" s="668"/>
      <c r="O32" s="668"/>
      <c r="P32" s="545"/>
      <c r="Q32" s="545"/>
      <c r="R32" s="545"/>
      <c r="S32" s="545" t="e">
        <f t="shared" si="4"/>
        <v>#N/A</v>
      </c>
      <c r="T32" s="690"/>
      <c r="U32" s="545"/>
      <c r="V32" s="545"/>
      <c r="W32" s="545"/>
      <c r="X32" s="545" t="e">
        <f t="shared" si="5"/>
        <v>#N/A</v>
      </c>
      <c r="Y32" s="690"/>
      <c r="Z32" s="545"/>
      <c r="AA32" s="545"/>
      <c r="AB32" s="545"/>
      <c r="AC32" s="545" t="e">
        <f t="shared" si="6"/>
        <v>#N/A</v>
      </c>
      <c r="AD32" s="690"/>
      <c r="AE32" s="545"/>
      <c r="AF32" s="545"/>
      <c r="AG32" s="545"/>
      <c r="AH32" s="545" t="e">
        <f t="shared" si="7"/>
        <v>#N/A</v>
      </c>
      <c r="AI32" s="690"/>
      <c r="AJ32" s="545"/>
      <c r="AK32" s="545"/>
      <c r="AL32" s="545"/>
      <c r="AM32" s="545" t="e">
        <f t="shared" si="8"/>
        <v>#N/A</v>
      </c>
      <c r="AN32" s="690"/>
      <c r="AO32" s="545"/>
      <c r="AP32" s="545"/>
      <c r="AQ32" s="545"/>
      <c r="AR32" s="545" t="e">
        <f t="shared" si="9"/>
        <v>#N/A</v>
      </c>
      <c r="AS32" s="690"/>
      <c r="AT32" s="545"/>
      <c r="AU32" s="545"/>
      <c r="AV32" s="545"/>
      <c r="AW32" s="545" t="e">
        <f t="shared" si="10"/>
        <v>#N/A</v>
      </c>
      <c r="AX32" s="690"/>
      <c r="AZ32" s="361" t="e">
        <f>RANK(AX32, $K$7:AX$36)</f>
        <v>#DIV/0!</v>
      </c>
      <c r="BB32" s="359" t="e">
        <f t="shared" si="0"/>
        <v>#N/A</v>
      </c>
    </row>
    <row r="33" spans="2:54">
      <c r="B33" s="676"/>
      <c r="C33" s="545">
        <v>27</v>
      </c>
      <c r="D33" s="569"/>
      <c r="E33" s="569"/>
      <c r="F33" s="569"/>
      <c r="G33" s="569"/>
      <c r="H33" s="678"/>
      <c r="I33" s="202"/>
      <c r="J33" s="202"/>
      <c r="K33" s="202"/>
      <c r="L33" s="650"/>
      <c r="M33" s="547" t="e">
        <f>RANK(K33, K$147:$K$176)</f>
        <v>#DIV/0!</v>
      </c>
      <c r="N33" s="668"/>
      <c r="O33" s="668"/>
      <c r="P33" s="545"/>
      <c r="Q33" s="545"/>
      <c r="R33" s="545"/>
      <c r="S33" s="545" t="e">
        <f t="shared" si="4"/>
        <v>#N/A</v>
      </c>
      <c r="T33" s="690"/>
      <c r="U33" s="545"/>
      <c r="V33" s="545"/>
      <c r="W33" s="545"/>
      <c r="X33" s="545" t="e">
        <f t="shared" si="5"/>
        <v>#N/A</v>
      </c>
      <c r="Y33" s="690"/>
      <c r="Z33" s="545"/>
      <c r="AA33" s="545"/>
      <c r="AB33" s="545"/>
      <c r="AC33" s="545" t="e">
        <f t="shared" si="6"/>
        <v>#N/A</v>
      </c>
      <c r="AD33" s="690"/>
      <c r="AE33" s="545"/>
      <c r="AF33" s="545"/>
      <c r="AG33" s="545"/>
      <c r="AH33" s="545" t="e">
        <f t="shared" si="7"/>
        <v>#N/A</v>
      </c>
      <c r="AI33" s="690"/>
      <c r="AJ33" s="545"/>
      <c r="AK33" s="545"/>
      <c r="AL33" s="545"/>
      <c r="AM33" s="545" t="e">
        <f t="shared" si="8"/>
        <v>#N/A</v>
      </c>
      <c r="AN33" s="690"/>
      <c r="AO33" s="545"/>
      <c r="AP33" s="545"/>
      <c r="AQ33" s="545"/>
      <c r="AR33" s="545" t="e">
        <f t="shared" si="9"/>
        <v>#N/A</v>
      </c>
      <c r="AS33" s="690"/>
      <c r="AT33" s="545"/>
      <c r="AU33" s="545"/>
      <c r="AV33" s="545"/>
      <c r="AW33" s="545" t="e">
        <f t="shared" si="10"/>
        <v>#N/A</v>
      </c>
      <c r="AX33" s="690"/>
      <c r="AZ33" s="361" t="e">
        <f>RANK(AX33, $K$7:AX$36)</f>
        <v>#DIV/0!</v>
      </c>
      <c r="BB33" s="359" t="e">
        <f t="shared" si="0"/>
        <v>#N/A</v>
      </c>
    </row>
    <row r="34" spans="2:54">
      <c r="B34" s="676"/>
      <c r="C34" s="545">
        <v>28</v>
      </c>
      <c r="D34" s="569"/>
      <c r="E34" s="569"/>
      <c r="F34" s="569"/>
      <c r="G34" s="569"/>
      <c r="H34" s="678"/>
      <c r="I34" s="202"/>
      <c r="J34" s="202"/>
      <c r="K34" s="202"/>
      <c r="L34" s="650"/>
      <c r="M34" s="547" t="e">
        <f>RANK(K34, K$147:$K$176)</f>
        <v>#DIV/0!</v>
      </c>
      <c r="N34" s="668"/>
      <c r="O34" s="668"/>
      <c r="P34" s="545"/>
      <c r="Q34" s="545"/>
      <c r="R34" s="545"/>
      <c r="S34" s="545" t="e">
        <f t="shared" si="4"/>
        <v>#N/A</v>
      </c>
      <c r="T34" s="690"/>
      <c r="U34" s="545"/>
      <c r="V34" s="545"/>
      <c r="W34" s="545"/>
      <c r="X34" s="545" t="e">
        <f t="shared" si="5"/>
        <v>#N/A</v>
      </c>
      <c r="Y34" s="690"/>
      <c r="Z34" s="545"/>
      <c r="AA34" s="545"/>
      <c r="AB34" s="545"/>
      <c r="AC34" s="545" t="e">
        <f t="shared" si="6"/>
        <v>#N/A</v>
      </c>
      <c r="AD34" s="690"/>
      <c r="AE34" s="545"/>
      <c r="AF34" s="545"/>
      <c r="AG34" s="545"/>
      <c r="AH34" s="545" t="e">
        <f t="shared" si="7"/>
        <v>#N/A</v>
      </c>
      <c r="AI34" s="690"/>
      <c r="AJ34" s="545"/>
      <c r="AK34" s="545"/>
      <c r="AL34" s="545"/>
      <c r="AM34" s="545" t="e">
        <f t="shared" si="8"/>
        <v>#N/A</v>
      </c>
      <c r="AN34" s="690"/>
      <c r="AO34" s="545"/>
      <c r="AP34" s="545"/>
      <c r="AQ34" s="545"/>
      <c r="AR34" s="545" t="e">
        <f t="shared" si="9"/>
        <v>#N/A</v>
      </c>
      <c r="AS34" s="690"/>
      <c r="AT34" s="545"/>
      <c r="AU34" s="545"/>
      <c r="AV34" s="545"/>
      <c r="AW34" s="545" t="e">
        <f t="shared" si="10"/>
        <v>#N/A</v>
      </c>
      <c r="AX34" s="690"/>
      <c r="AZ34" s="361" t="e">
        <f>RANK(AX34, $K$7:AX$36)</f>
        <v>#DIV/0!</v>
      </c>
      <c r="BB34" s="359" t="e">
        <f t="shared" si="0"/>
        <v>#N/A</v>
      </c>
    </row>
    <row r="35" spans="2:54">
      <c r="B35" s="676"/>
      <c r="C35" s="545">
        <v>29</v>
      </c>
      <c r="D35" s="569"/>
      <c r="E35" s="569"/>
      <c r="F35" s="569"/>
      <c r="G35" s="569"/>
      <c r="H35" s="678"/>
      <c r="I35" s="202"/>
      <c r="J35" s="202"/>
      <c r="K35" s="202"/>
      <c r="L35" s="650"/>
      <c r="M35" s="547" t="e">
        <f>RANK(K35, K$147:$K$176)</f>
        <v>#DIV/0!</v>
      </c>
      <c r="N35" s="668"/>
      <c r="O35" s="668"/>
      <c r="P35" s="545"/>
      <c r="Q35" s="545"/>
      <c r="R35" s="545"/>
      <c r="S35" s="545" t="e">
        <f t="shared" si="4"/>
        <v>#N/A</v>
      </c>
      <c r="T35" s="690"/>
      <c r="U35" s="545"/>
      <c r="V35" s="545"/>
      <c r="W35" s="545"/>
      <c r="X35" s="545" t="e">
        <f t="shared" si="5"/>
        <v>#N/A</v>
      </c>
      <c r="Y35" s="690"/>
      <c r="Z35" s="545"/>
      <c r="AA35" s="545"/>
      <c r="AB35" s="545"/>
      <c r="AC35" s="545" t="e">
        <f t="shared" si="6"/>
        <v>#N/A</v>
      </c>
      <c r="AD35" s="690"/>
      <c r="AE35" s="545"/>
      <c r="AF35" s="545"/>
      <c r="AG35" s="545"/>
      <c r="AH35" s="545" t="e">
        <f t="shared" si="7"/>
        <v>#N/A</v>
      </c>
      <c r="AI35" s="690"/>
      <c r="AJ35" s="545"/>
      <c r="AK35" s="545"/>
      <c r="AL35" s="545"/>
      <c r="AM35" s="545" t="e">
        <f t="shared" si="8"/>
        <v>#N/A</v>
      </c>
      <c r="AN35" s="690"/>
      <c r="AO35" s="545"/>
      <c r="AP35" s="545"/>
      <c r="AQ35" s="545"/>
      <c r="AR35" s="545" t="e">
        <f t="shared" si="9"/>
        <v>#N/A</v>
      </c>
      <c r="AS35" s="690"/>
      <c r="AT35" s="545"/>
      <c r="AU35" s="545"/>
      <c r="AV35" s="545"/>
      <c r="AW35" s="545" t="e">
        <f t="shared" si="10"/>
        <v>#N/A</v>
      </c>
      <c r="AX35" s="690"/>
      <c r="AZ35" s="361" t="e">
        <f>RANK(AX35, $K$7:AX$36)</f>
        <v>#DIV/0!</v>
      </c>
      <c r="BB35" s="359" t="e">
        <f t="shared" si="0"/>
        <v>#N/A</v>
      </c>
    </row>
    <row r="36" spans="2:54">
      <c r="B36" s="676"/>
      <c r="C36" s="545">
        <v>30</v>
      </c>
      <c r="D36" s="569"/>
      <c r="E36" s="569"/>
      <c r="F36" s="569"/>
      <c r="G36" s="569"/>
      <c r="H36" s="679"/>
      <c r="I36" s="202"/>
      <c r="J36" s="202"/>
      <c r="K36" s="202"/>
      <c r="L36" s="651"/>
      <c r="M36" s="547" t="e">
        <f>RANK(K36, K$147:$K$176)</f>
        <v>#DIV/0!</v>
      </c>
      <c r="N36" s="668"/>
      <c r="O36" s="668"/>
      <c r="P36" s="545"/>
      <c r="Q36" s="545"/>
      <c r="R36" s="545"/>
      <c r="S36" s="545" t="e">
        <f t="shared" si="4"/>
        <v>#N/A</v>
      </c>
      <c r="T36" s="690"/>
      <c r="U36" s="545"/>
      <c r="V36" s="545"/>
      <c r="W36" s="545"/>
      <c r="X36" s="545" t="e">
        <f t="shared" si="5"/>
        <v>#N/A</v>
      </c>
      <c r="Y36" s="690"/>
      <c r="Z36" s="545"/>
      <c r="AA36" s="545"/>
      <c r="AB36" s="545"/>
      <c r="AC36" s="545" t="e">
        <f t="shared" si="6"/>
        <v>#N/A</v>
      </c>
      <c r="AD36" s="690"/>
      <c r="AE36" s="545"/>
      <c r="AF36" s="545"/>
      <c r="AG36" s="545"/>
      <c r="AH36" s="545" t="e">
        <f t="shared" si="7"/>
        <v>#N/A</v>
      </c>
      <c r="AI36" s="690"/>
      <c r="AJ36" s="545"/>
      <c r="AK36" s="545"/>
      <c r="AL36" s="545"/>
      <c r="AM36" s="545" t="e">
        <f t="shared" si="8"/>
        <v>#N/A</v>
      </c>
      <c r="AN36" s="690"/>
      <c r="AO36" s="545"/>
      <c r="AP36" s="545"/>
      <c r="AQ36" s="545"/>
      <c r="AR36" s="545" t="e">
        <f t="shared" si="9"/>
        <v>#N/A</v>
      </c>
      <c r="AS36" s="690"/>
      <c r="AT36" s="545"/>
      <c r="AU36" s="545"/>
      <c r="AV36" s="545"/>
      <c r="AW36" s="545" t="e">
        <f t="shared" si="10"/>
        <v>#N/A</v>
      </c>
      <c r="AX36" s="690"/>
      <c r="AZ36" s="449" t="e">
        <f>RANK(AX36, $K$7:AX$36)</f>
        <v>#DIV/0!</v>
      </c>
      <c r="BB36" s="359" t="e">
        <f t="shared" si="0"/>
        <v>#N/A</v>
      </c>
    </row>
    <row r="37" spans="2:54" ht="15.75">
      <c r="B37" s="694" t="s">
        <v>163</v>
      </c>
      <c r="C37" s="695"/>
      <c r="D37" s="695"/>
      <c r="E37" s="695"/>
      <c r="F37" s="695"/>
      <c r="G37" s="695"/>
      <c r="H37" s="695"/>
      <c r="I37" s="203"/>
      <c r="J37" s="203"/>
      <c r="K37" s="203"/>
      <c r="L37" s="203"/>
      <c r="M37" s="204"/>
      <c r="N37" s="669" t="s">
        <v>156</v>
      </c>
      <c r="O37" s="669" t="s">
        <v>155</v>
      </c>
      <c r="P37" s="675">
        <f>P2+7</f>
        <v>46091</v>
      </c>
      <c r="Q37" s="676"/>
      <c r="R37" s="676"/>
      <c r="S37" s="676"/>
      <c r="T37" s="676"/>
      <c r="U37" s="675">
        <f>P37+1</f>
        <v>46092</v>
      </c>
      <c r="V37" s="676"/>
      <c r="W37" s="676"/>
      <c r="X37" s="676"/>
      <c r="Y37" s="676"/>
      <c r="Z37" s="675">
        <f>U37+1</f>
        <v>46093</v>
      </c>
      <c r="AA37" s="676"/>
      <c r="AB37" s="676"/>
      <c r="AC37" s="676"/>
      <c r="AD37" s="676"/>
      <c r="AE37" s="675">
        <f>Z37+1</f>
        <v>46094</v>
      </c>
      <c r="AF37" s="676"/>
      <c r="AG37" s="676"/>
      <c r="AH37" s="676"/>
      <c r="AI37" s="676"/>
      <c r="AJ37" s="675">
        <f>AE37+1</f>
        <v>46095</v>
      </c>
      <c r="AK37" s="676"/>
      <c r="AL37" s="676"/>
      <c r="AM37" s="676"/>
      <c r="AN37" s="676"/>
      <c r="AO37" s="675">
        <f>AJ37+1</f>
        <v>46096</v>
      </c>
      <c r="AP37" s="676"/>
      <c r="AQ37" s="676"/>
      <c r="AR37" s="676"/>
      <c r="AS37" s="676"/>
      <c r="AT37" s="675">
        <f>AO37+1</f>
        <v>46097</v>
      </c>
      <c r="AU37" s="676"/>
      <c r="AV37" s="676"/>
      <c r="AW37" s="676"/>
      <c r="AX37" s="676"/>
    </row>
    <row r="38" spans="2:54" ht="15.75">
      <c r="B38" s="683"/>
      <c r="C38" s="683"/>
      <c r="D38" s="683"/>
      <c r="E38" s="683"/>
      <c r="F38" s="683"/>
      <c r="G38" s="683"/>
      <c r="H38" s="683"/>
      <c r="I38" s="205"/>
      <c r="J38" s="205"/>
      <c r="K38" s="205"/>
      <c r="L38" s="205"/>
      <c r="M38" s="206"/>
      <c r="N38" s="671"/>
      <c r="O38" s="671"/>
      <c r="P38" s="675" t="s">
        <v>336</v>
      </c>
      <c r="Q38" s="676"/>
      <c r="R38" s="676"/>
      <c r="S38" s="676"/>
      <c r="T38" s="676"/>
      <c r="U38" s="675" t="s">
        <v>337</v>
      </c>
      <c r="V38" s="676"/>
      <c r="W38" s="676"/>
      <c r="X38" s="676"/>
      <c r="Y38" s="676"/>
      <c r="Z38" s="675" t="s">
        <v>338</v>
      </c>
      <c r="AA38" s="676"/>
      <c r="AB38" s="676"/>
      <c r="AC38" s="676"/>
      <c r="AD38" s="676"/>
      <c r="AE38" s="675" t="s">
        <v>339</v>
      </c>
      <c r="AF38" s="676"/>
      <c r="AG38" s="676"/>
      <c r="AH38" s="676"/>
      <c r="AI38" s="676"/>
      <c r="AJ38" s="675" t="s">
        <v>340</v>
      </c>
      <c r="AK38" s="676"/>
      <c r="AL38" s="676"/>
      <c r="AM38" s="676"/>
      <c r="AN38" s="676"/>
      <c r="AO38" s="675" t="s">
        <v>341</v>
      </c>
      <c r="AP38" s="676"/>
      <c r="AQ38" s="676"/>
      <c r="AR38" s="676"/>
      <c r="AS38" s="676"/>
      <c r="AT38" s="675" t="s">
        <v>342</v>
      </c>
      <c r="AU38" s="676"/>
      <c r="AV38" s="676"/>
      <c r="AW38" s="676"/>
      <c r="AX38" s="676"/>
    </row>
    <row r="39" spans="2:54">
      <c r="B39" s="669" t="s">
        <v>501</v>
      </c>
      <c r="C39" s="684" t="s">
        <v>502</v>
      </c>
      <c r="D39" s="687"/>
      <c r="E39" s="665" t="s">
        <v>503</v>
      </c>
      <c r="F39" s="666"/>
      <c r="G39" s="667"/>
      <c r="H39" s="669" t="s">
        <v>416</v>
      </c>
      <c r="I39" s="656" t="s">
        <v>421</v>
      </c>
      <c r="J39" s="657"/>
      <c r="K39" s="658"/>
      <c r="L39" s="659" t="s">
        <v>416</v>
      </c>
      <c r="M39" s="659" t="s">
        <v>417</v>
      </c>
      <c r="N39" s="669"/>
      <c r="O39" s="669" t="s">
        <v>504</v>
      </c>
      <c r="P39" s="665" t="s">
        <v>505</v>
      </c>
      <c r="Q39" s="666"/>
      <c r="R39" s="666"/>
      <c r="S39" s="667"/>
      <c r="T39" s="669" t="s">
        <v>416</v>
      </c>
      <c r="U39" s="665" t="s">
        <v>418</v>
      </c>
      <c r="V39" s="666"/>
      <c r="W39" s="666"/>
      <c r="X39" s="667"/>
      <c r="Y39" s="669" t="s">
        <v>416</v>
      </c>
      <c r="Z39" s="665" t="s">
        <v>418</v>
      </c>
      <c r="AA39" s="666"/>
      <c r="AB39" s="666"/>
      <c r="AC39" s="667"/>
      <c r="AD39" s="669" t="s">
        <v>506</v>
      </c>
      <c r="AE39" s="665" t="s">
        <v>418</v>
      </c>
      <c r="AF39" s="666"/>
      <c r="AG39" s="666"/>
      <c r="AH39" s="667"/>
      <c r="AI39" s="669" t="s">
        <v>416</v>
      </c>
      <c r="AJ39" s="665" t="s">
        <v>418</v>
      </c>
      <c r="AK39" s="666"/>
      <c r="AL39" s="666"/>
      <c r="AM39" s="667"/>
      <c r="AN39" s="669" t="s">
        <v>506</v>
      </c>
      <c r="AO39" s="665" t="s">
        <v>505</v>
      </c>
      <c r="AP39" s="666"/>
      <c r="AQ39" s="666"/>
      <c r="AR39" s="667"/>
      <c r="AS39" s="669" t="s">
        <v>506</v>
      </c>
      <c r="AT39" s="665" t="s">
        <v>505</v>
      </c>
      <c r="AU39" s="666"/>
      <c r="AV39" s="666"/>
      <c r="AW39" s="667"/>
      <c r="AX39" s="669" t="s">
        <v>506</v>
      </c>
    </row>
    <row r="40" spans="2:54">
      <c r="B40" s="670"/>
      <c r="C40" s="685"/>
      <c r="D40" s="688"/>
      <c r="E40" s="665" t="s">
        <v>423</v>
      </c>
      <c r="F40" s="666"/>
      <c r="G40" s="667"/>
      <c r="H40" s="670"/>
      <c r="I40" s="656" t="s">
        <v>423</v>
      </c>
      <c r="J40" s="657"/>
      <c r="K40" s="658"/>
      <c r="L40" s="660"/>
      <c r="M40" s="660"/>
      <c r="N40" s="670"/>
      <c r="O40" s="670"/>
      <c r="P40" s="665" t="s">
        <v>424</v>
      </c>
      <c r="Q40" s="666"/>
      <c r="R40" s="666"/>
      <c r="S40" s="667"/>
      <c r="T40" s="670"/>
      <c r="U40" s="665" t="s">
        <v>507</v>
      </c>
      <c r="V40" s="666"/>
      <c r="W40" s="666"/>
      <c r="X40" s="667"/>
      <c r="Y40" s="670"/>
      <c r="Z40" s="665" t="s">
        <v>507</v>
      </c>
      <c r="AA40" s="666"/>
      <c r="AB40" s="666"/>
      <c r="AC40" s="667"/>
      <c r="AD40" s="670"/>
      <c r="AE40" s="665" t="s">
        <v>424</v>
      </c>
      <c r="AF40" s="666"/>
      <c r="AG40" s="666"/>
      <c r="AH40" s="667"/>
      <c r="AI40" s="670"/>
      <c r="AJ40" s="665" t="s">
        <v>424</v>
      </c>
      <c r="AK40" s="666"/>
      <c r="AL40" s="666"/>
      <c r="AM40" s="667"/>
      <c r="AN40" s="670"/>
      <c r="AO40" s="665" t="s">
        <v>424</v>
      </c>
      <c r="AP40" s="666"/>
      <c r="AQ40" s="666"/>
      <c r="AR40" s="667"/>
      <c r="AS40" s="670"/>
      <c r="AT40" s="665" t="s">
        <v>424</v>
      </c>
      <c r="AU40" s="666"/>
      <c r="AV40" s="666"/>
      <c r="AW40" s="667"/>
      <c r="AX40" s="670"/>
    </row>
    <row r="41" spans="2:54">
      <c r="B41" s="671"/>
      <c r="C41" s="686"/>
      <c r="D41" s="689"/>
      <c r="E41" s="320" t="s">
        <v>425</v>
      </c>
      <c r="F41" s="320" t="s">
        <v>426</v>
      </c>
      <c r="G41" s="320" t="s">
        <v>508</v>
      </c>
      <c r="H41" s="671"/>
      <c r="I41" s="319" t="s">
        <v>425</v>
      </c>
      <c r="J41" s="319" t="s">
        <v>426</v>
      </c>
      <c r="K41" s="319" t="s">
        <v>427</v>
      </c>
      <c r="L41" s="661"/>
      <c r="M41" s="661"/>
      <c r="N41" s="670"/>
      <c r="O41" s="670"/>
      <c r="P41" s="320" t="s">
        <v>425</v>
      </c>
      <c r="Q41" s="320" t="s">
        <v>509</v>
      </c>
      <c r="R41" s="320" t="s">
        <v>427</v>
      </c>
      <c r="S41" s="320" t="s">
        <v>417</v>
      </c>
      <c r="T41" s="671"/>
      <c r="U41" s="320" t="s">
        <v>425</v>
      </c>
      <c r="V41" s="320" t="s">
        <v>426</v>
      </c>
      <c r="W41" s="320" t="s">
        <v>427</v>
      </c>
      <c r="X41" s="320" t="s">
        <v>510</v>
      </c>
      <c r="Y41" s="671"/>
      <c r="Z41" s="320" t="s">
        <v>511</v>
      </c>
      <c r="AA41" s="320" t="s">
        <v>426</v>
      </c>
      <c r="AB41" s="320" t="s">
        <v>427</v>
      </c>
      <c r="AC41" s="320" t="s">
        <v>510</v>
      </c>
      <c r="AD41" s="671"/>
      <c r="AE41" s="320" t="s">
        <v>425</v>
      </c>
      <c r="AF41" s="320" t="s">
        <v>426</v>
      </c>
      <c r="AG41" s="320" t="s">
        <v>427</v>
      </c>
      <c r="AH41" s="320" t="s">
        <v>510</v>
      </c>
      <c r="AI41" s="671"/>
      <c r="AJ41" s="320" t="s">
        <v>511</v>
      </c>
      <c r="AK41" s="320" t="s">
        <v>426</v>
      </c>
      <c r="AL41" s="320" t="s">
        <v>427</v>
      </c>
      <c r="AM41" s="320" t="s">
        <v>417</v>
      </c>
      <c r="AN41" s="671"/>
      <c r="AO41" s="320" t="s">
        <v>511</v>
      </c>
      <c r="AP41" s="320" t="s">
        <v>426</v>
      </c>
      <c r="AQ41" s="320" t="s">
        <v>427</v>
      </c>
      <c r="AR41" s="320" t="s">
        <v>510</v>
      </c>
      <c r="AS41" s="671"/>
      <c r="AT41" s="320" t="s">
        <v>511</v>
      </c>
      <c r="AU41" s="320" t="s">
        <v>426</v>
      </c>
      <c r="AV41" s="320" t="s">
        <v>427</v>
      </c>
      <c r="AW41" s="320" t="s">
        <v>510</v>
      </c>
      <c r="AX41" s="671"/>
    </row>
    <row r="42" spans="2:54">
      <c r="B42" s="691" t="s">
        <v>150</v>
      </c>
      <c r="C42" s="321">
        <v>1</v>
      </c>
      <c r="D42" s="569" t="s">
        <v>358</v>
      </c>
      <c r="E42" s="569">
        <v>3</v>
      </c>
      <c r="F42" s="569">
        <v>3200</v>
      </c>
      <c r="G42" s="182">
        <v>1066.6666666666667</v>
      </c>
      <c r="H42" s="677">
        <f>AVERAGE(G42:G71)</f>
        <v>778.97727272727275</v>
      </c>
      <c r="I42" s="199">
        <f>AVERAGE(P42,U42,Z42,AE42,AJ42,AO42,AT42)</f>
        <v>3</v>
      </c>
      <c r="J42" s="199">
        <f>AVERAGE(Q42,V42,AA42,AF42,AK42,AP42,AU42)</f>
        <v>3234.2262441977741</v>
      </c>
      <c r="K42" s="200">
        <f>AVERAGE(R42,W42,AB42,AG42,AL42,AQ42,AV42)</f>
        <v>1078.0754147325913</v>
      </c>
      <c r="L42" s="662">
        <f>IFERROR(AVERAGE(K42:K71),"-")</f>
        <v>809.80945007079492</v>
      </c>
      <c r="M42" s="199">
        <f>RANK(K42, K$42:$K$71)</f>
        <v>3</v>
      </c>
      <c r="N42" s="670"/>
      <c r="O42" s="670"/>
      <c r="P42" s="425">
        <v>3</v>
      </c>
      <c r="Q42" s="182">
        <v>3245.6603773584925</v>
      </c>
      <c r="R42" s="182">
        <v>1081.8867924528308</v>
      </c>
      <c r="S42" s="321">
        <f t="shared" ref="S42:S71" si="17">RANK(R42, R$42:R$71)</f>
        <v>5</v>
      </c>
      <c r="T42" s="677">
        <f>AVERAGE(R42:R71)</f>
        <v>823.18274492558771</v>
      </c>
      <c r="U42" s="425">
        <v>3</v>
      </c>
      <c r="V42" s="182">
        <v>3282.3529411764721</v>
      </c>
      <c r="W42" s="182">
        <v>1094.1176470588241</v>
      </c>
      <c r="X42" s="475">
        <f t="shared" ref="X42:X71" si="18">RANK(W42, W$42:W$71)</f>
        <v>2</v>
      </c>
      <c r="Y42" s="677">
        <f t="shared" ref="Y42" si="19">AVERAGE(W42:W71)</f>
        <v>818.30468779423757</v>
      </c>
      <c r="Z42" s="425">
        <v>3</v>
      </c>
      <c r="AA42" s="182">
        <v>3165.0000000000018</v>
      </c>
      <c r="AB42" s="182">
        <v>1055.0000000000007</v>
      </c>
      <c r="AC42" s="475">
        <f t="shared" ref="AC42:AC71" si="20">RANK(AB42, AB$42:AB$71)</f>
        <v>2</v>
      </c>
      <c r="AD42" s="677">
        <f t="shared" ref="AD42" si="21">AVERAGE(AB42:AB71)</f>
        <v>785.81007558376393</v>
      </c>
      <c r="AE42" s="425">
        <v>3</v>
      </c>
      <c r="AF42" s="182">
        <v>3230.6666666666665</v>
      </c>
      <c r="AG42" s="182">
        <v>1076.8888888888889</v>
      </c>
      <c r="AH42" s="475">
        <f t="shared" ref="AH42:AH71" si="22">RANK(AG42, AG$42:AG$71)</f>
        <v>4</v>
      </c>
      <c r="AI42" s="677">
        <f t="shared" ref="AI42" si="23">AVERAGE(AG42:AG71)</f>
        <v>800.9454045954044</v>
      </c>
      <c r="AJ42" s="425">
        <v>3</v>
      </c>
      <c r="AK42" s="182">
        <v>3269.3023255813946</v>
      </c>
      <c r="AL42" s="182">
        <v>1089.7674418604649</v>
      </c>
      <c r="AM42" s="475">
        <f t="shared" ref="AM42:AM71" si="24">RANK(AL42, AL$42:AL$71)</f>
        <v>3</v>
      </c>
      <c r="AN42" s="677">
        <f t="shared" ref="AN42" si="25">AVERAGE(AL42:AL71)</f>
        <v>825.7226151298629</v>
      </c>
      <c r="AO42" s="425">
        <v>3</v>
      </c>
      <c r="AP42" s="182">
        <v>3178.9090909090883</v>
      </c>
      <c r="AQ42" s="182">
        <v>1059.6363636363628</v>
      </c>
      <c r="AR42" s="475">
        <f t="shared" ref="AR42:AR71" si="26">RANK(AQ42, AQ$42:AQ$71)</f>
        <v>3</v>
      </c>
      <c r="AS42" s="677">
        <f t="shared" ref="AS42" si="27">AVERAGE(AQ42:AQ71)</f>
        <v>799.58941055283617</v>
      </c>
      <c r="AT42" s="425">
        <v>3</v>
      </c>
      <c r="AU42" s="182">
        <v>3267.692307692304</v>
      </c>
      <c r="AV42" s="182">
        <v>1089.2307692307679</v>
      </c>
      <c r="AW42" s="475">
        <f t="shared" ref="AW42:AW71" si="28">RANK(AV42, AV$42:AV$71)</f>
        <v>4</v>
      </c>
      <c r="AX42" s="677">
        <f t="shared" ref="AX42" si="29">AVERAGE(AV42:AV71)</f>
        <v>815.11121191386997</v>
      </c>
    </row>
    <row r="43" spans="2:54">
      <c r="B43" s="692"/>
      <c r="C43" s="321">
        <v>2</v>
      </c>
      <c r="D43" s="571" t="s">
        <v>359</v>
      </c>
      <c r="E43" s="569">
        <v>3</v>
      </c>
      <c r="F43" s="569">
        <v>3200</v>
      </c>
      <c r="G43" s="182">
        <v>1066.6666666666667</v>
      </c>
      <c r="H43" s="678"/>
      <c r="I43" s="199">
        <f t="shared" ref="I43:I60" si="30">AVERAGE(P43,U43,Z43,AE43,AJ43,AO43,AT43)</f>
        <v>3</v>
      </c>
      <c r="J43" s="199">
        <f t="shared" ref="J43:J60" si="31">AVERAGE(Q43,V43,AA43,AF43,AK43,AP43,AU43)</f>
        <v>3223.7217068645682</v>
      </c>
      <c r="K43" s="200">
        <f t="shared" ref="K43:K60" si="32">AVERAGE(R43,W43,AB43,AG43,AL43,AQ43,AV43)</f>
        <v>1074.5739022881894</v>
      </c>
      <c r="L43" s="663"/>
      <c r="M43" s="199">
        <f>RANK(K43, K$42:$K$71)</f>
        <v>5</v>
      </c>
      <c r="N43" s="670"/>
      <c r="O43" s="670"/>
      <c r="P43" s="182">
        <v>3</v>
      </c>
      <c r="Q43" s="182">
        <v>3292.0000000000032</v>
      </c>
      <c r="R43" s="182">
        <v>1097.3333333333344</v>
      </c>
      <c r="S43" s="321">
        <f t="shared" si="17"/>
        <v>2</v>
      </c>
      <c r="T43" s="678"/>
      <c r="U43" s="182">
        <v>3</v>
      </c>
      <c r="V43" s="182">
        <v>3328.0000000000032</v>
      </c>
      <c r="W43" s="182">
        <v>1109.3333333333344</v>
      </c>
      <c r="X43" s="475">
        <f t="shared" si="18"/>
        <v>1</v>
      </c>
      <c r="Y43" s="678"/>
      <c r="Z43" s="182">
        <v>3</v>
      </c>
      <c r="AA43" s="182">
        <v>3148.0000000000032</v>
      </c>
      <c r="AB43" s="182">
        <v>1049.3333333333344</v>
      </c>
      <c r="AC43" s="475">
        <f t="shared" si="20"/>
        <v>3</v>
      </c>
      <c r="AD43" s="678"/>
      <c r="AE43" s="182">
        <v>3</v>
      </c>
      <c r="AF43" s="182">
        <v>2780.0000000000027</v>
      </c>
      <c r="AG43" s="182">
        <v>926.66666666666754</v>
      </c>
      <c r="AH43" s="475">
        <f t="shared" si="22"/>
        <v>7</v>
      </c>
      <c r="AI43" s="678"/>
      <c r="AJ43" s="182">
        <v>3</v>
      </c>
      <c r="AK43" s="182">
        <v>3490.9090909091033</v>
      </c>
      <c r="AL43" s="182">
        <v>1163.6363636363678</v>
      </c>
      <c r="AM43" s="475">
        <f t="shared" si="24"/>
        <v>1</v>
      </c>
      <c r="AN43" s="678"/>
      <c r="AO43" s="182">
        <v>3</v>
      </c>
      <c r="AP43" s="182">
        <v>3120.0000000000036</v>
      </c>
      <c r="AQ43" s="182">
        <v>1040.0000000000011</v>
      </c>
      <c r="AR43" s="475">
        <f t="shared" si="26"/>
        <v>5</v>
      </c>
      <c r="AS43" s="678"/>
      <c r="AT43" s="182">
        <v>3</v>
      </c>
      <c r="AU43" s="182">
        <v>3407.1428571428596</v>
      </c>
      <c r="AV43" s="182">
        <v>1135.7142857142865</v>
      </c>
      <c r="AW43" s="475">
        <f t="shared" si="28"/>
        <v>1</v>
      </c>
      <c r="AX43" s="678"/>
    </row>
    <row r="44" spans="2:54">
      <c r="B44" s="692"/>
      <c r="C44" s="321">
        <v>3</v>
      </c>
      <c r="D44" s="569" t="s">
        <v>348</v>
      </c>
      <c r="E44" s="569">
        <v>4</v>
      </c>
      <c r="F44" s="569">
        <v>3200</v>
      </c>
      <c r="G44" s="182">
        <v>800</v>
      </c>
      <c r="H44" s="678"/>
      <c r="I44" s="199">
        <f t="shared" si="30"/>
        <v>4</v>
      </c>
      <c r="J44" s="199">
        <f t="shared" si="31"/>
        <v>3240.7775547465949</v>
      </c>
      <c r="K44" s="200">
        <f t="shared" si="32"/>
        <v>810.19438868664872</v>
      </c>
      <c r="L44" s="663"/>
      <c r="M44" s="199">
        <f>RANK(K44, K$42:$K$71)</f>
        <v>12</v>
      </c>
      <c r="N44" s="670"/>
      <c r="O44" s="670"/>
      <c r="P44" s="182">
        <v>4</v>
      </c>
      <c r="Q44" s="182">
        <v>3256.6666666666642</v>
      </c>
      <c r="R44" s="182">
        <v>814.16666666666606</v>
      </c>
      <c r="S44" s="321">
        <f t="shared" si="17"/>
        <v>12</v>
      </c>
      <c r="T44" s="678"/>
      <c r="U44" s="182">
        <v>4</v>
      </c>
      <c r="V44" s="182">
        <v>3283.3333333333308</v>
      </c>
      <c r="W44" s="182">
        <v>820.83333333333269</v>
      </c>
      <c r="X44" s="475">
        <f t="shared" si="18"/>
        <v>11</v>
      </c>
      <c r="Y44" s="678"/>
      <c r="Z44" s="182">
        <v>4</v>
      </c>
      <c r="AA44" s="182">
        <v>3133.3333333333444</v>
      </c>
      <c r="AB44" s="182">
        <v>783.3333333333361</v>
      </c>
      <c r="AC44" s="475">
        <f t="shared" si="20"/>
        <v>12</v>
      </c>
      <c r="AD44" s="678"/>
      <c r="AE44" s="182">
        <v>4</v>
      </c>
      <c r="AF44" s="182">
        <v>3251.9999999999941</v>
      </c>
      <c r="AG44" s="182">
        <v>812.99999999999852</v>
      </c>
      <c r="AH44" s="475">
        <f t="shared" si="22"/>
        <v>11</v>
      </c>
      <c r="AI44" s="678"/>
      <c r="AJ44" s="182">
        <v>4</v>
      </c>
      <c r="AK44" s="182">
        <v>3392.3076923076833</v>
      </c>
      <c r="AL44" s="182">
        <v>848.07692307692082</v>
      </c>
      <c r="AM44" s="475">
        <f t="shared" si="24"/>
        <v>10</v>
      </c>
      <c r="AN44" s="678"/>
      <c r="AO44" s="182">
        <v>4</v>
      </c>
      <c r="AP44" s="182">
        <v>3053.6842105263136</v>
      </c>
      <c r="AQ44" s="182">
        <v>763.42105263157839</v>
      </c>
      <c r="AR44" s="475">
        <f t="shared" si="26"/>
        <v>13</v>
      </c>
      <c r="AS44" s="678"/>
      <c r="AT44" s="182">
        <v>4</v>
      </c>
      <c r="AU44" s="182">
        <v>3314.1176470588352</v>
      </c>
      <c r="AV44" s="182">
        <v>828.52941176470881</v>
      </c>
      <c r="AW44" s="475">
        <f t="shared" si="28"/>
        <v>12</v>
      </c>
      <c r="AX44" s="678"/>
    </row>
    <row r="45" spans="2:54">
      <c r="B45" s="692"/>
      <c r="C45" s="321">
        <v>4</v>
      </c>
      <c r="D45" s="569" t="s">
        <v>360</v>
      </c>
      <c r="E45" s="569">
        <v>3</v>
      </c>
      <c r="F45" s="569">
        <v>3200</v>
      </c>
      <c r="G45" s="182">
        <v>1066.6666666666667</v>
      </c>
      <c r="H45" s="678"/>
      <c r="I45" s="199">
        <f t="shared" si="30"/>
        <v>3</v>
      </c>
      <c r="J45" s="199">
        <f t="shared" si="31"/>
        <v>3252.3287866864434</v>
      </c>
      <c r="K45" s="200">
        <f t="shared" si="32"/>
        <v>1084.1095955621477</v>
      </c>
      <c r="L45" s="663"/>
      <c r="M45" s="199">
        <f>RANK(K45, K$42:$K$71)</f>
        <v>2</v>
      </c>
      <c r="N45" s="670"/>
      <c r="O45" s="670"/>
      <c r="P45" s="182">
        <v>3</v>
      </c>
      <c r="Q45" s="182">
        <v>3260.9638554216858</v>
      </c>
      <c r="R45" s="182">
        <v>1086.9879518072287</v>
      </c>
      <c r="S45" s="321">
        <f t="shared" si="17"/>
        <v>4</v>
      </c>
      <c r="T45" s="678"/>
      <c r="U45" s="182">
        <v>3</v>
      </c>
      <c r="V45" s="182">
        <v>3259.9999999999991</v>
      </c>
      <c r="W45" s="182">
        <v>1086.6666666666663</v>
      </c>
      <c r="X45" s="475">
        <f t="shared" si="18"/>
        <v>3</v>
      </c>
      <c r="Y45" s="678"/>
      <c r="Z45" s="182">
        <v>3</v>
      </c>
      <c r="AA45" s="182">
        <v>3192.3076923076942</v>
      </c>
      <c r="AB45" s="182">
        <v>1064.1025641025647</v>
      </c>
      <c r="AC45" s="475">
        <f t="shared" si="20"/>
        <v>1</v>
      </c>
      <c r="AD45" s="678"/>
      <c r="AE45" s="182">
        <v>3</v>
      </c>
      <c r="AF45" s="182">
        <v>3334.1538461538498</v>
      </c>
      <c r="AG45" s="182">
        <v>1111.3846153846166</v>
      </c>
      <c r="AH45" s="475">
        <f t="shared" si="22"/>
        <v>2</v>
      </c>
      <c r="AI45" s="678"/>
      <c r="AJ45" s="182">
        <v>3</v>
      </c>
      <c r="AK45" s="182">
        <v>3256.6153846153838</v>
      </c>
      <c r="AL45" s="182">
        <v>1085.5384615384612</v>
      </c>
      <c r="AM45" s="475">
        <f t="shared" si="24"/>
        <v>5</v>
      </c>
      <c r="AN45" s="678"/>
      <c r="AO45" s="182">
        <v>3</v>
      </c>
      <c r="AP45" s="182">
        <v>3185.3932584269692</v>
      </c>
      <c r="AQ45" s="182">
        <v>1061.7977528089898</v>
      </c>
      <c r="AR45" s="475">
        <f t="shared" si="26"/>
        <v>2</v>
      </c>
      <c r="AS45" s="678"/>
      <c r="AT45" s="182">
        <v>3</v>
      </c>
      <c r="AU45" s="182">
        <v>3276.8674698795203</v>
      </c>
      <c r="AV45" s="182">
        <v>1092.2891566265068</v>
      </c>
      <c r="AW45" s="475">
        <f t="shared" si="28"/>
        <v>3</v>
      </c>
      <c r="AX45" s="678"/>
    </row>
    <row r="46" spans="2:54">
      <c r="B46" s="692"/>
      <c r="C46" s="321">
        <v>5</v>
      </c>
      <c r="D46" s="569" t="s">
        <v>913</v>
      </c>
      <c r="E46" s="569">
        <v>4</v>
      </c>
      <c r="F46" s="569">
        <v>3200</v>
      </c>
      <c r="G46" s="182">
        <v>800</v>
      </c>
      <c r="H46" s="678"/>
      <c r="I46" s="199">
        <f t="shared" si="30"/>
        <v>4</v>
      </c>
      <c r="J46" s="199">
        <f t="shared" si="31"/>
        <v>3264.199423963134</v>
      </c>
      <c r="K46" s="200">
        <f t="shared" si="32"/>
        <v>816.0498559907835</v>
      </c>
      <c r="L46" s="663"/>
      <c r="M46" s="199">
        <f>RANK(K46, K$42:$K$71)</f>
        <v>11</v>
      </c>
      <c r="N46" s="670"/>
      <c r="O46" s="670"/>
      <c r="P46" s="182">
        <v>4</v>
      </c>
      <c r="Q46" s="182">
        <v>3286.4516129032286</v>
      </c>
      <c r="R46" s="182">
        <v>821.61290322580714</v>
      </c>
      <c r="S46" s="321">
        <f t="shared" si="17"/>
        <v>11</v>
      </c>
      <c r="T46" s="678"/>
      <c r="U46" s="182">
        <v>4</v>
      </c>
      <c r="V46" s="182">
        <v>3257.4193548387125</v>
      </c>
      <c r="W46" s="182">
        <v>814.35483870967812</v>
      </c>
      <c r="X46" s="475">
        <f t="shared" si="18"/>
        <v>12</v>
      </c>
      <c r="Y46" s="678"/>
      <c r="Z46" s="182">
        <v>4</v>
      </c>
      <c r="AA46" s="182">
        <v>3186.0000000000032</v>
      </c>
      <c r="AB46" s="182">
        <v>796.5000000000008</v>
      </c>
      <c r="AC46" s="475">
        <f t="shared" si="20"/>
        <v>10</v>
      </c>
      <c r="AD46" s="678"/>
      <c r="AE46" s="182">
        <v>4</v>
      </c>
      <c r="AF46" s="182">
        <v>3290.399999999991</v>
      </c>
      <c r="AG46" s="182">
        <v>822.59999999999775</v>
      </c>
      <c r="AH46" s="475">
        <f t="shared" si="22"/>
        <v>10</v>
      </c>
      <c r="AI46" s="678"/>
      <c r="AJ46" s="182">
        <v>4</v>
      </c>
      <c r="AK46" s="182">
        <v>3290.0000000000009</v>
      </c>
      <c r="AL46" s="182">
        <v>822.50000000000023</v>
      </c>
      <c r="AM46" s="475">
        <f t="shared" si="24"/>
        <v>12</v>
      </c>
      <c r="AN46" s="678"/>
      <c r="AO46" s="182">
        <v>4</v>
      </c>
      <c r="AP46" s="182">
        <v>3193.1249999999959</v>
      </c>
      <c r="AQ46" s="182">
        <v>798.28124999999898</v>
      </c>
      <c r="AR46" s="475">
        <f t="shared" si="26"/>
        <v>10</v>
      </c>
      <c r="AS46" s="678"/>
      <c r="AT46" s="182">
        <v>4</v>
      </c>
      <c r="AU46" s="182">
        <v>3346.0000000000032</v>
      </c>
      <c r="AV46" s="182">
        <v>836.5000000000008</v>
      </c>
      <c r="AW46" s="475">
        <f t="shared" si="28"/>
        <v>10</v>
      </c>
      <c r="AX46" s="678"/>
    </row>
    <row r="47" spans="2:54">
      <c r="B47" s="692"/>
      <c r="C47" s="321">
        <v>6</v>
      </c>
      <c r="D47" s="569" t="s">
        <v>914</v>
      </c>
      <c r="E47" s="569">
        <v>4</v>
      </c>
      <c r="F47" s="569">
        <v>3200</v>
      </c>
      <c r="G47" s="182">
        <v>800</v>
      </c>
      <c r="H47" s="678"/>
      <c r="I47" s="199">
        <f t="shared" si="30"/>
        <v>4</v>
      </c>
      <c r="J47" s="199">
        <f t="shared" si="31"/>
        <v>3343.9874411302881</v>
      </c>
      <c r="K47" s="200">
        <f t="shared" si="32"/>
        <v>835.99686028257202</v>
      </c>
      <c r="L47" s="663"/>
      <c r="M47" s="199">
        <f>RANK(K47, K$42:$K$71)</f>
        <v>9</v>
      </c>
      <c r="N47" s="670"/>
      <c r="O47" s="670"/>
      <c r="P47" s="182">
        <v>4</v>
      </c>
      <c r="Q47" s="182">
        <v>3410.7692307692218</v>
      </c>
      <c r="R47" s="182">
        <v>852.69230769230546</v>
      </c>
      <c r="S47" s="321">
        <f t="shared" si="17"/>
        <v>10</v>
      </c>
      <c r="T47" s="678"/>
      <c r="U47" s="182">
        <v>4</v>
      </c>
      <c r="V47" s="182">
        <v>3484.6153846153757</v>
      </c>
      <c r="W47" s="182">
        <v>871.15384615384392</v>
      </c>
      <c r="X47" s="475">
        <f t="shared" si="18"/>
        <v>9</v>
      </c>
      <c r="Y47" s="678"/>
      <c r="Z47" s="182">
        <v>4</v>
      </c>
      <c r="AA47" s="182">
        <v>3137.1428571428501</v>
      </c>
      <c r="AB47" s="182">
        <v>784.28571428571252</v>
      </c>
      <c r="AC47" s="475">
        <f t="shared" si="20"/>
        <v>11</v>
      </c>
      <c r="AD47" s="678"/>
      <c r="AE47" s="182">
        <v>4</v>
      </c>
      <c r="AF47" s="182">
        <v>3515.9999999999845</v>
      </c>
      <c r="AG47" s="182">
        <v>878.99999999999613</v>
      </c>
      <c r="AH47" s="475">
        <f t="shared" si="22"/>
        <v>9</v>
      </c>
      <c r="AI47" s="678"/>
      <c r="AJ47" s="182">
        <v>4</v>
      </c>
      <c r="AK47" s="182">
        <v>3293.9999999999854</v>
      </c>
      <c r="AL47" s="182">
        <v>823.49999999999636</v>
      </c>
      <c r="AM47" s="475">
        <f t="shared" si="24"/>
        <v>11</v>
      </c>
      <c r="AN47" s="678"/>
      <c r="AO47" s="182">
        <v>4</v>
      </c>
      <c r="AP47" s="182">
        <v>3209.9999999999932</v>
      </c>
      <c r="AQ47" s="182">
        <v>802.49999999999829</v>
      </c>
      <c r="AR47" s="475">
        <f t="shared" si="26"/>
        <v>9</v>
      </c>
      <c r="AS47" s="678"/>
      <c r="AT47" s="182">
        <v>4</v>
      </c>
      <c r="AU47" s="182">
        <v>3355.3846153846066</v>
      </c>
      <c r="AV47" s="182">
        <v>838.84615384615165</v>
      </c>
      <c r="AW47" s="475">
        <f t="shared" si="28"/>
        <v>9</v>
      </c>
      <c r="AX47" s="678"/>
    </row>
    <row r="48" spans="2:54">
      <c r="B48" s="692"/>
      <c r="C48" s="321">
        <v>7</v>
      </c>
      <c r="D48" s="569" t="s">
        <v>361</v>
      </c>
      <c r="E48" s="569">
        <v>4</v>
      </c>
      <c r="F48" s="569">
        <v>2800</v>
      </c>
      <c r="G48" s="182">
        <v>700</v>
      </c>
      <c r="H48" s="678"/>
      <c r="I48" s="199">
        <f t="shared" si="30"/>
        <v>4</v>
      </c>
      <c r="J48" s="199">
        <f t="shared" si="31"/>
        <v>3284.3441558441541</v>
      </c>
      <c r="K48" s="200">
        <f t="shared" si="32"/>
        <v>821.08603896103853</v>
      </c>
      <c r="L48" s="663"/>
      <c r="M48" s="199">
        <f>RANK(K48, K$42:$K$71)</f>
        <v>10</v>
      </c>
      <c r="N48" s="670"/>
      <c r="O48" s="670"/>
      <c r="P48" s="182">
        <v>4</v>
      </c>
      <c r="Q48" s="182">
        <v>3463.6363636363508</v>
      </c>
      <c r="R48" s="182">
        <v>865.90909090908769</v>
      </c>
      <c r="S48" s="321">
        <f t="shared" si="17"/>
        <v>9</v>
      </c>
      <c r="T48" s="678"/>
      <c r="U48" s="182">
        <v>4</v>
      </c>
      <c r="V48" s="182">
        <v>3474.5454545454418</v>
      </c>
      <c r="W48" s="182">
        <v>868.63636363636044</v>
      </c>
      <c r="X48" s="475">
        <f t="shared" si="18"/>
        <v>10</v>
      </c>
      <c r="Y48" s="678"/>
      <c r="Z48" s="182">
        <v>4</v>
      </c>
      <c r="AA48" s="182">
        <v>3035.0000000000109</v>
      </c>
      <c r="AB48" s="182">
        <v>758.75000000000273</v>
      </c>
      <c r="AC48" s="475">
        <f t="shared" si="20"/>
        <v>13</v>
      </c>
      <c r="AD48" s="678"/>
      <c r="AE48" s="182">
        <v>4</v>
      </c>
      <c r="AF48" s="182">
        <v>2982.0000000000105</v>
      </c>
      <c r="AG48" s="182">
        <v>745.50000000000261</v>
      </c>
      <c r="AH48" s="475">
        <f t="shared" si="22"/>
        <v>13</v>
      </c>
      <c r="AI48" s="678"/>
      <c r="AJ48" s="182">
        <v>4</v>
      </c>
      <c r="AK48" s="182">
        <v>3532.4999999999418</v>
      </c>
      <c r="AL48" s="182">
        <v>883.12499999998545</v>
      </c>
      <c r="AM48" s="475">
        <f t="shared" si="24"/>
        <v>9</v>
      </c>
      <c r="AN48" s="678"/>
      <c r="AO48" s="182">
        <v>4</v>
      </c>
      <c r="AP48" s="182">
        <v>3170.0000000000114</v>
      </c>
      <c r="AQ48" s="182">
        <v>792.50000000000284</v>
      </c>
      <c r="AR48" s="475">
        <f t="shared" si="26"/>
        <v>11</v>
      </c>
      <c r="AS48" s="678"/>
      <c r="AT48" s="182">
        <v>4</v>
      </c>
      <c r="AU48" s="182">
        <v>3332.7272727273084</v>
      </c>
      <c r="AV48" s="182">
        <v>833.18181818182711</v>
      </c>
      <c r="AW48" s="475">
        <f t="shared" si="28"/>
        <v>11</v>
      </c>
      <c r="AX48" s="678"/>
    </row>
    <row r="49" spans="2:50">
      <c r="B49" s="692"/>
      <c r="C49" s="321">
        <v>8</v>
      </c>
      <c r="D49" s="569" t="s">
        <v>362</v>
      </c>
      <c r="E49" s="569">
        <v>3</v>
      </c>
      <c r="F49" s="569">
        <v>3200</v>
      </c>
      <c r="G49" s="182">
        <v>1066.6666666666667</v>
      </c>
      <c r="H49" s="678"/>
      <c r="I49" s="199">
        <f t="shared" si="30"/>
        <v>3</v>
      </c>
      <c r="J49" s="199">
        <f t="shared" si="31"/>
        <v>3228.2458281063568</v>
      </c>
      <c r="K49" s="200">
        <f t="shared" si="32"/>
        <v>1076.0819427021188</v>
      </c>
      <c r="L49" s="663"/>
      <c r="M49" s="199">
        <f>RANK(K49, K$42:$K$71)</f>
        <v>4</v>
      </c>
      <c r="N49" s="670"/>
      <c r="O49" s="670"/>
      <c r="P49" s="182">
        <v>3</v>
      </c>
      <c r="Q49" s="182">
        <v>3304.2857142857165</v>
      </c>
      <c r="R49" s="182">
        <v>1101.4285714285722</v>
      </c>
      <c r="S49" s="321">
        <f t="shared" si="17"/>
        <v>1</v>
      </c>
      <c r="T49" s="678"/>
      <c r="U49" s="182">
        <v>3</v>
      </c>
      <c r="V49" s="182">
        <v>3217.2413793103474</v>
      </c>
      <c r="W49" s="182">
        <v>1072.4137931034491</v>
      </c>
      <c r="X49" s="475">
        <f t="shared" si="18"/>
        <v>5</v>
      </c>
      <c r="Y49" s="678"/>
      <c r="Z49" s="182">
        <v>3</v>
      </c>
      <c r="AA49" s="182">
        <v>3111.7241379310367</v>
      </c>
      <c r="AB49" s="182">
        <v>1037.2413793103456</v>
      </c>
      <c r="AC49" s="475">
        <f t="shared" si="20"/>
        <v>5</v>
      </c>
      <c r="AD49" s="678"/>
      <c r="AE49" s="182">
        <v>3</v>
      </c>
      <c r="AF49" s="182">
        <v>3273.6000000000008</v>
      </c>
      <c r="AG49" s="182">
        <v>1091.2000000000003</v>
      </c>
      <c r="AH49" s="475">
        <f t="shared" si="22"/>
        <v>3</v>
      </c>
      <c r="AI49" s="678"/>
      <c r="AJ49" s="182">
        <v>3</v>
      </c>
      <c r="AK49" s="182">
        <v>3260.8695652173915</v>
      </c>
      <c r="AL49" s="182">
        <v>1086.9565217391305</v>
      </c>
      <c r="AM49" s="475">
        <f t="shared" si="24"/>
        <v>4</v>
      </c>
      <c r="AN49" s="678"/>
      <c r="AO49" s="182">
        <v>3</v>
      </c>
      <c r="AP49" s="182">
        <v>3130.0000000000027</v>
      </c>
      <c r="AQ49" s="182">
        <v>1043.3333333333342</v>
      </c>
      <c r="AR49" s="475">
        <f t="shared" si="26"/>
        <v>4</v>
      </c>
      <c r="AS49" s="678"/>
      <c r="AT49" s="182">
        <v>3</v>
      </c>
      <c r="AU49" s="182">
        <v>3300.0000000000027</v>
      </c>
      <c r="AV49" s="182">
        <v>1100.0000000000009</v>
      </c>
      <c r="AW49" s="475">
        <f t="shared" si="28"/>
        <v>2</v>
      </c>
      <c r="AX49" s="678"/>
    </row>
    <row r="50" spans="2:50">
      <c r="B50" s="692"/>
      <c r="C50" s="321">
        <v>9</v>
      </c>
      <c r="D50" s="569" t="s">
        <v>363</v>
      </c>
      <c r="E50" s="569">
        <v>3</v>
      </c>
      <c r="F50" s="569">
        <v>2800</v>
      </c>
      <c r="G50" s="182">
        <v>933.33333333333337</v>
      </c>
      <c r="H50" s="678"/>
      <c r="I50" s="199">
        <f t="shared" si="30"/>
        <v>3</v>
      </c>
      <c r="J50" s="199">
        <f t="shared" si="31"/>
        <v>3262.5985764235784</v>
      </c>
      <c r="K50" s="200">
        <f t="shared" si="32"/>
        <v>1087.5328588078596</v>
      </c>
      <c r="L50" s="663"/>
      <c r="M50" s="199">
        <f>RANK(K50, K$42:$K$71)</f>
        <v>1</v>
      </c>
      <c r="N50" s="670"/>
      <c r="O50" s="670"/>
      <c r="P50" s="182">
        <v>3</v>
      </c>
      <c r="Q50" s="182">
        <v>3273.7500000000036</v>
      </c>
      <c r="R50" s="182">
        <v>1091.2500000000011</v>
      </c>
      <c r="S50" s="321">
        <f t="shared" si="17"/>
        <v>3</v>
      </c>
      <c r="T50" s="678"/>
      <c r="U50" s="182">
        <v>3</v>
      </c>
      <c r="V50" s="182">
        <v>3241.8750000000036</v>
      </c>
      <c r="W50" s="182">
        <v>1080.6250000000011</v>
      </c>
      <c r="X50" s="475">
        <f t="shared" si="18"/>
        <v>4</v>
      </c>
      <c r="Y50" s="678"/>
      <c r="Z50" s="182">
        <v>3</v>
      </c>
      <c r="AA50" s="182">
        <v>3146.2500000000036</v>
      </c>
      <c r="AB50" s="182">
        <v>1048.7500000000011</v>
      </c>
      <c r="AC50" s="475">
        <f t="shared" si="20"/>
        <v>4</v>
      </c>
      <c r="AD50" s="678"/>
      <c r="AE50" s="182">
        <v>3</v>
      </c>
      <c r="AF50" s="182">
        <v>3537.6000000000008</v>
      </c>
      <c r="AG50" s="182">
        <v>1179.2000000000003</v>
      </c>
      <c r="AH50" s="475">
        <f t="shared" si="22"/>
        <v>1</v>
      </c>
      <c r="AI50" s="678"/>
      <c r="AJ50" s="182">
        <v>3</v>
      </c>
      <c r="AK50" s="182">
        <v>3237.692307692304</v>
      </c>
      <c r="AL50" s="182">
        <v>1079.2307692307679</v>
      </c>
      <c r="AM50" s="475">
        <f t="shared" si="24"/>
        <v>6</v>
      </c>
      <c r="AN50" s="678"/>
      <c r="AO50" s="182">
        <v>3</v>
      </c>
      <c r="AP50" s="182">
        <v>3187.2727272727307</v>
      </c>
      <c r="AQ50" s="182">
        <v>1062.4242424242436</v>
      </c>
      <c r="AR50" s="475">
        <f t="shared" si="26"/>
        <v>1</v>
      </c>
      <c r="AS50" s="678"/>
      <c r="AT50" s="182">
        <v>3</v>
      </c>
      <c r="AU50" s="182">
        <v>3213.7500000000036</v>
      </c>
      <c r="AV50" s="182">
        <v>1071.2500000000011</v>
      </c>
      <c r="AW50" s="475">
        <f t="shared" si="28"/>
        <v>5</v>
      </c>
      <c r="AX50" s="678"/>
    </row>
    <row r="51" spans="2:50">
      <c r="B51" s="692"/>
      <c r="C51" s="321">
        <v>10</v>
      </c>
      <c r="D51" s="569" t="s">
        <v>364</v>
      </c>
      <c r="E51" s="569">
        <v>4</v>
      </c>
      <c r="F51" s="569">
        <v>2800</v>
      </c>
      <c r="G51" s="182">
        <v>700</v>
      </c>
      <c r="H51" s="678"/>
      <c r="I51" s="199">
        <f t="shared" si="30"/>
        <v>4</v>
      </c>
      <c r="J51" s="199">
        <f t="shared" si="31"/>
        <v>3203.885641324574</v>
      </c>
      <c r="K51" s="200">
        <f t="shared" si="32"/>
        <v>800.97141033114349</v>
      </c>
      <c r="L51" s="663"/>
      <c r="M51" s="199">
        <f>RANK(K51, K$42:$K$71)</f>
        <v>13</v>
      </c>
      <c r="N51" s="670"/>
      <c r="O51" s="670"/>
      <c r="P51" s="182">
        <v>4</v>
      </c>
      <c r="Q51" s="182">
        <v>3255.8490566037754</v>
      </c>
      <c r="R51" s="182">
        <v>813.96226415094384</v>
      </c>
      <c r="S51" s="321">
        <f t="shared" si="17"/>
        <v>13</v>
      </c>
      <c r="T51" s="678"/>
      <c r="U51" s="182">
        <v>4</v>
      </c>
      <c r="V51" s="182">
        <v>3238.8679245283038</v>
      </c>
      <c r="W51" s="182">
        <v>809.71698113207594</v>
      </c>
      <c r="X51" s="475">
        <f t="shared" si="18"/>
        <v>13</v>
      </c>
      <c r="Y51" s="678"/>
      <c r="Z51" s="182">
        <v>4</v>
      </c>
      <c r="AA51" s="182">
        <v>3191.7647058823541</v>
      </c>
      <c r="AB51" s="182">
        <v>797.94117647058852</v>
      </c>
      <c r="AC51" s="475">
        <f t="shared" si="20"/>
        <v>9</v>
      </c>
      <c r="AD51" s="678"/>
      <c r="AE51" s="182">
        <v>4</v>
      </c>
      <c r="AF51" s="182">
        <v>3122.6666666666665</v>
      </c>
      <c r="AG51" s="182">
        <v>780.66666666666663</v>
      </c>
      <c r="AH51" s="475">
        <f t="shared" si="22"/>
        <v>12</v>
      </c>
      <c r="AI51" s="678"/>
      <c r="AJ51" s="182">
        <v>4</v>
      </c>
      <c r="AK51" s="182">
        <v>3223.2558139534881</v>
      </c>
      <c r="AL51" s="182">
        <v>805.81395348837202</v>
      </c>
      <c r="AM51" s="475">
        <f t="shared" si="24"/>
        <v>13</v>
      </c>
      <c r="AN51" s="678"/>
      <c r="AO51" s="182">
        <v>4</v>
      </c>
      <c r="AP51" s="182">
        <v>3153.6842105263181</v>
      </c>
      <c r="AQ51" s="182">
        <v>788.42105263157953</v>
      </c>
      <c r="AR51" s="475">
        <f t="shared" si="26"/>
        <v>12</v>
      </c>
      <c r="AS51" s="678"/>
      <c r="AT51" s="182">
        <v>4</v>
      </c>
      <c r="AU51" s="182">
        <v>3241.1111111111127</v>
      </c>
      <c r="AV51" s="182">
        <v>810.27777777777817</v>
      </c>
      <c r="AW51" s="475">
        <f t="shared" si="28"/>
        <v>13</v>
      </c>
      <c r="AX51" s="678"/>
    </row>
    <row r="52" spans="2:50">
      <c r="B52" s="692"/>
      <c r="C52" s="321">
        <v>11</v>
      </c>
      <c r="D52" s="569" t="s">
        <v>915</v>
      </c>
      <c r="E52" s="569">
        <v>4</v>
      </c>
      <c r="F52" s="569">
        <v>2800</v>
      </c>
      <c r="G52" s="182">
        <v>700</v>
      </c>
      <c r="H52" s="678"/>
      <c r="I52" s="199">
        <f t="shared" si="30"/>
        <v>4</v>
      </c>
      <c r="J52" s="199">
        <f t="shared" si="31"/>
        <v>2822.4373176064078</v>
      </c>
      <c r="K52" s="200">
        <f t="shared" si="32"/>
        <v>705.60932940160194</v>
      </c>
      <c r="L52" s="663"/>
      <c r="M52" s="199">
        <f>RANK(K52, K$42:$K$71)</f>
        <v>17</v>
      </c>
      <c r="N52" s="670"/>
      <c r="O52" s="670"/>
      <c r="P52" s="182">
        <v>4</v>
      </c>
      <c r="Q52" s="182">
        <v>2833.8461538461534</v>
      </c>
      <c r="R52" s="182">
        <v>708.46153846153834</v>
      </c>
      <c r="S52" s="321">
        <f t="shared" si="17"/>
        <v>18</v>
      </c>
      <c r="T52" s="678"/>
      <c r="U52" s="182">
        <v>4</v>
      </c>
      <c r="V52" s="182">
        <v>2841.5624999999995</v>
      </c>
      <c r="W52" s="182">
        <v>710.39062499999989</v>
      </c>
      <c r="X52" s="475">
        <f t="shared" si="18"/>
        <v>16</v>
      </c>
      <c r="Y52" s="678"/>
      <c r="Z52" s="182">
        <v>4</v>
      </c>
      <c r="AA52" s="182">
        <v>2775.4838709677429</v>
      </c>
      <c r="AB52" s="182">
        <v>693.87096774193571</v>
      </c>
      <c r="AC52" s="475">
        <f t="shared" si="20"/>
        <v>16</v>
      </c>
      <c r="AD52" s="678"/>
      <c r="AE52" s="182">
        <v>4</v>
      </c>
      <c r="AF52" s="182">
        <v>2810.1818181818176</v>
      </c>
      <c r="AG52" s="182">
        <v>702.54545454545439</v>
      </c>
      <c r="AH52" s="475">
        <f t="shared" si="22"/>
        <v>15</v>
      </c>
      <c r="AI52" s="678"/>
      <c r="AJ52" s="182">
        <v>4</v>
      </c>
      <c r="AK52" s="182">
        <v>2861.8867924528295</v>
      </c>
      <c r="AL52" s="182">
        <v>715.47169811320737</v>
      </c>
      <c r="AM52" s="475">
        <f t="shared" si="24"/>
        <v>16</v>
      </c>
      <c r="AN52" s="678"/>
      <c r="AO52" s="182">
        <v>4</v>
      </c>
      <c r="AP52" s="182">
        <v>2795.2941176470586</v>
      </c>
      <c r="AQ52" s="182">
        <v>698.82352941176464</v>
      </c>
      <c r="AR52" s="475">
        <f t="shared" si="26"/>
        <v>18</v>
      </c>
      <c r="AS52" s="678"/>
      <c r="AT52" s="182">
        <v>4</v>
      </c>
      <c r="AU52" s="182">
        <v>2838.8059701492539</v>
      </c>
      <c r="AV52" s="182">
        <v>709.70149253731347</v>
      </c>
      <c r="AW52" s="475">
        <f t="shared" si="28"/>
        <v>17</v>
      </c>
      <c r="AX52" s="678"/>
    </row>
    <row r="53" spans="2:50">
      <c r="B53" s="692"/>
      <c r="C53" s="321">
        <v>12</v>
      </c>
      <c r="D53" s="569" t="s">
        <v>916</v>
      </c>
      <c r="E53" s="569">
        <v>4</v>
      </c>
      <c r="F53" s="569">
        <v>2800</v>
      </c>
      <c r="G53" s="182">
        <v>700</v>
      </c>
      <c r="H53" s="678"/>
      <c r="I53" s="199">
        <f t="shared" si="30"/>
        <v>4</v>
      </c>
      <c r="J53" s="199">
        <f t="shared" si="31"/>
        <v>2887.7142857142794</v>
      </c>
      <c r="K53" s="200">
        <f t="shared" si="32"/>
        <v>721.92857142856985</v>
      </c>
      <c r="L53" s="663"/>
      <c r="M53" s="199">
        <f>RANK(K53, K$42:$K$71)</f>
        <v>16</v>
      </c>
      <c r="N53" s="670"/>
      <c r="O53" s="670"/>
      <c r="P53" s="182">
        <v>4</v>
      </c>
      <c r="Q53" s="182">
        <v>2915.9999999999868</v>
      </c>
      <c r="R53" s="182">
        <v>728.9999999999967</v>
      </c>
      <c r="S53" s="321">
        <f t="shared" si="17"/>
        <v>15</v>
      </c>
      <c r="T53" s="678"/>
      <c r="U53" s="182">
        <v>4</v>
      </c>
      <c r="V53" s="182">
        <v>2933.9999999999873</v>
      </c>
      <c r="W53" s="182">
        <v>733.49999999999682</v>
      </c>
      <c r="X53" s="475">
        <f t="shared" si="18"/>
        <v>14</v>
      </c>
      <c r="Y53" s="678"/>
      <c r="Z53" s="182">
        <v>4</v>
      </c>
      <c r="AA53" s="182">
        <v>2912.9999999999873</v>
      </c>
      <c r="AB53" s="182">
        <v>728.24999999999682</v>
      </c>
      <c r="AC53" s="475">
        <f t="shared" si="20"/>
        <v>15</v>
      </c>
      <c r="AD53" s="678"/>
      <c r="AE53" s="182">
        <v>4</v>
      </c>
      <c r="AF53" s="182">
        <v>2736.00000000001</v>
      </c>
      <c r="AG53" s="182">
        <v>684.0000000000025</v>
      </c>
      <c r="AH53" s="475">
        <f t="shared" si="22"/>
        <v>18</v>
      </c>
      <c r="AI53" s="678"/>
      <c r="AJ53" s="182">
        <v>4</v>
      </c>
      <c r="AK53" s="182">
        <v>2748.0000000000095</v>
      </c>
      <c r="AL53" s="182">
        <v>687.00000000000239</v>
      </c>
      <c r="AM53" s="475">
        <f t="shared" si="24"/>
        <v>18</v>
      </c>
      <c r="AN53" s="678"/>
      <c r="AO53" s="182">
        <v>4</v>
      </c>
      <c r="AP53" s="182">
        <v>3023.9999999999868</v>
      </c>
      <c r="AQ53" s="182">
        <v>755.9999999999967</v>
      </c>
      <c r="AR53" s="475">
        <f t="shared" si="26"/>
        <v>14</v>
      </c>
      <c r="AS53" s="678"/>
      <c r="AT53" s="182">
        <v>4</v>
      </c>
      <c r="AU53" s="182">
        <v>2942.9999999999873</v>
      </c>
      <c r="AV53" s="182">
        <v>735.74999999999682</v>
      </c>
      <c r="AW53" s="475">
        <f t="shared" si="28"/>
        <v>14</v>
      </c>
      <c r="AX53" s="678"/>
    </row>
    <row r="54" spans="2:50">
      <c r="B54" s="692"/>
      <c r="C54" s="321">
        <v>13</v>
      </c>
      <c r="D54" s="569" t="s">
        <v>365</v>
      </c>
      <c r="E54" s="569">
        <v>4</v>
      </c>
      <c r="F54" s="569">
        <v>2800</v>
      </c>
      <c r="G54" s="182">
        <v>700</v>
      </c>
      <c r="H54" s="678"/>
      <c r="I54" s="199">
        <f t="shared" si="30"/>
        <v>4</v>
      </c>
      <c r="J54" s="199">
        <f t="shared" si="31"/>
        <v>2443.7142857142944</v>
      </c>
      <c r="K54" s="200">
        <f t="shared" si="32"/>
        <v>610.9285714285736</v>
      </c>
      <c r="L54" s="663"/>
      <c r="M54" s="199">
        <f>RANK(K54, K$42:$K$71)</f>
        <v>19</v>
      </c>
      <c r="N54" s="670"/>
      <c r="O54" s="670"/>
      <c r="P54" s="182">
        <v>4</v>
      </c>
      <c r="Q54" s="182">
        <v>2586.0000000000091</v>
      </c>
      <c r="R54" s="182">
        <v>646.50000000000227</v>
      </c>
      <c r="S54" s="321">
        <f t="shared" si="17"/>
        <v>19</v>
      </c>
      <c r="T54" s="678"/>
      <c r="U54" s="182">
        <v>4</v>
      </c>
      <c r="V54" s="182">
        <v>2508.0000000000086</v>
      </c>
      <c r="W54" s="182">
        <v>627.00000000000216</v>
      </c>
      <c r="X54" s="475">
        <f t="shared" si="18"/>
        <v>19</v>
      </c>
      <c r="Y54" s="678"/>
      <c r="Z54" s="182">
        <v>4</v>
      </c>
      <c r="AA54" s="182">
        <v>2430.0000000000086</v>
      </c>
      <c r="AB54" s="182">
        <v>607.50000000000216</v>
      </c>
      <c r="AC54" s="475">
        <f t="shared" si="20"/>
        <v>19</v>
      </c>
      <c r="AD54" s="678"/>
      <c r="AE54" s="182">
        <v>4</v>
      </c>
      <c r="AF54" s="182">
        <v>2136.0000000000077</v>
      </c>
      <c r="AG54" s="182">
        <v>534.00000000000193</v>
      </c>
      <c r="AH54" s="475">
        <f t="shared" si="22"/>
        <v>20</v>
      </c>
      <c r="AI54" s="678"/>
      <c r="AJ54" s="182">
        <v>4</v>
      </c>
      <c r="AK54" s="182">
        <v>2376.0000000000086</v>
      </c>
      <c r="AL54" s="182">
        <v>594.00000000000216</v>
      </c>
      <c r="AM54" s="475">
        <f t="shared" si="24"/>
        <v>19</v>
      </c>
      <c r="AN54" s="678"/>
      <c r="AO54" s="182">
        <v>4</v>
      </c>
      <c r="AP54" s="182">
        <v>2622.0000000000091</v>
      </c>
      <c r="AQ54" s="182">
        <v>655.50000000000227</v>
      </c>
      <c r="AR54" s="475">
        <f t="shared" si="26"/>
        <v>19</v>
      </c>
      <c r="AS54" s="678"/>
      <c r="AT54" s="182">
        <v>4</v>
      </c>
      <c r="AU54" s="182">
        <v>2448.0000000000086</v>
      </c>
      <c r="AV54" s="182">
        <v>612.00000000000216</v>
      </c>
      <c r="AW54" s="475">
        <f t="shared" si="28"/>
        <v>19</v>
      </c>
      <c r="AX54" s="678"/>
    </row>
    <row r="55" spans="2:50">
      <c r="B55" s="692"/>
      <c r="C55" s="321">
        <v>14</v>
      </c>
      <c r="D55" s="569" t="s">
        <v>646</v>
      </c>
      <c r="E55" s="569">
        <v>3</v>
      </c>
      <c r="F55" s="569">
        <v>2800</v>
      </c>
      <c r="G55" s="182">
        <v>933.33333333333337</v>
      </c>
      <c r="H55" s="678"/>
      <c r="I55" s="199">
        <f t="shared" si="30"/>
        <v>3</v>
      </c>
      <c r="J55" s="199">
        <f t="shared" si="31"/>
        <v>2856.6834944504126</v>
      </c>
      <c r="K55" s="200">
        <f t="shared" si="32"/>
        <v>952.22783148347116</v>
      </c>
      <c r="L55" s="663"/>
      <c r="M55" s="199">
        <f>RANK(K55, K$42:$K$71)</f>
        <v>7</v>
      </c>
      <c r="N55" s="670"/>
      <c r="O55" s="670"/>
      <c r="P55" s="182">
        <v>3</v>
      </c>
      <c r="Q55" s="182">
        <v>2886.3157894736823</v>
      </c>
      <c r="R55" s="182">
        <v>962.10526315789411</v>
      </c>
      <c r="S55" s="321">
        <f t="shared" si="17"/>
        <v>6</v>
      </c>
      <c r="T55" s="678"/>
      <c r="U55" s="182">
        <v>3</v>
      </c>
      <c r="V55" s="182">
        <v>2902.1052631578923</v>
      </c>
      <c r="W55" s="182">
        <v>967.36842105263077</v>
      </c>
      <c r="X55" s="475">
        <f t="shared" si="18"/>
        <v>6</v>
      </c>
      <c r="Y55" s="678"/>
      <c r="Z55" s="182">
        <v>3</v>
      </c>
      <c r="AA55" s="182">
        <v>2706.3157894736823</v>
      </c>
      <c r="AB55" s="182">
        <v>902.10526315789411</v>
      </c>
      <c r="AC55" s="475">
        <f t="shared" si="20"/>
        <v>7</v>
      </c>
      <c r="AD55" s="678"/>
      <c r="AE55" s="182">
        <v>3</v>
      </c>
      <c r="AF55" s="182">
        <v>2943.9999999999945</v>
      </c>
      <c r="AG55" s="182">
        <v>981.33333333333155</v>
      </c>
      <c r="AH55" s="475">
        <f t="shared" si="22"/>
        <v>6</v>
      </c>
      <c r="AI55" s="678"/>
      <c r="AJ55" s="182">
        <v>3</v>
      </c>
      <c r="AK55" s="182">
        <v>2935.7142857142962</v>
      </c>
      <c r="AL55" s="182">
        <v>978.57142857143208</v>
      </c>
      <c r="AM55" s="475">
        <f t="shared" si="24"/>
        <v>7</v>
      </c>
      <c r="AN55" s="678"/>
      <c r="AO55" s="182">
        <v>3</v>
      </c>
      <c r="AP55" s="182">
        <v>2708.9999999999991</v>
      </c>
      <c r="AQ55" s="182">
        <v>902.99999999999966</v>
      </c>
      <c r="AR55" s="475">
        <f t="shared" si="26"/>
        <v>8</v>
      </c>
      <c r="AS55" s="678"/>
      <c r="AT55" s="182">
        <v>3</v>
      </c>
      <c r="AU55" s="182">
        <v>2913.3333333333435</v>
      </c>
      <c r="AV55" s="182">
        <v>971.1111111111145</v>
      </c>
      <c r="AW55" s="475">
        <f t="shared" si="28"/>
        <v>6</v>
      </c>
      <c r="AX55" s="678"/>
    </row>
    <row r="56" spans="2:50">
      <c r="B56" s="692"/>
      <c r="C56" s="321">
        <v>15</v>
      </c>
      <c r="D56" s="569" t="s">
        <v>917</v>
      </c>
      <c r="E56" s="569">
        <v>3</v>
      </c>
      <c r="F56" s="569">
        <v>2800</v>
      </c>
      <c r="G56" s="182">
        <v>933.33333333333337</v>
      </c>
      <c r="H56" s="678"/>
      <c r="I56" s="199">
        <f t="shared" si="30"/>
        <v>3</v>
      </c>
      <c r="J56" s="199">
        <f t="shared" si="31"/>
        <v>2937.6857142857039</v>
      </c>
      <c r="K56" s="200">
        <f t="shared" si="32"/>
        <v>979.22857142856822</v>
      </c>
      <c r="L56" s="663"/>
      <c r="M56" s="199">
        <f>RANK(K56, K$42:$K$71)</f>
        <v>6</v>
      </c>
      <c r="N56" s="670"/>
      <c r="O56" s="670"/>
      <c r="P56" s="182">
        <v>3</v>
      </c>
      <c r="Q56" s="182">
        <v>2855.9999999999918</v>
      </c>
      <c r="R56" s="182">
        <v>951.99999999999727</v>
      </c>
      <c r="S56" s="321">
        <f t="shared" si="17"/>
        <v>7</v>
      </c>
      <c r="T56" s="678"/>
      <c r="U56" s="182">
        <v>3</v>
      </c>
      <c r="V56" s="182">
        <v>2829.5999999999922</v>
      </c>
      <c r="W56" s="182">
        <v>943.19999999999743</v>
      </c>
      <c r="X56" s="475">
        <f t="shared" si="18"/>
        <v>8</v>
      </c>
      <c r="Y56" s="678"/>
      <c r="Z56" s="182">
        <v>3</v>
      </c>
      <c r="AA56" s="182">
        <v>2661.5999999999922</v>
      </c>
      <c r="AB56" s="182">
        <v>887.19999999999743</v>
      </c>
      <c r="AC56" s="475">
        <f t="shared" si="20"/>
        <v>8</v>
      </c>
      <c r="AD56" s="678"/>
      <c r="AE56" s="182">
        <v>3</v>
      </c>
      <c r="AF56" s="182">
        <v>3164.9999999999859</v>
      </c>
      <c r="AG56" s="182">
        <v>1054.9999999999952</v>
      </c>
      <c r="AH56" s="475">
        <f t="shared" si="22"/>
        <v>5</v>
      </c>
      <c r="AI56" s="678"/>
      <c r="AJ56" s="182">
        <v>3</v>
      </c>
      <c r="AK56" s="182">
        <v>3305.999999999985</v>
      </c>
      <c r="AL56" s="182">
        <v>1101.999999999995</v>
      </c>
      <c r="AM56" s="475">
        <f t="shared" si="24"/>
        <v>2</v>
      </c>
      <c r="AN56" s="678"/>
      <c r="AO56" s="182">
        <v>3</v>
      </c>
      <c r="AP56" s="182">
        <v>2923.1999999999916</v>
      </c>
      <c r="AQ56" s="182">
        <v>974.39999999999725</v>
      </c>
      <c r="AR56" s="475">
        <f t="shared" si="26"/>
        <v>6</v>
      </c>
      <c r="AS56" s="678"/>
      <c r="AT56" s="182">
        <v>3</v>
      </c>
      <c r="AU56" s="182">
        <v>2822.3999999999919</v>
      </c>
      <c r="AV56" s="182">
        <v>940.79999999999734</v>
      </c>
      <c r="AW56" s="475">
        <f t="shared" si="28"/>
        <v>8</v>
      </c>
      <c r="AX56" s="678"/>
    </row>
    <row r="57" spans="2:50">
      <c r="B57" s="692"/>
      <c r="C57" s="321">
        <v>16</v>
      </c>
      <c r="D57" s="569" t="s">
        <v>918</v>
      </c>
      <c r="E57" s="569">
        <v>4</v>
      </c>
      <c r="F57" s="569">
        <v>2200</v>
      </c>
      <c r="G57" s="182">
        <v>550</v>
      </c>
      <c r="H57" s="678"/>
      <c r="I57" s="199">
        <f t="shared" si="30"/>
        <v>3</v>
      </c>
      <c r="J57" s="199">
        <f t="shared" si="31"/>
        <v>2188.6285714285686</v>
      </c>
      <c r="K57" s="200">
        <f t="shared" si="32"/>
        <v>729.54285714285629</v>
      </c>
      <c r="L57" s="663"/>
      <c r="M57" s="199">
        <f>RANK(K57, K$42:$K$71)</f>
        <v>14</v>
      </c>
      <c r="N57" s="670"/>
      <c r="O57" s="670"/>
      <c r="P57" s="182">
        <v>3</v>
      </c>
      <c r="Q57" s="182">
        <v>2358.6666666666665</v>
      </c>
      <c r="R57" s="182">
        <v>786.22222222222217</v>
      </c>
      <c r="S57" s="321">
        <f t="shared" si="17"/>
        <v>14</v>
      </c>
      <c r="T57" s="678"/>
      <c r="U57" s="182">
        <v>3</v>
      </c>
      <c r="V57" s="182">
        <v>2089.1999999999939</v>
      </c>
      <c r="W57" s="182">
        <v>696.39999999999793</v>
      </c>
      <c r="X57" s="475">
        <f t="shared" si="18"/>
        <v>18</v>
      </c>
      <c r="Y57" s="678"/>
      <c r="Z57" s="182">
        <v>3</v>
      </c>
      <c r="AA57" s="182">
        <v>2201.3333333333335</v>
      </c>
      <c r="AB57" s="182">
        <v>733.77777777777783</v>
      </c>
      <c r="AC57" s="475">
        <f t="shared" si="20"/>
        <v>14</v>
      </c>
      <c r="AD57" s="678"/>
      <c r="AE57" s="182">
        <v>3</v>
      </c>
      <c r="AF57" s="182">
        <v>2093.333333333333</v>
      </c>
      <c r="AG57" s="182">
        <v>697.77777777777771</v>
      </c>
      <c r="AH57" s="475">
        <f t="shared" si="22"/>
        <v>16</v>
      </c>
      <c r="AI57" s="678"/>
      <c r="AJ57" s="182">
        <v>3</v>
      </c>
      <c r="AK57" s="182">
        <v>2250.666666666667</v>
      </c>
      <c r="AL57" s="182">
        <v>750.22222222222229</v>
      </c>
      <c r="AM57" s="475">
        <f t="shared" si="24"/>
        <v>15</v>
      </c>
      <c r="AN57" s="678"/>
      <c r="AO57" s="182">
        <v>3</v>
      </c>
      <c r="AP57" s="182">
        <v>2209.1999999999935</v>
      </c>
      <c r="AQ57" s="182">
        <v>736.39999999999782</v>
      </c>
      <c r="AR57" s="475">
        <f t="shared" si="26"/>
        <v>15</v>
      </c>
      <c r="AS57" s="678"/>
      <c r="AT57" s="182">
        <v>3</v>
      </c>
      <c r="AU57" s="182">
        <v>2117.9999999999936</v>
      </c>
      <c r="AV57" s="182">
        <v>705.99999999999784</v>
      </c>
      <c r="AW57" s="475">
        <f t="shared" si="28"/>
        <v>18</v>
      </c>
      <c r="AX57" s="678"/>
    </row>
    <row r="58" spans="2:50">
      <c r="B58" s="692"/>
      <c r="C58" s="321">
        <v>17</v>
      </c>
      <c r="D58" s="569" t="s">
        <v>759</v>
      </c>
      <c r="E58" s="569">
        <v>8</v>
      </c>
      <c r="F58" s="569">
        <v>1500</v>
      </c>
      <c r="G58" s="182">
        <v>187.5</v>
      </c>
      <c r="H58" s="678"/>
      <c r="I58" s="199">
        <f t="shared" si="30"/>
        <v>10</v>
      </c>
      <c r="J58" s="199">
        <f t="shared" si="31"/>
        <v>1504.5240759240755</v>
      </c>
      <c r="K58" s="200">
        <f t="shared" si="32"/>
        <v>150.45240759240752</v>
      </c>
      <c r="L58" s="663"/>
      <c r="M58" s="199">
        <f>RANK(K58, K$42:$K$71)</f>
        <v>22</v>
      </c>
      <c r="N58" s="670"/>
      <c r="O58" s="670"/>
      <c r="P58" s="182">
        <v>10</v>
      </c>
      <c r="Q58" s="182">
        <v>1477.8461538461554</v>
      </c>
      <c r="R58" s="182">
        <v>147.78461538461553</v>
      </c>
      <c r="S58" s="321">
        <f t="shared" si="17"/>
        <v>22</v>
      </c>
      <c r="T58" s="678"/>
      <c r="U58" s="182">
        <v>10</v>
      </c>
      <c r="V58" s="182">
        <v>1551.0000000000014</v>
      </c>
      <c r="W58" s="182">
        <v>155.10000000000014</v>
      </c>
      <c r="X58" s="475">
        <f t="shared" si="18"/>
        <v>22</v>
      </c>
      <c r="Y58" s="678"/>
      <c r="Z58" s="182">
        <v>10</v>
      </c>
      <c r="AA58" s="182">
        <v>1513.0000000000014</v>
      </c>
      <c r="AB58" s="182">
        <v>151.30000000000013</v>
      </c>
      <c r="AC58" s="475">
        <f t="shared" si="20"/>
        <v>22</v>
      </c>
      <c r="AD58" s="678"/>
      <c r="AE58" s="182">
        <v>10</v>
      </c>
      <c r="AF58" s="182">
        <v>1458.5454545454511</v>
      </c>
      <c r="AG58" s="182">
        <v>145.8545454545451</v>
      </c>
      <c r="AH58" s="475">
        <f t="shared" si="22"/>
        <v>22</v>
      </c>
      <c r="AI58" s="678"/>
      <c r="AJ58" s="182">
        <v>10</v>
      </c>
      <c r="AK58" s="182">
        <v>1537.2000000000005</v>
      </c>
      <c r="AL58" s="182">
        <v>153.72000000000006</v>
      </c>
      <c r="AM58" s="475">
        <f t="shared" si="24"/>
        <v>22</v>
      </c>
      <c r="AN58" s="678"/>
      <c r="AO58" s="182">
        <v>10</v>
      </c>
      <c r="AP58" s="182">
        <v>1566.9999999999973</v>
      </c>
      <c r="AQ58" s="182">
        <v>156.69999999999973</v>
      </c>
      <c r="AR58" s="475">
        <f t="shared" si="26"/>
        <v>22</v>
      </c>
      <c r="AS58" s="678"/>
      <c r="AT58" s="182">
        <v>10</v>
      </c>
      <c r="AU58" s="182">
        <v>1427.0769230769213</v>
      </c>
      <c r="AV58" s="182">
        <v>142.70769230769213</v>
      </c>
      <c r="AW58" s="475">
        <f t="shared" si="28"/>
        <v>22</v>
      </c>
      <c r="AX58" s="678"/>
    </row>
    <row r="59" spans="2:50">
      <c r="B59" s="692"/>
      <c r="C59" s="321">
        <v>18</v>
      </c>
      <c r="D59" s="569" t="s">
        <v>805</v>
      </c>
      <c r="E59" s="569">
        <v>4</v>
      </c>
      <c r="F59" s="569">
        <v>2200</v>
      </c>
      <c r="G59" s="182">
        <v>550</v>
      </c>
      <c r="H59" s="678"/>
      <c r="I59" s="199">
        <f t="shared" si="30"/>
        <v>4</v>
      </c>
      <c r="J59" s="199">
        <f t="shared" si="31"/>
        <v>2297.4857142857163</v>
      </c>
      <c r="K59" s="200">
        <f t="shared" si="32"/>
        <v>574.37142857142908</v>
      </c>
      <c r="L59" s="663"/>
      <c r="M59" s="199">
        <f>RANK(K59, K$42:$K$71)</f>
        <v>20</v>
      </c>
      <c r="N59" s="670"/>
      <c r="O59" s="670"/>
      <c r="P59" s="182">
        <v>4</v>
      </c>
      <c r="Q59" s="182">
        <v>2476.8000000000084</v>
      </c>
      <c r="R59" s="182">
        <v>619.20000000000209</v>
      </c>
      <c r="S59" s="321">
        <f t="shared" si="17"/>
        <v>20</v>
      </c>
      <c r="T59" s="678"/>
      <c r="U59" s="182">
        <v>4</v>
      </c>
      <c r="V59" s="182">
        <v>2371.1999999999935</v>
      </c>
      <c r="W59" s="182">
        <v>592.79999999999836</v>
      </c>
      <c r="X59" s="475">
        <f t="shared" si="18"/>
        <v>20</v>
      </c>
      <c r="Y59" s="678"/>
      <c r="Z59" s="182">
        <v>4</v>
      </c>
      <c r="AA59" s="182">
        <v>2260.8000000000079</v>
      </c>
      <c r="AB59" s="182">
        <v>565.20000000000198</v>
      </c>
      <c r="AC59" s="475">
        <f t="shared" si="20"/>
        <v>20</v>
      </c>
      <c r="AD59" s="678"/>
      <c r="AE59" s="182">
        <v>4</v>
      </c>
      <c r="AF59" s="182">
        <v>2095.2000000000075</v>
      </c>
      <c r="AG59" s="182">
        <v>523.80000000000189</v>
      </c>
      <c r="AH59" s="475">
        <f t="shared" si="22"/>
        <v>21</v>
      </c>
      <c r="AI59" s="678"/>
      <c r="AJ59" s="182">
        <v>4</v>
      </c>
      <c r="AK59" s="182">
        <v>2210.4000000000078</v>
      </c>
      <c r="AL59" s="182">
        <v>552.60000000000196</v>
      </c>
      <c r="AM59" s="475">
        <f t="shared" si="24"/>
        <v>20</v>
      </c>
      <c r="AN59" s="678"/>
      <c r="AO59" s="182">
        <v>4</v>
      </c>
      <c r="AP59" s="182">
        <v>2390.3999999999933</v>
      </c>
      <c r="AQ59" s="182">
        <v>597.59999999999832</v>
      </c>
      <c r="AR59" s="475">
        <f t="shared" si="26"/>
        <v>20</v>
      </c>
      <c r="AS59" s="678"/>
      <c r="AT59" s="182">
        <v>4</v>
      </c>
      <c r="AU59" s="182">
        <v>2277.5999999999935</v>
      </c>
      <c r="AV59" s="182">
        <v>569.39999999999839</v>
      </c>
      <c r="AW59" s="475">
        <f t="shared" si="28"/>
        <v>20</v>
      </c>
      <c r="AX59" s="678"/>
    </row>
    <row r="60" spans="2:50">
      <c r="B60" s="692"/>
      <c r="C60" s="321">
        <v>19</v>
      </c>
      <c r="D60" s="569" t="s">
        <v>919</v>
      </c>
      <c r="E60" s="569">
        <v>3</v>
      </c>
      <c r="F60" s="569">
        <v>2800</v>
      </c>
      <c r="G60" s="182">
        <v>933.33333333333337</v>
      </c>
      <c r="H60" s="678"/>
      <c r="I60" s="199">
        <f t="shared" si="30"/>
        <v>3</v>
      </c>
      <c r="J60" s="199">
        <f t="shared" si="31"/>
        <v>2803.513262204578</v>
      </c>
      <c r="K60" s="200">
        <f t="shared" si="32"/>
        <v>934.50442073485942</v>
      </c>
      <c r="L60" s="663"/>
      <c r="M60" s="199">
        <f>RANK(K60, K$42:$K$71)</f>
        <v>8</v>
      </c>
      <c r="N60" s="670"/>
      <c r="O60" s="670"/>
      <c r="P60" s="182">
        <v>3</v>
      </c>
      <c r="Q60" s="182">
        <v>2840.3999999999965</v>
      </c>
      <c r="R60" s="182">
        <v>946.79999999999882</v>
      </c>
      <c r="S60" s="321">
        <f t="shared" si="17"/>
        <v>8</v>
      </c>
      <c r="T60" s="678"/>
      <c r="U60" s="182">
        <v>3</v>
      </c>
      <c r="V60" s="182">
        <v>2835.9183673469392</v>
      </c>
      <c r="W60" s="182">
        <v>945.30612244897975</v>
      </c>
      <c r="X60" s="475">
        <f t="shared" si="18"/>
        <v>7</v>
      </c>
      <c r="Y60" s="678"/>
      <c r="Z60" s="182">
        <v>3</v>
      </c>
      <c r="AA60" s="182">
        <v>2799.5744680851067</v>
      </c>
      <c r="AB60" s="182">
        <v>933.19148936170222</v>
      </c>
      <c r="AC60" s="475">
        <f t="shared" si="20"/>
        <v>6</v>
      </c>
      <c r="AD60" s="678"/>
      <c r="AE60" s="182">
        <v>3</v>
      </c>
      <c r="AF60" s="182">
        <v>2656</v>
      </c>
      <c r="AG60" s="182">
        <v>885.33333333333337</v>
      </c>
      <c r="AH60" s="475">
        <f t="shared" si="22"/>
        <v>8</v>
      </c>
      <c r="AI60" s="678"/>
      <c r="AJ60" s="182">
        <v>3</v>
      </c>
      <c r="AK60" s="182">
        <v>2869.5000000000045</v>
      </c>
      <c r="AL60" s="182">
        <v>956.50000000000148</v>
      </c>
      <c r="AM60" s="475">
        <f t="shared" si="24"/>
        <v>8</v>
      </c>
      <c r="AN60" s="678"/>
      <c r="AO60" s="182">
        <v>3</v>
      </c>
      <c r="AP60" s="182">
        <v>2789.9999999999968</v>
      </c>
      <c r="AQ60" s="182">
        <v>929.99999999999898</v>
      </c>
      <c r="AR60" s="475">
        <f t="shared" si="26"/>
        <v>7</v>
      </c>
      <c r="AS60" s="678"/>
      <c r="AT60" s="182">
        <v>3</v>
      </c>
      <c r="AU60" s="182">
        <v>2833.2000000000053</v>
      </c>
      <c r="AV60" s="182">
        <v>944.4000000000018</v>
      </c>
      <c r="AW60" s="475">
        <f t="shared" si="28"/>
        <v>7</v>
      </c>
      <c r="AX60" s="678"/>
    </row>
    <row r="61" spans="2:50">
      <c r="B61" s="692"/>
      <c r="C61" s="321">
        <v>20</v>
      </c>
      <c r="D61" s="569" t="s">
        <v>897</v>
      </c>
      <c r="E61" s="569">
        <v>4</v>
      </c>
      <c r="F61" s="569">
        <v>2800</v>
      </c>
      <c r="G61" s="182">
        <v>700</v>
      </c>
      <c r="H61" s="678"/>
      <c r="I61" s="559">
        <f t="shared" ref="I61:I62" si="33">AVERAGE(P61,U61,Z61,AE61,AJ61,AO61,AT61)</f>
        <v>4</v>
      </c>
      <c r="J61" s="559">
        <f t="shared" ref="J61:J62" si="34">AVERAGE(Q61,V61,AA61,AF61,AK61,AP61,AU61)</f>
        <v>2889.8347792558329</v>
      </c>
      <c r="K61" s="200">
        <f t="shared" ref="K61:K62" si="35">AVERAGE(R61,W61,AB61,AG61,AL61,AQ61,AV61)</f>
        <v>722.45869481395823</v>
      </c>
      <c r="L61" s="663"/>
      <c r="M61" s="199">
        <f>RANK(K61, K$42:$K$71)</f>
        <v>15</v>
      </c>
      <c r="N61" s="670"/>
      <c r="O61" s="670"/>
      <c r="P61" s="182">
        <v>4</v>
      </c>
      <c r="Q61" s="182">
        <v>2898.0000000000045</v>
      </c>
      <c r="R61" s="182">
        <v>724.50000000000114</v>
      </c>
      <c r="S61" s="321">
        <f t="shared" si="17"/>
        <v>16</v>
      </c>
      <c r="T61" s="678"/>
      <c r="U61" s="182">
        <v>4</v>
      </c>
      <c r="V61" s="182">
        <v>2905.2631578947412</v>
      </c>
      <c r="W61" s="182">
        <v>726.3157894736853</v>
      </c>
      <c r="X61" s="475">
        <f t="shared" si="18"/>
        <v>15</v>
      </c>
      <c r="Y61" s="678"/>
      <c r="Z61" s="182">
        <v>4</v>
      </c>
      <c r="AA61" s="182">
        <v>2772.6315789473724</v>
      </c>
      <c r="AB61" s="182">
        <v>693.1578947368431</v>
      </c>
      <c r="AC61" s="475">
        <f t="shared" si="20"/>
        <v>17</v>
      </c>
      <c r="AD61" s="678"/>
      <c r="AE61" s="182">
        <v>4</v>
      </c>
      <c r="AF61" s="182">
        <v>2919.9999999999945</v>
      </c>
      <c r="AG61" s="182">
        <v>729.99999999999864</v>
      </c>
      <c r="AH61" s="475">
        <f t="shared" si="22"/>
        <v>14</v>
      </c>
      <c r="AI61" s="678"/>
      <c r="AJ61" s="182">
        <v>4</v>
      </c>
      <c r="AK61" s="182">
        <v>3004.6153846153766</v>
      </c>
      <c r="AL61" s="182">
        <v>751.15384615384414</v>
      </c>
      <c r="AM61" s="475">
        <f t="shared" si="24"/>
        <v>14</v>
      </c>
      <c r="AN61" s="678"/>
      <c r="AO61" s="182">
        <v>4</v>
      </c>
      <c r="AP61" s="182">
        <v>2803.3333333333371</v>
      </c>
      <c r="AQ61" s="182">
        <v>700.83333333333428</v>
      </c>
      <c r="AR61" s="475">
        <f t="shared" si="26"/>
        <v>16</v>
      </c>
      <c r="AS61" s="678"/>
      <c r="AT61" s="182">
        <v>4</v>
      </c>
      <c r="AU61" s="182">
        <v>2925.0000000000036</v>
      </c>
      <c r="AV61" s="182">
        <v>731.25000000000091</v>
      </c>
      <c r="AW61" s="475">
        <f t="shared" si="28"/>
        <v>15</v>
      </c>
      <c r="AX61" s="678"/>
    </row>
    <row r="62" spans="2:50">
      <c r="B62" s="692"/>
      <c r="C62" s="321">
        <v>21</v>
      </c>
      <c r="D62" s="572" t="s">
        <v>920</v>
      </c>
      <c r="E62" s="569">
        <v>4</v>
      </c>
      <c r="F62" s="569">
        <v>2200</v>
      </c>
      <c r="G62" s="182">
        <v>550</v>
      </c>
      <c r="H62" s="678"/>
      <c r="I62" s="559">
        <f t="shared" si="33"/>
        <v>4</v>
      </c>
      <c r="J62" s="559">
        <f t="shared" si="34"/>
        <v>2189.0735930735968</v>
      </c>
      <c r="K62" s="200">
        <f t="shared" si="35"/>
        <v>547.26839826839921</v>
      </c>
      <c r="L62" s="663"/>
      <c r="M62" s="199">
        <f>RANK(K62, K$42:$K$71)</f>
        <v>21</v>
      </c>
      <c r="N62" s="670"/>
      <c r="O62" s="670"/>
      <c r="P62" s="321">
        <v>4</v>
      </c>
      <c r="Q62" s="182">
        <v>2184.0000000000082</v>
      </c>
      <c r="R62" s="322">
        <v>546.00000000000205</v>
      </c>
      <c r="S62" s="321">
        <f t="shared" si="17"/>
        <v>21</v>
      </c>
      <c r="T62" s="678"/>
      <c r="U62" s="569">
        <v>4</v>
      </c>
      <c r="V62" s="182">
        <v>2288.4000000000083</v>
      </c>
      <c r="W62" s="570">
        <v>572.10000000000207</v>
      </c>
      <c r="X62" s="475">
        <f t="shared" si="18"/>
        <v>21</v>
      </c>
      <c r="Y62" s="678"/>
      <c r="Z62" s="569">
        <v>4</v>
      </c>
      <c r="AA62" s="182">
        <v>2101.2000000000007</v>
      </c>
      <c r="AB62" s="570">
        <v>525.30000000000018</v>
      </c>
      <c r="AC62" s="475">
        <f t="shared" si="20"/>
        <v>21</v>
      </c>
      <c r="AD62" s="678"/>
      <c r="AE62" s="569">
        <v>4</v>
      </c>
      <c r="AF62" s="182">
        <v>2241.333333333333</v>
      </c>
      <c r="AG62" s="570">
        <v>560.33333333333326</v>
      </c>
      <c r="AH62" s="475">
        <f t="shared" si="22"/>
        <v>19</v>
      </c>
      <c r="AI62" s="678"/>
      <c r="AJ62" s="569">
        <v>4</v>
      </c>
      <c r="AK62" s="182">
        <v>2139.6000000000008</v>
      </c>
      <c r="AL62" s="570">
        <v>534.9000000000002</v>
      </c>
      <c r="AM62" s="475">
        <f t="shared" si="24"/>
        <v>21</v>
      </c>
      <c r="AN62" s="678"/>
      <c r="AO62" s="569">
        <v>4</v>
      </c>
      <c r="AP62" s="182">
        <v>2278.8000000000079</v>
      </c>
      <c r="AQ62" s="570">
        <v>569.70000000000198</v>
      </c>
      <c r="AR62" s="475">
        <f t="shared" si="26"/>
        <v>21</v>
      </c>
      <c r="AS62" s="678"/>
      <c r="AT62" s="569">
        <v>4</v>
      </c>
      <c r="AU62" s="182">
        <v>2090.1818181818194</v>
      </c>
      <c r="AV62" s="570">
        <v>522.54545454545485</v>
      </c>
      <c r="AW62" s="475">
        <f t="shared" si="28"/>
        <v>21</v>
      </c>
      <c r="AX62" s="678"/>
    </row>
    <row r="63" spans="2:50">
      <c r="B63" s="692"/>
      <c r="C63" s="321">
        <v>22</v>
      </c>
      <c r="D63" s="569" t="s">
        <v>921</v>
      </c>
      <c r="E63" s="569">
        <v>4</v>
      </c>
      <c r="F63" s="569">
        <v>2800</v>
      </c>
      <c r="G63" s="569">
        <v>700</v>
      </c>
      <c r="H63" s="678"/>
      <c r="I63" s="578">
        <f t="shared" ref="I63" si="36">AVERAGE(P63,U63,Z63,AE63,AJ63,AO63,AT63)</f>
        <v>4</v>
      </c>
      <c r="J63" s="578">
        <f t="shared" ref="J63" si="37">AVERAGE(Q63,V63,AA63,AF63,AK63,AP63,AU63)</f>
        <v>2810.458203670782</v>
      </c>
      <c r="K63" s="200">
        <f t="shared" ref="K63" si="38">AVERAGE(R63,W63,AB63,AG63,AL63,AQ63,AV63)</f>
        <v>702.61455091769551</v>
      </c>
      <c r="L63" s="663"/>
      <c r="M63" s="199">
        <f>RANK(K63, K$42:$K$71)</f>
        <v>18</v>
      </c>
      <c r="N63" s="670"/>
      <c r="O63" s="670"/>
      <c r="P63" s="321">
        <v>4</v>
      </c>
      <c r="Q63" s="182">
        <v>2856.8674698795171</v>
      </c>
      <c r="R63" s="322">
        <v>714.21686746987928</v>
      </c>
      <c r="S63" s="321">
        <f t="shared" si="17"/>
        <v>17</v>
      </c>
      <c r="T63" s="678"/>
      <c r="U63" s="569">
        <v>4</v>
      </c>
      <c r="V63" s="182">
        <v>2821.4814814814804</v>
      </c>
      <c r="W63" s="570">
        <v>705.3703703703701</v>
      </c>
      <c r="X63" s="475">
        <f t="shared" si="18"/>
        <v>17</v>
      </c>
      <c r="Y63" s="678"/>
      <c r="Z63" s="569">
        <v>4</v>
      </c>
      <c r="AA63" s="182">
        <v>2766.9230769230753</v>
      </c>
      <c r="AB63" s="570">
        <v>691.73076923076883</v>
      </c>
      <c r="AC63" s="475">
        <f t="shared" si="20"/>
        <v>18</v>
      </c>
      <c r="AD63" s="678"/>
      <c r="AE63" s="569">
        <v>4</v>
      </c>
      <c r="AF63" s="182">
        <v>2778.8571428571463</v>
      </c>
      <c r="AG63" s="570">
        <v>694.71428571428658</v>
      </c>
      <c r="AH63" s="475">
        <f t="shared" si="22"/>
        <v>17</v>
      </c>
      <c r="AI63" s="678"/>
      <c r="AJ63" s="569">
        <v>4</v>
      </c>
      <c r="AK63" s="182">
        <v>2806.4516129032249</v>
      </c>
      <c r="AL63" s="570">
        <v>701.61290322580624</v>
      </c>
      <c r="AM63" s="475">
        <f t="shared" si="24"/>
        <v>17</v>
      </c>
      <c r="AN63" s="678"/>
      <c r="AO63" s="569">
        <v>4</v>
      </c>
      <c r="AP63" s="182">
        <v>2798.7804878048769</v>
      </c>
      <c r="AQ63" s="570">
        <v>699.69512195121922</v>
      </c>
      <c r="AR63" s="475">
        <f t="shared" si="26"/>
        <v>17</v>
      </c>
      <c r="AS63" s="678"/>
      <c r="AT63" s="569">
        <v>4</v>
      </c>
      <c r="AU63" s="182">
        <v>2843.846153846152</v>
      </c>
      <c r="AV63" s="570">
        <v>710.961538461538</v>
      </c>
      <c r="AW63" s="475">
        <f t="shared" si="28"/>
        <v>16</v>
      </c>
      <c r="AX63" s="678"/>
    </row>
    <row r="64" spans="2:50">
      <c r="B64" s="692"/>
      <c r="C64" s="321">
        <v>23</v>
      </c>
      <c r="D64" s="569"/>
      <c r="E64" s="569"/>
      <c r="F64" s="569"/>
      <c r="G64" s="569"/>
      <c r="H64" s="678"/>
      <c r="I64" s="424"/>
      <c r="J64" s="424"/>
      <c r="K64" s="200"/>
      <c r="L64" s="663"/>
      <c r="M64" s="199" t="e">
        <f>RANK(K64, K$42:$K$71)</f>
        <v>#N/A</v>
      </c>
      <c r="N64" s="670"/>
      <c r="O64" s="670"/>
      <c r="P64" s="422"/>
      <c r="Q64" s="182"/>
      <c r="R64" s="423"/>
      <c r="S64" s="321" t="e">
        <f t="shared" si="17"/>
        <v>#N/A</v>
      </c>
      <c r="T64" s="678"/>
      <c r="U64" s="569"/>
      <c r="V64" s="182"/>
      <c r="W64" s="570"/>
      <c r="X64" s="475" t="e">
        <f t="shared" si="18"/>
        <v>#N/A</v>
      </c>
      <c r="Y64" s="678"/>
      <c r="Z64" s="569"/>
      <c r="AA64" s="182"/>
      <c r="AB64" s="570"/>
      <c r="AC64" s="475" t="e">
        <f t="shared" si="20"/>
        <v>#N/A</v>
      </c>
      <c r="AD64" s="678"/>
      <c r="AE64" s="569"/>
      <c r="AF64" s="182"/>
      <c r="AG64" s="570"/>
      <c r="AH64" s="475" t="e">
        <f t="shared" si="22"/>
        <v>#N/A</v>
      </c>
      <c r="AI64" s="678"/>
      <c r="AJ64" s="569"/>
      <c r="AK64" s="182"/>
      <c r="AL64" s="570"/>
      <c r="AM64" s="475" t="e">
        <f t="shared" si="24"/>
        <v>#N/A</v>
      </c>
      <c r="AN64" s="678"/>
      <c r="AO64" s="569"/>
      <c r="AP64" s="182"/>
      <c r="AQ64" s="570"/>
      <c r="AR64" s="475" t="e">
        <f t="shared" si="26"/>
        <v>#N/A</v>
      </c>
      <c r="AS64" s="678"/>
      <c r="AT64" s="569"/>
      <c r="AU64" s="182"/>
      <c r="AV64" s="570"/>
      <c r="AW64" s="475" t="e">
        <f t="shared" si="28"/>
        <v>#N/A</v>
      </c>
      <c r="AX64" s="678"/>
    </row>
    <row r="65" spans="2:50">
      <c r="B65" s="692"/>
      <c r="C65" s="321">
        <v>24</v>
      </c>
      <c r="D65" s="569"/>
      <c r="E65" s="569"/>
      <c r="F65" s="569"/>
      <c r="G65" s="569"/>
      <c r="H65" s="678"/>
      <c r="I65" s="424"/>
      <c r="J65" s="424"/>
      <c r="K65" s="200"/>
      <c r="L65" s="663"/>
      <c r="M65" s="199" t="e">
        <f>RANK(K65, K$42:$K$71)</f>
        <v>#N/A</v>
      </c>
      <c r="N65" s="670"/>
      <c r="O65" s="670"/>
      <c r="P65" s="422"/>
      <c r="Q65" s="182"/>
      <c r="R65" s="423"/>
      <c r="S65" s="321" t="e">
        <f t="shared" si="17"/>
        <v>#N/A</v>
      </c>
      <c r="T65" s="678"/>
      <c r="U65" s="569"/>
      <c r="V65" s="182"/>
      <c r="W65" s="570"/>
      <c r="X65" s="475" t="e">
        <f t="shared" si="18"/>
        <v>#N/A</v>
      </c>
      <c r="Y65" s="678"/>
      <c r="Z65" s="569"/>
      <c r="AA65" s="182"/>
      <c r="AB65" s="570"/>
      <c r="AC65" s="475" t="e">
        <f t="shared" si="20"/>
        <v>#N/A</v>
      </c>
      <c r="AD65" s="678"/>
      <c r="AE65" s="569"/>
      <c r="AF65" s="182"/>
      <c r="AG65" s="570"/>
      <c r="AH65" s="475" t="e">
        <f t="shared" si="22"/>
        <v>#N/A</v>
      </c>
      <c r="AI65" s="678"/>
      <c r="AJ65" s="569"/>
      <c r="AK65" s="182"/>
      <c r="AL65" s="570"/>
      <c r="AM65" s="475" t="e">
        <f t="shared" si="24"/>
        <v>#N/A</v>
      </c>
      <c r="AN65" s="678"/>
      <c r="AO65" s="569"/>
      <c r="AP65" s="182"/>
      <c r="AQ65" s="570"/>
      <c r="AR65" s="475" t="e">
        <f t="shared" si="26"/>
        <v>#N/A</v>
      </c>
      <c r="AS65" s="678"/>
      <c r="AT65" s="569"/>
      <c r="AU65" s="182"/>
      <c r="AV65" s="570"/>
      <c r="AW65" s="475" t="e">
        <f t="shared" si="28"/>
        <v>#N/A</v>
      </c>
      <c r="AX65" s="678"/>
    </row>
    <row r="66" spans="2:50">
      <c r="B66" s="692"/>
      <c r="C66" s="321">
        <v>25</v>
      </c>
      <c r="D66" s="569"/>
      <c r="E66" s="569"/>
      <c r="F66" s="569"/>
      <c r="G66" s="569"/>
      <c r="H66" s="678"/>
      <c r="I66" s="202"/>
      <c r="J66" s="202"/>
      <c r="K66" s="202"/>
      <c r="L66" s="663"/>
      <c r="M66" s="199" t="e">
        <f>RANK(K66, K$42:$K$71)</f>
        <v>#N/A</v>
      </c>
      <c r="N66" s="670"/>
      <c r="O66" s="670"/>
      <c r="P66" s="422"/>
      <c r="Q66" s="182"/>
      <c r="R66" s="423"/>
      <c r="S66" s="321" t="e">
        <f t="shared" si="17"/>
        <v>#N/A</v>
      </c>
      <c r="T66" s="678"/>
      <c r="U66" s="569"/>
      <c r="V66" s="182"/>
      <c r="W66" s="570"/>
      <c r="X66" s="475" t="e">
        <f t="shared" si="18"/>
        <v>#N/A</v>
      </c>
      <c r="Y66" s="678"/>
      <c r="Z66" s="569"/>
      <c r="AA66" s="182"/>
      <c r="AB66" s="570"/>
      <c r="AC66" s="475" t="e">
        <f t="shared" si="20"/>
        <v>#N/A</v>
      </c>
      <c r="AD66" s="678"/>
      <c r="AE66" s="569"/>
      <c r="AF66" s="182"/>
      <c r="AG66" s="570"/>
      <c r="AH66" s="475" t="e">
        <f t="shared" si="22"/>
        <v>#N/A</v>
      </c>
      <c r="AI66" s="678"/>
      <c r="AJ66" s="569"/>
      <c r="AK66" s="182"/>
      <c r="AL66" s="570"/>
      <c r="AM66" s="475" t="e">
        <f t="shared" si="24"/>
        <v>#N/A</v>
      </c>
      <c r="AN66" s="678"/>
      <c r="AO66" s="569"/>
      <c r="AP66" s="182"/>
      <c r="AQ66" s="570"/>
      <c r="AR66" s="475" t="e">
        <f t="shared" si="26"/>
        <v>#N/A</v>
      </c>
      <c r="AS66" s="678"/>
      <c r="AT66" s="569"/>
      <c r="AU66" s="182"/>
      <c r="AV66" s="570"/>
      <c r="AW66" s="475" t="e">
        <f t="shared" si="28"/>
        <v>#N/A</v>
      </c>
      <c r="AX66" s="678"/>
    </row>
    <row r="67" spans="2:50">
      <c r="B67" s="692"/>
      <c r="C67" s="321">
        <v>26</v>
      </c>
      <c r="D67" s="569"/>
      <c r="E67" s="569"/>
      <c r="F67" s="569"/>
      <c r="G67" s="569"/>
      <c r="H67" s="678"/>
      <c r="I67" s="202"/>
      <c r="J67" s="202"/>
      <c r="K67" s="202"/>
      <c r="L67" s="663"/>
      <c r="M67" s="199" t="e">
        <f>RANK(K67, K$42:$K$71)</f>
        <v>#N/A</v>
      </c>
      <c r="N67" s="670"/>
      <c r="O67" s="670"/>
      <c r="P67" s="422"/>
      <c r="Q67" s="182"/>
      <c r="R67" s="423"/>
      <c r="S67" s="321" t="e">
        <f t="shared" si="17"/>
        <v>#N/A</v>
      </c>
      <c r="T67" s="678"/>
      <c r="U67" s="569"/>
      <c r="V67" s="182"/>
      <c r="W67" s="570"/>
      <c r="X67" s="475" t="e">
        <f t="shared" si="18"/>
        <v>#N/A</v>
      </c>
      <c r="Y67" s="678"/>
      <c r="Z67" s="569"/>
      <c r="AA67" s="182"/>
      <c r="AB67" s="570"/>
      <c r="AC67" s="475" t="e">
        <f t="shared" si="20"/>
        <v>#N/A</v>
      </c>
      <c r="AD67" s="678"/>
      <c r="AE67" s="569"/>
      <c r="AF67" s="182"/>
      <c r="AG67" s="570"/>
      <c r="AH67" s="475" t="e">
        <f t="shared" si="22"/>
        <v>#N/A</v>
      </c>
      <c r="AI67" s="678"/>
      <c r="AJ67" s="569"/>
      <c r="AK67" s="182"/>
      <c r="AL67" s="570"/>
      <c r="AM67" s="475" t="e">
        <f t="shared" si="24"/>
        <v>#N/A</v>
      </c>
      <c r="AN67" s="678"/>
      <c r="AO67" s="569"/>
      <c r="AP67" s="182"/>
      <c r="AQ67" s="570"/>
      <c r="AR67" s="475" t="e">
        <f t="shared" si="26"/>
        <v>#N/A</v>
      </c>
      <c r="AS67" s="678"/>
      <c r="AT67" s="569"/>
      <c r="AU67" s="182"/>
      <c r="AV67" s="570"/>
      <c r="AW67" s="475" t="e">
        <f t="shared" si="28"/>
        <v>#N/A</v>
      </c>
      <c r="AX67" s="678"/>
    </row>
    <row r="68" spans="2:50">
      <c r="B68" s="692"/>
      <c r="C68" s="321">
        <v>27</v>
      </c>
      <c r="D68" s="569"/>
      <c r="E68" s="569"/>
      <c r="F68" s="569"/>
      <c r="G68" s="569"/>
      <c r="H68" s="678"/>
      <c r="I68" s="202"/>
      <c r="J68" s="202"/>
      <c r="K68" s="202"/>
      <c r="L68" s="663"/>
      <c r="M68" s="199" t="e">
        <f>RANK(K68, K$42:$K$71)</f>
        <v>#N/A</v>
      </c>
      <c r="N68" s="670"/>
      <c r="O68" s="670"/>
      <c r="P68" s="422"/>
      <c r="Q68" s="182"/>
      <c r="R68" s="423"/>
      <c r="S68" s="321" t="e">
        <f t="shared" si="17"/>
        <v>#N/A</v>
      </c>
      <c r="T68" s="678"/>
      <c r="U68" s="569"/>
      <c r="V68" s="182"/>
      <c r="W68" s="570"/>
      <c r="X68" s="475" t="e">
        <f t="shared" si="18"/>
        <v>#N/A</v>
      </c>
      <c r="Y68" s="678"/>
      <c r="Z68" s="569"/>
      <c r="AA68" s="182"/>
      <c r="AB68" s="570"/>
      <c r="AC68" s="475" t="e">
        <f t="shared" si="20"/>
        <v>#N/A</v>
      </c>
      <c r="AD68" s="678"/>
      <c r="AE68" s="569"/>
      <c r="AF68" s="182"/>
      <c r="AG68" s="570"/>
      <c r="AH68" s="475" t="e">
        <f t="shared" si="22"/>
        <v>#N/A</v>
      </c>
      <c r="AI68" s="678"/>
      <c r="AJ68" s="569"/>
      <c r="AK68" s="182"/>
      <c r="AL68" s="570"/>
      <c r="AM68" s="475" t="e">
        <f t="shared" si="24"/>
        <v>#N/A</v>
      </c>
      <c r="AN68" s="678"/>
      <c r="AO68" s="569"/>
      <c r="AP68" s="182"/>
      <c r="AQ68" s="570"/>
      <c r="AR68" s="475" t="e">
        <f t="shared" si="26"/>
        <v>#N/A</v>
      </c>
      <c r="AS68" s="678"/>
      <c r="AT68" s="569"/>
      <c r="AU68" s="182"/>
      <c r="AV68" s="570"/>
      <c r="AW68" s="475" t="e">
        <f t="shared" si="28"/>
        <v>#N/A</v>
      </c>
      <c r="AX68" s="678"/>
    </row>
    <row r="69" spans="2:50">
      <c r="B69" s="692"/>
      <c r="C69" s="321">
        <v>28</v>
      </c>
      <c r="D69" s="569"/>
      <c r="E69" s="569"/>
      <c r="F69" s="569"/>
      <c r="G69" s="569"/>
      <c r="H69" s="678"/>
      <c r="I69" s="202"/>
      <c r="J69" s="202"/>
      <c r="K69" s="202"/>
      <c r="L69" s="663"/>
      <c r="M69" s="199" t="e">
        <f>RANK(K69, K$42:$K$71)</f>
        <v>#N/A</v>
      </c>
      <c r="N69" s="670"/>
      <c r="O69" s="670"/>
      <c r="P69" s="422"/>
      <c r="Q69" s="182"/>
      <c r="R69" s="423"/>
      <c r="S69" s="321" t="e">
        <f t="shared" si="17"/>
        <v>#N/A</v>
      </c>
      <c r="T69" s="678"/>
      <c r="U69" s="569"/>
      <c r="V69" s="182"/>
      <c r="W69" s="570"/>
      <c r="X69" s="475" t="e">
        <f t="shared" si="18"/>
        <v>#N/A</v>
      </c>
      <c r="Y69" s="678"/>
      <c r="Z69" s="569"/>
      <c r="AA69" s="182"/>
      <c r="AB69" s="570"/>
      <c r="AC69" s="475" t="e">
        <f t="shared" si="20"/>
        <v>#N/A</v>
      </c>
      <c r="AD69" s="678"/>
      <c r="AE69" s="569"/>
      <c r="AF69" s="182"/>
      <c r="AG69" s="570"/>
      <c r="AH69" s="475" t="e">
        <f t="shared" si="22"/>
        <v>#N/A</v>
      </c>
      <c r="AI69" s="678"/>
      <c r="AJ69" s="569"/>
      <c r="AK69" s="182"/>
      <c r="AL69" s="570"/>
      <c r="AM69" s="475" t="e">
        <f t="shared" si="24"/>
        <v>#N/A</v>
      </c>
      <c r="AN69" s="678"/>
      <c r="AO69" s="569"/>
      <c r="AP69" s="182"/>
      <c r="AQ69" s="570"/>
      <c r="AR69" s="475" t="e">
        <f t="shared" si="26"/>
        <v>#N/A</v>
      </c>
      <c r="AS69" s="678"/>
      <c r="AT69" s="569"/>
      <c r="AU69" s="182"/>
      <c r="AV69" s="570"/>
      <c r="AW69" s="475" t="e">
        <f t="shared" si="28"/>
        <v>#N/A</v>
      </c>
      <c r="AX69" s="678"/>
    </row>
    <row r="70" spans="2:50">
      <c r="B70" s="692"/>
      <c r="C70" s="321">
        <v>29</v>
      </c>
      <c r="D70" s="569"/>
      <c r="E70" s="569"/>
      <c r="F70" s="569"/>
      <c r="G70" s="569"/>
      <c r="H70" s="678"/>
      <c r="I70" s="202"/>
      <c r="J70" s="202"/>
      <c r="K70" s="202"/>
      <c r="L70" s="663"/>
      <c r="M70" s="199" t="e">
        <f>RANK(K70, K$42:$K$71)</f>
        <v>#N/A</v>
      </c>
      <c r="N70" s="670"/>
      <c r="O70" s="670"/>
      <c r="P70" s="422"/>
      <c r="Q70" s="182"/>
      <c r="R70" s="423"/>
      <c r="S70" s="321" t="e">
        <f t="shared" si="17"/>
        <v>#N/A</v>
      </c>
      <c r="T70" s="678"/>
      <c r="U70" s="569"/>
      <c r="V70" s="182"/>
      <c r="W70" s="570"/>
      <c r="X70" s="475" t="e">
        <f t="shared" si="18"/>
        <v>#N/A</v>
      </c>
      <c r="Y70" s="678"/>
      <c r="Z70" s="569"/>
      <c r="AA70" s="182"/>
      <c r="AB70" s="570"/>
      <c r="AC70" s="475" t="e">
        <f t="shared" si="20"/>
        <v>#N/A</v>
      </c>
      <c r="AD70" s="678"/>
      <c r="AE70" s="569"/>
      <c r="AF70" s="182"/>
      <c r="AG70" s="570"/>
      <c r="AH70" s="475" t="e">
        <f t="shared" si="22"/>
        <v>#N/A</v>
      </c>
      <c r="AI70" s="678"/>
      <c r="AJ70" s="569"/>
      <c r="AK70" s="182"/>
      <c r="AL70" s="570"/>
      <c r="AM70" s="475" t="e">
        <f t="shared" si="24"/>
        <v>#N/A</v>
      </c>
      <c r="AN70" s="678"/>
      <c r="AO70" s="569"/>
      <c r="AP70" s="182"/>
      <c r="AQ70" s="570"/>
      <c r="AR70" s="475" t="e">
        <f t="shared" si="26"/>
        <v>#N/A</v>
      </c>
      <c r="AS70" s="678"/>
      <c r="AT70" s="569"/>
      <c r="AU70" s="182"/>
      <c r="AV70" s="570"/>
      <c r="AW70" s="475" t="e">
        <f t="shared" si="28"/>
        <v>#N/A</v>
      </c>
      <c r="AX70" s="678"/>
    </row>
    <row r="71" spans="2:50">
      <c r="B71" s="693"/>
      <c r="C71" s="321">
        <v>30</v>
      </c>
      <c r="D71" s="569"/>
      <c r="E71" s="569"/>
      <c r="F71" s="569"/>
      <c r="G71" s="569"/>
      <c r="H71" s="679"/>
      <c r="I71" s="202"/>
      <c r="J71" s="202"/>
      <c r="K71" s="202"/>
      <c r="L71" s="664"/>
      <c r="M71" s="199" t="e">
        <f>RANK(K71, K$42:$K$71)</f>
        <v>#N/A</v>
      </c>
      <c r="N71" s="671"/>
      <c r="O71" s="671"/>
      <c r="P71" s="422"/>
      <c r="Q71" s="182"/>
      <c r="R71" s="423"/>
      <c r="S71" s="321" t="e">
        <f t="shared" si="17"/>
        <v>#N/A</v>
      </c>
      <c r="T71" s="679"/>
      <c r="U71" s="569"/>
      <c r="V71" s="182"/>
      <c r="W71" s="570"/>
      <c r="X71" s="475" t="e">
        <f t="shared" si="18"/>
        <v>#N/A</v>
      </c>
      <c r="Y71" s="679"/>
      <c r="Z71" s="569"/>
      <c r="AA71" s="182"/>
      <c r="AB71" s="570"/>
      <c r="AC71" s="475" t="e">
        <f t="shared" si="20"/>
        <v>#N/A</v>
      </c>
      <c r="AD71" s="679"/>
      <c r="AE71" s="569"/>
      <c r="AF71" s="182"/>
      <c r="AG71" s="570"/>
      <c r="AH71" s="475" t="e">
        <f t="shared" si="22"/>
        <v>#N/A</v>
      </c>
      <c r="AI71" s="679"/>
      <c r="AJ71" s="569"/>
      <c r="AK71" s="182"/>
      <c r="AL71" s="570"/>
      <c r="AM71" s="475" t="e">
        <f t="shared" si="24"/>
        <v>#N/A</v>
      </c>
      <c r="AN71" s="679"/>
      <c r="AO71" s="569"/>
      <c r="AP71" s="182"/>
      <c r="AQ71" s="570"/>
      <c r="AR71" s="475" t="e">
        <f t="shared" si="26"/>
        <v>#N/A</v>
      </c>
      <c r="AS71" s="679"/>
      <c r="AT71" s="569"/>
      <c r="AU71" s="182"/>
      <c r="AV71" s="570"/>
      <c r="AW71" s="475" t="e">
        <f t="shared" si="28"/>
        <v>#N/A</v>
      </c>
      <c r="AX71" s="679"/>
    </row>
    <row r="72" spans="2:50" ht="15.75">
      <c r="B72" s="694" t="s">
        <v>163</v>
      </c>
      <c r="C72" s="695"/>
      <c r="D72" s="695"/>
      <c r="E72" s="695"/>
      <c r="F72" s="695"/>
      <c r="G72" s="695"/>
      <c r="H72" s="695"/>
      <c r="I72" s="208"/>
      <c r="J72" s="203"/>
      <c r="K72" s="208"/>
      <c r="L72" s="208"/>
      <c r="M72" s="204"/>
      <c r="N72" s="669" t="s">
        <v>156</v>
      </c>
      <c r="O72" s="669" t="s">
        <v>155</v>
      </c>
      <c r="P72" s="675">
        <f>P37+7</f>
        <v>46098</v>
      </c>
      <c r="Q72" s="676"/>
      <c r="R72" s="676"/>
      <c r="S72" s="676"/>
      <c r="T72" s="676"/>
      <c r="U72" s="672">
        <f>P72+1</f>
        <v>46099</v>
      </c>
      <c r="V72" s="673"/>
      <c r="W72" s="673"/>
      <c r="X72" s="673"/>
      <c r="Y72" s="674"/>
      <c r="Z72" s="672">
        <f>U72+1</f>
        <v>46100</v>
      </c>
      <c r="AA72" s="673"/>
      <c r="AB72" s="673"/>
      <c r="AC72" s="673"/>
      <c r="AD72" s="674"/>
      <c r="AE72" s="672">
        <f>Z72+1</f>
        <v>46101</v>
      </c>
      <c r="AF72" s="673"/>
      <c r="AG72" s="673"/>
      <c r="AH72" s="673"/>
      <c r="AI72" s="674"/>
      <c r="AJ72" s="672">
        <f>AE72+1</f>
        <v>46102</v>
      </c>
      <c r="AK72" s="673"/>
      <c r="AL72" s="673"/>
      <c r="AM72" s="673"/>
      <c r="AN72" s="674"/>
      <c r="AO72" s="672">
        <f>AJ72+1</f>
        <v>46103</v>
      </c>
      <c r="AP72" s="673"/>
      <c r="AQ72" s="673"/>
      <c r="AR72" s="673"/>
      <c r="AS72" s="674"/>
      <c r="AT72" s="672">
        <f>AO72+1</f>
        <v>46104</v>
      </c>
      <c r="AU72" s="673"/>
      <c r="AV72" s="673"/>
      <c r="AW72" s="673"/>
      <c r="AX72" s="674"/>
    </row>
    <row r="73" spans="2:50" ht="15.75">
      <c r="B73" s="683"/>
      <c r="C73" s="683"/>
      <c r="D73" s="683"/>
      <c r="E73" s="683"/>
      <c r="F73" s="683"/>
      <c r="G73" s="683"/>
      <c r="H73" s="683"/>
      <c r="I73" s="205"/>
      <c r="J73" s="205"/>
      <c r="K73" s="205"/>
      <c r="L73" s="205"/>
      <c r="M73" s="206"/>
      <c r="N73" s="671"/>
      <c r="O73" s="671"/>
      <c r="P73" s="675" t="s">
        <v>336</v>
      </c>
      <c r="Q73" s="676"/>
      <c r="R73" s="676"/>
      <c r="S73" s="676"/>
      <c r="T73" s="676"/>
      <c r="U73" s="675" t="s">
        <v>337</v>
      </c>
      <c r="V73" s="676"/>
      <c r="W73" s="676"/>
      <c r="X73" s="676"/>
      <c r="Y73" s="676"/>
      <c r="Z73" s="675" t="s">
        <v>338</v>
      </c>
      <c r="AA73" s="676"/>
      <c r="AB73" s="676"/>
      <c r="AC73" s="676"/>
      <c r="AD73" s="676"/>
      <c r="AE73" s="675" t="s">
        <v>339</v>
      </c>
      <c r="AF73" s="676"/>
      <c r="AG73" s="676"/>
      <c r="AH73" s="676"/>
      <c r="AI73" s="676"/>
      <c r="AJ73" s="675" t="s">
        <v>340</v>
      </c>
      <c r="AK73" s="676"/>
      <c r="AL73" s="676"/>
      <c r="AM73" s="676"/>
      <c r="AN73" s="676"/>
      <c r="AO73" s="675" t="s">
        <v>341</v>
      </c>
      <c r="AP73" s="676"/>
      <c r="AQ73" s="676"/>
      <c r="AR73" s="676"/>
      <c r="AS73" s="676"/>
      <c r="AT73" s="675" t="s">
        <v>342</v>
      </c>
      <c r="AU73" s="676"/>
      <c r="AV73" s="676"/>
      <c r="AW73" s="676"/>
      <c r="AX73" s="676"/>
    </row>
    <row r="74" spans="2:50">
      <c r="B74" s="669" t="s">
        <v>604</v>
      </c>
      <c r="C74" s="684" t="s">
        <v>605</v>
      </c>
      <c r="D74" s="687"/>
      <c r="E74" s="665" t="s">
        <v>606</v>
      </c>
      <c r="F74" s="666"/>
      <c r="G74" s="667"/>
      <c r="H74" s="669" t="s">
        <v>607</v>
      </c>
      <c r="I74" s="656" t="s">
        <v>608</v>
      </c>
      <c r="J74" s="657"/>
      <c r="K74" s="658"/>
      <c r="L74" s="659" t="s">
        <v>607</v>
      </c>
      <c r="M74" s="659" t="s">
        <v>609</v>
      </c>
      <c r="N74" s="669"/>
      <c r="O74" s="669" t="s">
        <v>610</v>
      </c>
      <c r="P74" s="665" t="s">
        <v>611</v>
      </c>
      <c r="Q74" s="666"/>
      <c r="R74" s="666"/>
      <c r="S74" s="667"/>
      <c r="T74" s="669" t="s">
        <v>607</v>
      </c>
      <c r="U74" s="665" t="s">
        <v>611</v>
      </c>
      <c r="V74" s="666"/>
      <c r="W74" s="666"/>
      <c r="X74" s="667"/>
      <c r="Y74" s="669" t="s">
        <v>607</v>
      </c>
      <c r="Z74" s="665" t="s">
        <v>611</v>
      </c>
      <c r="AA74" s="666"/>
      <c r="AB74" s="666"/>
      <c r="AC74" s="667"/>
      <c r="AD74" s="669" t="s">
        <v>607</v>
      </c>
      <c r="AE74" s="665" t="s">
        <v>611</v>
      </c>
      <c r="AF74" s="666"/>
      <c r="AG74" s="666"/>
      <c r="AH74" s="667"/>
      <c r="AI74" s="669" t="s">
        <v>607</v>
      </c>
      <c r="AJ74" s="665" t="s">
        <v>611</v>
      </c>
      <c r="AK74" s="666"/>
      <c r="AL74" s="666"/>
      <c r="AM74" s="667"/>
      <c r="AN74" s="669" t="s">
        <v>607</v>
      </c>
      <c r="AO74" s="665" t="s">
        <v>611</v>
      </c>
      <c r="AP74" s="666"/>
      <c r="AQ74" s="666"/>
      <c r="AR74" s="667"/>
      <c r="AS74" s="669" t="s">
        <v>607</v>
      </c>
      <c r="AT74" s="665" t="s">
        <v>611</v>
      </c>
      <c r="AU74" s="666"/>
      <c r="AV74" s="666"/>
      <c r="AW74" s="667"/>
      <c r="AX74" s="669" t="s">
        <v>607</v>
      </c>
    </row>
    <row r="75" spans="2:50">
      <c r="B75" s="670"/>
      <c r="C75" s="685"/>
      <c r="D75" s="688"/>
      <c r="E75" s="665" t="s">
        <v>612</v>
      </c>
      <c r="F75" s="666"/>
      <c r="G75" s="667"/>
      <c r="H75" s="670"/>
      <c r="I75" s="656" t="s">
        <v>612</v>
      </c>
      <c r="J75" s="657"/>
      <c r="K75" s="658"/>
      <c r="L75" s="660"/>
      <c r="M75" s="660"/>
      <c r="N75" s="670"/>
      <c r="O75" s="670"/>
      <c r="P75" s="665" t="s">
        <v>613</v>
      </c>
      <c r="Q75" s="666"/>
      <c r="R75" s="666"/>
      <c r="S75" s="667"/>
      <c r="T75" s="670"/>
      <c r="U75" s="665" t="s">
        <v>613</v>
      </c>
      <c r="V75" s="666"/>
      <c r="W75" s="666"/>
      <c r="X75" s="667"/>
      <c r="Y75" s="670"/>
      <c r="Z75" s="665" t="s">
        <v>613</v>
      </c>
      <c r="AA75" s="666"/>
      <c r="AB75" s="666"/>
      <c r="AC75" s="667"/>
      <c r="AD75" s="670"/>
      <c r="AE75" s="665" t="s">
        <v>613</v>
      </c>
      <c r="AF75" s="666"/>
      <c r="AG75" s="666"/>
      <c r="AH75" s="667"/>
      <c r="AI75" s="670"/>
      <c r="AJ75" s="665" t="s">
        <v>613</v>
      </c>
      <c r="AK75" s="666"/>
      <c r="AL75" s="666"/>
      <c r="AM75" s="667"/>
      <c r="AN75" s="670"/>
      <c r="AO75" s="665" t="s">
        <v>613</v>
      </c>
      <c r="AP75" s="666"/>
      <c r="AQ75" s="666"/>
      <c r="AR75" s="667"/>
      <c r="AS75" s="670"/>
      <c r="AT75" s="665" t="s">
        <v>613</v>
      </c>
      <c r="AU75" s="666"/>
      <c r="AV75" s="666"/>
      <c r="AW75" s="667"/>
      <c r="AX75" s="670"/>
    </row>
    <row r="76" spans="2:50">
      <c r="B76" s="671"/>
      <c r="C76" s="686"/>
      <c r="D76" s="689"/>
      <c r="E76" s="326" t="s">
        <v>614</v>
      </c>
      <c r="F76" s="326" t="s">
        <v>615</v>
      </c>
      <c r="G76" s="326" t="s">
        <v>616</v>
      </c>
      <c r="H76" s="671"/>
      <c r="I76" s="325" t="s">
        <v>614</v>
      </c>
      <c r="J76" s="325" t="s">
        <v>615</v>
      </c>
      <c r="K76" s="325" t="s">
        <v>616</v>
      </c>
      <c r="L76" s="661"/>
      <c r="M76" s="661"/>
      <c r="N76" s="670"/>
      <c r="O76" s="670"/>
      <c r="P76" s="326" t="s">
        <v>614</v>
      </c>
      <c r="Q76" s="326" t="s">
        <v>615</v>
      </c>
      <c r="R76" s="326" t="s">
        <v>616</v>
      </c>
      <c r="S76" s="326" t="s">
        <v>609</v>
      </c>
      <c r="T76" s="671"/>
      <c r="U76" s="326" t="s">
        <v>614</v>
      </c>
      <c r="V76" s="326" t="s">
        <v>615</v>
      </c>
      <c r="W76" s="326" t="s">
        <v>616</v>
      </c>
      <c r="X76" s="326" t="s">
        <v>609</v>
      </c>
      <c r="Y76" s="671"/>
      <c r="Z76" s="326" t="s">
        <v>614</v>
      </c>
      <c r="AA76" s="326" t="s">
        <v>615</v>
      </c>
      <c r="AB76" s="326" t="s">
        <v>616</v>
      </c>
      <c r="AC76" s="326" t="s">
        <v>609</v>
      </c>
      <c r="AD76" s="671"/>
      <c r="AE76" s="326" t="s">
        <v>614</v>
      </c>
      <c r="AF76" s="326" t="s">
        <v>615</v>
      </c>
      <c r="AG76" s="326" t="s">
        <v>616</v>
      </c>
      <c r="AH76" s="326" t="s">
        <v>609</v>
      </c>
      <c r="AI76" s="671"/>
      <c r="AJ76" s="326" t="s">
        <v>614</v>
      </c>
      <c r="AK76" s="326" t="s">
        <v>615</v>
      </c>
      <c r="AL76" s="326" t="s">
        <v>616</v>
      </c>
      <c r="AM76" s="326" t="s">
        <v>609</v>
      </c>
      <c r="AN76" s="671"/>
      <c r="AO76" s="326" t="s">
        <v>614</v>
      </c>
      <c r="AP76" s="326" t="s">
        <v>615</v>
      </c>
      <c r="AQ76" s="326" t="s">
        <v>616</v>
      </c>
      <c r="AR76" s="326" t="s">
        <v>609</v>
      </c>
      <c r="AS76" s="671"/>
      <c r="AT76" s="326" t="s">
        <v>614</v>
      </c>
      <c r="AU76" s="326" t="s">
        <v>615</v>
      </c>
      <c r="AV76" s="326" t="s">
        <v>616</v>
      </c>
      <c r="AW76" s="326" t="s">
        <v>609</v>
      </c>
      <c r="AX76" s="671"/>
    </row>
    <row r="77" spans="2:50">
      <c r="B77" s="691" t="s">
        <v>150</v>
      </c>
      <c r="C77" s="327">
        <v>1</v>
      </c>
      <c r="D77" s="569" t="s">
        <v>358</v>
      </c>
      <c r="E77" s="569">
        <v>3</v>
      </c>
      <c r="F77" s="569">
        <v>3200</v>
      </c>
      <c r="G77" s="182">
        <v>1066.6666666666667</v>
      </c>
      <c r="H77" s="677">
        <f>AVERAGE(G77:G106)</f>
        <v>750.54347826086962</v>
      </c>
      <c r="I77" s="536">
        <f t="shared" ref="I77:K92" si="39">AVERAGE(P77,U77,Z77,AE77,AJ77,AO77,AT77)</f>
        <v>3</v>
      </c>
      <c r="J77" s="536">
        <f t="shared" si="39"/>
        <v>3148.04960554535</v>
      </c>
      <c r="K77" s="200">
        <f t="shared" si="39"/>
        <v>1049.3498685151164</v>
      </c>
      <c r="L77" s="662">
        <f>IFERROR(AVERAGE(K77:K106),"-")</f>
        <v>771.09339536825712</v>
      </c>
      <c r="M77" s="199">
        <f>RANK(K77, K$77:$K$106)</f>
        <v>4</v>
      </c>
      <c r="N77" s="670"/>
      <c r="O77" s="670"/>
      <c r="P77" s="425">
        <v>3</v>
      </c>
      <c r="Q77" s="182">
        <v>3243.4615384615454</v>
      </c>
      <c r="R77" s="182">
        <v>1081.1538461538485</v>
      </c>
      <c r="S77" s="327">
        <f>RANK(R77, R$77:R$106)</f>
        <v>3</v>
      </c>
      <c r="T77" s="677">
        <f>AVERAGE(R77:R106)</f>
        <v>790.79904071145336</v>
      </c>
      <c r="U77" s="425">
        <v>3</v>
      </c>
      <c r="V77" s="182">
        <v>2842.9999999999986</v>
      </c>
      <c r="W77" s="182">
        <v>947.66666666666617</v>
      </c>
      <c r="X77" s="475">
        <f t="shared" ref="X77:X92" si="40">RANK(W77, W$77:W$106)</f>
        <v>6</v>
      </c>
      <c r="Y77" s="677">
        <f t="shared" ref="Y77" si="41">AVERAGE(W77:W106)</f>
        <v>767.53221044381212</v>
      </c>
      <c r="Z77" s="425">
        <v>3</v>
      </c>
      <c r="AA77" s="182">
        <v>3225.5999999999958</v>
      </c>
      <c r="AB77" s="182">
        <v>1075.1999999999987</v>
      </c>
      <c r="AC77" s="475">
        <f t="shared" ref="AC77:AC92" si="42">RANK(AB77, AB$77:AB$106)</f>
        <v>1</v>
      </c>
      <c r="AD77" s="677">
        <f t="shared" ref="AD77" si="43">AVERAGE(AB77:AB106)</f>
        <v>769.79446493486944</v>
      </c>
      <c r="AE77" s="425">
        <v>3</v>
      </c>
      <c r="AF77" s="182">
        <v>3144</v>
      </c>
      <c r="AG77" s="182">
        <v>1048</v>
      </c>
      <c r="AH77" s="475">
        <f t="shared" ref="AH77:AH92" si="44">RANK(AG77, AG$77:AG$106)</f>
        <v>5</v>
      </c>
      <c r="AI77" s="677">
        <f t="shared" ref="AI77" si="45">AVERAGE(AG77:AG106)</f>
        <v>768.17444347296168</v>
      </c>
      <c r="AJ77" s="425">
        <v>3</v>
      </c>
      <c r="AK77" s="182">
        <v>3219.0697674418602</v>
      </c>
      <c r="AL77" s="182">
        <v>1073.0232558139535</v>
      </c>
      <c r="AM77" s="475">
        <f t="shared" ref="AM77:AM92" si="46">RANK(AL77, AL$77:AL$106)</f>
        <v>4</v>
      </c>
      <c r="AN77" s="677">
        <f t="shared" ref="AN77" si="47">AVERAGE(AL77:AL106)</f>
        <v>781.77286446546645</v>
      </c>
      <c r="AO77" s="425">
        <v>3</v>
      </c>
      <c r="AP77" s="182">
        <v>3175.5555555555525</v>
      </c>
      <c r="AQ77" s="182">
        <v>1058.5185185185176</v>
      </c>
      <c r="AR77" s="475">
        <f t="shared" ref="AR77:AR92" si="48">RANK(AQ77, AQ$77:AQ$106)</f>
        <v>3</v>
      </c>
      <c r="AS77" s="677">
        <f t="shared" ref="AS77" si="49">AVERAGE(AQ77:AQ106)</f>
        <v>770.14389166377202</v>
      </c>
      <c r="AT77" s="425">
        <v>3</v>
      </c>
      <c r="AU77" s="182">
        <v>3185.660377358492</v>
      </c>
      <c r="AV77" s="182">
        <v>1061.8867924528306</v>
      </c>
      <c r="AW77" s="475">
        <f t="shared" ref="AW77:AW92" si="50">RANK(AV77, AV$77:AV$106)</f>
        <v>1</v>
      </c>
      <c r="AX77" s="677">
        <f t="shared" ref="AX77" si="51">AVERAGE(AV77:AV106)</f>
        <v>743.06209177664562</v>
      </c>
    </row>
    <row r="78" spans="2:50">
      <c r="B78" s="692"/>
      <c r="C78" s="327">
        <v>2</v>
      </c>
      <c r="D78" s="571" t="s">
        <v>359</v>
      </c>
      <c r="E78" s="569">
        <v>3</v>
      </c>
      <c r="F78" s="569">
        <v>3200</v>
      </c>
      <c r="G78" s="182">
        <v>1066.6666666666667</v>
      </c>
      <c r="H78" s="678"/>
      <c r="I78" s="536">
        <f t="shared" si="39"/>
        <v>3</v>
      </c>
      <c r="J78" s="536">
        <f t="shared" si="39"/>
        <v>3142.3616677440209</v>
      </c>
      <c r="K78" s="200">
        <f t="shared" si="39"/>
        <v>1047.453889248007</v>
      </c>
      <c r="L78" s="663"/>
      <c r="M78" s="199">
        <f>RANK(K78, K$77:$K$106)</f>
        <v>5</v>
      </c>
      <c r="N78" s="670"/>
      <c r="O78" s="670"/>
      <c r="P78" s="182">
        <v>3</v>
      </c>
      <c r="Q78" s="182">
        <v>3247.4999999999959</v>
      </c>
      <c r="R78" s="182">
        <v>1082.4999999999986</v>
      </c>
      <c r="S78" s="334">
        <f t="shared" ref="S78:S106" si="52">RANK(R78, R$77:R$106)</f>
        <v>2</v>
      </c>
      <c r="T78" s="678"/>
      <c r="U78" s="182">
        <v>3</v>
      </c>
      <c r="V78" s="182">
        <v>3059.9999999999964</v>
      </c>
      <c r="W78" s="182">
        <v>1019.9999999999987</v>
      </c>
      <c r="X78" s="475">
        <f t="shared" si="40"/>
        <v>4</v>
      </c>
      <c r="Y78" s="678"/>
      <c r="Z78" s="182">
        <v>3</v>
      </c>
      <c r="AA78" s="182">
        <v>3180.0000000000109</v>
      </c>
      <c r="AB78" s="182">
        <v>1060.0000000000036</v>
      </c>
      <c r="AC78" s="475">
        <f t="shared" si="42"/>
        <v>2</v>
      </c>
      <c r="AD78" s="678"/>
      <c r="AE78" s="182">
        <v>3</v>
      </c>
      <c r="AF78" s="182">
        <v>3015.999999999995</v>
      </c>
      <c r="AG78" s="182">
        <v>1005.3333333333317</v>
      </c>
      <c r="AH78" s="475">
        <f t="shared" si="44"/>
        <v>7</v>
      </c>
      <c r="AI78" s="678"/>
      <c r="AJ78" s="182">
        <v>3</v>
      </c>
      <c r="AK78" s="182">
        <v>3295.3846153846271</v>
      </c>
      <c r="AL78" s="182">
        <v>1098.4615384615424</v>
      </c>
      <c r="AM78" s="475">
        <f t="shared" si="46"/>
        <v>1</v>
      </c>
      <c r="AN78" s="678"/>
      <c r="AO78" s="182">
        <v>3</v>
      </c>
      <c r="AP78" s="182">
        <v>3144.7058823529369</v>
      </c>
      <c r="AQ78" s="182">
        <v>1048.2352941176457</v>
      </c>
      <c r="AR78" s="475">
        <f t="shared" si="48"/>
        <v>5</v>
      </c>
      <c r="AS78" s="678"/>
      <c r="AT78" s="182">
        <v>3</v>
      </c>
      <c r="AU78" s="182">
        <v>3052.9411764705847</v>
      </c>
      <c r="AV78" s="182">
        <v>1017.6470588235283</v>
      </c>
      <c r="AW78" s="475">
        <f t="shared" si="50"/>
        <v>5</v>
      </c>
      <c r="AX78" s="678"/>
    </row>
    <row r="79" spans="2:50">
      <c r="B79" s="692"/>
      <c r="C79" s="327">
        <v>3</v>
      </c>
      <c r="D79" s="569" t="s">
        <v>348</v>
      </c>
      <c r="E79" s="569">
        <v>4</v>
      </c>
      <c r="F79" s="569">
        <v>3200</v>
      </c>
      <c r="G79" s="182">
        <v>800</v>
      </c>
      <c r="H79" s="678"/>
      <c r="I79" s="536">
        <f t="shared" si="39"/>
        <v>4</v>
      </c>
      <c r="J79" s="536">
        <f t="shared" si="39"/>
        <v>3157.8835481561077</v>
      </c>
      <c r="K79" s="200">
        <f t="shared" si="39"/>
        <v>789.47088703902693</v>
      </c>
      <c r="L79" s="663"/>
      <c r="M79" s="199">
        <f>RANK(K79, K$77:$K$106)</f>
        <v>11</v>
      </c>
      <c r="N79" s="670"/>
      <c r="O79" s="670"/>
      <c r="P79" s="182">
        <v>4</v>
      </c>
      <c r="Q79" s="182">
        <v>3273.3333333333308</v>
      </c>
      <c r="R79" s="182">
        <v>818.33333333333269</v>
      </c>
      <c r="S79" s="334">
        <f t="shared" si="52"/>
        <v>12</v>
      </c>
      <c r="T79" s="678"/>
      <c r="U79" s="182">
        <v>4</v>
      </c>
      <c r="V79" s="182">
        <v>3151.5789473684185</v>
      </c>
      <c r="W79" s="182">
        <v>787.89473684210463</v>
      </c>
      <c r="X79" s="475">
        <f t="shared" si="40"/>
        <v>12</v>
      </c>
      <c r="Y79" s="678"/>
      <c r="Z79" s="182">
        <v>4</v>
      </c>
      <c r="AA79" s="182">
        <v>3110.5263157894715</v>
      </c>
      <c r="AB79" s="182">
        <v>777.63157894736787</v>
      </c>
      <c r="AC79" s="475">
        <f t="shared" si="42"/>
        <v>11</v>
      </c>
      <c r="AD79" s="678"/>
      <c r="AE79" s="182">
        <v>4</v>
      </c>
      <c r="AF79" s="182">
        <v>3071.2500000000109</v>
      </c>
      <c r="AG79" s="182">
        <v>767.81250000000273</v>
      </c>
      <c r="AH79" s="475">
        <f t="shared" si="44"/>
        <v>13</v>
      </c>
      <c r="AI79" s="678"/>
      <c r="AJ79" s="182">
        <v>4</v>
      </c>
      <c r="AK79" s="182">
        <v>3274.285714285726</v>
      </c>
      <c r="AL79" s="182">
        <v>818.57142857143151</v>
      </c>
      <c r="AM79" s="475">
        <f t="shared" si="46"/>
        <v>12</v>
      </c>
      <c r="AN79" s="678"/>
      <c r="AO79" s="182">
        <v>4</v>
      </c>
      <c r="AP79" s="182">
        <v>3113.6842105263268</v>
      </c>
      <c r="AQ79" s="182">
        <v>778.42105263158169</v>
      </c>
      <c r="AR79" s="475">
        <f t="shared" si="48"/>
        <v>14</v>
      </c>
      <c r="AS79" s="678"/>
      <c r="AT79" s="182">
        <v>4</v>
      </c>
      <c r="AU79" s="182">
        <v>3110.5263157894715</v>
      </c>
      <c r="AV79" s="182">
        <v>777.63157894736787</v>
      </c>
      <c r="AW79" s="475">
        <f t="shared" si="50"/>
        <v>10</v>
      </c>
      <c r="AX79" s="678"/>
    </row>
    <row r="80" spans="2:50">
      <c r="B80" s="692"/>
      <c r="C80" s="327">
        <v>4</v>
      </c>
      <c r="D80" s="569" t="s">
        <v>360</v>
      </c>
      <c r="E80" s="569">
        <v>3</v>
      </c>
      <c r="F80" s="569">
        <v>3200</v>
      </c>
      <c r="G80" s="182">
        <v>1066.6666666666667</v>
      </c>
      <c r="H80" s="678"/>
      <c r="I80" s="536">
        <f t="shared" si="39"/>
        <v>3</v>
      </c>
      <c r="J80" s="536">
        <f t="shared" si="39"/>
        <v>3183.1226226944013</v>
      </c>
      <c r="K80" s="200">
        <f t="shared" si="39"/>
        <v>1061.0408742314671</v>
      </c>
      <c r="L80" s="663"/>
      <c r="M80" s="199">
        <f>RANK(K80, K$77:$K$106)</f>
        <v>1</v>
      </c>
      <c r="N80" s="670"/>
      <c r="O80" s="670"/>
      <c r="P80" s="182">
        <v>3</v>
      </c>
      <c r="Q80" s="182">
        <v>3253.902439024389</v>
      </c>
      <c r="R80" s="182">
        <v>1084.6341463414631</v>
      </c>
      <c r="S80" s="334">
        <f t="shared" si="52"/>
        <v>1</v>
      </c>
      <c r="T80" s="678"/>
      <c r="U80" s="182">
        <v>3</v>
      </c>
      <c r="V80" s="182">
        <v>3196.8292682926817</v>
      </c>
      <c r="W80" s="182">
        <v>1065.6097560975606</v>
      </c>
      <c r="X80" s="475">
        <f t="shared" si="40"/>
        <v>2</v>
      </c>
      <c r="Y80" s="678"/>
      <c r="Z80" s="182">
        <v>3</v>
      </c>
      <c r="AA80" s="182">
        <v>3166.3291139240491</v>
      </c>
      <c r="AB80" s="182">
        <v>1055.443037974683</v>
      </c>
      <c r="AC80" s="475">
        <f t="shared" si="42"/>
        <v>3</v>
      </c>
      <c r="AD80" s="678"/>
      <c r="AE80" s="182">
        <v>3</v>
      </c>
      <c r="AF80" s="182">
        <v>3097.9411764705847</v>
      </c>
      <c r="AG80" s="182">
        <v>1032.6470588235281</v>
      </c>
      <c r="AH80" s="475">
        <f t="shared" si="44"/>
        <v>6</v>
      </c>
      <c r="AI80" s="678"/>
      <c r="AJ80" s="182">
        <v>3</v>
      </c>
      <c r="AK80" s="182">
        <v>3215.9999999999959</v>
      </c>
      <c r="AL80" s="182">
        <v>1071.9999999999986</v>
      </c>
      <c r="AM80" s="475">
        <f t="shared" si="46"/>
        <v>5</v>
      </c>
      <c r="AN80" s="678"/>
      <c r="AO80" s="182">
        <v>3</v>
      </c>
      <c r="AP80" s="182">
        <v>3177.2093023255807</v>
      </c>
      <c r="AQ80" s="182">
        <v>1059.0697674418602</v>
      </c>
      <c r="AR80" s="475">
        <f t="shared" si="48"/>
        <v>2</v>
      </c>
      <c r="AS80" s="678"/>
      <c r="AT80" s="182">
        <v>3</v>
      </c>
      <c r="AU80" s="182">
        <v>3173.6470588235288</v>
      </c>
      <c r="AV80" s="182">
        <v>1057.8823529411764</v>
      </c>
      <c r="AW80" s="475">
        <f t="shared" si="50"/>
        <v>3</v>
      </c>
      <c r="AX80" s="678"/>
    </row>
    <row r="81" spans="2:50">
      <c r="B81" s="692"/>
      <c r="C81" s="327">
        <v>5</v>
      </c>
      <c r="D81" s="569" t="s">
        <v>913</v>
      </c>
      <c r="E81" s="569">
        <v>4</v>
      </c>
      <c r="F81" s="569">
        <v>3200</v>
      </c>
      <c r="G81" s="182">
        <v>800</v>
      </c>
      <c r="H81" s="678"/>
      <c r="I81" s="536">
        <f t="shared" si="39"/>
        <v>4</v>
      </c>
      <c r="J81" s="536">
        <f t="shared" si="39"/>
        <v>3026.3589064635557</v>
      </c>
      <c r="K81" s="200">
        <f t="shared" si="39"/>
        <v>756.58972661588894</v>
      </c>
      <c r="L81" s="663"/>
      <c r="M81" s="199">
        <f>RANK(K81, K$77:$K$106)</f>
        <v>14</v>
      </c>
      <c r="N81" s="670"/>
      <c r="O81" s="670"/>
      <c r="P81" s="182">
        <v>4</v>
      </c>
      <c r="Q81" s="182">
        <v>3301.9354838709705</v>
      </c>
      <c r="R81" s="182">
        <v>825.48387096774263</v>
      </c>
      <c r="S81" s="334">
        <f t="shared" si="52"/>
        <v>10</v>
      </c>
      <c r="T81" s="678"/>
      <c r="U81" s="182">
        <v>4</v>
      </c>
      <c r="V81" s="182">
        <v>3176.2499999999959</v>
      </c>
      <c r="W81" s="182">
        <v>794.06249999999898</v>
      </c>
      <c r="X81" s="475">
        <f t="shared" si="40"/>
        <v>11</v>
      </c>
      <c r="Y81" s="678"/>
      <c r="Z81" s="182">
        <v>4</v>
      </c>
      <c r="AA81" s="182">
        <v>3104.9999999999959</v>
      </c>
      <c r="AB81" s="182">
        <v>776.24999999999898</v>
      </c>
      <c r="AC81" s="475">
        <f t="shared" si="42"/>
        <v>12</v>
      </c>
      <c r="AD81" s="678"/>
      <c r="AE81" s="182">
        <v>4</v>
      </c>
      <c r="AF81" s="182">
        <v>3175.3846153846175</v>
      </c>
      <c r="AG81" s="182">
        <v>793.84615384615438</v>
      </c>
      <c r="AH81" s="475">
        <f t="shared" si="44"/>
        <v>10</v>
      </c>
      <c r="AI81" s="678"/>
      <c r="AJ81" s="182">
        <v>4</v>
      </c>
      <c r="AK81" s="182">
        <v>3237.6000000000117</v>
      </c>
      <c r="AL81" s="182">
        <v>809.40000000000293</v>
      </c>
      <c r="AM81" s="475">
        <f t="shared" si="46"/>
        <v>13</v>
      </c>
      <c r="AN81" s="678"/>
      <c r="AO81" s="182">
        <v>4</v>
      </c>
      <c r="AP81" s="182">
        <v>3123.6363636363594</v>
      </c>
      <c r="AQ81" s="182">
        <v>780.90909090908985</v>
      </c>
      <c r="AR81" s="475">
        <f t="shared" si="48"/>
        <v>13</v>
      </c>
      <c r="AS81" s="678"/>
      <c r="AT81" s="182">
        <v>4</v>
      </c>
      <c r="AU81" s="182">
        <v>2064.7058823529387</v>
      </c>
      <c r="AV81" s="182">
        <v>516.17647058823468</v>
      </c>
      <c r="AW81" s="475">
        <f t="shared" si="50"/>
        <v>19</v>
      </c>
      <c r="AX81" s="678"/>
    </row>
    <row r="82" spans="2:50">
      <c r="B82" s="692"/>
      <c r="C82" s="327">
        <v>6</v>
      </c>
      <c r="D82" s="569" t="s">
        <v>914</v>
      </c>
      <c r="E82" s="569">
        <v>4</v>
      </c>
      <c r="F82" s="569">
        <v>3200</v>
      </c>
      <c r="G82" s="182">
        <v>800</v>
      </c>
      <c r="H82" s="678"/>
      <c r="I82" s="536">
        <f t="shared" si="39"/>
        <v>4</v>
      </c>
      <c r="J82" s="536">
        <f t="shared" si="39"/>
        <v>3241.8147566718908</v>
      </c>
      <c r="K82" s="200">
        <f t="shared" si="39"/>
        <v>810.4536891679727</v>
      </c>
      <c r="L82" s="663"/>
      <c r="M82" s="199">
        <f>RANK(K82, K$77:$K$106)</f>
        <v>9</v>
      </c>
      <c r="N82" s="670"/>
      <c r="O82" s="670"/>
      <c r="P82" s="182">
        <v>4</v>
      </c>
      <c r="Q82" s="182">
        <v>3433.8461538461452</v>
      </c>
      <c r="R82" s="182">
        <v>858.46153846153629</v>
      </c>
      <c r="S82" s="334">
        <f t="shared" si="52"/>
        <v>9</v>
      </c>
      <c r="T82" s="678"/>
      <c r="U82" s="182">
        <v>4</v>
      </c>
      <c r="V82" s="182">
        <v>3235.7142857142785</v>
      </c>
      <c r="W82" s="182">
        <v>808.92857142856963</v>
      </c>
      <c r="X82" s="475">
        <f t="shared" si="40"/>
        <v>9</v>
      </c>
      <c r="Y82" s="678"/>
      <c r="Z82" s="182">
        <v>4</v>
      </c>
      <c r="AA82" s="182">
        <v>3197.1428571428501</v>
      </c>
      <c r="AB82" s="182">
        <v>799.28571428571252</v>
      </c>
      <c r="AC82" s="475">
        <f t="shared" si="42"/>
        <v>10</v>
      </c>
      <c r="AD82" s="678"/>
      <c r="AE82" s="182">
        <v>4</v>
      </c>
      <c r="AF82" s="182">
        <v>2949.9999999999909</v>
      </c>
      <c r="AG82" s="182">
        <v>737.49999999999773</v>
      </c>
      <c r="AH82" s="475">
        <f t="shared" si="44"/>
        <v>15</v>
      </c>
      <c r="AI82" s="678"/>
      <c r="AJ82" s="182">
        <v>4</v>
      </c>
      <c r="AK82" s="182">
        <v>3479.9999999999845</v>
      </c>
      <c r="AL82" s="182">
        <v>869.99999999999613</v>
      </c>
      <c r="AM82" s="475">
        <f t="shared" si="46"/>
        <v>9</v>
      </c>
      <c r="AN82" s="678"/>
      <c r="AO82" s="182">
        <v>4</v>
      </c>
      <c r="AP82" s="182">
        <v>3155.9999999999945</v>
      </c>
      <c r="AQ82" s="182">
        <v>788.99999999999864</v>
      </c>
      <c r="AR82" s="475">
        <f t="shared" si="48"/>
        <v>11</v>
      </c>
      <c r="AS82" s="678"/>
      <c r="AT82" s="182">
        <v>4</v>
      </c>
      <c r="AU82" s="182">
        <v>3239.9999999999932</v>
      </c>
      <c r="AV82" s="182">
        <v>809.99999999999829</v>
      </c>
      <c r="AW82" s="475">
        <f t="shared" si="50"/>
        <v>8</v>
      </c>
      <c r="AX82" s="678"/>
    </row>
    <row r="83" spans="2:50">
      <c r="B83" s="692"/>
      <c r="C83" s="327">
        <v>7</v>
      </c>
      <c r="D83" s="569" t="s">
        <v>361</v>
      </c>
      <c r="E83" s="569">
        <v>4</v>
      </c>
      <c r="F83" s="569">
        <v>2800</v>
      </c>
      <c r="G83" s="182">
        <v>700</v>
      </c>
      <c r="H83" s="678"/>
      <c r="I83" s="536">
        <f t="shared" si="39"/>
        <v>4</v>
      </c>
      <c r="J83" s="536">
        <f t="shared" si="39"/>
        <v>3120.5794205794155</v>
      </c>
      <c r="K83" s="200">
        <f t="shared" si="39"/>
        <v>780.14485514485386</v>
      </c>
      <c r="L83" s="663"/>
      <c r="M83" s="199">
        <f>RANK(K83, K$77:$K$106)</f>
        <v>12</v>
      </c>
      <c r="N83" s="670"/>
      <c r="O83" s="670"/>
      <c r="P83" s="182">
        <v>4</v>
      </c>
      <c r="Q83" s="182">
        <v>3280.0000000000118</v>
      </c>
      <c r="R83" s="182">
        <v>820.00000000000296</v>
      </c>
      <c r="S83" s="334">
        <f t="shared" si="52"/>
        <v>11</v>
      </c>
      <c r="T83" s="678"/>
      <c r="U83" s="182">
        <v>4</v>
      </c>
      <c r="V83" s="182">
        <v>3055.3846153846075</v>
      </c>
      <c r="W83" s="182">
        <v>763.84615384615188</v>
      </c>
      <c r="X83" s="475">
        <f t="shared" si="40"/>
        <v>15</v>
      </c>
      <c r="Y83" s="678"/>
      <c r="Z83" s="182">
        <v>4</v>
      </c>
      <c r="AA83" s="182">
        <v>3036.9230769230689</v>
      </c>
      <c r="AB83" s="182">
        <v>759.23076923076724</v>
      </c>
      <c r="AC83" s="475">
        <f t="shared" si="42"/>
        <v>14</v>
      </c>
      <c r="AD83" s="678"/>
      <c r="AE83" s="182">
        <v>4</v>
      </c>
      <c r="AF83" s="182">
        <v>2956.3636363636251</v>
      </c>
      <c r="AG83" s="182">
        <v>739.09090909090628</v>
      </c>
      <c r="AH83" s="475">
        <f t="shared" si="44"/>
        <v>14</v>
      </c>
      <c r="AI83" s="678"/>
      <c r="AJ83" s="182">
        <v>4</v>
      </c>
      <c r="AK83" s="182">
        <v>3339.9999999999973</v>
      </c>
      <c r="AL83" s="182">
        <v>834.99999999999932</v>
      </c>
      <c r="AM83" s="475">
        <f t="shared" si="46"/>
        <v>10</v>
      </c>
      <c r="AN83" s="678"/>
      <c r="AO83" s="182">
        <v>4</v>
      </c>
      <c r="AP83" s="182">
        <v>3189.2307692307613</v>
      </c>
      <c r="AQ83" s="182">
        <v>797.30769230769033</v>
      </c>
      <c r="AR83" s="475">
        <f t="shared" si="48"/>
        <v>9</v>
      </c>
      <c r="AS83" s="678"/>
      <c r="AT83" s="182">
        <v>4</v>
      </c>
      <c r="AU83" s="182">
        <v>2986.1538461538385</v>
      </c>
      <c r="AV83" s="182">
        <v>746.53846153845961</v>
      </c>
      <c r="AW83" s="475">
        <f t="shared" si="50"/>
        <v>12</v>
      </c>
      <c r="AX83" s="678"/>
    </row>
    <row r="84" spans="2:50">
      <c r="B84" s="692"/>
      <c r="C84" s="327">
        <v>8</v>
      </c>
      <c r="D84" s="569" t="s">
        <v>362</v>
      </c>
      <c r="E84" s="569">
        <v>3</v>
      </c>
      <c r="F84" s="569">
        <v>3200</v>
      </c>
      <c r="G84" s="182">
        <v>1066.6666666666667</v>
      </c>
      <c r="H84" s="678"/>
      <c r="I84" s="536">
        <f t="shared" si="39"/>
        <v>3</v>
      </c>
      <c r="J84" s="536">
        <f t="shared" si="39"/>
        <v>3160.601327907475</v>
      </c>
      <c r="K84" s="200">
        <f t="shared" si="39"/>
        <v>1053.5337759691581</v>
      </c>
      <c r="L84" s="663"/>
      <c r="M84" s="199">
        <f>RANK(K84, K$77:$K$106)</f>
        <v>3</v>
      </c>
      <c r="N84" s="670"/>
      <c r="O84" s="670"/>
      <c r="P84" s="182">
        <v>3</v>
      </c>
      <c r="Q84" s="182">
        <v>3126.0000000000032</v>
      </c>
      <c r="R84" s="182">
        <v>1042.0000000000011</v>
      </c>
      <c r="S84" s="334">
        <f t="shared" si="52"/>
        <v>5</v>
      </c>
      <c r="T84" s="678"/>
      <c r="U84" s="182">
        <v>3</v>
      </c>
      <c r="V84" s="182">
        <v>3119.9999999999945</v>
      </c>
      <c r="W84" s="182">
        <v>1039.9999999999982</v>
      </c>
      <c r="X84" s="475">
        <f t="shared" si="40"/>
        <v>3</v>
      </c>
      <c r="Y84" s="678"/>
      <c r="Z84" s="182">
        <v>3</v>
      </c>
      <c r="AA84" s="182">
        <v>3082.0000000000032</v>
      </c>
      <c r="AB84" s="182">
        <v>1027.3333333333344</v>
      </c>
      <c r="AC84" s="475">
        <f t="shared" si="42"/>
        <v>5</v>
      </c>
      <c r="AD84" s="678"/>
      <c r="AE84" s="182">
        <v>3</v>
      </c>
      <c r="AF84" s="182">
        <v>3172.8000000000111</v>
      </c>
      <c r="AG84" s="182">
        <v>1057.6000000000038</v>
      </c>
      <c r="AH84" s="475">
        <f t="shared" si="44"/>
        <v>4</v>
      </c>
      <c r="AI84" s="678"/>
      <c r="AJ84" s="182">
        <v>3</v>
      </c>
      <c r="AK84" s="182">
        <v>3263.4782608695541</v>
      </c>
      <c r="AL84" s="182">
        <v>1087.8260869565181</v>
      </c>
      <c r="AM84" s="475">
        <f t="shared" si="46"/>
        <v>2</v>
      </c>
      <c r="AN84" s="678"/>
      <c r="AO84" s="182">
        <v>3</v>
      </c>
      <c r="AP84" s="182">
        <v>3181.9999999999945</v>
      </c>
      <c r="AQ84" s="182">
        <v>1060.6666666666649</v>
      </c>
      <c r="AR84" s="475">
        <f t="shared" si="48"/>
        <v>1</v>
      </c>
      <c r="AS84" s="678"/>
      <c r="AT84" s="182">
        <v>3</v>
      </c>
      <c r="AU84" s="182">
        <v>3177.9310344827613</v>
      </c>
      <c r="AV84" s="182">
        <v>1059.3103448275872</v>
      </c>
      <c r="AW84" s="475">
        <f t="shared" si="50"/>
        <v>2</v>
      </c>
      <c r="AX84" s="678"/>
    </row>
    <row r="85" spans="2:50">
      <c r="B85" s="692"/>
      <c r="C85" s="327">
        <v>9</v>
      </c>
      <c r="D85" s="569" t="s">
        <v>363</v>
      </c>
      <c r="E85" s="569">
        <v>3</v>
      </c>
      <c r="F85" s="569">
        <v>2800</v>
      </c>
      <c r="G85" s="182">
        <v>933.33333333333337</v>
      </c>
      <c r="H85" s="678"/>
      <c r="I85" s="536">
        <f t="shared" si="39"/>
        <v>3</v>
      </c>
      <c r="J85" s="536">
        <f t="shared" si="39"/>
        <v>3180.1362922791518</v>
      </c>
      <c r="K85" s="200">
        <f t="shared" si="39"/>
        <v>1060.0454307597172</v>
      </c>
      <c r="L85" s="663"/>
      <c r="M85" s="199">
        <f>RANK(K85, K$77:$K$106)</f>
        <v>2</v>
      </c>
      <c r="N85" s="670"/>
      <c r="O85" s="670"/>
      <c r="P85" s="182">
        <v>3</v>
      </c>
      <c r="Q85" s="182">
        <v>3238.1818181818217</v>
      </c>
      <c r="R85" s="182">
        <v>1079.3939393939406</v>
      </c>
      <c r="S85" s="334">
        <f t="shared" si="52"/>
        <v>4</v>
      </c>
      <c r="T85" s="678"/>
      <c r="U85" s="182">
        <v>3</v>
      </c>
      <c r="V85" s="182">
        <v>3201.8181818181856</v>
      </c>
      <c r="W85" s="182">
        <v>1067.2727272727286</v>
      </c>
      <c r="X85" s="475">
        <f t="shared" si="40"/>
        <v>1</v>
      </c>
      <c r="Y85" s="678"/>
      <c r="Z85" s="182">
        <v>3</v>
      </c>
      <c r="AA85" s="182">
        <v>3147.2727272727307</v>
      </c>
      <c r="AB85" s="182">
        <v>1049.0909090909101</v>
      </c>
      <c r="AC85" s="475">
        <f t="shared" si="42"/>
        <v>4</v>
      </c>
      <c r="AD85" s="678"/>
      <c r="AE85" s="182">
        <v>3</v>
      </c>
      <c r="AF85" s="182">
        <v>3182.1428571428596</v>
      </c>
      <c r="AG85" s="182">
        <v>1060.7142857142865</v>
      </c>
      <c r="AH85" s="475">
        <f t="shared" si="44"/>
        <v>3</v>
      </c>
      <c r="AI85" s="678"/>
      <c r="AJ85" s="182">
        <v>3</v>
      </c>
      <c r="AK85" s="182">
        <v>3221.5384615384583</v>
      </c>
      <c r="AL85" s="182">
        <v>1073.8461538461527</v>
      </c>
      <c r="AM85" s="475">
        <f t="shared" si="46"/>
        <v>3</v>
      </c>
      <c r="AN85" s="678"/>
      <c r="AO85" s="182">
        <v>3</v>
      </c>
      <c r="AP85" s="182">
        <v>3151.7647058823568</v>
      </c>
      <c r="AQ85" s="182">
        <v>1050.5882352941189</v>
      </c>
      <c r="AR85" s="475">
        <f t="shared" si="48"/>
        <v>4</v>
      </c>
      <c r="AS85" s="678"/>
      <c r="AT85" s="182">
        <v>3</v>
      </c>
      <c r="AU85" s="182">
        <v>3118.2352941176509</v>
      </c>
      <c r="AV85" s="182">
        <v>1039.4117647058836</v>
      </c>
      <c r="AW85" s="475">
        <f t="shared" si="50"/>
        <v>4</v>
      </c>
      <c r="AX85" s="678"/>
    </row>
    <row r="86" spans="2:50">
      <c r="B86" s="692"/>
      <c r="C86" s="327">
        <v>10</v>
      </c>
      <c r="D86" s="569" t="s">
        <v>364</v>
      </c>
      <c r="E86" s="569">
        <v>4</v>
      </c>
      <c r="F86" s="569">
        <v>2800</v>
      </c>
      <c r="G86" s="182">
        <v>700</v>
      </c>
      <c r="H86" s="678"/>
      <c r="I86" s="536">
        <f t="shared" si="39"/>
        <v>4</v>
      </c>
      <c r="J86" s="536">
        <f t="shared" si="39"/>
        <v>3198.5455290051564</v>
      </c>
      <c r="K86" s="200">
        <f t="shared" si="39"/>
        <v>799.63638225128909</v>
      </c>
      <c r="L86" s="663"/>
      <c r="M86" s="199">
        <f>RANK(K86, K$77:$K$106)</f>
        <v>10</v>
      </c>
      <c r="N86" s="670"/>
      <c r="O86" s="670"/>
      <c r="P86" s="182">
        <v>4</v>
      </c>
      <c r="Q86" s="182">
        <v>3230.0000000000018</v>
      </c>
      <c r="R86" s="182">
        <v>807.50000000000045</v>
      </c>
      <c r="S86" s="334">
        <f t="shared" si="52"/>
        <v>13</v>
      </c>
      <c r="T86" s="678"/>
      <c r="U86" s="182">
        <v>4</v>
      </c>
      <c r="V86" s="182">
        <v>3182.181818181818</v>
      </c>
      <c r="W86" s="182">
        <v>795.5454545454545</v>
      </c>
      <c r="X86" s="475">
        <f t="shared" si="40"/>
        <v>10</v>
      </c>
      <c r="Y86" s="678"/>
      <c r="Z86" s="182">
        <v>4</v>
      </c>
      <c r="AA86" s="182">
        <v>3197.3076923076915</v>
      </c>
      <c r="AB86" s="182">
        <v>799.32692307692287</v>
      </c>
      <c r="AC86" s="475">
        <f t="shared" si="42"/>
        <v>9</v>
      </c>
      <c r="AD86" s="678"/>
      <c r="AE86" s="182">
        <v>4</v>
      </c>
      <c r="AF86" s="182">
        <v>3133.0434782608695</v>
      </c>
      <c r="AG86" s="182">
        <v>783.26086956521738</v>
      </c>
      <c r="AH86" s="475">
        <f t="shared" si="44"/>
        <v>11</v>
      </c>
      <c r="AI86" s="678"/>
      <c r="AJ86" s="182">
        <v>4</v>
      </c>
      <c r="AK86" s="182">
        <v>3318.5714285714275</v>
      </c>
      <c r="AL86" s="182">
        <v>829.64285714285688</v>
      </c>
      <c r="AM86" s="475">
        <f t="shared" si="46"/>
        <v>11</v>
      </c>
      <c r="AN86" s="678"/>
      <c r="AO86" s="182">
        <v>4</v>
      </c>
      <c r="AP86" s="182">
        <v>3160.7142857142858</v>
      </c>
      <c r="AQ86" s="182">
        <v>790.17857142857144</v>
      </c>
      <c r="AR86" s="475">
        <f t="shared" si="48"/>
        <v>10</v>
      </c>
      <c r="AS86" s="678"/>
      <c r="AT86" s="182">
        <v>4</v>
      </c>
      <c r="AU86" s="182">
        <v>3167.9999999999995</v>
      </c>
      <c r="AV86" s="182">
        <v>791.99999999999989</v>
      </c>
      <c r="AW86" s="475">
        <f t="shared" si="50"/>
        <v>9</v>
      </c>
      <c r="AX86" s="678"/>
    </row>
    <row r="87" spans="2:50">
      <c r="B87" s="692"/>
      <c r="C87" s="327">
        <v>11</v>
      </c>
      <c r="D87" s="569" t="s">
        <v>915</v>
      </c>
      <c r="E87" s="569">
        <v>4</v>
      </c>
      <c r="F87" s="569">
        <v>2800</v>
      </c>
      <c r="G87" s="182">
        <v>700</v>
      </c>
      <c r="H87" s="678"/>
      <c r="I87" s="536">
        <f t="shared" si="39"/>
        <v>4</v>
      </c>
      <c r="J87" s="536">
        <f t="shared" si="39"/>
        <v>3033.7514066023068</v>
      </c>
      <c r="K87" s="200">
        <f t="shared" si="39"/>
        <v>758.4378516505767</v>
      </c>
      <c r="L87" s="663"/>
      <c r="M87" s="199">
        <f>RANK(K87, K$77:$K$106)</f>
        <v>13</v>
      </c>
      <c r="N87" s="670"/>
      <c r="O87" s="670"/>
      <c r="P87" s="182">
        <v>4</v>
      </c>
      <c r="Q87" s="182">
        <v>2858.76923076923</v>
      </c>
      <c r="R87" s="182">
        <v>714.69230769230751</v>
      </c>
      <c r="S87" s="334">
        <f t="shared" si="52"/>
        <v>17</v>
      </c>
      <c r="T87" s="678"/>
      <c r="U87" s="182">
        <v>4</v>
      </c>
      <c r="V87" s="182">
        <v>2763.6363636363667</v>
      </c>
      <c r="W87" s="182">
        <v>690.90909090909167</v>
      </c>
      <c r="X87" s="475">
        <f t="shared" si="40"/>
        <v>19</v>
      </c>
      <c r="Y87" s="678"/>
      <c r="Z87" s="182">
        <v>4</v>
      </c>
      <c r="AA87" s="182">
        <v>2793.3333333333289</v>
      </c>
      <c r="AB87" s="182">
        <v>698.33333333333223</v>
      </c>
      <c r="AC87" s="475">
        <f t="shared" si="42"/>
        <v>16</v>
      </c>
      <c r="AD87" s="678"/>
      <c r="AE87" s="182">
        <v>4</v>
      </c>
      <c r="AF87" s="182">
        <v>4381.7142857142917</v>
      </c>
      <c r="AG87" s="182">
        <v>1095.4285714285729</v>
      </c>
      <c r="AH87" s="475">
        <f t="shared" si="44"/>
        <v>1</v>
      </c>
      <c r="AI87" s="678"/>
      <c r="AJ87" s="182">
        <v>4</v>
      </c>
      <c r="AK87" s="182">
        <v>2858.4905660377331</v>
      </c>
      <c r="AL87" s="182">
        <v>714.62264150943327</v>
      </c>
      <c r="AM87" s="475">
        <f t="shared" si="46"/>
        <v>17</v>
      </c>
      <c r="AN87" s="678"/>
      <c r="AO87" s="182">
        <v>4</v>
      </c>
      <c r="AP87" s="182">
        <v>2798.8235294117649</v>
      </c>
      <c r="AQ87" s="182">
        <v>699.70588235294122</v>
      </c>
      <c r="AR87" s="475">
        <f t="shared" si="48"/>
        <v>16</v>
      </c>
      <c r="AS87" s="678"/>
      <c r="AT87" s="182">
        <v>4</v>
      </c>
      <c r="AU87" s="182">
        <v>2781.4925373134329</v>
      </c>
      <c r="AV87" s="182">
        <v>695.37313432835822</v>
      </c>
      <c r="AW87" s="475">
        <f t="shared" si="50"/>
        <v>14</v>
      </c>
      <c r="AX87" s="678"/>
    </row>
    <row r="88" spans="2:50">
      <c r="B88" s="692"/>
      <c r="C88" s="327">
        <v>12</v>
      </c>
      <c r="D88" s="569" t="s">
        <v>916</v>
      </c>
      <c r="E88" s="569">
        <v>4</v>
      </c>
      <c r="F88" s="569">
        <v>2800</v>
      </c>
      <c r="G88" s="182">
        <v>700</v>
      </c>
      <c r="H88" s="678"/>
      <c r="I88" s="536">
        <f t="shared" si="39"/>
        <v>4</v>
      </c>
      <c r="J88" s="536">
        <f t="shared" si="39"/>
        <v>2985.4285714285611</v>
      </c>
      <c r="K88" s="200">
        <f t="shared" si="39"/>
        <v>746.35714285714027</v>
      </c>
      <c r="L88" s="663"/>
      <c r="M88" s="199">
        <f>RANK(K88, K$77:$K$106)</f>
        <v>16</v>
      </c>
      <c r="N88" s="670"/>
      <c r="O88" s="670"/>
      <c r="P88" s="182">
        <v>4</v>
      </c>
      <c r="Q88" s="182">
        <v>3062.9999999999864</v>
      </c>
      <c r="R88" s="182">
        <v>765.74999999999659</v>
      </c>
      <c r="S88" s="334">
        <f t="shared" si="52"/>
        <v>15</v>
      </c>
      <c r="T88" s="678"/>
      <c r="U88" s="182">
        <v>4</v>
      </c>
      <c r="V88" s="182">
        <v>3077.9999999999864</v>
      </c>
      <c r="W88" s="182">
        <v>769.49999999999659</v>
      </c>
      <c r="X88" s="475">
        <f t="shared" si="40"/>
        <v>13</v>
      </c>
      <c r="Y88" s="678"/>
      <c r="Z88" s="182">
        <v>4</v>
      </c>
      <c r="AA88" s="182">
        <v>3050.9999999999864</v>
      </c>
      <c r="AB88" s="182">
        <v>762.74999999999659</v>
      </c>
      <c r="AC88" s="475">
        <f t="shared" si="42"/>
        <v>13</v>
      </c>
      <c r="AD88" s="678"/>
      <c r="AE88" s="182">
        <v>4</v>
      </c>
      <c r="AF88" s="182">
        <v>2721.0000000000095</v>
      </c>
      <c r="AG88" s="182">
        <v>680.25000000000239</v>
      </c>
      <c r="AH88" s="475">
        <f t="shared" si="44"/>
        <v>17</v>
      </c>
      <c r="AI88" s="678"/>
      <c r="AJ88" s="182">
        <v>4</v>
      </c>
      <c r="AK88" s="182">
        <v>2915.9999999999868</v>
      </c>
      <c r="AL88" s="182">
        <v>728.9999999999967</v>
      </c>
      <c r="AM88" s="475">
        <f t="shared" si="46"/>
        <v>16</v>
      </c>
      <c r="AN88" s="678"/>
      <c r="AO88" s="182">
        <v>4</v>
      </c>
      <c r="AP88" s="182">
        <v>3146.9999999999859</v>
      </c>
      <c r="AQ88" s="182">
        <v>786.74999999999648</v>
      </c>
      <c r="AR88" s="475">
        <f t="shared" si="48"/>
        <v>12</v>
      </c>
      <c r="AS88" s="678"/>
      <c r="AT88" s="182">
        <v>4</v>
      </c>
      <c r="AU88" s="182">
        <v>2921.9999999999868</v>
      </c>
      <c r="AV88" s="182">
        <v>730.4999999999967</v>
      </c>
      <c r="AW88" s="475">
        <f t="shared" si="50"/>
        <v>13</v>
      </c>
      <c r="AX88" s="678"/>
    </row>
    <row r="89" spans="2:50">
      <c r="B89" s="692"/>
      <c r="C89" s="327">
        <v>13</v>
      </c>
      <c r="D89" s="569" t="s">
        <v>365</v>
      </c>
      <c r="E89" s="569">
        <v>4</v>
      </c>
      <c r="F89" s="569">
        <v>2800</v>
      </c>
      <c r="G89" s="182">
        <v>700</v>
      </c>
      <c r="H89" s="678"/>
      <c r="I89" s="536">
        <f t="shared" si="39"/>
        <v>4</v>
      </c>
      <c r="J89" s="536">
        <f t="shared" si="39"/>
        <v>2618.571428571438</v>
      </c>
      <c r="K89" s="200">
        <f t="shared" si="39"/>
        <v>654.6428571428595</v>
      </c>
      <c r="L89" s="663"/>
      <c r="M89" s="199">
        <f>RANK(K89, K$77:$K$106)</f>
        <v>19</v>
      </c>
      <c r="N89" s="670"/>
      <c r="O89" s="670"/>
      <c r="P89" s="182">
        <v>4</v>
      </c>
      <c r="Q89" s="182">
        <v>2814.00000000001</v>
      </c>
      <c r="R89" s="182">
        <v>703.5000000000025</v>
      </c>
      <c r="S89" s="334">
        <f t="shared" si="52"/>
        <v>19</v>
      </c>
      <c r="T89" s="678"/>
      <c r="U89" s="182">
        <v>4</v>
      </c>
      <c r="V89" s="182">
        <v>2772.00000000001</v>
      </c>
      <c r="W89" s="182">
        <v>693.0000000000025</v>
      </c>
      <c r="X89" s="475">
        <f t="shared" si="40"/>
        <v>18</v>
      </c>
      <c r="Y89" s="678"/>
      <c r="Z89" s="182">
        <v>4</v>
      </c>
      <c r="AA89" s="182">
        <v>2772.00000000001</v>
      </c>
      <c r="AB89" s="182">
        <v>693.0000000000025</v>
      </c>
      <c r="AC89" s="475">
        <f t="shared" si="42"/>
        <v>18</v>
      </c>
      <c r="AD89" s="678"/>
      <c r="AE89" s="182">
        <v>4</v>
      </c>
      <c r="AF89" s="182">
        <v>2178.0000000000077</v>
      </c>
      <c r="AG89" s="182">
        <v>544.50000000000193</v>
      </c>
      <c r="AH89" s="475">
        <f t="shared" si="44"/>
        <v>20</v>
      </c>
      <c r="AI89" s="678"/>
      <c r="AJ89" s="182">
        <v>4</v>
      </c>
      <c r="AK89" s="182">
        <v>2490.0000000000091</v>
      </c>
      <c r="AL89" s="182">
        <v>622.50000000000227</v>
      </c>
      <c r="AM89" s="475">
        <f t="shared" si="46"/>
        <v>19</v>
      </c>
      <c r="AN89" s="678"/>
      <c r="AO89" s="182">
        <v>4</v>
      </c>
      <c r="AP89" s="182">
        <v>2790.00000000001</v>
      </c>
      <c r="AQ89" s="182">
        <v>697.5000000000025</v>
      </c>
      <c r="AR89" s="475">
        <f t="shared" si="48"/>
        <v>17</v>
      </c>
      <c r="AS89" s="678"/>
      <c r="AT89" s="182">
        <v>4</v>
      </c>
      <c r="AU89" s="182">
        <v>2514.0000000000091</v>
      </c>
      <c r="AV89" s="182">
        <v>628.50000000000227</v>
      </c>
      <c r="AW89" s="475">
        <f t="shared" si="50"/>
        <v>16</v>
      </c>
      <c r="AX89" s="678"/>
    </row>
    <row r="90" spans="2:50">
      <c r="B90" s="692"/>
      <c r="C90" s="327">
        <v>14</v>
      </c>
      <c r="D90" s="569" t="s">
        <v>646</v>
      </c>
      <c r="E90" s="569">
        <v>3</v>
      </c>
      <c r="F90" s="569">
        <v>2800</v>
      </c>
      <c r="G90" s="182">
        <v>933.33333333333337</v>
      </c>
      <c r="H90" s="678"/>
      <c r="I90" s="536">
        <f t="shared" si="39"/>
        <v>3</v>
      </c>
      <c r="J90" s="536">
        <f t="shared" si="39"/>
        <v>2804.4761904761908</v>
      </c>
      <c r="K90" s="200">
        <f t="shared" si="39"/>
        <v>934.82539682539698</v>
      </c>
      <c r="L90" s="663"/>
      <c r="M90" s="199">
        <f>RANK(K90, K$77:$K$106)</f>
        <v>7</v>
      </c>
      <c r="N90" s="670"/>
      <c r="O90" s="670"/>
      <c r="P90" s="182">
        <v>3</v>
      </c>
      <c r="Q90" s="182">
        <v>2940.0000000000041</v>
      </c>
      <c r="R90" s="182">
        <v>980.00000000000136</v>
      </c>
      <c r="S90" s="334">
        <f t="shared" si="52"/>
        <v>6</v>
      </c>
      <c r="T90" s="678"/>
      <c r="U90" s="182">
        <v>3</v>
      </c>
      <c r="V90" s="182">
        <v>2734.2857142857188</v>
      </c>
      <c r="W90" s="182">
        <v>911.42857142857292</v>
      </c>
      <c r="X90" s="475">
        <f t="shared" si="40"/>
        <v>8</v>
      </c>
      <c r="Y90" s="678"/>
      <c r="Z90" s="182">
        <v>3</v>
      </c>
      <c r="AA90" s="182">
        <v>2754.0000000000045</v>
      </c>
      <c r="AB90" s="182">
        <v>918.00000000000148</v>
      </c>
      <c r="AC90" s="475">
        <f t="shared" si="42"/>
        <v>8</v>
      </c>
      <c r="AD90" s="678"/>
      <c r="AE90" s="182">
        <v>3</v>
      </c>
      <c r="AF90" s="182">
        <v>2639.9999999999905</v>
      </c>
      <c r="AG90" s="182">
        <v>879.99999999999682</v>
      </c>
      <c r="AH90" s="475">
        <f t="shared" si="44"/>
        <v>9</v>
      </c>
      <c r="AI90" s="678"/>
      <c r="AJ90" s="182">
        <v>3</v>
      </c>
      <c r="AK90" s="182">
        <v>2987.1428571428505</v>
      </c>
      <c r="AL90" s="182">
        <v>995.71428571428351</v>
      </c>
      <c r="AM90" s="475">
        <f t="shared" si="46"/>
        <v>6</v>
      </c>
      <c r="AN90" s="678"/>
      <c r="AO90" s="182">
        <v>3</v>
      </c>
      <c r="AP90" s="182">
        <v>2771.4285714285761</v>
      </c>
      <c r="AQ90" s="182">
        <v>923.80952380952533</v>
      </c>
      <c r="AR90" s="475">
        <f t="shared" si="48"/>
        <v>7</v>
      </c>
      <c r="AS90" s="678"/>
      <c r="AT90" s="182" t="s">
        <v>760</v>
      </c>
      <c r="AU90" s="182" t="s">
        <v>760</v>
      </c>
      <c r="AV90" s="182" t="s">
        <v>760</v>
      </c>
      <c r="AW90" s="475" t="e">
        <f t="shared" si="50"/>
        <v>#VALUE!</v>
      </c>
      <c r="AX90" s="678"/>
    </row>
    <row r="91" spans="2:50">
      <c r="B91" s="692"/>
      <c r="C91" s="327">
        <v>15</v>
      </c>
      <c r="D91" s="569" t="s">
        <v>917</v>
      </c>
      <c r="E91" s="569">
        <v>3</v>
      </c>
      <c r="F91" s="569">
        <v>2800</v>
      </c>
      <c r="G91" s="182">
        <v>933.33333333333337</v>
      </c>
      <c r="H91" s="678"/>
      <c r="I91" s="536">
        <f t="shared" si="39"/>
        <v>3</v>
      </c>
      <c r="J91" s="536">
        <f t="shared" si="39"/>
        <v>2901.5999999999913</v>
      </c>
      <c r="K91" s="200">
        <f t="shared" si="39"/>
        <v>967.19999999999698</v>
      </c>
      <c r="L91" s="663"/>
      <c r="M91" s="199">
        <f>RANK(K91, K$77:$K$106)</f>
        <v>6</v>
      </c>
      <c r="N91" s="670"/>
      <c r="O91" s="670"/>
      <c r="P91" s="182">
        <v>3</v>
      </c>
      <c r="Q91" s="182">
        <v>2915.9999999999914</v>
      </c>
      <c r="R91" s="182">
        <v>971.99999999999716</v>
      </c>
      <c r="S91" s="334">
        <f t="shared" si="52"/>
        <v>7</v>
      </c>
      <c r="T91" s="678"/>
      <c r="U91" s="182">
        <v>3</v>
      </c>
      <c r="V91" s="182">
        <v>2971.1999999999916</v>
      </c>
      <c r="W91" s="182">
        <v>990.39999999999725</v>
      </c>
      <c r="X91" s="475">
        <f t="shared" si="40"/>
        <v>5</v>
      </c>
      <c r="Y91" s="678"/>
      <c r="Z91" s="182">
        <v>3</v>
      </c>
      <c r="AA91" s="182">
        <v>2771.9999999999923</v>
      </c>
      <c r="AB91" s="182">
        <v>923.99999999999739</v>
      </c>
      <c r="AC91" s="475">
        <f t="shared" si="42"/>
        <v>7</v>
      </c>
      <c r="AD91" s="678"/>
      <c r="AE91" s="182">
        <v>3</v>
      </c>
      <c r="AF91" s="182">
        <v>3191.9999999999854</v>
      </c>
      <c r="AG91" s="182">
        <v>1063.9999999999952</v>
      </c>
      <c r="AH91" s="475">
        <f t="shared" si="44"/>
        <v>2</v>
      </c>
      <c r="AI91" s="678"/>
      <c r="AJ91" s="182">
        <v>3</v>
      </c>
      <c r="AK91" s="182">
        <v>2719.1999999999925</v>
      </c>
      <c r="AL91" s="182">
        <v>906.39999999999748</v>
      </c>
      <c r="AM91" s="475">
        <f t="shared" si="46"/>
        <v>8</v>
      </c>
      <c r="AN91" s="678"/>
      <c r="AO91" s="182">
        <v>3</v>
      </c>
      <c r="AP91" s="182">
        <v>2937.5999999999917</v>
      </c>
      <c r="AQ91" s="182">
        <v>979.1999999999972</v>
      </c>
      <c r="AR91" s="475">
        <f t="shared" si="48"/>
        <v>6</v>
      </c>
      <c r="AS91" s="678"/>
      <c r="AT91" s="182">
        <v>3</v>
      </c>
      <c r="AU91" s="182">
        <v>2803.1999999999916</v>
      </c>
      <c r="AV91" s="182">
        <v>934.39999999999725</v>
      </c>
      <c r="AW91" s="475">
        <f t="shared" si="50"/>
        <v>6</v>
      </c>
      <c r="AX91" s="678"/>
    </row>
    <row r="92" spans="2:50">
      <c r="B92" s="692"/>
      <c r="C92" s="327">
        <v>16</v>
      </c>
      <c r="D92" s="569" t="s">
        <v>918</v>
      </c>
      <c r="E92" s="569">
        <v>4</v>
      </c>
      <c r="F92" s="569">
        <v>2200</v>
      </c>
      <c r="G92" s="182">
        <v>550</v>
      </c>
      <c r="H92" s="678"/>
      <c r="I92" s="536">
        <f t="shared" si="39"/>
        <v>3</v>
      </c>
      <c r="J92" s="536">
        <f t="shared" si="39"/>
        <v>2254.1571428571415</v>
      </c>
      <c r="K92" s="200">
        <f t="shared" si="39"/>
        <v>751.38571428571402</v>
      </c>
      <c r="L92" s="663"/>
      <c r="M92" s="199">
        <f>RANK(K92, K$77:$K$106)</f>
        <v>15</v>
      </c>
      <c r="N92" s="670"/>
      <c r="O92" s="670"/>
      <c r="P92" s="182">
        <v>3</v>
      </c>
      <c r="Q92" s="182">
        <v>2321.3333333333335</v>
      </c>
      <c r="R92" s="182">
        <v>773.77777777777783</v>
      </c>
      <c r="S92" s="334">
        <f t="shared" si="52"/>
        <v>14</v>
      </c>
      <c r="T92" s="678"/>
      <c r="U92" s="182">
        <v>3</v>
      </c>
      <c r="V92" s="182">
        <v>2308</v>
      </c>
      <c r="W92" s="182">
        <v>769.33333333333337</v>
      </c>
      <c r="X92" s="475">
        <f t="shared" si="40"/>
        <v>14</v>
      </c>
      <c r="Y92" s="678"/>
      <c r="Z92" s="182">
        <v>3</v>
      </c>
      <c r="AA92" s="182">
        <v>2136</v>
      </c>
      <c r="AB92" s="182">
        <v>712</v>
      </c>
      <c r="AC92" s="475">
        <f t="shared" si="42"/>
        <v>15</v>
      </c>
      <c r="AD92" s="678"/>
      <c r="AE92" s="182">
        <v>3</v>
      </c>
      <c r="AF92" s="182">
        <v>2305.4999999999991</v>
      </c>
      <c r="AG92" s="182">
        <v>768.49999999999966</v>
      </c>
      <c r="AH92" s="475">
        <f t="shared" si="44"/>
        <v>12</v>
      </c>
      <c r="AI92" s="678"/>
      <c r="AJ92" s="182">
        <v>3</v>
      </c>
      <c r="AK92" s="182">
        <v>2214.6666666666665</v>
      </c>
      <c r="AL92" s="182">
        <v>738.22222222222217</v>
      </c>
      <c r="AM92" s="475">
        <f t="shared" si="46"/>
        <v>15</v>
      </c>
      <c r="AN92" s="678"/>
      <c r="AO92" s="182">
        <v>3</v>
      </c>
      <c r="AP92" s="182">
        <v>2193.5999999999935</v>
      </c>
      <c r="AQ92" s="182">
        <v>731.19999999999789</v>
      </c>
      <c r="AR92" s="475">
        <f t="shared" si="48"/>
        <v>15</v>
      </c>
      <c r="AS92" s="678"/>
      <c r="AT92" s="182">
        <v>3</v>
      </c>
      <c r="AU92" s="182">
        <v>2300</v>
      </c>
      <c r="AV92" s="182">
        <v>766.66666666666663</v>
      </c>
      <c r="AW92" s="475">
        <f t="shared" si="50"/>
        <v>11</v>
      </c>
      <c r="AX92" s="678"/>
    </row>
    <row r="93" spans="2:50">
      <c r="B93" s="692"/>
      <c r="C93" s="327">
        <v>17</v>
      </c>
      <c r="D93" s="569" t="s">
        <v>759</v>
      </c>
      <c r="E93" s="569">
        <v>8</v>
      </c>
      <c r="F93" s="569">
        <v>1500</v>
      </c>
      <c r="G93" s="182">
        <v>187.5</v>
      </c>
      <c r="H93" s="678"/>
      <c r="I93" s="536">
        <f t="shared" ref="I93:K97" si="53">AVERAGE(P93,U93,Z93,AE93,AJ93,AO93,AT93)</f>
        <v>10</v>
      </c>
      <c r="J93" s="536">
        <f t="shared" si="53"/>
        <v>1544.8571428571433</v>
      </c>
      <c r="K93" s="200">
        <f t="shared" si="53"/>
        <v>154.48571428571432</v>
      </c>
      <c r="L93" s="663"/>
      <c r="M93" s="199">
        <f>RANK(K93, K$77:$K$106)</f>
        <v>22</v>
      </c>
      <c r="N93" s="670"/>
      <c r="O93" s="670"/>
      <c r="P93" s="182">
        <v>10</v>
      </c>
      <c r="Q93" s="182">
        <v>1548.9999999999973</v>
      </c>
      <c r="R93" s="182">
        <v>154.89999999999972</v>
      </c>
      <c r="S93" s="334">
        <f t="shared" si="52"/>
        <v>22</v>
      </c>
      <c r="T93" s="678"/>
      <c r="U93" s="182">
        <v>10</v>
      </c>
      <c r="V93" s="182">
        <v>1553.0000000000014</v>
      </c>
      <c r="W93" s="182">
        <v>155.30000000000013</v>
      </c>
      <c r="X93" s="475">
        <f t="shared" ref="X93:X106" si="54">RANK(W93, W$77:W$106)</f>
        <v>22</v>
      </c>
      <c r="Y93" s="678"/>
      <c r="Z93" s="182">
        <v>10</v>
      </c>
      <c r="AA93" s="182">
        <v>1508.0000000000014</v>
      </c>
      <c r="AB93" s="182">
        <v>150.80000000000013</v>
      </c>
      <c r="AC93" s="475">
        <f t="shared" ref="AC93:AC106" si="55">RANK(AB93, AB$77:AB$106)</f>
        <v>22</v>
      </c>
      <c r="AD93" s="678"/>
      <c r="AE93" s="182">
        <v>10</v>
      </c>
      <c r="AF93" s="182">
        <v>1581.6000000000004</v>
      </c>
      <c r="AG93" s="182">
        <v>158.16000000000003</v>
      </c>
      <c r="AH93" s="475">
        <f t="shared" ref="AH93:AH106" si="56">RANK(AG93, AG$77:AG$106)</f>
        <v>22</v>
      </c>
      <c r="AI93" s="678"/>
      <c r="AJ93" s="182">
        <v>10</v>
      </c>
      <c r="AK93" s="182">
        <v>1508.4000000000005</v>
      </c>
      <c r="AL93" s="182">
        <v>150.84000000000006</v>
      </c>
      <c r="AM93" s="475">
        <f t="shared" ref="AM93:AM106" si="57">RANK(AL93, AL$77:AL$106)</f>
        <v>22</v>
      </c>
      <c r="AN93" s="678"/>
      <c r="AO93" s="182">
        <v>10</v>
      </c>
      <c r="AP93" s="182">
        <v>1573.0000000000014</v>
      </c>
      <c r="AQ93" s="182">
        <v>157.30000000000013</v>
      </c>
      <c r="AR93" s="475">
        <f t="shared" ref="AR93:AR106" si="58">RANK(AQ93, AQ$77:AQ$106)</f>
        <v>22</v>
      </c>
      <c r="AS93" s="678"/>
      <c r="AT93" s="182">
        <v>10</v>
      </c>
      <c r="AU93" s="182">
        <v>1541.0000000000016</v>
      </c>
      <c r="AV93" s="182">
        <v>154.10000000000016</v>
      </c>
      <c r="AW93" s="475">
        <f t="shared" ref="AW93:AW106" si="59">RANK(AV93, AV$77:AV$106)</f>
        <v>20</v>
      </c>
      <c r="AX93" s="678"/>
    </row>
    <row r="94" spans="2:50">
      <c r="B94" s="692"/>
      <c r="C94" s="327">
        <v>18</v>
      </c>
      <c r="D94" s="569" t="s">
        <v>805</v>
      </c>
      <c r="E94" s="569">
        <v>4</v>
      </c>
      <c r="F94" s="569">
        <v>2200</v>
      </c>
      <c r="G94" s="182">
        <v>550</v>
      </c>
      <c r="H94" s="678"/>
      <c r="I94" s="536">
        <f t="shared" si="53"/>
        <v>4</v>
      </c>
      <c r="J94" s="536">
        <f t="shared" si="53"/>
        <v>2219.9142857142897</v>
      </c>
      <c r="K94" s="200">
        <f t="shared" si="53"/>
        <v>554.97857142857242</v>
      </c>
      <c r="L94" s="663"/>
      <c r="M94" s="199">
        <f>RANK(K94, K$77:$K$106)</f>
        <v>21</v>
      </c>
      <c r="N94" s="670"/>
      <c r="O94" s="670"/>
      <c r="P94" s="182">
        <v>4</v>
      </c>
      <c r="Q94" s="182">
        <v>2272.8000000000084</v>
      </c>
      <c r="R94" s="182">
        <v>568.20000000000209</v>
      </c>
      <c r="S94" s="334">
        <f t="shared" si="52"/>
        <v>20</v>
      </c>
      <c r="T94" s="678"/>
      <c r="U94" s="182">
        <v>4</v>
      </c>
      <c r="V94" s="182">
        <v>2260.8000000000079</v>
      </c>
      <c r="W94" s="182">
        <v>565.20000000000198</v>
      </c>
      <c r="X94" s="475">
        <f t="shared" si="54"/>
        <v>21</v>
      </c>
      <c r="Y94" s="678"/>
      <c r="Z94" s="182">
        <v>4</v>
      </c>
      <c r="AA94" s="182">
        <v>2637.0000000000095</v>
      </c>
      <c r="AB94" s="182">
        <v>659.25000000000239</v>
      </c>
      <c r="AC94" s="475">
        <f t="shared" si="55"/>
        <v>20</v>
      </c>
      <c r="AD94" s="678"/>
      <c r="AE94" s="182">
        <v>4</v>
      </c>
      <c r="AF94" s="182">
        <v>1953.5999999999947</v>
      </c>
      <c r="AG94" s="182">
        <v>488.39999999999867</v>
      </c>
      <c r="AH94" s="475">
        <f t="shared" si="56"/>
        <v>21</v>
      </c>
      <c r="AI94" s="678"/>
      <c r="AJ94" s="182">
        <v>4</v>
      </c>
      <c r="AK94" s="182">
        <v>2020.8000000000072</v>
      </c>
      <c r="AL94" s="182">
        <v>505.20000000000181</v>
      </c>
      <c r="AM94" s="475">
        <f t="shared" si="57"/>
        <v>21</v>
      </c>
      <c r="AN94" s="678"/>
      <c r="AO94" s="182">
        <v>4</v>
      </c>
      <c r="AP94" s="182">
        <v>2277.5999999999935</v>
      </c>
      <c r="AQ94" s="182">
        <v>569.39999999999839</v>
      </c>
      <c r="AR94" s="475">
        <f t="shared" si="58"/>
        <v>20</v>
      </c>
      <c r="AS94" s="678"/>
      <c r="AT94" s="182">
        <v>4</v>
      </c>
      <c r="AU94" s="182">
        <v>2116.8000000000075</v>
      </c>
      <c r="AV94" s="182">
        <v>529.20000000000186</v>
      </c>
      <c r="AW94" s="475">
        <f t="shared" si="59"/>
        <v>18</v>
      </c>
      <c r="AX94" s="678"/>
    </row>
    <row r="95" spans="2:50">
      <c r="B95" s="692"/>
      <c r="C95" s="327">
        <v>19</v>
      </c>
      <c r="D95" s="569" t="s">
        <v>919</v>
      </c>
      <c r="E95" s="569">
        <v>3</v>
      </c>
      <c r="F95" s="569">
        <v>2800</v>
      </c>
      <c r="G95" s="182">
        <v>933.33333333333337</v>
      </c>
      <c r="H95" s="678"/>
      <c r="I95" s="536">
        <f t="shared" si="53"/>
        <v>3</v>
      </c>
      <c r="J95" s="536">
        <f t="shared" si="53"/>
        <v>2784.777410538682</v>
      </c>
      <c r="K95" s="200">
        <f t="shared" si="53"/>
        <v>928.25913684622742</v>
      </c>
      <c r="L95" s="663"/>
      <c r="M95" s="199">
        <f>RANK(K95, K$77:$K$106)</f>
        <v>8</v>
      </c>
      <c r="N95" s="670"/>
      <c r="O95" s="670"/>
      <c r="P95" s="182">
        <v>3</v>
      </c>
      <c r="Q95" s="182">
        <v>2837.9999999999964</v>
      </c>
      <c r="R95" s="182">
        <v>945.99999999999875</v>
      </c>
      <c r="S95" s="334">
        <f t="shared" si="52"/>
        <v>8</v>
      </c>
      <c r="T95" s="678"/>
      <c r="U95" s="182">
        <v>3</v>
      </c>
      <c r="V95" s="182">
        <v>2779.1999999999966</v>
      </c>
      <c r="W95" s="182">
        <v>926.39999999999884</v>
      </c>
      <c r="X95" s="475">
        <f t="shared" si="54"/>
        <v>7</v>
      </c>
      <c r="Y95" s="678"/>
      <c r="Z95" s="182">
        <v>3</v>
      </c>
      <c r="AA95" s="182">
        <v>2784.2553191489369</v>
      </c>
      <c r="AB95" s="182">
        <v>928.08510638297901</v>
      </c>
      <c r="AC95" s="475">
        <f t="shared" si="55"/>
        <v>6</v>
      </c>
      <c r="AD95" s="678"/>
      <c r="AE95" s="182">
        <v>3</v>
      </c>
      <c r="AF95" s="182">
        <v>2762.8571428571418</v>
      </c>
      <c r="AG95" s="182">
        <v>920.95238095238062</v>
      </c>
      <c r="AH95" s="475">
        <f t="shared" si="56"/>
        <v>8</v>
      </c>
      <c r="AI95" s="678"/>
      <c r="AJ95" s="182">
        <v>3</v>
      </c>
      <c r="AK95" s="182">
        <v>2813.9999999999991</v>
      </c>
      <c r="AL95" s="182">
        <v>937.99999999999966</v>
      </c>
      <c r="AM95" s="475">
        <f t="shared" si="57"/>
        <v>7</v>
      </c>
      <c r="AN95" s="678"/>
      <c r="AO95" s="182">
        <v>3</v>
      </c>
      <c r="AP95" s="182">
        <v>2763.5294117647068</v>
      </c>
      <c r="AQ95" s="182">
        <v>921.17647058823559</v>
      </c>
      <c r="AR95" s="475">
        <f t="shared" si="58"/>
        <v>8</v>
      </c>
      <c r="AS95" s="678"/>
      <c r="AT95" s="182">
        <v>3</v>
      </c>
      <c r="AU95" s="182">
        <v>2751.5999999999967</v>
      </c>
      <c r="AV95" s="182">
        <v>917.19999999999891</v>
      </c>
      <c r="AW95" s="475">
        <f t="shared" si="59"/>
        <v>7</v>
      </c>
      <c r="AX95" s="678"/>
    </row>
    <row r="96" spans="2:50">
      <c r="B96" s="692"/>
      <c r="C96" s="327">
        <v>20</v>
      </c>
      <c r="D96" s="569" t="s">
        <v>897</v>
      </c>
      <c r="E96" s="569">
        <v>4</v>
      </c>
      <c r="F96" s="569">
        <v>2800</v>
      </c>
      <c r="G96" s="182">
        <v>700</v>
      </c>
      <c r="H96" s="678"/>
      <c r="I96" s="536">
        <f t="shared" si="53"/>
        <v>4</v>
      </c>
      <c r="J96" s="536">
        <f t="shared" si="53"/>
        <v>2791.6730769230794</v>
      </c>
      <c r="K96" s="200">
        <f t="shared" si="53"/>
        <v>697.91826923076985</v>
      </c>
      <c r="L96" s="663"/>
      <c r="M96" s="199">
        <f>RANK(K96, K$77:$K$106)</f>
        <v>18</v>
      </c>
      <c r="N96" s="670"/>
      <c r="O96" s="670"/>
      <c r="P96" s="182">
        <v>4</v>
      </c>
      <c r="Q96" s="182">
        <v>2880.0000000000036</v>
      </c>
      <c r="R96" s="182">
        <v>720.00000000000091</v>
      </c>
      <c r="S96" s="334">
        <f t="shared" si="52"/>
        <v>16</v>
      </c>
      <c r="T96" s="678"/>
      <c r="U96" s="182">
        <v>4</v>
      </c>
      <c r="V96" s="182">
        <v>2797.5000000000032</v>
      </c>
      <c r="W96" s="182">
        <v>699.3750000000008</v>
      </c>
      <c r="X96" s="475">
        <f t="shared" si="54"/>
        <v>16</v>
      </c>
      <c r="Y96" s="678"/>
      <c r="Z96" s="182">
        <v>4</v>
      </c>
      <c r="AA96" s="182">
        <v>2715.0000000000032</v>
      </c>
      <c r="AB96" s="182">
        <v>678.7500000000008</v>
      </c>
      <c r="AC96" s="475">
        <f t="shared" si="55"/>
        <v>19</v>
      </c>
      <c r="AD96" s="678"/>
      <c r="AE96" s="182">
        <v>4</v>
      </c>
      <c r="AF96" s="182">
        <v>2621.5384615384628</v>
      </c>
      <c r="AG96" s="182">
        <v>655.3846153846157</v>
      </c>
      <c r="AH96" s="475">
        <f t="shared" si="56"/>
        <v>18</v>
      </c>
      <c r="AI96" s="678"/>
      <c r="AJ96" s="182">
        <v>4</v>
      </c>
      <c r="AK96" s="182">
        <v>3059.9999999999986</v>
      </c>
      <c r="AL96" s="182">
        <v>764.99999999999966</v>
      </c>
      <c r="AM96" s="475">
        <f t="shared" si="57"/>
        <v>14</v>
      </c>
      <c r="AN96" s="678"/>
      <c r="AO96" s="182">
        <v>4</v>
      </c>
      <c r="AP96" s="182">
        <v>2676.0000000000027</v>
      </c>
      <c r="AQ96" s="182">
        <v>669.00000000000068</v>
      </c>
      <c r="AR96" s="475">
        <f t="shared" si="58"/>
        <v>19</v>
      </c>
      <c r="AS96" s="678"/>
      <c r="AT96" s="182" t="s">
        <v>760</v>
      </c>
      <c r="AU96" s="182" t="s">
        <v>760</v>
      </c>
      <c r="AV96" s="182" t="s">
        <v>760</v>
      </c>
      <c r="AW96" s="475" t="e">
        <f t="shared" si="59"/>
        <v>#VALUE!</v>
      </c>
      <c r="AX96" s="678"/>
    </row>
    <row r="97" spans="2:50">
      <c r="B97" s="692"/>
      <c r="C97" s="327">
        <v>21</v>
      </c>
      <c r="D97" s="572" t="s">
        <v>920</v>
      </c>
      <c r="E97" s="569">
        <v>4</v>
      </c>
      <c r="F97" s="569">
        <v>2200</v>
      </c>
      <c r="G97" s="182">
        <v>550</v>
      </c>
      <c r="H97" s="678"/>
      <c r="I97" s="536">
        <f t="shared" si="53"/>
        <v>4</v>
      </c>
      <c r="J97" s="536">
        <f t="shared" si="53"/>
        <v>2257.9095238095251</v>
      </c>
      <c r="K97" s="200">
        <f t="shared" si="53"/>
        <v>564.47738095238128</v>
      </c>
      <c r="L97" s="663"/>
      <c r="M97" s="199">
        <f>RANK(K97, K$77:$K$106)</f>
        <v>20</v>
      </c>
      <c r="N97" s="670"/>
      <c r="O97" s="670"/>
      <c r="P97" s="569">
        <v>4</v>
      </c>
      <c r="Q97" s="182">
        <v>2259.6000000000008</v>
      </c>
      <c r="R97" s="570">
        <v>564.9000000000002</v>
      </c>
      <c r="S97" s="334">
        <f t="shared" si="52"/>
        <v>21</v>
      </c>
      <c r="T97" s="678"/>
      <c r="U97" s="569">
        <v>4</v>
      </c>
      <c r="V97" s="182">
        <v>2295.6000000000081</v>
      </c>
      <c r="W97" s="570">
        <v>573.90000000000202</v>
      </c>
      <c r="X97" s="475">
        <f t="shared" si="54"/>
        <v>20</v>
      </c>
      <c r="Y97" s="678"/>
      <c r="Z97" s="569">
        <v>4</v>
      </c>
      <c r="AA97" s="182">
        <v>2322.6666666666665</v>
      </c>
      <c r="AB97" s="570">
        <v>580.66666666666663</v>
      </c>
      <c r="AC97" s="475">
        <f t="shared" si="55"/>
        <v>21</v>
      </c>
      <c r="AD97" s="678"/>
      <c r="AE97" s="569">
        <v>4</v>
      </c>
      <c r="AF97" s="182">
        <v>2311.4999999999991</v>
      </c>
      <c r="AG97" s="570">
        <v>577.87499999999977</v>
      </c>
      <c r="AH97" s="475">
        <f t="shared" si="56"/>
        <v>19</v>
      </c>
      <c r="AI97" s="678"/>
      <c r="AJ97" s="569">
        <v>4</v>
      </c>
      <c r="AK97" s="182">
        <v>2118.6666666666665</v>
      </c>
      <c r="AL97" s="570">
        <v>529.66666666666663</v>
      </c>
      <c r="AM97" s="475">
        <f t="shared" si="57"/>
        <v>20</v>
      </c>
      <c r="AN97" s="678"/>
      <c r="AO97" s="569">
        <v>4</v>
      </c>
      <c r="AP97" s="182">
        <v>2238.6666666666665</v>
      </c>
      <c r="AQ97" s="570">
        <v>559.66666666666663</v>
      </c>
      <c r="AR97" s="475">
        <f t="shared" si="58"/>
        <v>21</v>
      </c>
      <c r="AS97" s="678"/>
      <c r="AT97" s="569">
        <v>4</v>
      </c>
      <c r="AU97" s="182">
        <v>2258.666666666667</v>
      </c>
      <c r="AV97" s="570">
        <v>564.66666666666674</v>
      </c>
      <c r="AW97" s="475">
        <f t="shared" si="59"/>
        <v>17</v>
      </c>
      <c r="AX97" s="678"/>
    </row>
    <row r="98" spans="2:50">
      <c r="B98" s="692"/>
      <c r="C98" s="327">
        <v>22</v>
      </c>
      <c r="D98" s="569" t="s">
        <v>921</v>
      </c>
      <c r="E98" s="569">
        <v>4</v>
      </c>
      <c r="F98" s="569">
        <v>2800</v>
      </c>
      <c r="G98" s="569">
        <v>700</v>
      </c>
      <c r="H98" s="678"/>
      <c r="I98" s="582">
        <f t="shared" ref="I98:I99" si="60">AVERAGE(P98,U98,Z98,AE98,AJ98,AO98,AT98)</f>
        <v>4</v>
      </c>
      <c r="J98" s="582">
        <f t="shared" ref="J98:J99" si="61">AVERAGE(Q98,V98,AA98,AF98,AK98,AP98,AU98)</f>
        <v>2795.4796691740839</v>
      </c>
      <c r="K98" s="200">
        <f t="shared" ref="K98:K99" si="62">AVERAGE(R98,W98,AB98,AG98,AL98,AQ98,AV98)</f>
        <v>698.86991729352098</v>
      </c>
      <c r="L98" s="663"/>
      <c r="M98" s="199">
        <f>RANK(K98, K$77:$K$106)</f>
        <v>17</v>
      </c>
      <c r="N98" s="670"/>
      <c r="O98" s="670"/>
      <c r="P98" s="569">
        <v>4</v>
      </c>
      <c r="Q98" s="182">
        <v>2842.3076923076919</v>
      </c>
      <c r="R98" s="570">
        <v>710.57692307692298</v>
      </c>
      <c r="S98" s="334">
        <f t="shared" si="52"/>
        <v>18</v>
      </c>
      <c r="T98" s="678"/>
      <c r="U98" s="569">
        <v>4</v>
      </c>
      <c r="V98" s="182">
        <v>2774.2105263157919</v>
      </c>
      <c r="W98" s="570">
        <v>693.55263157894797</v>
      </c>
      <c r="X98" s="475">
        <f t="shared" si="54"/>
        <v>17</v>
      </c>
      <c r="Y98" s="678"/>
      <c r="Z98" s="569">
        <v>4</v>
      </c>
      <c r="AA98" s="182">
        <v>2782.3728813559323</v>
      </c>
      <c r="AB98" s="570">
        <v>695.59322033898309</v>
      </c>
      <c r="AC98" s="475">
        <f t="shared" si="55"/>
        <v>17</v>
      </c>
      <c r="AD98" s="678"/>
      <c r="AE98" s="569">
        <v>4</v>
      </c>
      <c r="AF98" s="182">
        <v>2797.1999999999989</v>
      </c>
      <c r="AG98" s="570">
        <v>699.29999999999973</v>
      </c>
      <c r="AH98" s="475">
        <f t="shared" si="56"/>
        <v>16</v>
      </c>
      <c r="AI98" s="678"/>
      <c r="AJ98" s="569">
        <v>4</v>
      </c>
      <c r="AK98" s="182">
        <v>2818.7234042553168</v>
      </c>
      <c r="AL98" s="570">
        <v>704.68085106382921</v>
      </c>
      <c r="AM98" s="475">
        <f t="shared" si="57"/>
        <v>18</v>
      </c>
      <c r="AN98" s="678"/>
      <c r="AO98" s="569">
        <v>4</v>
      </c>
      <c r="AP98" s="182">
        <v>2775.2380952380927</v>
      </c>
      <c r="AQ98" s="570">
        <v>693.80952380952317</v>
      </c>
      <c r="AR98" s="475">
        <f t="shared" si="58"/>
        <v>18</v>
      </c>
      <c r="AS98" s="678"/>
      <c r="AT98" s="569">
        <v>4</v>
      </c>
      <c r="AU98" s="182">
        <v>2778.305084745763</v>
      </c>
      <c r="AV98" s="570">
        <v>694.57627118644075</v>
      </c>
      <c r="AW98" s="475">
        <f t="shared" si="59"/>
        <v>15</v>
      </c>
      <c r="AX98" s="678"/>
    </row>
    <row r="99" spans="2:50">
      <c r="B99" s="692"/>
      <c r="C99" s="327">
        <v>23</v>
      </c>
      <c r="D99" s="569" t="s">
        <v>958</v>
      </c>
      <c r="E99" s="569">
        <v>12</v>
      </c>
      <c r="F99" s="569">
        <v>1500</v>
      </c>
      <c r="G99" s="569">
        <v>125</v>
      </c>
      <c r="H99" s="678"/>
      <c r="I99" s="582">
        <f t="shared" si="60"/>
        <v>12</v>
      </c>
      <c r="J99" s="582">
        <f t="shared" si="61"/>
        <v>1387.0891407426357</v>
      </c>
      <c r="K99" s="200">
        <f t="shared" si="62"/>
        <v>115.59076172855298</v>
      </c>
      <c r="L99" s="663"/>
      <c r="M99" s="199">
        <f>RANK(K99, K$77:$K$106)</f>
        <v>23</v>
      </c>
      <c r="N99" s="670"/>
      <c r="O99" s="670"/>
      <c r="P99" s="569">
        <v>12</v>
      </c>
      <c r="Q99" s="182">
        <v>1375.4430379746843</v>
      </c>
      <c r="R99" s="570">
        <v>114.62025316455703</v>
      </c>
      <c r="S99" s="334">
        <f t="shared" si="52"/>
        <v>23</v>
      </c>
      <c r="T99" s="678"/>
      <c r="U99" s="569">
        <v>12</v>
      </c>
      <c r="V99" s="182">
        <v>1489.3877551020414</v>
      </c>
      <c r="W99" s="570">
        <v>124.11564625850345</v>
      </c>
      <c r="X99" s="475">
        <f t="shared" si="54"/>
        <v>23</v>
      </c>
      <c r="Y99" s="678"/>
      <c r="Z99" s="569">
        <v>12</v>
      </c>
      <c r="AA99" s="182">
        <v>1503.025210084033</v>
      </c>
      <c r="AB99" s="570">
        <v>125.25210084033608</v>
      </c>
      <c r="AC99" s="475">
        <f t="shared" si="55"/>
        <v>23</v>
      </c>
      <c r="AD99" s="678"/>
      <c r="AE99" s="569">
        <v>12</v>
      </c>
      <c r="AF99" s="182">
        <v>1313.4782608695652</v>
      </c>
      <c r="AG99" s="570">
        <v>109.45652173913044</v>
      </c>
      <c r="AH99" s="475">
        <f t="shared" si="56"/>
        <v>23</v>
      </c>
      <c r="AI99" s="678"/>
      <c r="AJ99" s="569">
        <v>12</v>
      </c>
      <c r="AK99" s="182">
        <v>1357.8947368421063</v>
      </c>
      <c r="AL99" s="570">
        <v>113.1578947368422</v>
      </c>
      <c r="AM99" s="475">
        <f t="shared" si="57"/>
        <v>23</v>
      </c>
      <c r="AN99" s="678"/>
      <c r="AO99" s="569">
        <v>12</v>
      </c>
      <c r="AP99" s="182">
        <v>1342.758620689656</v>
      </c>
      <c r="AQ99" s="570">
        <v>111.89655172413801</v>
      </c>
      <c r="AR99" s="475">
        <f t="shared" si="58"/>
        <v>23</v>
      </c>
      <c r="AS99" s="678"/>
      <c r="AT99" s="569">
        <v>12</v>
      </c>
      <c r="AU99" s="182">
        <v>1327.6363636363646</v>
      </c>
      <c r="AV99" s="570">
        <v>110.63636363636373</v>
      </c>
      <c r="AW99" s="475">
        <f t="shared" si="59"/>
        <v>21</v>
      </c>
      <c r="AX99" s="678"/>
    </row>
    <row r="100" spans="2:50">
      <c r="B100" s="692"/>
      <c r="C100" s="327">
        <v>24</v>
      </c>
      <c r="D100" s="569"/>
      <c r="E100" s="569"/>
      <c r="F100" s="569"/>
      <c r="G100" s="569"/>
      <c r="H100" s="678"/>
      <c r="I100" s="536"/>
      <c r="J100" s="536"/>
      <c r="K100" s="200"/>
      <c r="L100" s="663"/>
      <c r="M100" s="199" t="e">
        <f>RANK(K100, K$77:$K$106)</f>
        <v>#N/A</v>
      </c>
      <c r="N100" s="670"/>
      <c r="O100" s="670"/>
      <c r="P100" s="569"/>
      <c r="Q100" s="182"/>
      <c r="R100" s="570"/>
      <c r="S100" s="334" t="e">
        <f t="shared" si="52"/>
        <v>#N/A</v>
      </c>
      <c r="T100" s="678"/>
      <c r="U100" s="569"/>
      <c r="V100" s="182"/>
      <c r="W100" s="570"/>
      <c r="X100" s="475" t="e">
        <f t="shared" si="54"/>
        <v>#N/A</v>
      </c>
      <c r="Y100" s="678"/>
      <c r="Z100" s="569"/>
      <c r="AA100" s="182"/>
      <c r="AB100" s="570"/>
      <c r="AC100" s="475" t="e">
        <f t="shared" si="55"/>
        <v>#N/A</v>
      </c>
      <c r="AD100" s="678"/>
      <c r="AE100" s="569"/>
      <c r="AF100" s="182"/>
      <c r="AG100" s="570"/>
      <c r="AH100" s="475" t="e">
        <f t="shared" si="56"/>
        <v>#N/A</v>
      </c>
      <c r="AI100" s="678"/>
      <c r="AJ100" s="569"/>
      <c r="AK100" s="182"/>
      <c r="AL100" s="570"/>
      <c r="AM100" s="475" t="e">
        <f t="shared" si="57"/>
        <v>#N/A</v>
      </c>
      <c r="AN100" s="678"/>
      <c r="AO100" s="569"/>
      <c r="AP100" s="182"/>
      <c r="AQ100" s="570"/>
      <c r="AR100" s="475" t="e">
        <f t="shared" si="58"/>
        <v>#N/A</v>
      </c>
      <c r="AS100" s="678"/>
      <c r="AT100" s="569"/>
      <c r="AU100" s="182"/>
      <c r="AV100" s="570"/>
      <c r="AW100" s="475" t="e">
        <f t="shared" si="59"/>
        <v>#N/A</v>
      </c>
      <c r="AX100" s="678"/>
    </row>
    <row r="101" spans="2:50">
      <c r="B101" s="692"/>
      <c r="C101" s="327">
        <v>25</v>
      </c>
      <c r="D101" s="569"/>
      <c r="E101" s="569"/>
      <c r="F101" s="569"/>
      <c r="G101" s="569"/>
      <c r="H101" s="678"/>
      <c r="I101" s="202"/>
      <c r="J101" s="202"/>
      <c r="K101" s="202"/>
      <c r="L101" s="663"/>
      <c r="M101" s="199" t="e">
        <f>RANK(K101, K$77:$K$106)</f>
        <v>#N/A</v>
      </c>
      <c r="N101" s="670"/>
      <c r="O101" s="670"/>
      <c r="P101" s="569"/>
      <c r="Q101" s="182"/>
      <c r="R101" s="570"/>
      <c r="S101" s="334" t="e">
        <f t="shared" si="52"/>
        <v>#N/A</v>
      </c>
      <c r="T101" s="678"/>
      <c r="U101" s="569"/>
      <c r="V101" s="182"/>
      <c r="W101" s="570"/>
      <c r="X101" s="475" t="e">
        <f t="shared" si="54"/>
        <v>#N/A</v>
      </c>
      <c r="Y101" s="678"/>
      <c r="Z101" s="569"/>
      <c r="AA101" s="182"/>
      <c r="AB101" s="570"/>
      <c r="AC101" s="475" t="e">
        <f t="shared" si="55"/>
        <v>#N/A</v>
      </c>
      <c r="AD101" s="678"/>
      <c r="AE101" s="569"/>
      <c r="AF101" s="182"/>
      <c r="AG101" s="570"/>
      <c r="AH101" s="475" t="e">
        <f t="shared" si="56"/>
        <v>#N/A</v>
      </c>
      <c r="AI101" s="678"/>
      <c r="AJ101" s="569"/>
      <c r="AK101" s="182"/>
      <c r="AL101" s="570"/>
      <c r="AM101" s="475" t="e">
        <f t="shared" si="57"/>
        <v>#N/A</v>
      </c>
      <c r="AN101" s="678"/>
      <c r="AO101" s="569"/>
      <c r="AP101" s="182"/>
      <c r="AQ101" s="570"/>
      <c r="AR101" s="475" t="e">
        <f t="shared" si="58"/>
        <v>#N/A</v>
      </c>
      <c r="AS101" s="678"/>
      <c r="AT101" s="569"/>
      <c r="AU101" s="182"/>
      <c r="AV101" s="570"/>
      <c r="AW101" s="475" t="e">
        <f t="shared" si="59"/>
        <v>#N/A</v>
      </c>
      <c r="AX101" s="678"/>
    </row>
    <row r="102" spans="2:50">
      <c r="B102" s="692"/>
      <c r="C102" s="327">
        <v>26</v>
      </c>
      <c r="D102" s="569"/>
      <c r="E102" s="569"/>
      <c r="F102" s="569"/>
      <c r="G102" s="569"/>
      <c r="H102" s="678"/>
      <c r="I102" s="202"/>
      <c r="J102" s="202"/>
      <c r="K102" s="202"/>
      <c r="L102" s="663"/>
      <c r="M102" s="199" t="e">
        <f>RANK(K102, K$77:$K$106)</f>
        <v>#N/A</v>
      </c>
      <c r="N102" s="670"/>
      <c r="O102" s="670"/>
      <c r="P102" s="569"/>
      <c r="Q102" s="182"/>
      <c r="R102" s="570"/>
      <c r="S102" s="334" t="e">
        <f t="shared" si="52"/>
        <v>#N/A</v>
      </c>
      <c r="T102" s="678"/>
      <c r="U102" s="569"/>
      <c r="V102" s="182"/>
      <c r="W102" s="570"/>
      <c r="X102" s="475" t="e">
        <f t="shared" si="54"/>
        <v>#N/A</v>
      </c>
      <c r="Y102" s="678"/>
      <c r="Z102" s="569"/>
      <c r="AA102" s="182"/>
      <c r="AB102" s="570"/>
      <c r="AC102" s="475" t="e">
        <f t="shared" si="55"/>
        <v>#N/A</v>
      </c>
      <c r="AD102" s="678"/>
      <c r="AE102" s="569"/>
      <c r="AF102" s="182"/>
      <c r="AG102" s="570"/>
      <c r="AH102" s="475" t="e">
        <f t="shared" si="56"/>
        <v>#N/A</v>
      </c>
      <c r="AI102" s="678"/>
      <c r="AJ102" s="569"/>
      <c r="AK102" s="182"/>
      <c r="AL102" s="570"/>
      <c r="AM102" s="475" t="e">
        <f t="shared" si="57"/>
        <v>#N/A</v>
      </c>
      <c r="AN102" s="678"/>
      <c r="AO102" s="569"/>
      <c r="AP102" s="182"/>
      <c r="AQ102" s="570"/>
      <c r="AR102" s="475" t="e">
        <f t="shared" si="58"/>
        <v>#N/A</v>
      </c>
      <c r="AS102" s="678"/>
      <c r="AT102" s="569"/>
      <c r="AU102" s="182"/>
      <c r="AV102" s="570"/>
      <c r="AW102" s="475" t="e">
        <f t="shared" si="59"/>
        <v>#N/A</v>
      </c>
      <c r="AX102" s="678"/>
    </row>
    <row r="103" spans="2:50">
      <c r="B103" s="692"/>
      <c r="C103" s="327">
        <v>27</v>
      </c>
      <c r="D103" s="569"/>
      <c r="E103" s="569"/>
      <c r="F103" s="569"/>
      <c r="G103" s="569"/>
      <c r="H103" s="678"/>
      <c r="I103" s="202"/>
      <c r="J103" s="202"/>
      <c r="K103" s="202"/>
      <c r="L103" s="663"/>
      <c r="M103" s="199" t="e">
        <f>RANK(K103, K$77:$K$106)</f>
        <v>#N/A</v>
      </c>
      <c r="N103" s="670"/>
      <c r="O103" s="670"/>
      <c r="P103" s="569"/>
      <c r="Q103" s="182"/>
      <c r="R103" s="570"/>
      <c r="S103" s="334" t="e">
        <f t="shared" si="52"/>
        <v>#N/A</v>
      </c>
      <c r="T103" s="678"/>
      <c r="U103" s="569"/>
      <c r="V103" s="182"/>
      <c r="W103" s="570"/>
      <c r="X103" s="475" t="e">
        <f t="shared" si="54"/>
        <v>#N/A</v>
      </c>
      <c r="Y103" s="678"/>
      <c r="Z103" s="569"/>
      <c r="AA103" s="182"/>
      <c r="AB103" s="570"/>
      <c r="AC103" s="475" t="e">
        <f t="shared" si="55"/>
        <v>#N/A</v>
      </c>
      <c r="AD103" s="678"/>
      <c r="AE103" s="569"/>
      <c r="AF103" s="182"/>
      <c r="AG103" s="570"/>
      <c r="AH103" s="475" t="e">
        <f t="shared" si="56"/>
        <v>#N/A</v>
      </c>
      <c r="AI103" s="678"/>
      <c r="AJ103" s="569"/>
      <c r="AK103" s="182"/>
      <c r="AL103" s="570"/>
      <c r="AM103" s="475" t="e">
        <f t="shared" si="57"/>
        <v>#N/A</v>
      </c>
      <c r="AN103" s="678"/>
      <c r="AO103" s="569"/>
      <c r="AP103" s="182"/>
      <c r="AQ103" s="570"/>
      <c r="AR103" s="475" t="e">
        <f t="shared" si="58"/>
        <v>#N/A</v>
      </c>
      <c r="AS103" s="678"/>
      <c r="AT103" s="569"/>
      <c r="AU103" s="182"/>
      <c r="AV103" s="570"/>
      <c r="AW103" s="475" t="e">
        <f t="shared" si="59"/>
        <v>#N/A</v>
      </c>
      <c r="AX103" s="678"/>
    </row>
    <row r="104" spans="2:50">
      <c r="B104" s="692"/>
      <c r="C104" s="327">
        <v>28</v>
      </c>
      <c r="D104" s="569"/>
      <c r="E104" s="569"/>
      <c r="F104" s="569"/>
      <c r="G104" s="569"/>
      <c r="H104" s="678"/>
      <c r="I104" s="202"/>
      <c r="J104" s="202"/>
      <c r="K104" s="202"/>
      <c r="L104" s="663"/>
      <c r="M104" s="199" t="e">
        <f>RANK(K104, K$77:$K$106)</f>
        <v>#N/A</v>
      </c>
      <c r="N104" s="670"/>
      <c r="O104" s="670"/>
      <c r="P104" s="569"/>
      <c r="Q104" s="182"/>
      <c r="R104" s="570"/>
      <c r="S104" s="334" t="e">
        <f t="shared" si="52"/>
        <v>#N/A</v>
      </c>
      <c r="T104" s="678"/>
      <c r="U104" s="569"/>
      <c r="V104" s="182"/>
      <c r="W104" s="570"/>
      <c r="X104" s="475" t="e">
        <f t="shared" si="54"/>
        <v>#N/A</v>
      </c>
      <c r="Y104" s="678"/>
      <c r="Z104" s="569"/>
      <c r="AA104" s="182"/>
      <c r="AB104" s="570"/>
      <c r="AC104" s="475" t="e">
        <f t="shared" si="55"/>
        <v>#N/A</v>
      </c>
      <c r="AD104" s="678"/>
      <c r="AE104" s="569"/>
      <c r="AF104" s="182"/>
      <c r="AG104" s="570"/>
      <c r="AH104" s="475" t="e">
        <f t="shared" si="56"/>
        <v>#N/A</v>
      </c>
      <c r="AI104" s="678"/>
      <c r="AJ104" s="569"/>
      <c r="AK104" s="182"/>
      <c r="AL104" s="570"/>
      <c r="AM104" s="475" t="e">
        <f t="shared" si="57"/>
        <v>#N/A</v>
      </c>
      <c r="AN104" s="678"/>
      <c r="AO104" s="569"/>
      <c r="AP104" s="182"/>
      <c r="AQ104" s="570"/>
      <c r="AR104" s="475" t="e">
        <f t="shared" si="58"/>
        <v>#N/A</v>
      </c>
      <c r="AS104" s="678"/>
      <c r="AT104" s="569"/>
      <c r="AU104" s="182"/>
      <c r="AV104" s="570"/>
      <c r="AW104" s="475" t="e">
        <f t="shared" si="59"/>
        <v>#N/A</v>
      </c>
      <c r="AX104" s="678"/>
    </row>
    <row r="105" spans="2:50">
      <c r="B105" s="692"/>
      <c r="C105" s="327">
        <v>29</v>
      </c>
      <c r="D105" s="569"/>
      <c r="E105" s="569"/>
      <c r="F105" s="569"/>
      <c r="G105" s="569"/>
      <c r="H105" s="678"/>
      <c r="I105" s="202"/>
      <c r="J105" s="202"/>
      <c r="K105" s="202"/>
      <c r="L105" s="663"/>
      <c r="M105" s="199" t="e">
        <f>RANK(K105, K$77:$K$106)</f>
        <v>#N/A</v>
      </c>
      <c r="N105" s="670"/>
      <c r="O105" s="670"/>
      <c r="P105" s="569"/>
      <c r="Q105" s="182"/>
      <c r="R105" s="570"/>
      <c r="S105" s="334" t="e">
        <f t="shared" si="52"/>
        <v>#N/A</v>
      </c>
      <c r="T105" s="678"/>
      <c r="U105" s="569"/>
      <c r="V105" s="182"/>
      <c r="W105" s="570"/>
      <c r="X105" s="475" t="e">
        <f t="shared" si="54"/>
        <v>#N/A</v>
      </c>
      <c r="Y105" s="678"/>
      <c r="Z105" s="569"/>
      <c r="AA105" s="182"/>
      <c r="AB105" s="570"/>
      <c r="AC105" s="475" t="e">
        <f t="shared" si="55"/>
        <v>#N/A</v>
      </c>
      <c r="AD105" s="678"/>
      <c r="AE105" s="569"/>
      <c r="AF105" s="182"/>
      <c r="AG105" s="570"/>
      <c r="AH105" s="475" t="e">
        <f t="shared" si="56"/>
        <v>#N/A</v>
      </c>
      <c r="AI105" s="678"/>
      <c r="AJ105" s="569"/>
      <c r="AK105" s="182"/>
      <c r="AL105" s="570"/>
      <c r="AM105" s="475" t="e">
        <f t="shared" si="57"/>
        <v>#N/A</v>
      </c>
      <c r="AN105" s="678"/>
      <c r="AO105" s="569"/>
      <c r="AP105" s="182"/>
      <c r="AQ105" s="570"/>
      <c r="AR105" s="475" t="e">
        <f t="shared" si="58"/>
        <v>#N/A</v>
      </c>
      <c r="AS105" s="678"/>
      <c r="AT105" s="569"/>
      <c r="AU105" s="182"/>
      <c r="AV105" s="570"/>
      <c r="AW105" s="475" t="e">
        <f t="shared" si="59"/>
        <v>#N/A</v>
      </c>
      <c r="AX105" s="678"/>
    </row>
    <row r="106" spans="2:50">
      <c r="B106" s="693"/>
      <c r="C106" s="327">
        <v>30</v>
      </c>
      <c r="D106" s="569"/>
      <c r="E106" s="569"/>
      <c r="F106" s="569"/>
      <c r="G106" s="569"/>
      <c r="H106" s="679"/>
      <c r="I106" s="202"/>
      <c r="J106" s="202"/>
      <c r="K106" s="202"/>
      <c r="L106" s="664"/>
      <c r="M106" s="199" t="e">
        <f>RANK(K106, K$77:$K$106)</f>
        <v>#N/A</v>
      </c>
      <c r="N106" s="671"/>
      <c r="O106" s="671"/>
      <c r="P106" s="569"/>
      <c r="Q106" s="182"/>
      <c r="R106" s="570"/>
      <c r="S106" s="334" t="e">
        <f t="shared" si="52"/>
        <v>#N/A</v>
      </c>
      <c r="T106" s="679"/>
      <c r="U106" s="569"/>
      <c r="V106" s="182"/>
      <c r="W106" s="570"/>
      <c r="X106" s="475" t="e">
        <f t="shared" si="54"/>
        <v>#N/A</v>
      </c>
      <c r="Y106" s="679"/>
      <c r="Z106" s="569"/>
      <c r="AA106" s="182"/>
      <c r="AB106" s="570"/>
      <c r="AC106" s="475" t="e">
        <f t="shared" si="55"/>
        <v>#N/A</v>
      </c>
      <c r="AD106" s="679"/>
      <c r="AE106" s="569"/>
      <c r="AF106" s="182"/>
      <c r="AG106" s="570"/>
      <c r="AH106" s="475" t="e">
        <f t="shared" si="56"/>
        <v>#N/A</v>
      </c>
      <c r="AI106" s="679"/>
      <c r="AJ106" s="569"/>
      <c r="AK106" s="182"/>
      <c r="AL106" s="570"/>
      <c r="AM106" s="475" t="e">
        <f t="shared" si="57"/>
        <v>#N/A</v>
      </c>
      <c r="AN106" s="679"/>
      <c r="AO106" s="569"/>
      <c r="AP106" s="182"/>
      <c r="AQ106" s="570"/>
      <c r="AR106" s="475" t="e">
        <f t="shared" si="58"/>
        <v>#N/A</v>
      </c>
      <c r="AS106" s="679"/>
      <c r="AT106" s="569"/>
      <c r="AU106" s="182"/>
      <c r="AV106" s="570"/>
      <c r="AW106" s="475" t="e">
        <f t="shared" si="59"/>
        <v>#N/A</v>
      </c>
      <c r="AX106" s="679"/>
    </row>
    <row r="107" spans="2:50" ht="15.75">
      <c r="B107" s="680" t="s">
        <v>163</v>
      </c>
      <c r="C107" s="681"/>
      <c r="D107" s="681"/>
      <c r="E107" s="681"/>
      <c r="F107" s="681"/>
      <c r="G107" s="681"/>
      <c r="H107" s="682"/>
      <c r="I107" s="208"/>
      <c r="J107" s="208"/>
      <c r="K107" s="208"/>
      <c r="L107" s="208"/>
      <c r="M107" s="207"/>
      <c r="N107" s="669" t="s">
        <v>156</v>
      </c>
      <c r="O107" s="669" t="s">
        <v>155</v>
      </c>
      <c r="P107" s="675">
        <f>P72+7</f>
        <v>46105</v>
      </c>
      <c r="Q107" s="676"/>
      <c r="R107" s="676"/>
      <c r="S107" s="676"/>
      <c r="T107" s="676"/>
      <c r="U107" s="672">
        <f>P107+1</f>
        <v>46106</v>
      </c>
      <c r="V107" s="673"/>
      <c r="W107" s="673"/>
      <c r="X107" s="673"/>
      <c r="Y107" s="674"/>
      <c r="Z107" s="672">
        <f>U107+1</f>
        <v>46107</v>
      </c>
      <c r="AA107" s="673"/>
      <c r="AB107" s="673"/>
      <c r="AC107" s="673"/>
      <c r="AD107" s="674"/>
      <c r="AE107" s="672">
        <f>Z107+1</f>
        <v>46108</v>
      </c>
      <c r="AF107" s="673"/>
      <c r="AG107" s="673"/>
      <c r="AH107" s="673"/>
      <c r="AI107" s="674"/>
      <c r="AJ107" s="672">
        <f>AE107+1</f>
        <v>46109</v>
      </c>
      <c r="AK107" s="673"/>
      <c r="AL107" s="673"/>
      <c r="AM107" s="673"/>
      <c r="AN107" s="674"/>
      <c r="AO107" s="672">
        <f>AJ107+1</f>
        <v>46110</v>
      </c>
      <c r="AP107" s="673"/>
      <c r="AQ107" s="673"/>
      <c r="AR107" s="673"/>
      <c r="AS107" s="674"/>
      <c r="AT107" s="672">
        <f>AO107+1</f>
        <v>46111</v>
      </c>
      <c r="AU107" s="673"/>
      <c r="AV107" s="673"/>
      <c r="AW107" s="673"/>
      <c r="AX107" s="674"/>
    </row>
    <row r="108" spans="2:50" ht="15.75">
      <c r="B108" s="683"/>
      <c r="C108" s="683"/>
      <c r="D108" s="683"/>
      <c r="E108" s="683"/>
      <c r="F108" s="683"/>
      <c r="G108" s="683"/>
      <c r="H108" s="683"/>
      <c r="I108" s="205"/>
      <c r="J108" s="205"/>
      <c r="K108" s="205"/>
      <c r="L108" s="205"/>
      <c r="M108" s="206"/>
      <c r="N108" s="671"/>
      <c r="O108" s="671"/>
      <c r="P108" s="675" t="s">
        <v>336</v>
      </c>
      <c r="Q108" s="676"/>
      <c r="R108" s="676"/>
      <c r="S108" s="676"/>
      <c r="T108" s="676"/>
      <c r="U108" s="675" t="s">
        <v>337</v>
      </c>
      <c r="V108" s="676"/>
      <c r="W108" s="676"/>
      <c r="X108" s="676"/>
      <c r="Y108" s="676"/>
      <c r="Z108" s="675" t="s">
        <v>338</v>
      </c>
      <c r="AA108" s="676"/>
      <c r="AB108" s="676"/>
      <c r="AC108" s="676"/>
      <c r="AD108" s="676"/>
      <c r="AE108" s="675" t="s">
        <v>339</v>
      </c>
      <c r="AF108" s="676"/>
      <c r="AG108" s="676"/>
      <c r="AH108" s="676"/>
      <c r="AI108" s="676"/>
      <c r="AJ108" s="675" t="s">
        <v>340</v>
      </c>
      <c r="AK108" s="676"/>
      <c r="AL108" s="676"/>
      <c r="AM108" s="676"/>
      <c r="AN108" s="676"/>
      <c r="AO108" s="675" t="s">
        <v>341</v>
      </c>
      <c r="AP108" s="676"/>
      <c r="AQ108" s="676"/>
      <c r="AR108" s="676"/>
      <c r="AS108" s="676"/>
      <c r="AT108" s="675" t="s">
        <v>342</v>
      </c>
      <c r="AU108" s="676"/>
      <c r="AV108" s="676"/>
      <c r="AW108" s="676"/>
      <c r="AX108" s="676"/>
    </row>
    <row r="109" spans="2:50">
      <c r="B109" s="668" t="s">
        <v>419</v>
      </c>
      <c r="C109" s="668" t="s">
        <v>429</v>
      </c>
      <c r="D109" s="668"/>
      <c r="E109" s="668" t="s">
        <v>420</v>
      </c>
      <c r="F109" s="668"/>
      <c r="G109" s="668"/>
      <c r="H109" s="684" t="s">
        <v>416</v>
      </c>
      <c r="I109" s="652" t="s">
        <v>421</v>
      </c>
      <c r="J109" s="652"/>
      <c r="K109" s="652"/>
      <c r="L109" s="653" t="s">
        <v>416</v>
      </c>
      <c r="M109" s="659" t="s">
        <v>417</v>
      </c>
      <c r="N109" s="668"/>
      <c r="O109" s="668" t="s">
        <v>422</v>
      </c>
      <c r="P109" s="665" t="s">
        <v>418</v>
      </c>
      <c r="Q109" s="666"/>
      <c r="R109" s="666"/>
      <c r="S109" s="667"/>
      <c r="T109" s="668" t="s">
        <v>416</v>
      </c>
      <c r="U109" s="665" t="s">
        <v>418</v>
      </c>
      <c r="V109" s="666"/>
      <c r="W109" s="666"/>
      <c r="X109" s="667"/>
      <c r="Y109" s="668" t="s">
        <v>416</v>
      </c>
      <c r="Z109" s="665" t="s">
        <v>418</v>
      </c>
      <c r="AA109" s="666"/>
      <c r="AB109" s="666"/>
      <c r="AC109" s="667"/>
      <c r="AD109" s="668" t="s">
        <v>416</v>
      </c>
      <c r="AE109" s="665" t="s">
        <v>418</v>
      </c>
      <c r="AF109" s="666"/>
      <c r="AG109" s="666"/>
      <c r="AH109" s="667"/>
      <c r="AI109" s="668" t="s">
        <v>416</v>
      </c>
      <c r="AJ109" s="665" t="s">
        <v>418</v>
      </c>
      <c r="AK109" s="666"/>
      <c r="AL109" s="666"/>
      <c r="AM109" s="667"/>
      <c r="AN109" s="668" t="s">
        <v>416</v>
      </c>
      <c r="AO109" s="665" t="s">
        <v>418</v>
      </c>
      <c r="AP109" s="666"/>
      <c r="AQ109" s="666"/>
      <c r="AR109" s="667"/>
      <c r="AS109" s="668" t="s">
        <v>416</v>
      </c>
      <c r="AT109" s="665" t="s">
        <v>418</v>
      </c>
      <c r="AU109" s="666"/>
      <c r="AV109" s="666"/>
      <c r="AW109" s="667"/>
      <c r="AX109" s="668" t="s">
        <v>416</v>
      </c>
    </row>
    <row r="110" spans="2:50">
      <c r="B110" s="668"/>
      <c r="C110" s="668"/>
      <c r="D110" s="668"/>
      <c r="E110" s="668" t="s">
        <v>423</v>
      </c>
      <c r="F110" s="668"/>
      <c r="G110" s="668"/>
      <c r="H110" s="685"/>
      <c r="I110" s="652" t="s">
        <v>423</v>
      </c>
      <c r="J110" s="652"/>
      <c r="K110" s="652"/>
      <c r="L110" s="654"/>
      <c r="M110" s="660"/>
      <c r="N110" s="668"/>
      <c r="O110" s="668"/>
      <c r="P110" s="665" t="s">
        <v>424</v>
      </c>
      <c r="Q110" s="666"/>
      <c r="R110" s="666"/>
      <c r="S110" s="667"/>
      <c r="T110" s="668"/>
      <c r="U110" s="665" t="s">
        <v>424</v>
      </c>
      <c r="V110" s="666"/>
      <c r="W110" s="666"/>
      <c r="X110" s="667"/>
      <c r="Y110" s="668"/>
      <c r="Z110" s="665" t="s">
        <v>424</v>
      </c>
      <c r="AA110" s="666"/>
      <c r="AB110" s="666"/>
      <c r="AC110" s="667"/>
      <c r="AD110" s="668"/>
      <c r="AE110" s="665" t="s">
        <v>424</v>
      </c>
      <c r="AF110" s="666"/>
      <c r="AG110" s="666"/>
      <c r="AH110" s="667"/>
      <c r="AI110" s="668"/>
      <c r="AJ110" s="665" t="s">
        <v>424</v>
      </c>
      <c r="AK110" s="666"/>
      <c r="AL110" s="666"/>
      <c r="AM110" s="667"/>
      <c r="AN110" s="668"/>
      <c r="AO110" s="665" t="s">
        <v>424</v>
      </c>
      <c r="AP110" s="666"/>
      <c r="AQ110" s="666"/>
      <c r="AR110" s="667"/>
      <c r="AS110" s="668"/>
      <c r="AT110" s="665" t="s">
        <v>424</v>
      </c>
      <c r="AU110" s="666"/>
      <c r="AV110" s="666"/>
      <c r="AW110" s="667"/>
      <c r="AX110" s="668"/>
    </row>
    <row r="111" spans="2:50">
      <c r="B111" s="668"/>
      <c r="C111" s="668"/>
      <c r="D111" s="668"/>
      <c r="E111" s="308" t="s">
        <v>425</v>
      </c>
      <c r="F111" s="308" t="s">
        <v>426</v>
      </c>
      <c r="G111" s="308" t="s">
        <v>427</v>
      </c>
      <c r="H111" s="686"/>
      <c r="I111" s="307" t="s">
        <v>425</v>
      </c>
      <c r="J111" s="307" t="s">
        <v>426</v>
      </c>
      <c r="K111" s="307" t="s">
        <v>427</v>
      </c>
      <c r="L111" s="655"/>
      <c r="M111" s="661"/>
      <c r="N111" s="668"/>
      <c r="O111" s="668"/>
      <c r="P111" s="308" t="s">
        <v>425</v>
      </c>
      <c r="Q111" s="308" t="s">
        <v>426</v>
      </c>
      <c r="R111" s="308" t="s">
        <v>427</v>
      </c>
      <c r="S111" s="308" t="s">
        <v>417</v>
      </c>
      <c r="T111" s="668"/>
      <c r="U111" s="308" t="s">
        <v>425</v>
      </c>
      <c r="V111" s="308" t="s">
        <v>426</v>
      </c>
      <c r="W111" s="308" t="s">
        <v>427</v>
      </c>
      <c r="X111" s="308" t="s">
        <v>417</v>
      </c>
      <c r="Y111" s="668"/>
      <c r="Z111" s="308" t="s">
        <v>425</v>
      </c>
      <c r="AA111" s="308" t="s">
        <v>426</v>
      </c>
      <c r="AB111" s="308" t="s">
        <v>427</v>
      </c>
      <c r="AC111" s="308" t="s">
        <v>417</v>
      </c>
      <c r="AD111" s="668"/>
      <c r="AE111" s="308" t="s">
        <v>425</v>
      </c>
      <c r="AF111" s="308" t="s">
        <v>426</v>
      </c>
      <c r="AG111" s="308" t="s">
        <v>427</v>
      </c>
      <c r="AH111" s="308" t="s">
        <v>417</v>
      </c>
      <c r="AI111" s="668"/>
      <c r="AJ111" s="308" t="s">
        <v>425</v>
      </c>
      <c r="AK111" s="308" t="s">
        <v>426</v>
      </c>
      <c r="AL111" s="308" t="s">
        <v>427</v>
      </c>
      <c r="AM111" s="308" t="s">
        <v>417</v>
      </c>
      <c r="AN111" s="668"/>
      <c r="AO111" s="308" t="s">
        <v>425</v>
      </c>
      <c r="AP111" s="308" t="s">
        <v>426</v>
      </c>
      <c r="AQ111" s="308" t="s">
        <v>427</v>
      </c>
      <c r="AR111" s="308" t="s">
        <v>417</v>
      </c>
      <c r="AS111" s="668"/>
      <c r="AT111" s="308" t="s">
        <v>425</v>
      </c>
      <c r="AU111" s="308" t="s">
        <v>426</v>
      </c>
      <c r="AV111" s="308" t="s">
        <v>427</v>
      </c>
      <c r="AW111" s="308" t="s">
        <v>417</v>
      </c>
      <c r="AX111" s="668"/>
    </row>
    <row r="112" spans="2:50">
      <c r="B112" s="676" t="s">
        <v>150</v>
      </c>
      <c r="C112" s="309">
        <v>1</v>
      </c>
      <c r="D112" s="569" t="s">
        <v>358</v>
      </c>
      <c r="E112" s="569">
        <v>3</v>
      </c>
      <c r="F112" s="569">
        <v>3200</v>
      </c>
      <c r="G112" s="182">
        <v>1066.6666666666667</v>
      </c>
      <c r="H112" s="677">
        <f>AVERAGE(G112:G141)</f>
        <v>716.09848484848487</v>
      </c>
      <c r="I112" s="199">
        <f>AVERAGE(P112,U112,Z112,AE112,AJ112,AO112,AT112)</f>
        <v>3</v>
      </c>
      <c r="J112" s="199">
        <f>AVERAGE(Q112,V112,AA112,AF112,AK112,AP112,AU112)</f>
        <v>3236.5570814682915</v>
      </c>
      <c r="K112" s="200">
        <f>AVERAGE(R112,W112,AB112,AG112,AL112,AQ112,AV112)</f>
        <v>1078.8523604894303</v>
      </c>
      <c r="L112" s="649">
        <f>IFERROR(AVERAGE(K112:K141),"-")</f>
        <v>771.40194693476019</v>
      </c>
      <c r="M112" s="199">
        <f>RANK(K112, K$112:$K$141)</f>
        <v>2</v>
      </c>
      <c r="N112" s="668"/>
      <c r="O112" s="668"/>
      <c r="P112" s="425">
        <v>3</v>
      </c>
      <c r="Q112" s="182">
        <v>3185.660377358492</v>
      </c>
      <c r="R112" s="182">
        <v>1061.8867924528306</v>
      </c>
      <c r="S112" s="309">
        <f>RANK(R112, R$112:R$141)</f>
        <v>1</v>
      </c>
      <c r="T112" s="677">
        <f>AVERAGE(R112:R141)</f>
        <v>743.25180080179769</v>
      </c>
      <c r="U112" s="425">
        <v>3</v>
      </c>
      <c r="V112" s="182">
        <v>3182.3076923076987</v>
      </c>
      <c r="W112" s="182">
        <v>1060.769230769233</v>
      </c>
      <c r="X112" s="475">
        <f t="shared" ref="X112:X127" si="63">RANK(W112, W$112:W$141)</f>
        <v>1</v>
      </c>
      <c r="Y112" s="677">
        <f t="shared" ref="Y112" si="64">AVERAGE(W112:W141)</f>
        <v>758.72552005344426</v>
      </c>
      <c r="Z112" s="425">
        <v>3</v>
      </c>
      <c r="AA112" s="182">
        <v>3252.9411764705847</v>
      </c>
      <c r="AB112" s="182">
        <v>1084.3137254901949</v>
      </c>
      <c r="AC112" s="475">
        <f t="shared" ref="AC112:AC127" si="65">RANK(AB112, AB$112:AB$141)</f>
        <v>4</v>
      </c>
      <c r="AD112" s="677">
        <f t="shared" ref="AD112" si="66">AVERAGE(AB112:AB141)</f>
        <v>785.55559793207692</v>
      </c>
      <c r="AE112" s="425">
        <v>3</v>
      </c>
      <c r="AF112" s="182">
        <v>3258.6666666666665</v>
      </c>
      <c r="AG112" s="182">
        <v>1086.2222222222222</v>
      </c>
      <c r="AH112" s="475">
        <f t="shared" ref="AH112:AH127" si="67">RANK(AG112, AG$112:AG$141)</f>
        <v>2</v>
      </c>
      <c r="AI112" s="677">
        <f t="shared" ref="AI112" si="68">AVERAGE(AG112:AG141)</f>
        <v>782.3836019845088</v>
      </c>
      <c r="AJ112" s="425">
        <v>3</v>
      </c>
      <c r="AK112" s="182">
        <v>3208</v>
      </c>
      <c r="AL112" s="182">
        <v>1069.3333333333333</v>
      </c>
      <c r="AM112" s="475">
        <f t="shared" ref="AM112:AM127" si="69">RANK(AL112, AL$112:AL$141)</f>
        <v>4</v>
      </c>
      <c r="AN112" s="677">
        <f t="shared" ref="AN112" si="70">AVERAGE(AL112:AL141)</f>
        <v>770.72762220322829</v>
      </c>
      <c r="AO112" s="425">
        <v>3</v>
      </c>
      <c r="AP112" s="182">
        <v>3267.1698113207563</v>
      </c>
      <c r="AQ112" s="182">
        <v>1089.0566037735855</v>
      </c>
      <c r="AR112" s="475">
        <f t="shared" ref="AR112:AR127" si="71">RANK(AQ112, AQ$112:AQ$141)</f>
        <v>2</v>
      </c>
      <c r="AS112" s="677">
        <f t="shared" ref="AS112" si="72">AVERAGE(AQ112:AQ141)</f>
        <v>783.45068665903057</v>
      </c>
      <c r="AT112" s="425">
        <v>3</v>
      </c>
      <c r="AU112" s="182">
        <v>3301.1538461538426</v>
      </c>
      <c r="AV112" s="182">
        <v>1100.3846153846141</v>
      </c>
      <c r="AW112" s="475">
        <f t="shared" ref="AW112:AW127" si="73">RANK(AV112, AV$112:AV$141)</f>
        <v>1</v>
      </c>
      <c r="AX112" s="677">
        <f t="shared" ref="AX112" si="74">AVERAGE(AV112:AV141)</f>
        <v>745.46819347936298</v>
      </c>
    </row>
    <row r="113" spans="2:50">
      <c r="B113" s="676"/>
      <c r="C113" s="309">
        <v>2</v>
      </c>
      <c r="D113" s="571" t="s">
        <v>359</v>
      </c>
      <c r="E113" s="569">
        <v>3</v>
      </c>
      <c r="F113" s="569">
        <v>3200</v>
      </c>
      <c r="G113" s="182">
        <v>1066.6666666666667</v>
      </c>
      <c r="H113" s="678"/>
      <c r="I113" s="199">
        <f t="shared" ref="I113:I130" si="75">AVERAGE(P113,U113,Z113,AE113,AJ113,AO113,AT113)</f>
        <v>3</v>
      </c>
      <c r="J113" s="199">
        <f t="shared" ref="J113:J130" si="76">AVERAGE(Q113,V113,AA113,AF113,AK113,AP113,AU113)</f>
        <v>3143.8100240096037</v>
      </c>
      <c r="K113" s="200">
        <f t="shared" ref="K113:K130" si="77">AVERAGE(R113,W113,AB113,AG113,AL113,AQ113,AV113)</f>
        <v>1047.9366746698679</v>
      </c>
      <c r="L113" s="650"/>
      <c r="M113" s="199">
        <f>RANK(K113, K$112:$K$141)</f>
        <v>5</v>
      </c>
      <c r="N113" s="668"/>
      <c r="O113" s="668"/>
      <c r="P113" s="182">
        <v>3</v>
      </c>
      <c r="Q113" s="182">
        <v>3052.9411764705847</v>
      </c>
      <c r="R113" s="182">
        <v>1017.6470588235283</v>
      </c>
      <c r="S113" s="339">
        <f t="shared" ref="S113:S141" si="78">RANK(R113, R$112:R$141)</f>
        <v>5</v>
      </c>
      <c r="T113" s="678"/>
      <c r="U113" s="182">
        <v>3</v>
      </c>
      <c r="V113" s="182">
        <v>3161.2499999999795</v>
      </c>
      <c r="W113" s="182">
        <v>1053.7499999999932</v>
      </c>
      <c r="X113" s="475">
        <f t="shared" si="63"/>
        <v>4</v>
      </c>
      <c r="Y113" s="678"/>
      <c r="Z113" s="182">
        <v>3</v>
      </c>
      <c r="AA113" s="182">
        <v>3138.7500000000109</v>
      </c>
      <c r="AB113" s="182">
        <v>1046.2500000000036</v>
      </c>
      <c r="AC113" s="475">
        <f t="shared" si="65"/>
        <v>6</v>
      </c>
      <c r="AD113" s="678"/>
      <c r="AE113" s="182">
        <v>3</v>
      </c>
      <c r="AF113" s="182">
        <v>3201.4285714285829</v>
      </c>
      <c r="AG113" s="182">
        <v>1067.142857142861</v>
      </c>
      <c r="AH113" s="475">
        <f t="shared" si="67"/>
        <v>5</v>
      </c>
      <c r="AI113" s="678"/>
      <c r="AJ113" s="182">
        <v>3</v>
      </c>
      <c r="AK113" s="182">
        <v>3094.2857142857079</v>
      </c>
      <c r="AL113" s="182">
        <v>1031.4285714285693</v>
      </c>
      <c r="AM113" s="475">
        <f t="shared" si="69"/>
        <v>5</v>
      </c>
      <c r="AN113" s="678"/>
      <c r="AO113" s="182">
        <v>3</v>
      </c>
      <c r="AP113" s="182">
        <v>3151.7647058823486</v>
      </c>
      <c r="AQ113" s="182">
        <v>1050.5882352941162</v>
      </c>
      <c r="AR113" s="475">
        <f t="shared" si="71"/>
        <v>5</v>
      </c>
      <c r="AS113" s="678"/>
      <c r="AT113" s="182">
        <v>3</v>
      </c>
      <c r="AU113" s="182">
        <v>3206.2500000000114</v>
      </c>
      <c r="AV113" s="182">
        <v>1068.7500000000039</v>
      </c>
      <c r="AW113" s="475">
        <f t="shared" si="73"/>
        <v>5</v>
      </c>
      <c r="AX113" s="678"/>
    </row>
    <row r="114" spans="2:50">
      <c r="B114" s="676"/>
      <c r="C114" s="309">
        <v>3</v>
      </c>
      <c r="D114" s="569" t="s">
        <v>348</v>
      </c>
      <c r="E114" s="569">
        <v>4</v>
      </c>
      <c r="F114" s="569">
        <v>3200</v>
      </c>
      <c r="G114" s="182">
        <v>800</v>
      </c>
      <c r="H114" s="678"/>
      <c r="I114" s="199">
        <f t="shared" si="75"/>
        <v>4</v>
      </c>
      <c r="J114" s="199">
        <f t="shared" si="76"/>
        <v>3246.7695709862951</v>
      </c>
      <c r="K114" s="200">
        <f t="shared" si="77"/>
        <v>811.69239274657377</v>
      </c>
      <c r="L114" s="650"/>
      <c r="M114" s="199">
        <f>RANK(K114, K$112:$K$141)</f>
        <v>10</v>
      </c>
      <c r="N114" s="668"/>
      <c r="O114" s="668"/>
      <c r="P114" s="182">
        <v>4</v>
      </c>
      <c r="Q114" s="182">
        <v>3110.5263157894715</v>
      </c>
      <c r="R114" s="182">
        <v>777.63157894736787</v>
      </c>
      <c r="S114" s="339">
        <f t="shared" si="78"/>
        <v>10</v>
      </c>
      <c r="T114" s="678"/>
      <c r="U114" s="182">
        <v>4</v>
      </c>
      <c r="V114" s="182">
        <v>3053.6842105263136</v>
      </c>
      <c r="W114" s="182">
        <v>763.42105263157839</v>
      </c>
      <c r="X114" s="475">
        <f t="shared" si="63"/>
        <v>12</v>
      </c>
      <c r="Y114" s="678"/>
      <c r="Z114" s="182">
        <v>4</v>
      </c>
      <c r="AA114" s="182">
        <v>3381.176470588247</v>
      </c>
      <c r="AB114" s="182">
        <v>845.29411764706174</v>
      </c>
      <c r="AC114" s="475">
        <f t="shared" si="65"/>
        <v>9</v>
      </c>
      <c r="AD114" s="678"/>
      <c r="AE114" s="182">
        <v>4</v>
      </c>
      <c r="AF114" s="182">
        <v>3312.0000000000118</v>
      </c>
      <c r="AG114" s="182">
        <v>828.00000000000296</v>
      </c>
      <c r="AH114" s="475">
        <f t="shared" si="67"/>
        <v>10</v>
      </c>
      <c r="AI114" s="678"/>
      <c r="AJ114" s="182">
        <v>4</v>
      </c>
      <c r="AK114" s="182">
        <v>3300.0000000000118</v>
      </c>
      <c r="AL114" s="182">
        <v>825.00000000000296</v>
      </c>
      <c r="AM114" s="475">
        <f t="shared" si="69"/>
        <v>11</v>
      </c>
      <c r="AN114" s="678"/>
      <c r="AO114" s="182">
        <v>4</v>
      </c>
      <c r="AP114" s="182">
        <v>3326.6666666666783</v>
      </c>
      <c r="AQ114" s="182">
        <v>831.66666666666958</v>
      </c>
      <c r="AR114" s="475">
        <f t="shared" si="71"/>
        <v>9</v>
      </c>
      <c r="AS114" s="678"/>
      <c r="AT114" s="182">
        <v>4</v>
      </c>
      <c r="AU114" s="182">
        <v>3243.3333333333308</v>
      </c>
      <c r="AV114" s="182">
        <v>810.83333333333269</v>
      </c>
      <c r="AW114" s="475">
        <f t="shared" si="73"/>
        <v>12</v>
      </c>
      <c r="AX114" s="678"/>
    </row>
    <row r="115" spans="2:50">
      <c r="B115" s="676"/>
      <c r="C115" s="309">
        <v>4</v>
      </c>
      <c r="D115" s="569" t="s">
        <v>360</v>
      </c>
      <c r="E115" s="569">
        <v>3</v>
      </c>
      <c r="F115" s="569">
        <v>3200</v>
      </c>
      <c r="G115" s="182">
        <v>1066.6666666666667</v>
      </c>
      <c r="H115" s="678"/>
      <c r="I115" s="199">
        <f t="shared" si="75"/>
        <v>3</v>
      </c>
      <c r="J115" s="199">
        <f t="shared" si="76"/>
        <v>3255.0312993100206</v>
      </c>
      <c r="K115" s="200">
        <f t="shared" si="77"/>
        <v>1085.0104331033403</v>
      </c>
      <c r="L115" s="650"/>
      <c r="M115" s="199">
        <f>RANK(K115, K$112:$K$141)</f>
        <v>1</v>
      </c>
      <c r="N115" s="668"/>
      <c r="O115" s="668"/>
      <c r="P115" s="182">
        <v>3</v>
      </c>
      <c r="Q115" s="182">
        <v>3173.6470588235288</v>
      </c>
      <c r="R115" s="182">
        <v>1057.8823529411764</v>
      </c>
      <c r="S115" s="339">
        <f t="shared" si="78"/>
        <v>3</v>
      </c>
      <c r="T115" s="678"/>
      <c r="U115" s="182">
        <v>3</v>
      </c>
      <c r="V115" s="182">
        <v>3169.9999999999991</v>
      </c>
      <c r="W115" s="182">
        <v>1056.6666666666663</v>
      </c>
      <c r="X115" s="475">
        <f t="shared" si="63"/>
        <v>3</v>
      </c>
      <c r="Y115" s="678"/>
      <c r="Z115" s="182">
        <v>3</v>
      </c>
      <c r="AA115" s="182">
        <v>3258.2278481012677</v>
      </c>
      <c r="AB115" s="182">
        <v>1086.0759493670892</v>
      </c>
      <c r="AC115" s="475">
        <f t="shared" si="65"/>
        <v>3</v>
      </c>
      <c r="AD115" s="678"/>
      <c r="AE115" s="182">
        <v>3</v>
      </c>
      <c r="AF115" s="182">
        <v>3274.9253731343283</v>
      </c>
      <c r="AG115" s="182">
        <v>1091.641791044776</v>
      </c>
      <c r="AH115" s="475">
        <f t="shared" si="67"/>
        <v>1</v>
      </c>
      <c r="AI115" s="678"/>
      <c r="AJ115" s="182">
        <v>3</v>
      </c>
      <c r="AK115" s="182">
        <v>3343.3846153846189</v>
      </c>
      <c r="AL115" s="182">
        <v>1114.4615384615397</v>
      </c>
      <c r="AM115" s="475">
        <f t="shared" si="69"/>
        <v>1</v>
      </c>
      <c r="AN115" s="678"/>
      <c r="AO115" s="182">
        <v>3</v>
      </c>
      <c r="AP115" s="182">
        <v>3292.9411764705878</v>
      </c>
      <c r="AQ115" s="182">
        <v>1097.6470588235293</v>
      </c>
      <c r="AR115" s="475">
        <f t="shared" si="71"/>
        <v>1</v>
      </c>
      <c r="AS115" s="678"/>
      <c r="AT115" s="182">
        <v>3</v>
      </c>
      <c r="AU115" s="182">
        <v>3272.0930232558135</v>
      </c>
      <c r="AV115" s="182">
        <v>1090.6976744186045</v>
      </c>
      <c r="AW115" s="475">
        <f t="shared" si="73"/>
        <v>2</v>
      </c>
      <c r="AX115" s="678"/>
    </row>
    <row r="116" spans="2:50">
      <c r="B116" s="676"/>
      <c r="C116" s="309">
        <v>5</v>
      </c>
      <c r="D116" s="569" t="s">
        <v>913</v>
      </c>
      <c r="E116" s="569">
        <v>4</v>
      </c>
      <c r="F116" s="569">
        <v>3200</v>
      </c>
      <c r="G116" s="182">
        <v>800</v>
      </c>
      <c r="H116" s="678"/>
      <c r="I116" s="199">
        <f t="shared" si="75"/>
        <v>4</v>
      </c>
      <c r="J116" s="199">
        <f t="shared" si="76"/>
        <v>3075.0380281483258</v>
      </c>
      <c r="K116" s="200">
        <f t="shared" si="77"/>
        <v>768.75950703708145</v>
      </c>
      <c r="L116" s="650"/>
      <c r="M116" s="199">
        <f>RANK(K116, K$112:$K$141)</f>
        <v>12</v>
      </c>
      <c r="N116" s="668"/>
      <c r="O116" s="668"/>
      <c r="P116" s="182">
        <v>4</v>
      </c>
      <c r="Q116" s="182">
        <v>2064.7058823529387</v>
      </c>
      <c r="R116" s="182">
        <v>516.17647058823468</v>
      </c>
      <c r="S116" s="339">
        <f t="shared" si="78"/>
        <v>19</v>
      </c>
      <c r="T116" s="678"/>
      <c r="U116" s="182">
        <v>4</v>
      </c>
      <c r="V116" s="182">
        <v>3110.9090909090942</v>
      </c>
      <c r="W116" s="182">
        <v>777.72727272727354</v>
      </c>
      <c r="X116" s="475">
        <f t="shared" si="63"/>
        <v>10</v>
      </c>
      <c r="Y116" s="678"/>
      <c r="Z116" s="182">
        <v>4</v>
      </c>
      <c r="AA116" s="182">
        <v>3294.0000000000032</v>
      </c>
      <c r="AB116" s="182">
        <v>823.5000000000008</v>
      </c>
      <c r="AC116" s="475">
        <f t="shared" si="65"/>
        <v>11</v>
      </c>
      <c r="AD116" s="678"/>
      <c r="AE116" s="182">
        <v>4</v>
      </c>
      <c r="AF116" s="182">
        <v>3240.0000000000114</v>
      </c>
      <c r="AG116" s="182">
        <v>810.00000000000284</v>
      </c>
      <c r="AH116" s="475">
        <f t="shared" si="67"/>
        <v>12</v>
      </c>
      <c r="AI116" s="678"/>
      <c r="AJ116" s="182">
        <v>4</v>
      </c>
      <c r="AK116" s="182">
        <v>3219.2307692307709</v>
      </c>
      <c r="AL116" s="182">
        <v>804.80769230769272</v>
      </c>
      <c r="AM116" s="475">
        <f t="shared" si="69"/>
        <v>12</v>
      </c>
      <c r="AN116" s="678"/>
      <c r="AO116" s="182">
        <v>4</v>
      </c>
      <c r="AP116" s="182">
        <v>3294.5454545454659</v>
      </c>
      <c r="AQ116" s="182">
        <v>823.63636363636647</v>
      </c>
      <c r="AR116" s="475">
        <f t="shared" si="71"/>
        <v>11</v>
      </c>
      <c r="AS116" s="678"/>
      <c r="AT116" s="182">
        <v>4</v>
      </c>
      <c r="AU116" s="182">
        <v>3301.8749999999959</v>
      </c>
      <c r="AV116" s="182">
        <v>825.46874999999898</v>
      </c>
      <c r="AW116" s="475">
        <f t="shared" si="73"/>
        <v>9</v>
      </c>
      <c r="AX116" s="678"/>
    </row>
    <row r="117" spans="2:50">
      <c r="B117" s="676"/>
      <c r="C117" s="309">
        <v>6</v>
      </c>
      <c r="D117" s="569" t="s">
        <v>914</v>
      </c>
      <c r="E117" s="569">
        <v>4</v>
      </c>
      <c r="F117" s="569">
        <v>3200</v>
      </c>
      <c r="G117" s="182">
        <v>800</v>
      </c>
      <c r="H117" s="678"/>
      <c r="I117" s="199">
        <f t="shared" si="75"/>
        <v>4</v>
      </c>
      <c r="J117" s="199">
        <f t="shared" si="76"/>
        <v>3330.2680176965832</v>
      </c>
      <c r="K117" s="200">
        <f t="shared" si="77"/>
        <v>832.56700442414581</v>
      </c>
      <c r="L117" s="650"/>
      <c r="M117" s="199">
        <f>RANK(K117, K$112:$K$141)</f>
        <v>8</v>
      </c>
      <c r="N117" s="668"/>
      <c r="O117" s="668"/>
      <c r="P117" s="182">
        <v>4</v>
      </c>
      <c r="Q117" s="182">
        <v>3239.9999999999932</v>
      </c>
      <c r="R117" s="182">
        <v>809.99999999999829</v>
      </c>
      <c r="S117" s="339">
        <f t="shared" si="78"/>
        <v>8</v>
      </c>
      <c r="T117" s="678"/>
      <c r="U117" s="182">
        <v>4</v>
      </c>
      <c r="V117" s="182">
        <v>3218.5714285714216</v>
      </c>
      <c r="W117" s="182">
        <v>804.64285714285541</v>
      </c>
      <c r="X117" s="475">
        <f t="shared" si="63"/>
        <v>8</v>
      </c>
      <c r="Y117" s="678"/>
      <c r="Z117" s="182">
        <v>4</v>
      </c>
      <c r="AA117" s="182">
        <v>3387.692307692299</v>
      </c>
      <c r="AB117" s="182">
        <v>846.92307692307475</v>
      </c>
      <c r="AC117" s="475">
        <f t="shared" si="65"/>
        <v>8</v>
      </c>
      <c r="AD117" s="678"/>
      <c r="AE117" s="182">
        <v>4</v>
      </c>
      <c r="AF117" s="182">
        <v>3370.9090909091028</v>
      </c>
      <c r="AG117" s="182">
        <v>842.7272727272757</v>
      </c>
      <c r="AH117" s="475">
        <f t="shared" si="67"/>
        <v>8</v>
      </c>
      <c r="AI117" s="678"/>
      <c r="AJ117" s="182">
        <v>4</v>
      </c>
      <c r="AK117" s="182">
        <v>3407.999999999985</v>
      </c>
      <c r="AL117" s="182">
        <v>851.99999999999625</v>
      </c>
      <c r="AM117" s="475">
        <f t="shared" si="69"/>
        <v>9</v>
      </c>
      <c r="AN117" s="678"/>
      <c r="AO117" s="182">
        <v>4</v>
      </c>
      <c r="AP117" s="182">
        <v>3312.8571428571358</v>
      </c>
      <c r="AQ117" s="182">
        <v>828.21428571428396</v>
      </c>
      <c r="AR117" s="475">
        <f t="shared" si="71"/>
        <v>10</v>
      </c>
      <c r="AS117" s="678"/>
      <c r="AT117" s="182">
        <v>4</v>
      </c>
      <c r="AU117" s="182">
        <v>3373.8461538461452</v>
      </c>
      <c r="AV117" s="182">
        <v>843.46153846153629</v>
      </c>
      <c r="AW117" s="475">
        <f t="shared" si="73"/>
        <v>8</v>
      </c>
      <c r="AX117" s="678"/>
    </row>
    <row r="118" spans="2:50">
      <c r="B118" s="676"/>
      <c r="C118" s="309">
        <v>7</v>
      </c>
      <c r="D118" s="569" t="s">
        <v>361</v>
      </c>
      <c r="E118" s="569">
        <v>4</v>
      </c>
      <c r="F118" s="569">
        <v>2800</v>
      </c>
      <c r="G118" s="182">
        <v>700</v>
      </c>
      <c r="H118" s="678"/>
      <c r="I118" s="199">
        <f t="shared" si="75"/>
        <v>4</v>
      </c>
      <c r="J118" s="199">
        <f t="shared" si="76"/>
        <v>3282.378954378958</v>
      </c>
      <c r="K118" s="200">
        <f t="shared" si="77"/>
        <v>820.59473859473951</v>
      </c>
      <c r="L118" s="650"/>
      <c r="M118" s="199">
        <f>RANK(K118, K$112:$K$141)</f>
        <v>9</v>
      </c>
      <c r="N118" s="668"/>
      <c r="O118" s="668"/>
      <c r="P118" s="182">
        <v>4</v>
      </c>
      <c r="Q118" s="182">
        <v>2986.1538461538385</v>
      </c>
      <c r="R118" s="182">
        <v>746.53846153845961</v>
      </c>
      <c r="S118" s="339">
        <f t="shared" si="78"/>
        <v>12</v>
      </c>
      <c r="T118" s="678"/>
      <c r="U118" s="182">
        <v>4</v>
      </c>
      <c r="V118" s="182">
        <v>3096.923076923088</v>
      </c>
      <c r="W118" s="182">
        <v>774.23076923077201</v>
      </c>
      <c r="X118" s="475">
        <f t="shared" si="63"/>
        <v>11</v>
      </c>
      <c r="Y118" s="678"/>
      <c r="Z118" s="182">
        <v>4</v>
      </c>
      <c r="AA118" s="182">
        <v>3370.909090909091</v>
      </c>
      <c r="AB118" s="182">
        <v>842.72727272727275</v>
      </c>
      <c r="AC118" s="475">
        <f t="shared" si="65"/>
        <v>10</v>
      </c>
      <c r="AD118" s="678"/>
      <c r="AE118" s="182">
        <v>4</v>
      </c>
      <c r="AF118" s="182">
        <v>3366.0000000000118</v>
      </c>
      <c r="AG118" s="182">
        <v>841.50000000000296</v>
      </c>
      <c r="AH118" s="475">
        <f t="shared" si="67"/>
        <v>9</v>
      </c>
      <c r="AI118" s="678"/>
      <c r="AJ118" s="182">
        <v>4</v>
      </c>
      <c r="AK118" s="182">
        <v>3466.6666666666792</v>
      </c>
      <c r="AL118" s="182">
        <v>866.66666666666981</v>
      </c>
      <c r="AM118" s="475">
        <f t="shared" si="69"/>
        <v>8</v>
      </c>
      <c r="AN118" s="678"/>
      <c r="AO118" s="182">
        <v>4</v>
      </c>
      <c r="AP118" s="182">
        <v>3415.0000000000123</v>
      </c>
      <c r="AQ118" s="182">
        <v>853.75000000000307</v>
      </c>
      <c r="AR118" s="475">
        <f t="shared" si="71"/>
        <v>8</v>
      </c>
      <c r="AS118" s="678"/>
      <c r="AT118" s="182">
        <v>4</v>
      </c>
      <c r="AU118" s="182">
        <v>3274.99999999999</v>
      </c>
      <c r="AV118" s="182">
        <v>818.7499999999975</v>
      </c>
      <c r="AW118" s="475">
        <f t="shared" si="73"/>
        <v>11</v>
      </c>
      <c r="AX118" s="678"/>
    </row>
    <row r="119" spans="2:50">
      <c r="B119" s="676"/>
      <c r="C119" s="309">
        <v>8</v>
      </c>
      <c r="D119" s="569" t="s">
        <v>362</v>
      </c>
      <c r="E119" s="569">
        <v>3</v>
      </c>
      <c r="F119" s="569">
        <v>3200</v>
      </c>
      <c r="G119" s="182">
        <v>1066.6666666666667</v>
      </c>
      <c r="H119" s="678"/>
      <c r="I119" s="199">
        <f t="shared" si="75"/>
        <v>3</v>
      </c>
      <c r="J119" s="199">
        <f t="shared" si="76"/>
        <v>3218.1658844047374</v>
      </c>
      <c r="K119" s="200">
        <f t="shared" si="77"/>
        <v>1072.7219614682456</v>
      </c>
      <c r="L119" s="650"/>
      <c r="M119" s="199">
        <f>RANK(K119, K$112:$K$141)</f>
        <v>3</v>
      </c>
      <c r="N119" s="668"/>
      <c r="O119" s="668"/>
      <c r="P119" s="182">
        <v>3</v>
      </c>
      <c r="Q119" s="182">
        <v>3177.9310344827613</v>
      </c>
      <c r="R119" s="182">
        <v>1059.3103448275872</v>
      </c>
      <c r="S119" s="339">
        <f t="shared" si="78"/>
        <v>2</v>
      </c>
      <c r="T119" s="678"/>
      <c r="U119" s="182">
        <v>3</v>
      </c>
      <c r="V119" s="182">
        <v>3096.0000000000032</v>
      </c>
      <c r="W119" s="182">
        <v>1032.0000000000011</v>
      </c>
      <c r="X119" s="475">
        <f t="shared" si="63"/>
        <v>5</v>
      </c>
      <c r="Y119" s="678"/>
      <c r="Z119" s="182">
        <v>3</v>
      </c>
      <c r="AA119" s="182">
        <v>3282.8571428571454</v>
      </c>
      <c r="AB119" s="182">
        <v>1094.2857142857151</v>
      </c>
      <c r="AC119" s="475">
        <f t="shared" si="65"/>
        <v>2</v>
      </c>
      <c r="AD119" s="678"/>
      <c r="AE119" s="182">
        <v>3</v>
      </c>
      <c r="AF119" s="182">
        <v>3230.399999999991</v>
      </c>
      <c r="AG119" s="182">
        <v>1076.799999999997</v>
      </c>
      <c r="AH119" s="475">
        <f t="shared" si="67"/>
        <v>4</v>
      </c>
      <c r="AI119" s="678"/>
      <c r="AJ119" s="182">
        <v>3</v>
      </c>
      <c r="AK119" s="182">
        <v>3320.8695652173915</v>
      </c>
      <c r="AL119" s="182">
        <v>1106.9565217391305</v>
      </c>
      <c r="AM119" s="475">
        <f t="shared" si="69"/>
        <v>2</v>
      </c>
      <c r="AN119" s="678"/>
      <c r="AO119" s="182">
        <v>3</v>
      </c>
      <c r="AP119" s="182">
        <v>3206.0000000000032</v>
      </c>
      <c r="AQ119" s="182">
        <v>1068.6666666666677</v>
      </c>
      <c r="AR119" s="475">
        <f t="shared" si="71"/>
        <v>3</v>
      </c>
      <c r="AS119" s="678"/>
      <c r="AT119" s="182">
        <v>3</v>
      </c>
      <c r="AU119" s="182">
        <v>3213.1034482758646</v>
      </c>
      <c r="AV119" s="182">
        <v>1071.0344827586216</v>
      </c>
      <c r="AW119" s="475">
        <f t="shared" si="73"/>
        <v>4</v>
      </c>
      <c r="AX119" s="678"/>
    </row>
    <row r="120" spans="2:50">
      <c r="B120" s="676"/>
      <c r="C120" s="309">
        <v>9</v>
      </c>
      <c r="D120" s="569" t="s">
        <v>363</v>
      </c>
      <c r="E120" s="569">
        <v>3</v>
      </c>
      <c r="F120" s="569">
        <v>2800</v>
      </c>
      <c r="G120" s="182">
        <v>933.33333333333337</v>
      </c>
      <c r="H120" s="678"/>
      <c r="I120" s="199">
        <f t="shared" si="75"/>
        <v>3</v>
      </c>
      <c r="J120" s="199">
        <f t="shared" si="76"/>
        <v>3203.4062004078287</v>
      </c>
      <c r="K120" s="200">
        <f t="shared" si="77"/>
        <v>1067.8020668026095</v>
      </c>
      <c r="L120" s="650"/>
      <c r="M120" s="199">
        <f>RANK(K120, K$112:$K$141)</f>
        <v>4</v>
      </c>
      <c r="N120" s="668"/>
      <c r="O120" s="668"/>
      <c r="P120" s="182">
        <v>3</v>
      </c>
      <c r="Q120" s="182">
        <v>3118.2352941176509</v>
      </c>
      <c r="R120" s="182">
        <v>1039.4117647058836</v>
      </c>
      <c r="S120" s="339">
        <f t="shared" si="78"/>
        <v>4</v>
      </c>
      <c r="T120" s="678"/>
      <c r="U120" s="182">
        <v>3</v>
      </c>
      <c r="V120" s="182">
        <v>3181.8181818181852</v>
      </c>
      <c r="W120" s="182">
        <v>1060.6060606060616</v>
      </c>
      <c r="X120" s="475">
        <f t="shared" si="63"/>
        <v>2</v>
      </c>
      <c r="Y120" s="678"/>
      <c r="Z120" s="182">
        <v>3</v>
      </c>
      <c r="AA120" s="182">
        <v>3236.1290322580635</v>
      </c>
      <c r="AB120" s="182">
        <v>1078.7096774193544</v>
      </c>
      <c r="AC120" s="475">
        <f t="shared" si="65"/>
        <v>5</v>
      </c>
      <c r="AD120" s="678"/>
      <c r="AE120" s="182">
        <v>3</v>
      </c>
      <c r="AF120" s="182">
        <v>3242.1428571428596</v>
      </c>
      <c r="AG120" s="182">
        <v>1080.7142857142865</v>
      </c>
      <c r="AH120" s="475">
        <f t="shared" si="67"/>
        <v>3</v>
      </c>
      <c r="AI120" s="678"/>
      <c r="AJ120" s="182">
        <v>3</v>
      </c>
      <c r="AK120" s="182">
        <v>3217.7777777777751</v>
      </c>
      <c r="AL120" s="182">
        <v>1072.5925925925917</v>
      </c>
      <c r="AM120" s="475">
        <f t="shared" si="69"/>
        <v>3</v>
      </c>
      <c r="AN120" s="678"/>
      <c r="AO120" s="182">
        <v>3</v>
      </c>
      <c r="AP120" s="182">
        <v>3202.2857142857183</v>
      </c>
      <c r="AQ120" s="182">
        <v>1067.4285714285727</v>
      </c>
      <c r="AR120" s="475">
        <f t="shared" si="71"/>
        <v>4</v>
      </c>
      <c r="AS120" s="678"/>
      <c r="AT120" s="182">
        <v>3</v>
      </c>
      <c r="AU120" s="182">
        <v>3225.4545454545487</v>
      </c>
      <c r="AV120" s="182">
        <v>1075.1515151515162</v>
      </c>
      <c r="AW120" s="475">
        <f t="shared" si="73"/>
        <v>3</v>
      </c>
      <c r="AX120" s="678"/>
    </row>
    <row r="121" spans="2:50">
      <c r="B121" s="676"/>
      <c r="C121" s="309">
        <v>10</v>
      </c>
      <c r="D121" s="569" t="s">
        <v>364</v>
      </c>
      <c r="E121" s="569">
        <v>4</v>
      </c>
      <c r="F121" s="569">
        <v>2800</v>
      </c>
      <c r="G121" s="182">
        <v>700</v>
      </c>
      <c r="H121" s="678"/>
      <c r="I121" s="199">
        <f t="shared" si="75"/>
        <v>4</v>
      </c>
      <c r="J121" s="199">
        <f t="shared" si="76"/>
        <v>3241.3683640483791</v>
      </c>
      <c r="K121" s="200">
        <f t="shared" si="77"/>
        <v>810.34209101209478</v>
      </c>
      <c r="L121" s="650"/>
      <c r="M121" s="199">
        <f>RANK(K121, K$112:$K$141)</f>
        <v>11</v>
      </c>
      <c r="N121" s="668"/>
      <c r="O121" s="668"/>
      <c r="P121" s="182">
        <v>4</v>
      </c>
      <c r="Q121" s="182">
        <v>3167.9999999999995</v>
      </c>
      <c r="R121" s="182">
        <v>791.99999999999989</v>
      </c>
      <c r="S121" s="339">
        <f t="shared" si="78"/>
        <v>9</v>
      </c>
      <c r="T121" s="678"/>
      <c r="U121" s="182">
        <v>4</v>
      </c>
      <c r="V121" s="182">
        <v>3168.4210526315792</v>
      </c>
      <c r="W121" s="182">
        <v>792.1052631578948</v>
      </c>
      <c r="X121" s="475">
        <f t="shared" si="63"/>
        <v>9</v>
      </c>
      <c r="Y121" s="678"/>
      <c r="Z121" s="182">
        <v>4</v>
      </c>
      <c r="AA121" s="182">
        <v>3214.6153846153866</v>
      </c>
      <c r="AB121" s="182">
        <v>803.65384615384664</v>
      </c>
      <c r="AC121" s="475">
        <f t="shared" si="65"/>
        <v>12</v>
      </c>
      <c r="AD121" s="678"/>
      <c r="AE121" s="182">
        <v>4</v>
      </c>
      <c r="AF121" s="182">
        <v>3269.333333333333</v>
      </c>
      <c r="AG121" s="182">
        <v>817.33333333333326</v>
      </c>
      <c r="AH121" s="475">
        <f t="shared" si="67"/>
        <v>11</v>
      </c>
      <c r="AI121" s="678"/>
      <c r="AJ121" s="182">
        <v>4</v>
      </c>
      <c r="AK121" s="182">
        <v>3347.4418604651219</v>
      </c>
      <c r="AL121" s="182">
        <v>836.86046511628047</v>
      </c>
      <c r="AM121" s="475">
        <f t="shared" si="69"/>
        <v>10</v>
      </c>
      <c r="AN121" s="678"/>
      <c r="AO121" s="182">
        <v>4</v>
      </c>
      <c r="AP121" s="182">
        <v>3241.0526315789475</v>
      </c>
      <c r="AQ121" s="182">
        <v>810.26315789473688</v>
      </c>
      <c r="AR121" s="475">
        <f t="shared" si="71"/>
        <v>12</v>
      </c>
      <c r="AS121" s="678"/>
      <c r="AT121" s="182">
        <v>4</v>
      </c>
      <c r="AU121" s="182">
        <v>3280.7142857142858</v>
      </c>
      <c r="AV121" s="182">
        <v>820.17857142857144</v>
      </c>
      <c r="AW121" s="475">
        <f t="shared" si="73"/>
        <v>10</v>
      </c>
      <c r="AX121" s="678"/>
    </row>
    <row r="122" spans="2:50">
      <c r="B122" s="676"/>
      <c r="C122" s="309">
        <v>11</v>
      </c>
      <c r="D122" s="569" t="s">
        <v>915</v>
      </c>
      <c r="E122" s="569">
        <v>4</v>
      </c>
      <c r="F122" s="569">
        <v>2800</v>
      </c>
      <c r="G122" s="182">
        <v>700</v>
      </c>
      <c r="H122" s="678"/>
      <c r="I122" s="199">
        <f t="shared" si="75"/>
        <v>4</v>
      </c>
      <c r="J122" s="199">
        <f t="shared" si="76"/>
        <v>2815.14208641394</v>
      </c>
      <c r="K122" s="200">
        <f t="shared" si="77"/>
        <v>703.78552160348499</v>
      </c>
      <c r="L122" s="650"/>
      <c r="M122" s="199">
        <f>RANK(K122, K$112:$K$141)</f>
        <v>16</v>
      </c>
      <c r="N122" s="668"/>
      <c r="O122" s="668"/>
      <c r="P122" s="182">
        <v>4</v>
      </c>
      <c r="Q122" s="182">
        <v>2781.4925373134329</v>
      </c>
      <c r="R122" s="182">
        <v>695.37313432835822</v>
      </c>
      <c r="S122" s="339">
        <f t="shared" si="78"/>
        <v>14</v>
      </c>
      <c r="T122" s="678"/>
      <c r="U122" s="182">
        <v>4</v>
      </c>
      <c r="V122" s="182">
        <v>2799.090909090909</v>
      </c>
      <c r="W122" s="182">
        <v>699.77272727272725</v>
      </c>
      <c r="X122" s="475">
        <f t="shared" si="63"/>
        <v>15</v>
      </c>
      <c r="Y122" s="678"/>
      <c r="Z122" s="182">
        <v>4</v>
      </c>
      <c r="AA122" s="182">
        <v>2836.1904761904757</v>
      </c>
      <c r="AB122" s="182">
        <v>709.04761904761892</v>
      </c>
      <c r="AC122" s="475">
        <f t="shared" si="65"/>
        <v>15</v>
      </c>
      <c r="AD122" s="678"/>
      <c r="AE122" s="182">
        <v>4</v>
      </c>
      <c r="AF122" s="182">
        <v>2838.2142857142835</v>
      </c>
      <c r="AG122" s="182">
        <v>709.55357142857088</v>
      </c>
      <c r="AH122" s="475">
        <f t="shared" si="67"/>
        <v>13</v>
      </c>
      <c r="AI122" s="678"/>
      <c r="AJ122" s="182">
        <v>4</v>
      </c>
      <c r="AK122" s="182">
        <v>2837.1428571428592</v>
      </c>
      <c r="AL122" s="182">
        <v>709.28571428571479</v>
      </c>
      <c r="AM122" s="475">
        <f t="shared" si="69"/>
        <v>15</v>
      </c>
      <c r="AN122" s="678"/>
      <c r="AO122" s="182">
        <v>4</v>
      </c>
      <c r="AP122" s="182">
        <v>2803.7142857142826</v>
      </c>
      <c r="AQ122" s="182">
        <v>700.92857142857065</v>
      </c>
      <c r="AR122" s="475">
        <f t="shared" si="71"/>
        <v>16</v>
      </c>
      <c r="AS122" s="678"/>
      <c r="AT122" s="182">
        <v>4</v>
      </c>
      <c r="AU122" s="182">
        <v>2810.1492537313397</v>
      </c>
      <c r="AV122" s="182">
        <v>702.53731343283494</v>
      </c>
      <c r="AW122" s="475">
        <f t="shared" si="73"/>
        <v>15</v>
      </c>
      <c r="AX122" s="678"/>
    </row>
    <row r="123" spans="2:50">
      <c r="B123" s="676"/>
      <c r="C123" s="309">
        <v>12</v>
      </c>
      <c r="D123" s="569" t="s">
        <v>916</v>
      </c>
      <c r="E123" s="569">
        <v>4</v>
      </c>
      <c r="F123" s="569">
        <v>2800</v>
      </c>
      <c r="G123" s="182">
        <v>700</v>
      </c>
      <c r="H123" s="678"/>
      <c r="I123" s="199">
        <f t="shared" si="75"/>
        <v>4</v>
      </c>
      <c r="J123" s="199">
        <f t="shared" si="76"/>
        <v>2879.142857142851</v>
      </c>
      <c r="K123" s="200">
        <f t="shared" si="77"/>
        <v>719.78571428571274</v>
      </c>
      <c r="L123" s="650"/>
      <c r="M123" s="199">
        <f>RANK(K123, K$112:$K$141)</f>
        <v>14</v>
      </c>
      <c r="N123" s="668"/>
      <c r="O123" s="668"/>
      <c r="P123" s="182">
        <v>4</v>
      </c>
      <c r="Q123" s="182">
        <v>2921.9999999999868</v>
      </c>
      <c r="R123" s="182">
        <v>730.4999999999967</v>
      </c>
      <c r="S123" s="339">
        <f t="shared" si="78"/>
        <v>13</v>
      </c>
      <c r="T123" s="678"/>
      <c r="U123" s="182">
        <v>4</v>
      </c>
      <c r="V123" s="182">
        <v>2942.9999999999873</v>
      </c>
      <c r="W123" s="182">
        <v>735.74999999999682</v>
      </c>
      <c r="X123" s="475">
        <f t="shared" si="63"/>
        <v>14</v>
      </c>
      <c r="Y123" s="678"/>
      <c r="Z123" s="182">
        <v>4</v>
      </c>
      <c r="AA123" s="182">
        <v>2757.00000000001</v>
      </c>
      <c r="AB123" s="182">
        <v>689.2500000000025</v>
      </c>
      <c r="AC123" s="475">
        <f t="shared" si="65"/>
        <v>16</v>
      </c>
      <c r="AD123" s="678"/>
      <c r="AE123" s="182">
        <v>4</v>
      </c>
      <c r="AF123" s="182">
        <v>2733.0000000000095</v>
      </c>
      <c r="AG123" s="182">
        <v>683.25000000000239</v>
      </c>
      <c r="AH123" s="475">
        <f t="shared" si="67"/>
        <v>16</v>
      </c>
      <c r="AI123" s="678"/>
      <c r="AJ123" s="182">
        <v>4</v>
      </c>
      <c r="AK123" s="182">
        <v>2873.9999999999873</v>
      </c>
      <c r="AL123" s="182">
        <v>718.49999999999682</v>
      </c>
      <c r="AM123" s="475">
        <f t="shared" si="69"/>
        <v>14</v>
      </c>
      <c r="AN123" s="678"/>
      <c r="AO123" s="182">
        <v>4</v>
      </c>
      <c r="AP123" s="182">
        <v>3005.9999999999864</v>
      </c>
      <c r="AQ123" s="182">
        <v>751.49999999999659</v>
      </c>
      <c r="AR123" s="475">
        <f t="shared" si="71"/>
        <v>14</v>
      </c>
      <c r="AS123" s="678"/>
      <c r="AT123" s="182">
        <v>4</v>
      </c>
      <c r="AU123" s="182">
        <v>2918.9999999999873</v>
      </c>
      <c r="AV123" s="182">
        <v>729.74999999999682</v>
      </c>
      <c r="AW123" s="475">
        <f t="shared" si="73"/>
        <v>13</v>
      </c>
      <c r="AX123" s="678"/>
    </row>
    <row r="124" spans="2:50">
      <c r="B124" s="676"/>
      <c r="C124" s="309">
        <v>13</v>
      </c>
      <c r="D124" s="569" t="s">
        <v>365</v>
      </c>
      <c r="E124" s="569">
        <v>4</v>
      </c>
      <c r="F124" s="569">
        <v>2800</v>
      </c>
      <c r="G124" s="182">
        <v>700</v>
      </c>
      <c r="H124" s="678"/>
      <c r="I124" s="199">
        <f t="shared" si="75"/>
        <v>4</v>
      </c>
      <c r="J124" s="199">
        <f t="shared" si="76"/>
        <v>2534.7857142857233</v>
      </c>
      <c r="K124" s="200">
        <f t="shared" si="77"/>
        <v>633.69642857143083</v>
      </c>
      <c r="L124" s="650"/>
      <c r="M124" s="199">
        <f>RANK(K124, K$112:$K$141)</f>
        <v>17</v>
      </c>
      <c r="N124" s="668"/>
      <c r="O124" s="668"/>
      <c r="P124" s="182">
        <v>4</v>
      </c>
      <c r="Q124" s="182">
        <v>2514.0000000000091</v>
      </c>
      <c r="R124" s="182">
        <v>628.50000000000227</v>
      </c>
      <c r="S124" s="339">
        <f t="shared" si="78"/>
        <v>16</v>
      </c>
      <c r="T124" s="678"/>
      <c r="U124" s="182">
        <v>4</v>
      </c>
      <c r="V124" s="182">
        <v>2616.0000000000095</v>
      </c>
      <c r="W124" s="182">
        <v>654.00000000000239</v>
      </c>
      <c r="X124" s="475">
        <f t="shared" si="63"/>
        <v>17</v>
      </c>
      <c r="Y124" s="678"/>
      <c r="Z124" s="182">
        <v>4</v>
      </c>
      <c r="AA124" s="182">
        <v>2394.0000000000086</v>
      </c>
      <c r="AB124" s="182">
        <v>598.50000000000216</v>
      </c>
      <c r="AC124" s="475">
        <f t="shared" si="65"/>
        <v>17</v>
      </c>
      <c r="AD124" s="678"/>
      <c r="AE124" s="182">
        <v>4</v>
      </c>
      <c r="AF124" s="182">
        <v>2707.50000000001</v>
      </c>
      <c r="AG124" s="182">
        <v>676.8750000000025</v>
      </c>
      <c r="AH124" s="475">
        <f t="shared" si="67"/>
        <v>17</v>
      </c>
      <c r="AI124" s="678"/>
      <c r="AJ124" s="182">
        <v>4</v>
      </c>
      <c r="AK124" s="182">
        <v>2328.0000000000082</v>
      </c>
      <c r="AL124" s="182">
        <v>582.00000000000205</v>
      </c>
      <c r="AM124" s="475">
        <f t="shared" si="69"/>
        <v>17</v>
      </c>
      <c r="AN124" s="678"/>
      <c r="AO124" s="182">
        <v>4</v>
      </c>
      <c r="AP124" s="182">
        <v>2604.0000000000091</v>
      </c>
      <c r="AQ124" s="182">
        <v>651.00000000000227</v>
      </c>
      <c r="AR124" s="475">
        <f t="shared" si="71"/>
        <v>17</v>
      </c>
      <c r="AS124" s="678"/>
      <c r="AT124" s="182">
        <v>4</v>
      </c>
      <c r="AU124" s="182">
        <v>2580.0000000000095</v>
      </c>
      <c r="AV124" s="182">
        <v>645.00000000000239</v>
      </c>
      <c r="AW124" s="475">
        <f t="shared" si="73"/>
        <v>17</v>
      </c>
      <c r="AX124" s="678"/>
    </row>
    <row r="125" spans="2:50">
      <c r="B125" s="676"/>
      <c r="C125" s="309">
        <v>14</v>
      </c>
      <c r="D125" s="569" t="s">
        <v>917</v>
      </c>
      <c r="E125" s="569">
        <v>3</v>
      </c>
      <c r="F125" s="569">
        <v>2800</v>
      </c>
      <c r="G125" s="182">
        <v>933.33333333333337</v>
      </c>
      <c r="H125" s="678"/>
      <c r="I125" s="199">
        <f t="shared" si="75"/>
        <v>3</v>
      </c>
      <c r="J125" s="199">
        <f t="shared" si="76"/>
        <v>2933.5714285714189</v>
      </c>
      <c r="K125" s="200">
        <f t="shared" si="77"/>
        <v>977.85714285713948</v>
      </c>
      <c r="L125" s="650"/>
      <c r="M125" s="199">
        <f>RANK(K125, K$112:$K$141)</f>
        <v>6</v>
      </c>
      <c r="N125" s="668"/>
      <c r="O125" s="668"/>
      <c r="P125" s="182">
        <v>3</v>
      </c>
      <c r="Q125" s="182">
        <v>2803.1999999999916</v>
      </c>
      <c r="R125" s="182">
        <v>934.39999999999725</v>
      </c>
      <c r="S125" s="339">
        <f t="shared" si="78"/>
        <v>6</v>
      </c>
      <c r="T125" s="678"/>
      <c r="U125" s="182">
        <v>3</v>
      </c>
      <c r="V125" s="182">
        <v>2786.3999999999924</v>
      </c>
      <c r="W125" s="182">
        <v>928.79999999999745</v>
      </c>
      <c r="X125" s="475">
        <f t="shared" si="63"/>
        <v>6</v>
      </c>
      <c r="Y125" s="678"/>
      <c r="Z125" s="182">
        <v>3</v>
      </c>
      <c r="AA125" s="182">
        <v>3320.999999999985</v>
      </c>
      <c r="AB125" s="182">
        <v>1106.999999999995</v>
      </c>
      <c r="AC125" s="475">
        <f t="shared" si="65"/>
        <v>1</v>
      </c>
      <c r="AD125" s="678"/>
      <c r="AE125" s="182">
        <v>3</v>
      </c>
      <c r="AF125" s="182">
        <v>3173.9999999999859</v>
      </c>
      <c r="AG125" s="182">
        <v>1057.9999999999952</v>
      </c>
      <c r="AH125" s="475">
        <f t="shared" si="67"/>
        <v>6</v>
      </c>
      <c r="AI125" s="678"/>
      <c r="AJ125" s="182">
        <v>3</v>
      </c>
      <c r="AK125" s="182">
        <v>2769.5999999999922</v>
      </c>
      <c r="AL125" s="182">
        <v>923.19999999999743</v>
      </c>
      <c r="AM125" s="475">
        <f t="shared" si="69"/>
        <v>7</v>
      </c>
      <c r="AN125" s="678"/>
      <c r="AO125" s="182">
        <v>3</v>
      </c>
      <c r="AP125" s="182">
        <v>2899.1999999999921</v>
      </c>
      <c r="AQ125" s="182">
        <v>966.39999999999736</v>
      </c>
      <c r="AR125" s="475">
        <f t="shared" si="71"/>
        <v>6</v>
      </c>
      <c r="AS125" s="678"/>
      <c r="AT125" s="182">
        <v>3</v>
      </c>
      <c r="AU125" s="182">
        <v>2781.5999999999922</v>
      </c>
      <c r="AV125" s="182">
        <v>927.19999999999743</v>
      </c>
      <c r="AW125" s="475">
        <f t="shared" si="73"/>
        <v>7</v>
      </c>
      <c r="AX125" s="678"/>
    </row>
    <row r="126" spans="2:50">
      <c r="B126" s="676"/>
      <c r="C126" s="309">
        <v>15</v>
      </c>
      <c r="D126" s="569" t="s">
        <v>918</v>
      </c>
      <c r="E126" s="569">
        <v>4</v>
      </c>
      <c r="F126" s="569">
        <v>2200</v>
      </c>
      <c r="G126" s="182">
        <v>550</v>
      </c>
      <c r="H126" s="678"/>
      <c r="I126" s="199">
        <f t="shared" si="75"/>
        <v>3</v>
      </c>
      <c r="J126" s="199">
        <f t="shared" si="76"/>
        <v>2249.1047619047608</v>
      </c>
      <c r="K126" s="200">
        <f t="shared" si="77"/>
        <v>749.70158730158698</v>
      </c>
      <c r="L126" s="650"/>
      <c r="M126" s="199">
        <f>RANK(K126, K$112:$K$141)</f>
        <v>13</v>
      </c>
      <c r="N126" s="668"/>
      <c r="O126" s="668"/>
      <c r="P126" s="182">
        <v>3</v>
      </c>
      <c r="Q126" s="182">
        <v>2300</v>
      </c>
      <c r="R126" s="182">
        <v>766.66666666666663</v>
      </c>
      <c r="S126" s="339">
        <f t="shared" si="78"/>
        <v>11</v>
      </c>
      <c r="T126" s="678"/>
      <c r="U126" s="182">
        <v>3</v>
      </c>
      <c r="V126" s="182">
        <v>2269.3333333333335</v>
      </c>
      <c r="W126" s="182">
        <v>756.44444444444446</v>
      </c>
      <c r="X126" s="475">
        <f t="shared" si="63"/>
        <v>13</v>
      </c>
      <c r="Y126" s="678"/>
      <c r="Z126" s="182">
        <v>3</v>
      </c>
      <c r="AA126" s="182">
        <v>2405.9999999999991</v>
      </c>
      <c r="AB126" s="182">
        <v>801.99999999999966</v>
      </c>
      <c r="AC126" s="475">
        <f t="shared" si="65"/>
        <v>13</v>
      </c>
      <c r="AD126" s="678"/>
      <c r="AE126" s="182">
        <v>3</v>
      </c>
      <c r="AF126" s="182">
        <v>2090.6666666666665</v>
      </c>
      <c r="AG126" s="182">
        <v>696.8888888888888</v>
      </c>
      <c r="AH126" s="475">
        <f t="shared" si="67"/>
        <v>15</v>
      </c>
      <c r="AI126" s="678"/>
      <c r="AJ126" s="182">
        <v>3</v>
      </c>
      <c r="AK126" s="182">
        <v>2197.333333333333</v>
      </c>
      <c r="AL126" s="182">
        <v>732.44444444444434</v>
      </c>
      <c r="AM126" s="475">
        <f t="shared" si="69"/>
        <v>13</v>
      </c>
      <c r="AN126" s="678"/>
      <c r="AO126" s="182">
        <v>3</v>
      </c>
      <c r="AP126" s="182">
        <v>2396</v>
      </c>
      <c r="AQ126" s="182">
        <v>798.66666666666663</v>
      </c>
      <c r="AR126" s="475">
        <f t="shared" si="71"/>
        <v>13</v>
      </c>
      <c r="AS126" s="678"/>
      <c r="AT126" s="182">
        <v>3</v>
      </c>
      <c r="AU126" s="182">
        <v>2084.3999999999942</v>
      </c>
      <c r="AV126" s="182">
        <v>694.79999999999802</v>
      </c>
      <c r="AW126" s="475">
        <f t="shared" si="73"/>
        <v>16</v>
      </c>
      <c r="AX126" s="678"/>
    </row>
    <row r="127" spans="2:50">
      <c r="B127" s="676"/>
      <c r="C127" s="309">
        <v>16</v>
      </c>
      <c r="D127" s="569" t="s">
        <v>759</v>
      </c>
      <c r="E127" s="569">
        <v>8</v>
      </c>
      <c r="F127" s="569">
        <v>1500</v>
      </c>
      <c r="G127" s="182">
        <v>187.5</v>
      </c>
      <c r="H127" s="678"/>
      <c r="I127" s="199">
        <f t="shared" si="75"/>
        <v>9.7142857142857135</v>
      </c>
      <c r="J127" s="199">
        <f t="shared" si="76"/>
        <v>1513.1894105894105</v>
      </c>
      <c r="K127" s="200">
        <f t="shared" si="77"/>
        <v>156.49146853146854</v>
      </c>
      <c r="L127" s="650"/>
      <c r="M127" s="199">
        <f>RANK(K127, K$112:$K$141)</f>
        <v>20</v>
      </c>
      <c r="N127" s="668"/>
      <c r="O127" s="668"/>
      <c r="P127" s="182">
        <v>10</v>
      </c>
      <c r="Q127" s="182">
        <v>1541.0000000000016</v>
      </c>
      <c r="R127" s="182">
        <v>154.10000000000016</v>
      </c>
      <c r="S127" s="339">
        <f t="shared" si="78"/>
        <v>20</v>
      </c>
      <c r="T127" s="678"/>
      <c r="U127" s="182">
        <v>10</v>
      </c>
      <c r="V127" s="182">
        <v>1566.0000000000016</v>
      </c>
      <c r="W127" s="182">
        <v>156.60000000000016</v>
      </c>
      <c r="X127" s="475">
        <f t="shared" si="63"/>
        <v>20</v>
      </c>
      <c r="Y127" s="678"/>
      <c r="Z127" s="182">
        <v>10</v>
      </c>
      <c r="AA127" s="182">
        <v>1520.0000000000014</v>
      </c>
      <c r="AB127" s="182">
        <v>152.00000000000014</v>
      </c>
      <c r="AC127" s="475">
        <f t="shared" si="65"/>
        <v>20</v>
      </c>
      <c r="AD127" s="678"/>
      <c r="AE127" s="182">
        <v>10</v>
      </c>
      <c r="AF127" s="182">
        <v>1449.8181818181827</v>
      </c>
      <c r="AG127" s="182">
        <v>144.98181818181826</v>
      </c>
      <c r="AH127" s="475">
        <f t="shared" si="67"/>
        <v>20</v>
      </c>
      <c r="AI127" s="678"/>
      <c r="AJ127" s="182">
        <v>10</v>
      </c>
      <c r="AK127" s="182">
        <v>1525.1999999999957</v>
      </c>
      <c r="AL127" s="182">
        <v>152.51999999999958</v>
      </c>
      <c r="AM127" s="475">
        <f t="shared" si="69"/>
        <v>20</v>
      </c>
      <c r="AN127" s="678"/>
      <c r="AO127" s="182">
        <v>8</v>
      </c>
      <c r="AP127" s="182">
        <v>1448.3076923076903</v>
      </c>
      <c r="AQ127" s="182">
        <v>181.03846153846129</v>
      </c>
      <c r="AR127" s="475">
        <f t="shared" si="71"/>
        <v>20</v>
      </c>
      <c r="AS127" s="678"/>
      <c r="AT127" s="182">
        <v>10</v>
      </c>
      <c r="AU127" s="182">
        <v>1542.0000000000014</v>
      </c>
      <c r="AV127" s="182">
        <v>154.20000000000013</v>
      </c>
      <c r="AW127" s="475">
        <f t="shared" si="73"/>
        <v>20</v>
      </c>
      <c r="AX127" s="678"/>
    </row>
    <row r="128" spans="2:50">
      <c r="B128" s="676"/>
      <c r="C128" s="309">
        <v>17</v>
      </c>
      <c r="D128" s="569" t="s">
        <v>805</v>
      </c>
      <c r="E128" s="569">
        <v>4</v>
      </c>
      <c r="F128" s="569">
        <v>2200</v>
      </c>
      <c r="G128" s="182">
        <v>550</v>
      </c>
      <c r="H128" s="678"/>
      <c r="I128" s="199">
        <f t="shared" si="75"/>
        <v>4</v>
      </c>
      <c r="J128" s="199">
        <f t="shared" si="76"/>
        <v>2178.3428571428635</v>
      </c>
      <c r="K128" s="200">
        <f t="shared" si="77"/>
        <v>544.58571428571588</v>
      </c>
      <c r="L128" s="650"/>
      <c r="M128" s="199">
        <f>RANK(K128, K$112:$K$141)</f>
        <v>19</v>
      </c>
      <c r="N128" s="668"/>
      <c r="O128" s="668"/>
      <c r="P128" s="182">
        <v>4</v>
      </c>
      <c r="Q128" s="182">
        <v>2116.8000000000075</v>
      </c>
      <c r="R128" s="182">
        <v>529.20000000000186</v>
      </c>
      <c r="S128" s="339">
        <f t="shared" si="78"/>
        <v>18</v>
      </c>
      <c r="T128" s="678"/>
      <c r="U128" s="182">
        <v>4</v>
      </c>
      <c r="V128" s="182">
        <v>2138.4000000000078</v>
      </c>
      <c r="W128" s="182">
        <v>534.60000000000196</v>
      </c>
      <c r="X128" s="475">
        <f t="shared" ref="X128:X141" si="79">RANK(W128, W$112:W$141)</f>
        <v>19</v>
      </c>
      <c r="Y128" s="678"/>
      <c r="Z128" s="182">
        <v>4</v>
      </c>
      <c r="AA128" s="182">
        <v>2051.9999999999941</v>
      </c>
      <c r="AB128" s="182">
        <v>512.99999999999852</v>
      </c>
      <c r="AC128" s="475">
        <f t="shared" ref="AC128:AC141" si="80">RANK(AB128, AB$112:AB$141)</f>
        <v>19</v>
      </c>
      <c r="AD128" s="678"/>
      <c r="AE128" s="182">
        <v>4</v>
      </c>
      <c r="AF128" s="182">
        <v>2406.0000000000086</v>
      </c>
      <c r="AG128" s="182">
        <v>601.50000000000216</v>
      </c>
      <c r="AH128" s="475">
        <f t="shared" ref="AH128:AH141" si="81">RANK(AG128, AG$112:AG$141)</f>
        <v>18</v>
      </c>
      <c r="AI128" s="678"/>
      <c r="AJ128" s="182">
        <v>4</v>
      </c>
      <c r="AK128" s="182">
        <v>1956.0000000000068</v>
      </c>
      <c r="AL128" s="182">
        <v>489.00000000000171</v>
      </c>
      <c r="AM128" s="475">
        <f t="shared" ref="AM128:AM141" si="82">RANK(AL128, AL$112:AL$141)</f>
        <v>19</v>
      </c>
      <c r="AN128" s="678"/>
      <c r="AO128" s="182">
        <v>4</v>
      </c>
      <c r="AP128" s="182">
        <v>2059.2000000000071</v>
      </c>
      <c r="AQ128" s="182">
        <v>514.80000000000177</v>
      </c>
      <c r="AR128" s="475">
        <f t="shared" ref="AR128:AR141" si="83">RANK(AQ128, AQ$112:AQ$141)</f>
        <v>19</v>
      </c>
      <c r="AS128" s="678"/>
      <c r="AT128" s="182">
        <v>4</v>
      </c>
      <c r="AU128" s="182">
        <v>2520.0000000000091</v>
      </c>
      <c r="AV128" s="182">
        <v>630.00000000000227</v>
      </c>
      <c r="AW128" s="475">
        <f t="shared" ref="AW128:AW141" si="84">RANK(AV128, AV$112:AV$141)</f>
        <v>18</v>
      </c>
      <c r="AX128" s="678"/>
    </row>
    <row r="129" spans="2:50">
      <c r="B129" s="676"/>
      <c r="C129" s="309">
        <v>18</v>
      </c>
      <c r="D129" s="569" t="s">
        <v>919</v>
      </c>
      <c r="E129" s="569">
        <v>3</v>
      </c>
      <c r="F129" s="569">
        <v>2800</v>
      </c>
      <c r="G129" s="182">
        <v>933.33333333333337</v>
      </c>
      <c r="H129" s="678"/>
      <c r="I129" s="199">
        <f t="shared" si="75"/>
        <v>3</v>
      </c>
      <c r="J129" s="199">
        <f t="shared" si="76"/>
        <v>2821.655456965394</v>
      </c>
      <c r="K129" s="200">
        <f t="shared" si="77"/>
        <v>940.5518189884649</v>
      </c>
      <c r="L129" s="650"/>
      <c r="M129" s="199">
        <f>RANK(K129, K$112:$K$141)</f>
        <v>7</v>
      </c>
      <c r="N129" s="668"/>
      <c r="O129" s="668"/>
      <c r="P129" s="182">
        <v>3</v>
      </c>
      <c r="Q129" s="182">
        <v>2751.5999999999967</v>
      </c>
      <c r="R129" s="182">
        <v>917.19999999999891</v>
      </c>
      <c r="S129" s="339">
        <f t="shared" si="78"/>
        <v>7</v>
      </c>
      <c r="T129" s="678"/>
      <c r="U129" s="182">
        <v>3</v>
      </c>
      <c r="V129" s="182">
        <v>2785.7142857142867</v>
      </c>
      <c r="W129" s="182">
        <v>928.5714285714289</v>
      </c>
      <c r="X129" s="475">
        <f t="shared" si="79"/>
        <v>7</v>
      </c>
      <c r="Y129" s="678"/>
      <c r="Z129" s="182">
        <v>3</v>
      </c>
      <c r="AA129" s="182">
        <v>2842.1739130434835</v>
      </c>
      <c r="AB129" s="182">
        <v>947.39130434782783</v>
      </c>
      <c r="AC129" s="475">
        <f t="shared" si="80"/>
        <v>7</v>
      </c>
      <c r="AD129" s="678"/>
      <c r="AE129" s="182">
        <v>3</v>
      </c>
      <c r="AF129" s="182">
        <v>2885.9999999999986</v>
      </c>
      <c r="AG129" s="182">
        <v>961.99999999999955</v>
      </c>
      <c r="AH129" s="475">
        <f t="shared" si="81"/>
        <v>7</v>
      </c>
      <c r="AI129" s="678"/>
      <c r="AJ129" s="182">
        <v>3</v>
      </c>
      <c r="AK129" s="182">
        <v>2824.4999999999991</v>
      </c>
      <c r="AL129" s="182">
        <v>941.49999999999966</v>
      </c>
      <c r="AM129" s="475">
        <f t="shared" si="82"/>
        <v>6</v>
      </c>
      <c r="AN129" s="678"/>
      <c r="AO129" s="182">
        <v>3</v>
      </c>
      <c r="AP129" s="182">
        <v>2847.5999999999963</v>
      </c>
      <c r="AQ129" s="182">
        <v>949.19999999999879</v>
      </c>
      <c r="AR129" s="475">
        <f t="shared" si="83"/>
        <v>7</v>
      </c>
      <c r="AS129" s="678"/>
      <c r="AT129" s="182">
        <v>3</v>
      </c>
      <c r="AU129" s="182">
        <v>2814.0000000000009</v>
      </c>
      <c r="AV129" s="182">
        <v>938.00000000000034</v>
      </c>
      <c r="AW129" s="475">
        <f t="shared" si="84"/>
        <v>6</v>
      </c>
      <c r="AX129" s="678"/>
    </row>
    <row r="130" spans="2:50">
      <c r="B130" s="676"/>
      <c r="C130" s="309">
        <v>19</v>
      </c>
      <c r="D130" s="569" t="s">
        <v>920</v>
      </c>
      <c r="E130" s="569">
        <v>4</v>
      </c>
      <c r="F130" s="569">
        <v>2200</v>
      </c>
      <c r="G130" s="182">
        <v>550</v>
      </c>
      <c r="H130" s="678"/>
      <c r="I130" s="199">
        <f t="shared" si="75"/>
        <v>4</v>
      </c>
      <c r="J130" s="199">
        <f t="shared" si="76"/>
        <v>2222.7142857142876</v>
      </c>
      <c r="K130" s="200">
        <f t="shared" si="77"/>
        <v>555.6785714285719</v>
      </c>
      <c r="L130" s="650"/>
      <c r="M130" s="199">
        <f>RANK(K130, K$112:$K$141)</f>
        <v>18</v>
      </c>
      <c r="N130" s="668"/>
      <c r="O130" s="668"/>
      <c r="P130" s="182">
        <v>4</v>
      </c>
      <c r="Q130" s="182">
        <v>2258.666666666667</v>
      </c>
      <c r="R130" s="182">
        <v>564.66666666666674</v>
      </c>
      <c r="S130" s="339">
        <f t="shared" si="78"/>
        <v>17</v>
      </c>
      <c r="T130" s="678"/>
      <c r="U130" s="182">
        <v>4</v>
      </c>
      <c r="V130" s="182">
        <v>2200</v>
      </c>
      <c r="W130" s="182">
        <v>550</v>
      </c>
      <c r="X130" s="475">
        <f t="shared" si="79"/>
        <v>18</v>
      </c>
      <c r="Y130" s="678"/>
      <c r="Z130" s="182">
        <v>4</v>
      </c>
      <c r="AA130" s="182">
        <v>2353.4999999999991</v>
      </c>
      <c r="AB130" s="182">
        <v>588.37499999999977</v>
      </c>
      <c r="AC130" s="475">
        <f t="shared" si="80"/>
        <v>18</v>
      </c>
      <c r="AD130" s="678"/>
      <c r="AE130" s="182">
        <v>4</v>
      </c>
      <c r="AF130" s="182">
        <v>2135.9999999999991</v>
      </c>
      <c r="AG130" s="182">
        <v>533.99999999999977</v>
      </c>
      <c r="AH130" s="475">
        <f t="shared" si="81"/>
        <v>19</v>
      </c>
      <c r="AI130" s="678"/>
      <c r="AJ130" s="182">
        <v>4</v>
      </c>
      <c r="AK130" s="182">
        <v>2152.5000000000077</v>
      </c>
      <c r="AL130" s="182">
        <v>538.12500000000193</v>
      </c>
      <c r="AM130" s="475">
        <f t="shared" si="82"/>
        <v>18</v>
      </c>
      <c r="AN130" s="678"/>
      <c r="AO130" s="182">
        <v>4</v>
      </c>
      <c r="AP130" s="182">
        <v>2385.0000000000086</v>
      </c>
      <c r="AQ130" s="182">
        <v>596.25000000000216</v>
      </c>
      <c r="AR130" s="475">
        <f t="shared" si="83"/>
        <v>18</v>
      </c>
      <c r="AS130" s="678"/>
      <c r="AT130" s="182">
        <v>4</v>
      </c>
      <c r="AU130" s="182">
        <v>2073.3333333333335</v>
      </c>
      <c r="AV130" s="182">
        <v>518.33333333333337</v>
      </c>
      <c r="AW130" s="475">
        <f t="shared" si="84"/>
        <v>19</v>
      </c>
      <c r="AX130" s="678"/>
    </row>
    <row r="131" spans="2:50">
      <c r="B131" s="676"/>
      <c r="C131" s="309">
        <v>20</v>
      </c>
      <c r="D131" s="569" t="s">
        <v>921</v>
      </c>
      <c r="E131" s="569">
        <v>4</v>
      </c>
      <c r="F131" s="569">
        <v>2800</v>
      </c>
      <c r="G131" s="182">
        <v>700</v>
      </c>
      <c r="H131" s="678"/>
      <c r="I131" s="538">
        <f t="shared" ref="I131:I132" si="85">AVERAGE(P131,U131,Z131,AE131,AJ131,AO131,AT131)</f>
        <v>4</v>
      </c>
      <c r="J131" s="538">
        <f t="shared" ref="J131:J132" si="86">AVERAGE(Q131,V131,AA131,AF131,AK131,AP131,AU131)</f>
        <v>2825.6297370548086</v>
      </c>
      <c r="K131" s="200">
        <f t="shared" ref="K131:K132" si="87">AVERAGE(R131,W131,AB131,AG131,AL131,AQ131,AV131)</f>
        <v>706.40743426370216</v>
      </c>
      <c r="L131" s="650"/>
      <c r="M131" s="199">
        <f>RANK(K131, K$112:$K$141)</f>
        <v>15</v>
      </c>
      <c r="N131" s="668"/>
      <c r="O131" s="668"/>
      <c r="P131" s="182">
        <v>4</v>
      </c>
      <c r="Q131" s="182">
        <v>2778.305084745763</v>
      </c>
      <c r="R131" s="182">
        <v>694.57627118644075</v>
      </c>
      <c r="S131" s="339">
        <f t="shared" si="78"/>
        <v>15</v>
      </c>
      <c r="T131" s="678"/>
      <c r="U131" s="182">
        <v>4</v>
      </c>
      <c r="V131" s="182">
        <v>2792.6315789473683</v>
      </c>
      <c r="W131" s="182">
        <v>698.15789473684208</v>
      </c>
      <c r="X131" s="475">
        <f t="shared" si="79"/>
        <v>16</v>
      </c>
      <c r="Y131" s="678"/>
      <c r="Z131" s="182">
        <v>4</v>
      </c>
      <c r="AA131" s="182">
        <v>2895.0000000000018</v>
      </c>
      <c r="AB131" s="182">
        <v>723.75000000000045</v>
      </c>
      <c r="AC131" s="475">
        <f t="shared" si="80"/>
        <v>14</v>
      </c>
      <c r="AD131" s="678"/>
      <c r="AE131" s="182">
        <v>4</v>
      </c>
      <c r="AF131" s="182">
        <v>2825.217391304348</v>
      </c>
      <c r="AG131" s="182">
        <v>706.304347826087</v>
      </c>
      <c r="AH131" s="475">
        <f t="shared" si="81"/>
        <v>14</v>
      </c>
      <c r="AI131" s="678"/>
      <c r="AJ131" s="182">
        <v>4</v>
      </c>
      <c r="AK131" s="182">
        <v>2815.909090909091</v>
      </c>
      <c r="AL131" s="182">
        <v>703.97727272727275</v>
      </c>
      <c r="AM131" s="475">
        <f t="shared" si="82"/>
        <v>16</v>
      </c>
      <c r="AN131" s="678"/>
      <c r="AO131" s="182">
        <v>4</v>
      </c>
      <c r="AP131" s="182">
        <v>2828.5714285714289</v>
      </c>
      <c r="AQ131" s="182">
        <v>707.14285714285722</v>
      </c>
      <c r="AR131" s="475">
        <f t="shared" si="83"/>
        <v>15</v>
      </c>
      <c r="AS131" s="678"/>
      <c r="AT131" s="182">
        <v>4</v>
      </c>
      <c r="AU131" s="182">
        <v>2843.773584905658</v>
      </c>
      <c r="AV131" s="182">
        <v>710.94339622641451</v>
      </c>
      <c r="AW131" s="475">
        <f t="shared" si="84"/>
        <v>14</v>
      </c>
      <c r="AX131" s="678"/>
    </row>
    <row r="132" spans="2:50">
      <c r="B132" s="676"/>
      <c r="C132" s="309">
        <v>21</v>
      </c>
      <c r="D132" s="572" t="s">
        <v>958</v>
      </c>
      <c r="E132" s="569">
        <v>12</v>
      </c>
      <c r="F132" s="569">
        <v>1500</v>
      </c>
      <c r="G132" s="182">
        <v>125</v>
      </c>
      <c r="H132" s="678"/>
      <c r="I132" s="538">
        <f t="shared" si="85"/>
        <v>12</v>
      </c>
      <c r="J132" s="538">
        <f t="shared" si="86"/>
        <v>1375.4430379746843</v>
      </c>
      <c r="K132" s="200">
        <f t="shared" si="87"/>
        <v>114.620253164557</v>
      </c>
      <c r="L132" s="650"/>
      <c r="M132" s="199">
        <f>RANK(K132, K$112:$K$141)</f>
        <v>21</v>
      </c>
      <c r="N132" s="668"/>
      <c r="O132" s="668"/>
      <c r="P132" s="569">
        <v>12</v>
      </c>
      <c r="Q132" s="182">
        <v>1375.4430379746843</v>
      </c>
      <c r="R132" s="570">
        <v>114.62025316455703</v>
      </c>
      <c r="S132" s="339">
        <f t="shared" si="78"/>
        <v>21</v>
      </c>
      <c r="T132" s="678"/>
      <c r="U132" s="569">
        <v>12</v>
      </c>
      <c r="V132" s="182">
        <v>1375.4430379746843</v>
      </c>
      <c r="W132" s="570">
        <v>114.62025316455703</v>
      </c>
      <c r="X132" s="475">
        <f t="shared" si="79"/>
        <v>21</v>
      </c>
      <c r="Y132" s="678"/>
      <c r="Z132" s="569">
        <v>12</v>
      </c>
      <c r="AA132" s="182">
        <v>1375.4430379746843</v>
      </c>
      <c r="AB132" s="570">
        <v>114.62025316455703</v>
      </c>
      <c r="AC132" s="475">
        <f t="shared" si="80"/>
        <v>21</v>
      </c>
      <c r="AD132" s="678"/>
      <c r="AE132" s="569">
        <v>12</v>
      </c>
      <c r="AF132" s="182">
        <v>1375.4430379746843</v>
      </c>
      <c r="AG132" s="570">
        <v>114.62025316455703</v>
      </c>
      <c r="AH132" s="475">
        <f t="shared" si="81"/>
        <v>21</v>
      </c>
      <c r="AI132" s="678"/>
      <c r="AJ132" s="569">
        <v>12</v>
      </c>
      <c r="AK132" s="182">
        <v>1375.4430379746843</v>
      </c>
      <c r="AL132" s="570">
        <v>114.62025316455703</v>
      </c>
      <c r="AM132" s="475">
        <f t="shared" si="82"/>
        <v>21</v>
      </c>
      <c r="AN132" s="678"/>
      <c r="AO132" s="569">
        <v>12</v>
      </c>
      <c r="AP132" s="182">
        <v>1375.4430379746843</v>
      </c>
      <c r="AQ132" s="570">
        <v>114.62025316455703</v>
      </c>
      <c r="AR132" s="475">
        <f t="shared" si="83"/>
        <v>21</v>
      </c>
      <c r="AS132" s="678"/>
      <c r="AT132" s="569">
        <v>12</v>
      </c>
      <c r="AU132" s="182">
        <v>1375.4430379746843</v>
      </c>
      <c r="AV132" s="570">
        <v>114.62025316455703</v>
      </c>
      <c r="AW132" s="475">
        <f t="shared" si="84"/>
        <v>21</v>
      </c>
      <c r="AX132" s="678"/>
    </row>
    <row r="133" spans="2:50">
      <c r="B133" s="676"/>
      <c r="C133" s="309">
        <v>22</v>
      </c>
      <c r="D133" s="569" t="s">
        <v>1031</v>
      </c>
      <c r="E133" s="569">
        <v>12</v>
      </c>
      <c r="F133" s="569">
        <v>1500</v>
      </c>
      <c r="G133" s="569">
        <v>125</v>
      </c>
      <c r="H133" s="678"/>
      <c r="I133" s="538"/>
      <c r="J133" s="538"/>
      <c r="K133" s="200"/>
      <c r="L133" s="650"/>
      <c r="M133" s="199" t="e">
        <f>RANK(K133, K$112:$K$141)</f>
        <v>#N/A</v>
      </c>
      <c r="N133" s="668"/>
      <c r="O133" s="668"/>
      <c r="P133" s="569"/>
      <c r="Q133" s="182"/>
      <c r="R133" s="570"/>
      <c r="S133" s="339" t="e">
        <f t="shared" si="78"/>
        <v>#N/A</v>
      </c>
      <c r="T133" s="678"/>
      <c r="U133" s="569"/>
      <c r="V133" s="182"/>
      <c r="W133" s="570"/>
      <c r="X133" s="475" t="e">
        <f t="shared" si="79"/>
        <v>#N/A</v>
      </c>
      <c r="Y133" s="678"/>
      <c r="Z133" s="569"/>
      <c r="AA133" s="182"/>
      <c r="AB133" s="570"/>
      <c r="AC133" s="475" t="e">
        <f t="shared" si="80"/>
        <v>#N/A</v>
      </c>
      <c r="AD133" s="678"/>
      <c r="AE133" s="569"/>
      <c r="AF133" s="182"/>
      <c r="AG133" s="570"/>
      <c r="AH133" s="475" t="e">
        <f t="shared" si="81"/>
        <v>#N/A</v>
      </c>
      <c r="AI133" s="678"/>
      <c r="AJ133" s="569"/>
      <c r="AK133" s="182"/>
      <c r="AL133" s="570"/>
      <c r="AM133" s="475" t="e">
        <f t="shared" si="82"/>
        <v>#N/A</v>
      </c>
      <c r="AN133" s="678"/>
      <c r="AO133" s="569"/>
      <c r="AP133" s="182"/>
      <c r="AQ133" s="570"/>
      <c r="AR133" s="475" t="e">
        <f t="shared" si="83"/>
        <v>#N/A</v>
      </c>
      <c r="AS133" s="678"/>
      <c r="AT133" s="569">
        <v>12</v>
      </c>
      <c r="AU133" s="182">
        <v>1322.4657534246564</v>
      </c>
      <c r="AV133" s="570">
        <v>110.2054794520547</v>
      </c>
      <c r="AW133" s="475">
        <f t="shared" si="84"/>
        <v>22</v>
      </c>
      <c r="AX133" s="678"/>
    </row>
    <row r="134" spans="2:50">
      <c r="B134" s="676"/>
      <c r="C134" s="309">
        <v>23</v>
      </c>
      <c r="D134" s="569"/>
      <c r="E134" s="569"/>
      <c r="F134" s="569"/>
      <c r="G134" s="569"/>
      <c r="H134" s="678"/>
      <c r="I134" s="538"/>
      <c r="J134" s="538"/>
      <c r="K134" s="200"/>
      <c r="L134" s="650"/>
      <c r="M134" s="199" t="e">
        <f>RANK(K134, K$112:$K$141)</f>
        <v>#N/A</v>
      </c>
      <c r="N134" s="668"/>
      <c r="O134" s="668"/>
      <c r="P134" s="569"/>
      <c r="Q134" s="182"/>
      <c r="R134" s="570"/>
      <c r="S134" s="339" t="e">
        <f t="shared" si="78"/>
        <v>#N/A</v>
      </c>
      <c r="T134" s="678"/>
      <c r="U134" s="569"/>
      <c r="V134" s="182"/>
      <c r="W134" s="570"/>
      <c r="X134" s="475" t="e">
        <f t="shared" si="79"/>
        <v>#N/A</v>
      </c>
      <c r="Y134" s="678"/>
      <c r="Z134" s="569"/>
      <c r="AA134" s="182"/>
      <c r="AB134" s="570"/>
      <c r="AC134" s="475" t="e">
        <f t="shared" si="80"/>
        <v>#N/A</v>
      </c>
      <c r="AD134" s="678"/>
      <c r="AE134" s="569"/>
      <c r="AF134" s="182"/>
      <c r="AG134" s="570"/>
      <c r="AH134" s="475" t="e">
        <f t="shared" si="81"/>
        <v>#N/A</v>
      </c>
      <c r="AI134" s="678"/>
      <c r="AJ134" s="569"/>
      <c r="AK134" s="182"/>
      <c r="AL134" s="570"/>
      <c r="AM134" s="475" t="e">
        <f t="shared" si="82"/>
        <v>#N/A</v>
      </c>
      <c r="AN134" s="678"/>
      <c r="AO134" s="569"/>
      <c r="AP134" s="182"/>
      <c r="AQ134" s="570"/>
      <c r="AR134" s="475" t="e">
        <f t="shared" si="83"/>
        <v>#N/A</v>
      </c>
      <c r="AS134" s="678"/>
      <c r="AT134" s="569"/>
      <c r="AU134" s="182"/>
      <c r="AV134" s="570"/>
      <c r="AW134" s="475" t="e">
        <f t="shared" si="84"/>
        <v>#N/A</v>
      </c>
      <c r="AX134" s="678"/>
    </row>
    <row r="135" spans="2:50">
      <c r="B135" s="676"/>
      <c r="C135" s="309">
        <v>24</v>
      </c>
      <c r="D135" s="569"/>
      <c r="E135" s="569"/>
      <c r="F135" s="569"/>
      <c r="G135" s="569"/>
      <c r="H135" s="678"/>
      <c r="I135" s="538"/>
      <c r="J135" s="538"/>
      <c r="K135" s="200"/>
      <c r="L135" s="650"/>
      <c r="M135" s="199" t="e">
        <f>RANK(K135, K$112:$K$141)</f>
        <v>#N/A</v>
      </c>
      <c r="N135" s="668"/>
      <c r="O135" s="668"/>
      <c r="P135" s="569"/>
      <c r="Q135" s="182"/>
      <c r="R135" s="570"/>
      <c r="S135" s="339" t="e">
        <f t="shared" si="78"/>
        <v>#N/A</v>
      </c>
      <c r="T135" s="678"/>
      <c r="U135" s="569"/>
      <c r="V135" s="182"/>
      <c r="W135" s="570"/>
      <c r="X135" s="475" t="e">
        <f t="shared" si="79"/>
        <v>#N/A</v>
      </c>
      <c r="Y135" s="678"/>
      <c r="Z135" s="569"/>
      <c r="AA135" s="182"/>
      <c r="AB135" s="570"/>
      <c r="AC135" s="475" t="e">
        <f t="shared" si="80"/>
        <v>#N/A</v>
      </c>
      <c r="AD135" s="678"/>
      <c r="AE135" s="569"/>
      <c r="AF135" s="182"/>
      <c r="AG135" s="570"/>
      <c r="AH135" s="475" t="e">
        <f t="shared" si="81"/>
        <v>#N/A</v>
      </c>
      <c r="AI135" s="678"/>
      <c r="AJ135" s="569"/>
      <c r="AK135" s="182"/>
      <c r="AL135" s="570"/>
      <c r="AM135" s="475" t="e">
        <f t="shared" si="82"/>
        <v>#N/A</v>
      </c>
      <c r="AN135" s="678"/>
      <c r="AO135" s="569"/>
      <c r="AP135" s="182"/>
      <c r="AQ135" s="570"/>
      <c r="AR135" s="475" t="e">
        <f t="shared" si="83"/>
        <v>#N/A</v>
      </c>
      <c r="AS135" s="678"/>
      <c r="AT135" s="569"/>
      <c r="AU135" s="182"/>
      <c r="AV135" s="570"/>
      <c r="AW135" s="475" t="e">
        <f t="shared" si="84"/>
        <v>#N/A</v>
      </c>
      <c r="AX135" s="678"/>
    </row>
    <row r="136" spans="2:50">
      <c r="B136" s="676"/>
      <c r="C136" s="309">
        <v>25</v>
      </c>
      <c r="D136" s="569"/>
      <c r="E136" s="569"/>
      <c r="F136" s="569"/>
      <c r="G136" s="569"/>
      <c r="H136" s="678"/>
      <c r="I136" s="202"/>
      <c r="J136" s="202"/>
      <c r="K136" s="202"/>
      <c r="L136" s="650"/>
      <c r="M136" s="199" t="e">
        <f>RANK(K136, K$112:$K$141)</f>
        <v>#N/A</v>
      </c>
      <c r="N136" s="668"/>
      <c r="O136" s="668"/>
      <c r="P136" s="569"/>
      <c r="Q136" s="182"/>
      <c r="R136" s="570"/>
      <c r="S136" s="339" t="e">
        <f t="shared" si="78"/>
        <v>#N/A</v>
      </c>
      <c r="T136" s="678"/>
      <c r="U136" s="569"/>
      <c r="V136" s="182"/>
      <c r="W136" s="570"/>
      <c r="X136" s="475" t="e">
        <f t="shared" si="79"/>
        <v>#N/A</v>
      </c>
      <c r="Y136" s="678"/>
      <c r="Z136" s="569"/>
      <c r="AA136" s="182"/>
      <c r="AB136" s="570"/>
      <c r="AC136" s="475" t="e">
        <f t="shared" si="80"/>
        <v>#N/A</v>
      </c>
      <c r="AD136" s="678"/>
      <c r="AE136" s="569"/>
      <c r="AF136" s="182"/>
      <c r="AG136" s="570"/>
      <c r="AH136" s="475" t="e">
        <f t="shared" si="81"/>
        <v>#N/A</v>
      </c>
      <c r="AI136" s="678"/>
      <c r="AJ136" s="569"/>
      <c r="AK136" s="182"/>
      <c r="AL136" s="570"/>
      <c r="AM136" s="475" t="e">
        <f t="shared" si="82"/>
        <v>#N/A</v>
      </c>
      <c r="AN136" s="678"/>
      <c r="AO136" s="569"/>
      <c r="AP136" s="182"/>
      <c r="AQ136" s="570"/>
      <c r="AR136" s="475" t="e">
        <f t="shared" si="83"/>
        <v>#N/A</v>
      </c>
      <c r="AS136" s="678"/>
      <c r="AT136" s="569"/>
      <c r="AU136" s="182"/>
      <c r="AV136" s="570"/>
      <c r="AW136" s="475" t="e">
        <f t="shared" si="84"/>
        <v>#N/A</v>
      </c>
      <c r="AX136" s="678"/>
    </row>
    <row r="137" spans="2:50">
      <c r="B137" s="676"/>
      <c r="C137" s="309">
        <v>26</v>
      </c>
      <c r="D137" s="569"/>
      <c r="E137" s="569"/>
      <c r="F137" s="569"/>
      <c r="G137" s="569"/>
      <c r="H137" s="678"/>
      <c r="I137" s="202"/>
      <c r="J137" s="202"/>
      <c r="K137" s="202"/>
      <c r="L137" s="650"/>
      <c r="M137" s="199" t="e">
        <f>RANK(K137, K$112:$K$141)</f>
        <v>#N/A</v>
      </c>
      <c r="N137" s="668"/>
      <c r="O137" s="668"/>
      <c r="P137" s="569"/>
      <c r="Q137" s="182"/>
      <c r="R137" s="570"/>
      <c r="S137" s="339" t="e">
        <f t="shared" si="78"/>
        <v>#N/A</v>
      </c>
      <c r="T137" s="678"/>
      <c r="U137" s="569"/>
      <c r="V137" s="182"/>
      <c r="W137" s="570"/>
      <c r="X137" s="475" t="e">
        <f t="shared" si="79"/>
        <v>#N/A</v>
      </c>
      <c r="Y137" s="678"/>
      <c r="Z137" s="569"/>
      <c r="AA137" s="182"/>
      <c r="AB137" s="570"/>
      <c r="AC137" s="475" t="e">
        <f t="shared" si="80"/>
        <v>#N/A</v>
      </c>
      <c r="AD137" s="678"/>
      <c r="AE137" s="569"/>
      <c r="AF137" s="182"/>
      <c r="AG137" s="570"/>
      <c r="AH137" s="475" t="e">
        <f t="shared" si="81"/>
        <v>#N/A</v>
      </c>
      <c r="AI137" s="678"/>
      <c r="AJ137" s="569"/>
      <c r="AK137" s="182"/>
      <c r="AL137" s="570"/>
      <c r="AM137" s="475" t="e">
        <f t="shared" si="82"/>
        <v>#N/A</v>
      </c>
      <c r="AN137" s="678"/>
      <c r="AO137" s="569"/>
      <c r="AP137" s="182"/>
      <c r="AQ137" s="570"/>
      <c r="AR137" s="475" t="e">
        <f t="shared" si="83"/>
        <v>#N/A</v>
      </c>
      <c r="AS137" s="678"/>
      <c r="AT137" s="569"/>
      <c r="AU137" s="182"/>
      <c r="AV137" s="570"/>
      <c r="AW137" s="475" t="e">
        <f t="shared" si="84"/>
        <v>#N/A</v>
      </c>
      <c r="AX137" s="678"/>
    </row>
    <row r="138" spans="2:50">
      <c r="B138" s="676"/>
      <c r="C138" s="309">
        <v>27</v>
      </c>
      <c r="D138" s="569"/>
      <c r="E138" s="569"/>
      <c r="F138" s="569"/>
      <c r="G138" s="569"/>
      <c r="H138" s="678"/>
      <c r="I138" s="202"/>
      <c r="J138" s="202"/>
      <c r="K138" s="202"/>
      <c r="L138" s="650"/>
      <c r="M138" s="199" t="e">
        <f>RANK(K138, K$112:$K$141)</f>
        <v>#N/A</v>
      </c>
      <c r="N138" s="668"/>
      <c r="O138" s="668"/>
      <c r="P138" s="569"/>
      <c r="Q138" s="182"/>
      <c r="R138" s="570"/>
      <c r="S138" s="339" t="e">
        <f t="shared" si="78"/>
        <v>#N/A</v>
      </c>
      <c r="T138" s="678"/>
      <c r="U138" s="569"/>
      <c r="V138" s="182"/>
      <c r="W138" s="570"/>
      <c r="X138" s="475" t="e">
        <f t="shared" si="79"/>
        <v>#N/A</v>
      </c>
      <c r="Y138" s="678"/>
      <c r="Z138" s="569"/>
      <c r="AA138" s="182"/>
      <c r="AB138" s="570"/>
      <c r="AC138" s="475" t="e">
        <f t="shared" si="80"/>
        <v>#N/A</v>
      </c>
      <c r="AD138" s="678"/>
      <c r="AE138" s="569"/>
      <c r="AF138" s="182"/>
      <c r="AG138" s="570"/>
      <c r="AH138" s="475" t="e">
        <f t="shared" si="81"/>
        <v>#N/A</v>
      </c>
      <c r="AI138" s="678"/>
      <c r="AJ138" s="569"/>
      <c r="AK138" s="182"/>
      <c r="AL138" s="570"/>
      <c r="AM138" s="475" t="e">
        <f t="shared" si="82"/>
        <v>#N/A</v>
      </c>
      <c r="AN138" s="678"/>
      <c r="AO138" s="569"/>
      <c r="AP138" s="182"/>
      <c r="AQ138" s="570"/>
      <c r="AR138" s="475" t="e">
        <f t="shared" si="83"/>
        <v>#N/A</v>
      </c>
      <c r="AS138" s="678"/>
      <c r="AT138" s="569"/>
      <c r="AU138" s="182"/>
      <c r="AV138" s="570"/>
      <c r="AW138" s="475" t="e">
        <f t="shared" si="84"/>
        <v>#N/A</v>
      </c>
      <c r="AX138" s="678"/>
    </row>
    <row r="139" spans="2:50">
      <c r="B139" s="676"/>
      <c r="C139" s="309">
        <v>28</v>
      </c>
      <c r="D139" s="569"/>
      <c r="E139" s="569"/>
      <c r="F139" s="569"/>
      <c r="G139" s="569"/>
      <c r="H139" s="678"/>
      <c r="I139" s="202"/>
      <c r="J139" s="202"/>
      <c r="K139" s="202"/>
      <c r="L139" s="650"/>
      <c r="M139" s="199" t="e">
        <f>RANK(K139, K$112:$K$141)</f>
        <v>#N/A</v>
      </c>
      <c r="N139" s="668"/>
      <c r="O139" s="668"/>
      <c r="P139" s="569"/>
      <c r="Q139" s="182"/>
      <c r="R139" s="570"/>
      <c r="S139" s="339" t="e">
        <f t="shared" si="78"/>
        <v>#N/A</v>
      </c>
      <c r="T139" s="678"/>
      <c r="U139" s="569"/>
      <c r="V139" s="182"/>
      <c r="W139" s="570"/>
      <c r="X139" s="475" t="e">
        <f t="shared" si="79"/>
        <v>#N/A</v>
      </c>
      <c r="Y139" s="678"/>
      <c r="Z139" s="569"/>
      <c r="AA139" s="182"/>
      <c r="AB139" s="570"/>
      <c r="AC139" s="475" t="e">
        <f t="shared" si="80"/>
        <v>#N/A</v>
      </c>
      <c r="AD139" s="678"/>
      <c r="AE139" s="569"/>
      <c r="AF139" s="182"/>
      <c r="AG139" s="570"/>
      <c r="AH139" s="475" t="e">
        <f t="shared" si="81"/>
        <v>#N/A</v>
      </c>
      <c r="AI139" s="678"/>
      <c r="AJ139" s="569"/>
      <c r="AK139" s="182"/>
      <c r="AL139" s="570"/>
      <c r="AM139" s="475" t="e">
        <f t="shared" si="82"/>
        <v>#N/A</v>
      </c>
      <c r="AN139" s="678"/>
      <c r="AO139" s="569"/>
      <c r="AP139" s="182"/>
      <c r="AQ139" s="570"/>
      <c r="AR139" s="475" t="e">
        <f t="shared" si="83"/>
        <v>#N/A</v>
      </c>
      <c r="AS139" s="678"/>
      <c r="AT139" s="569"/>
      <c r="AU139" s="182"/>
      <c r="AV139" s="570"/>
      <c r="AW139" s="475" t="e">
        <f t="shared" si="84"/>
        <v>#N/A</v>
      </c>
      <c r="AX139" s="678"/>
    </row>
    <row r="140" spans="2:50">
      <c r="B140" s="676"/>
      <c r="C140" s="309">
        <v>29</v>
      </c>
      <c r="D140" s="569"/>
      <c r="E140" s="569"/>
      <c r="F140" s="569"/>
      <c r="G140" s="569"/>
      <c r="H140" s="678"/>
      <c r="I140" s="202"/>
      <c r="J140" s="202"/>
      <c r="K140" s="202"/>
      <c r="L140" s="650"/>
      <c r="M140" s="199" t="e">
        <f>RANK(K140, K$112:$K$141)</f>
        <v>#N/A</v>
      </c>
      <c r="N140" s="668"/>
      <c r="O140" s="668"/>
      <c r="P140" s="569"/>
      <c r="Q140" s="182"/>
      <c r="R140" s="570"/>
      <c r="S140" s="339" t="e">
        <f t="shared" si="78"/>
        <v>#N/A</v>
      </c>
      <c r="T140" s="678"/>
      <c r="U140" s="569"/>
      <c r="V140" s="182"/>
      <c r="W140" s="570"/>
      <c r="X140" s="475" t="e">
        <f t="shared" si="79"/>
        <v>#N/A</v>
      </c>
      <c r="Y140" s="678"/>
      <c r="Z140" s="569"/>
      <c r="AA140" s="182"/>
      <c r="AB140" s="570"/>
      <c r="AC140" s="475" t="e">
        <f t="shared" si="80"/>
        <v>#N/A</v>
      </c>
      <c r="AD140" s="678"/>
      <c r="AE140" s="569"/>
      <c r="AF140" s="182"/>
      <c r="AG140" s="570"/>
      <c r="AH140" s="475" t="e">
        <f t="shared" si="81"/>
        <v>#N/A</v>
      </c>
      <c r="AI140" s="678"/>
      <c r="AJ140" s="569"/>
      <c r="AK140" s="182"/>
      <c r="AL140" s="570"/>
      <c r="AM140" s="475" t="e">
        <f t="shared" si="82"/>
        <v>#N/A</v>
      </c>
      <c r="AN140" s="678"/>
      <c r="AO140" s="569"/>
      <c r="AP140" s="182"/>
      <c r="AQ140" s="570"/>
      <c r="AR140" s="475" t="e">
        <f t="shared" si="83"/>
        <v>#N/A</v>
      </c>
      <c r="AS140" s="678"/>
      <c r="AT140" s="569"/>
      <c r="AU140" s="182"/>
      <c r="AV140" s="570"/>
      <c r="AW140" s="475" t="e">
        <f t="shared" si="84"/>
        <v>#N/A</v>
      </c>
      <c r="AX140" s="678"/>
    </row>
    <row r="141" spans="2:50">
      <c r="B141" s="676"/>
      <c r="C141" s="309">
        <v>30</v>
      </c>
      <c r="D141" s="569"/>
      <c r="E141" s="569"/>
      <c r="F141" s="569"/>
      <c r="G141" s="569"/>
      <c r="H141" s="679"/>
      <c r="I141" s="202"/>
      <c r="J141" s="202"/>
      <c r="K141" s="202"/>
      <c r="L141" s="651"/>
      <c r="M141" s="199" t="e">
        <f>RANK(K141, K$112:$K$141)</f>
        <v>#N/A</v>
      </c>
      <c r="N141" s="668"/>
      <c r="O141" s="668"/>
      <c r="P141" s="569"/>
      <c r="Q141" s="182"/>
      <c r="R141" s="570"/>
      <c r="S141" s="339" t="e">
        <f t="shared" si="78"/>
        <v>#N/A</v>
      </c>
      <c r="T141" s="679"/>
      <c r="U141" s="569"/>
      <c r="V141" s="182"/>
      <c r="W141" s="570"/>
      <c r="X141" s="475" t="e">
        <f t="shared" si="79"/>
        <v>#N/A</v>
      </c>
      <c r="Y141" s="679"/>
      <c r="Z141" s="569"/>
      <c r="AA141" s="182"/>
      <c r="AB141" s="570"/>
      <c r="AC141" s="475" t="e">
        <f t="shared" si="80"/>
        <v>#N/A</v>
      </c>
      <c r="AD141" s="679"/>
      <c r="AE141" s="569"/>
      <c r="AF141" s="182"/>
      <c r="AG141" s="570"/>
      <c r="AH141" s="475" t="e">
        <f t="shared" si="81"/>
        <v>#N/A</v>
      </c>
      <c r="AI141" s="679"/>
      <c r="AJ141" s="569"/>
      <c r="AK141" s="182"/>
      <c r="AL141" s="570"/>
      <c r="AM141" s="475" t="e">
        <f t="shared" si="82"/>
        <v>#N/A</v>
      </c>
      <c r="AN141" s="679"/>
      <c r="AO141" s="569"/>
      <c r="AP141" s="182"/>
      <c r="AQ141" s="570"/>
      <c r="AR141" s="475" t="e">
        <f t="shared" si="83"/>
        <v>#N/A</v>
      </c>
      <c r="AS141" s="679"/>
      <c r="AT141" s="569"/>
      <c r="AU141" s="182"/>
      <c r="AV141" s="570"/>
      <c r="AW141" s="475" t="e">
        <f t="shared" si="84"/>
        <v>#N/A</v>
      </c>
      <c r="AX141" s="679"/>
    </row>
    <row r="142" spans="2:50" ht="15.75">
      <c r="B142" s="680" t="s">
        <v>163</v>
      </c>
      <c r="C142" s="681"/>
      <c r="D142" s="681"/>
      <c r="E142" s="681"/>
      <c r="F142" s="681"/>
      <c r="G142" s="681"/>
      <c r="H142" s="682"/>
      <c r="I142" s="208"/>
      <c r="J142" s="208"/>
      <c r="K142" s="208"/>
      <c r="L142" s="208"/>
      <c r="M142" s="207"/>
      <c r="N142" s="669" t="s">
        <v>156</v>
      </c>
      <c r="O142" s="669" t="s">
        <v>155</v>
      </c>
      <c r="P142" s="675">
        <f>P107+7</f>
        <v>46112</v>
      </c>
      <c r="Q142" s="676"/>
      <c r="R142" s="676"/>
      <c r="S142" s="676"/>
      <c r="T142" s="676"/>
      <c r="U142" s="672">
        <f>P142+1</f>
        <v>46113</v>
      </c>
      <c r="V142" s="673"/>
      <c r="W142" s="673"/>
      <c r="X142" s="673"/>
      <c r="Y142" s="674"/>
      <c r="Z142" s="672">
        <f>U142+1</f>
        <v>46114</v>
      </c>
      <c r="AA142" s="673"/>
      <c r="AB142" s="673"/>
      <c r="AC142" s="673"/>
      <c r="AD142" s="674"/>
      <c r="AE142" s="672">
        <f>Z142+1</f>
        <v>46115</v>
      </c>
      <c r="AF142" s="673"/>
      <c r="AG142" s="673"/>
      <c r="AH142" s="673"/>
      <c r="AI142" s="674"/>
      <c r="AJ142" s="672">
        <f>AE142+1</f>
        <v>46116</v>
      </c>
      <c r="AK142" s="673"/>
      <c r="AL142" s="673"/>
      <c r="AM142" s="673"/>
      <c r="AN142" s="674"/>
      <c r="AO142" s="672">
        <f>AJ142+1</f>
        <v>46117</v>
      </c>
      <c r="AP142" s="673"/>
      <c r="AQ142" s="673"/>
      <c r="AR142" s="673"/>
      <c r="AS142" s="674"/>
      <c r="AT142" s="672">
        <f>AO142+1</f>
        <v>46118</v>
      </c>
      <c r="AU142" s="673"/>
      <c r="AV142" s="673"/>
      <c r="AW142" s="673"/>
      <c r="AX142" s="674"/>
    </row>
    <row r="143" spans="2:50" ht="15.75">
      <c r="B143" s="683"/>
      <c r="C143" s="683"/>
      <c r="D143" s="683"/>
      <c r="E143" s="683"/>
      <c r="F143" s="683"/>
      <c r="G143" s="683"/>
      <c r="H143" s="683"/>
      <c r="I143" s="205"/>
      <c r="J143" s="205"/>
      <c r="K143" s="205"/>
      <c r="L143" s="205"/>
      <c r="M143" s="206"/>
      <c r="N143" s="671"/>
      <c r="O143" s="671"/>
      <c r="P143" s="675" t="s">
        <v>336</v>
      </c>
      <c r="Q143" s="676"/>
      <c r="R143" s="676"/>
      <c r="S143" s="676"/>
      <c r="T143" s="676"/>
      <c r="U143" s="675" t="s">
        <v>337</v>
      </c>
      <c r="V143" s="676"/>
      <c r="W143" s="676"/>
      <c r="X143" s="676"/>
      <c r="Y143" s="676"/>
      <c r="Z143" s="675" t="s">
        <v>338</v>
      </c>
      <c r="AA143" s="676"/>
      <c r="AB143" s="676"/>
      <c r="AC143" s="676"/>
      <c r="AD143" s="676"/>
      <c r="AE143" s="675" t="s">
        <v>339</v>
      </c>
      <c r="AF143" s="676"/>
      <c r="AG143" s="676"/>
      <c r="AH143" s="676"/>
      <c r="AI143" s="676"/>
      <c r="AJ143" s="675" t="s">
        <v>340</v>
      </c>
      <c r="AK143" s="676"/>
      <c r="AL143" s="676"/>
      <c r="AM143" s="676"/>
      <c r="AN143" s="676"/>
      <c r="AO143" s="675" t="s">
        <v>341</v>
      </c>
      <c r="AP143" s="676"/>
      <c r="AQ143" s="676"/>
      <c r="AR143" s="676"/>
      <c r="AS143" s="676"/>
      <c r="AT143" s="675" t="s">
        <v>342</v>
      </c>
      <c r="AU143" s="676"/>
      <c r="AV143" s="676"/>
      <c r="AW143" s="676"/>
      <c r="AX143" s="676"/>
    </row>
    <row r="144" spans="2:50">
      <c r="B144" s="668" t="s">
        <v>459</v>
      </c>
      <c r="C144" s="668" t="s">
        <v>460</v>
      </c>
      <c r="D144" s="668"/>
      <c r="E144" s="668" t="s">
        <v>461</v>
      </c>
      <c r="F144" s="668"/>
      <c r="G144" s="668"/>
      <c r="H144" s="684" t="s">
        <v>462</v>
      </c>
      <c r="I144" s="652" t="s">
        <v>463</v>
      </c>
      <c r="J144" s="652"/>
      <c r="K144" s="652"/>
      <c r="L144" s="653" t="s">
        <v>462</v>
      </c>
      <c r="M144" s="659" t="s">
        <v>464</v>
      </c>
      <c r="N144" s="668"/>
      <c r="O144" s="668" t="s">
        <v>465</v>
      </c>
      <c r="P144" s="665" t="s">
        <v>466</v>
      </c>
      <c r="Q144" s="666"/>
      <c r="R144" s="666"/>
      <c r="S144" s="667"/>
      <c r="T144" s="668" t="s">
        <v>462</v>
      </c>
      <c r="U144" s="665" t="s">
        <v>466</v>
      </c>
      <c r="V144" s="666"/>
      <c r="W144" s="666"/>
      <c r="X144" s="667"/>
      <c r="Y144" s="668" t="s">
        <v>462</v>
      </c>
      <c r="Z144" s="665" t="s">
        <v>466</v>
      </c>
      <c r="AA144" s="666"/>
      <c r="AB144" s="666"/>
      <c r="AC144" s="667"/>
      <c r="AD144" s="668" t="s">
        <v>462</v>
      </c>
      <c r="AE144" s="665" t="s">
        <v>466</v>
      </c>
      <c r="AF144" s="666"/>
      <c r="AG144" s="666"/>
      <c r="AH144" s="667"/>
      <c r="AI144" s="668" t="s">
        <v>462</v>
      </c>
      <c r="AJ144" s="665" t="s">
        <v>466</v>
      </c>
      <c r="AK144" s="666"/>
      <c r="AL144" s="666"/>
      <c r="AM144" s="667"/>
      <c r="AN144" s="668" t="s">
        <v>462</v>
      </c>
      <c r="AO144" s="665" t="s">
        <v>466</v>
      </c>
      <c r="AP144" s="666"/>
      <c r="AQ144" s="666"/>
      <c r="AR144" s="667"/>
      <c r="AS144" s="668" t="s">
        <v>462</v>
      </c>
      <c r="AT144" s="665" t="s">
        <v>466</v>
      </c>
      <c r="AU144" s="666"/>
      <c r="AV144" s="666"/>
      <c r="AW144" s="667"/>
      <c r="AX144" s="668" t="s">
        <v>462</v>
      </c>
    </row>
    <row r="145" spans="2:50">
      <c r="B145" s="668"/>
      <c r="C145" s="668"/>
      <c r="D145" s="668"/>
      <c r="E145" s="668" t="s">
        <v>467</v>
      </c>
      <c r="F145" s="668"/>
      <c r="G145" s="668"/>
      <c r="H145" s="685"/>
      <c r="I145" s="652" t="s">
        <v>467</v>
      </c>
      <c r="J145" s="652"/>
      <c r="K145" s="652"/>
      <c r="L145" s="654"/>
      <c r="M145" s="660"/>
      <c r="N145" s="668"/>
      <c r="O145" s="668"/>
      <c r="P145" s="665" t="s">
        <v>468</v>
      </c>
      <c r="Q145" s="666"/>
      <c r="R145" s="666"/>
      <c r="S145" s="667"/>
      <c r="T145" s="668"/>
      <c r="U145" s="665" t="s">
        <v>468</v>
      </c>
      <c r="V145" s="666"/>
      <c r="W145" s="666"/>
      <c r="X145" s="667"/>
      <c r="Y145" s="668"/>
      <c r="Z145" s="665" t="s">
        <v>468</v>
      </c>
      <c r="AA145" s="666"/>
      <c r="AB145" s="666"/>
      <c r="AC145" s="667"/>
      <c r="AD145" s="668"/>
      <c r="AE145" s="665" t="s">
        <v>468</v>
      </c>
      <c r="AF145" s="666"/>
      <c r="AG145" s="666"/>
      <c r="AH145" s="667"/>
      <c r="AI145" s="668"/>
      <c r="AJ145" s="665" t="s">
        <v>468</v>
      </c>
      <c r="AK145" s="666"/>
      <c r="AL145" s="666"/>
      <c r="AM145" s="667"/>
      <c r="AN145" s="668"/>
      <c r="AO145" s="665" t="s">
        <v>468</v>
      </c>
      <c r="AP145" s="666"/>
      <c r="AQ145" s="666"/>
      <c r="AR145" s="667"/>
      <c r="AS145" s="668"/>
      <c r="AT145" s="665" t="s">
        <v>468</v>
      </c>
      <c r="AU145" s="666"/>
      <c r="AV145" s="666"/>
      <c r="AW145" s="667"/>
      <c r="AX145" s="668"/>
    </row>
    <row r="146" spans="2:50">
      <c r="B146" s="668"/>
      <c r="C146" s="668"/>
      <c r="D146" s="668"/>
      <c r="E146" s="302" t="s">
        <v>469</v>
      </c>
      <c r="F146" s="302" t="s">
        <v>470</v>
      </c>
      <c r="G146" s="302" t="s">
        <v>471</v>
      </c>
      <c r="H146" s="686"/>
      <c r="I146" s="303" t="s">
        <v>469</v>
      </c>
      <c r="J146" s="303" t="s">
        <v>470</v>
      </c>
      <c r="K146" s="303" t="s">
        <v>471</v>
      </c>
      <c r="L146" s="655"/>
      <c r="M146" s="661"/>
      <c r="N146" s="668"/>
      <c r="O146" s="668"/>
      <c r="P146" s="302" t="s">
        <v>469</v>
      </c>
      <c r="Q146" s="302" t="s">
        <v>470</v>
      </c>
      <c r="R146" s="302" t="s">
        <v>471</v>
      </c>
      <c r="S146" s="302" t="s">
        <v>464</v>
      </c>
      <c r="T146" s="668"/>
      <c r="U146" s="302" t="s">
        <v>469</v>
      </c>
      <c r="V146" s="302" t="s">
        <v>470</v>
      </c>
      <c r="W146" s="302" t="s">
        <v>471</v>
      </c>
      <c r="X146" s="302" t="s">
        <v>464</v>
      </c>
      <c r="Y146" s="668"/>
      <c r="Z146" s="302" t="s">
        <v>469</v>
      </c>
      <c r="AA146" s="302" t="s">
        <v>470</v>
      </c>
      <c r="AB146" s="302" t="s">
        <v>471</v>
      </c>
      <c r="AC146" s="302" t="s">
        <v>464</v>
      </c>
      <c r="AD146" s="668"/>
      <c r="AE146" s="302" t="s">
        <v>469</v>
      </c>
      <c r="AF146" s="302" t="s">
        <v>470</v>
      </c>
      <c r="AG146" s="302" t="s">
        <v>471</v>
      </c>
      <c r="AH146" s="302" t="s">
        <v>464</v>
      </c>
      <c r="AI146" s="668"/>
      <c r="AJ146" s="302" t="s">
        <v>469</v>
      </c>
      <c r="AK146" s="302" t="s">
        <v>470</v>
      </c>
      <c r="AL146" s="302" t="s">
        <v>471</v>
      </c>
      <c r="AM146" s="302" t="s">
        <v>464</v>
      </c>
      <c r="AN146" s="668"/>
      <c r="AO146" s="302" t="s">
        <v>469</v>
      </c>
      <c r="AP146" s="302" t="s">
        <v>470</v>
      </c>
      <c r="AQ146" s="302" t="s">
        <v>471</v>
      </c>
      <c r="AR146" s="302" t="s">
        <v>464</v>
      </c>
      <c r="AS146" s="668"/>
      <c r="AT146" s="302" t="s">
        <v>469</v>
      </c>
      <c r="AU146" s="302" t="s">
        <v>470</v>
      </c>
      <c r="AV146" s="302" t="s">
        <v>471</v>
      </c>
      <c r="AW146" s="302" t="s">
        <v>464</v>
      </c>
      <c r="AX146" s="668"/>
    </row>
    <row r="147" spans="2:50">
      <c r="B147" s="676" t="s">
        <v>150</v>
      </c>
      <c r="C147" s="301">
        <v>1</v>
      </c>
      <c r="D147" s="566"/>
      <c r="E147" s="566"/>
      <c r="F147" s="566"/>
      <c r="G147" s="182"/>
      <c r="H147" s="677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9" t="str">
        <f>IFERROR(AVERAGE(K147:K176),"-")</f>
        <v>-</v>
      </c>
      <c r="M147" s="199" t="e">
        <f>RANK(K147, K$147:$K$176)</f>
        <v>#DIV/0!</v>
      </c>
      <c r="N147" s="668"/>
      <c r="O147" s="668"/>
      <c r="P147" s="425"/>
      <c r="Q147" s="182"/>
      <c r="R147" s="182"/>
      <c r="S147" s="301" t="e">
        <f>RANK(R147, R$147:R$176)</f>
        <v>#N/A</v>
      </c>
      <c r="T147" s="677" t="e">
        <f>AVERAGE(R147:R176)</f>
        <v>#DIV/0!</v>
      </c>
      <c r="U147" s="425"/>
      <c r="V147" s="182"/>
      <c r="W147" s="182"/>
      <c r="X147" s="475" t="e">
        <f t="shared" ref="X147:X162" si="88">RANK(W147, W$147:W$176)</f>
        <v>#N/A</v>
      </c>
      <c r="Y147" s="677" t="e">
        <f t="shared" ref="Y147" si="89">AVERAGE(W147:W176)</f>
        <v>#DIV/0!</v>
      </c>
      <c r="Z147" s="425"/>
      <c r="AA147" s="182"/>
      <c r="AB147" s="182"/>
      <c r="AC147" s="475" t="e">
        <f t="shared" ref="AC147:AC162" si="90">RANK(AB147, AB$147:AB$176)</f>
        <v>#N/A</v>
      </c>
      <c r="AD147" s="677" t="e">
        <f t="shared" ref="AD147" si="91">AVERAGE(AB147:AB176)</f>
        <v>#DIV/0!</v>
      </c>
      <c r="AE147" s="425"/>
      <c r="AF147" s="182"/>
      <c r="AG147" s="182"/>
      <c r="AH147" s="475" t="e">
        <f t="shared" ref="AH147:AH162" si="92">RANK(AG147, AG$147:AG$176)</f>
        <v>#N/A</v>
      </c>
      <c r="AI147" s="677" t="e">
        <f t="shared" ref="AI147" si="93">AVERAGE(AG147:AG176)</f>
        <v>#DIV/0!</v>
      </c>
      <c r="AJ147" s="425"/>
      <c r="AK147" s="182"/>
      <c r="AL147" s="182"/>
      <c r="AM147" s="475" t="e">
        <f t="shared" ref="AM147:AM162" si="94">RANK(AL147, AL$147:AL$176)</f>
        <v>#N/A</v>
      </c>
      <c r="AN147" s="677" t="e">
        <f t="shared" ref="AN147" si="95">AVERAGE(AL147:AL176)</f>
        <v>#DIV/0!</v>
      </c>
      <c r="AO147" s="425"/>
      <c r="AP147" s="182"/>
      <c r="AQ147" s="182"/>
      <c r="AR147" s="475" t="e">
        <f t="shared" ref="AR147:AR162" si="96">RANK(AQ147, AQ$147:AQ$176)</f>
        <v>#N/A</v>
      </c>
      <c r="AS147" s="677" t="e">
        <f t="shared" ref="AS147" si="97">AVERAGE(AQ147:AQ176)</f>
        <v>#DIV/0!</v>
      </c>
      <c r="AT147" s="425"/>
      <c r="AU147" s="182"/>
      <c r="AV147" s="182"/>
      <c r="AW147" s="475" t="e">
        <f t="shared" ref="AW147:AW162" si="98">RANK(AV147, AV$147:AV$176)</f>
        <v>#N/A</v>
      </c>
      <c r="AX147" s="677" t="e">
        <f t="shared" ref="AX147" si="99">AVERAGE(AV147:AV176)</f>
        <v>#DIV/0!</v>
      </c>
    </row>
    <row r="148" spans="2:50">
      <c r="B148" s="676"/>
      <c r="C148" s="301">
        <v>2</v>
      </c>
      <c r="D148" s="565"/>
      <c r="E148" s="566"/>
      <c r="F148" s="566"/>
      <c r="G148" s="182"/>
      <c r="H148" s="678"/>
      <c r="I148" s="199" t="e">
        <f t="shared" ref="I148:I156" si="100">AVERAGE(P148,U148,Z148,AE148,AJ148,AO148,AT148)</f>
        <v>#DIV/0!</v>
      </c>
      <c r="J148" s="199" t="e">
        <f t="shared" ref="J148:J156" si="101">AVERAGE(Q148,V148,AA148,AF148,AK148,AP148,AU148)</f>
        <v>#DIV/0!</v>
      </c>
      <c r="K148" s="200" t="e">
        <f t="shared" ref="K148:K156" si="102">AVERAGE(R148,W148,AB148,AG148,AL148,AQ148,AV148)</f>
        <v>#DIV/0!</v>
      </c>
      <c r="L148" s="650"/>
      <c r="M148" s="199" t="e">
        <f>RANK(K148, K$147:$K$176)</f>
        <v>#DIV/0!</v>
      </c>
      <c r="N148" s="668"/>
      <c r="O148" s="668"/>
      <c r="P148" s="182"/>
      <c r="Q148" s="182"/>
      <c r="R148" s="182"/>
      <c r="S148" s="301" t="e">
        <f t="shared" ref="S148:S176" si="103">RANK(R148, R$147:R$176)</f>
        <v>#N/A</v>
      </c>
      <c r="T148" s="678"/>
      <c r="U148" s="182"/>
      <c r="V148" s="182"/>
      <c r="W148" s="182"/>
      <c r="X148" s="475" t="e">
        <f t="shared" si="88"/>
        <v>#N/A</v>
      </c>
      <c r="Y148" s="678"/>
      <c r="Z148" s="182"/>
      <c r="AA148" s="182"/>
      <c r="AB148" s="182"/>
      <c r="AC148" s="475" t="e">
        <f t="shared" si="90"/>
        <v>#N/A</v>
      </c>
      <c r="AD148" s="678"/>
      <c r="AE148" s="182"/>
      <c r="AF148" s="182"/>
      <c r="AG148" s="182"/>
      <c r="AH148" s="475" t="e">
        <f t="shared" si="92"/>
        <v>#N/A</v>
      </c>
      <c r="AI148" s="678"/>
      <c r="AJ148" s="182"/>
      <c r="AK148" s="182"/>
      <c r="AL148" s="182"/>
      <c r="AM148" s="475" t="e">
        <f t="shared" si="94"/>
        <v>#N/A</v>
      </c>
      <c r="AN148" s="678"/>
      <c r="AO148" s="182"/>
      <c r="AP148" s="182"/>
      <c r="AQ148" s="182"/>
      <c r="AR148" s="475" t="e">
        <f t="shared" si="96"/>
        <v>#N/A</v>
      </c>
      <c r="AS148" s="678"/>
      <c r="AT148" s="182"/>
      <c r="AU148" s="182"/>
      <c r="AV148" s="182"/>
      <c r="AW148" s="475" t="e">
        <f t="shared" si="98"/>
        <v>#N/A</v>
      </c>
      <c r="AX148" s="678"/>
    </row>
    <row r="149" spans="2:50">
      <c r="B149" s="676"/>
      <c r="C149" s="301">
        <v>3</v>
      </c>
      <c r="D149" s="566"/>
      <c r="E149" s="566"/>
      <c r="F149" s="566"/>
      <c r="G149" s="182"/>
      <c r="H149" s="678"/>
      <c r="I149" s="199" t="e">
        <f t="shared" si="100"/>
        <v>#DIV/0!</v>
      </c>
      <c r="J149" s="199" t="e">
        <f t="shared" si="101"/>
        <v>#DIV/0!</v>
      </c>
      <c r="K149" s="200" t="e">
        <f t="shared" si="102"/>
        <v>#DIV/0!</v>
      </c>
      <c r="L149" s="650"/>
      <c r="M149" s="199" t="e">
        <f>RANK(K149, K$147:$K$176)</f>
        <v>#DIV/0!</v>
      </c>
      <c r="N149" s="668"/>
      <c r="O149" s="668"/>
      <c r="P149" s="182"/>
      <c r="Q149" s="182"/>
      <c r="R149" s="182"/>
      <c r="S149" s="301" t="e">
        <f t="shared" si="103"/>
        <v>#N/A</v>
      </c>
      <c r="T149" s="678"/>
      <c r="U149" s="182"/>
      <c r="V149" s="182"/>
      <c r="W149" s="182"/>
      <c r="X149" s="475" t="e">
        <f t="shared" si="88"/>
        <v>#N/A</v>
      </c>
      <c r="Y149" s="678"/>
      <c r="Z149" s="182"/>
      <c r="AA149" s="182"/>
      <c r="AB149" s="182"/>
      <c r="AC149" s="475" t="e">
        <f t="shared" si="90"/>
        <v>#N/A</v>
      </c>
      <c r="AD149" s="678"/>
      <c r="AE149" s="182"/>
      <c r="AF149" s="182"/>
      <c r="AG149" s="182"/>
      <c r="AH149" s="475" t="e">
        <f t="shared" si="92"/>
        <v>#N/A</v>
      </c>
      <c r="AI149" s="678"/>
      <c r="AJ149" s="182"/>
      <c r="AK149" s="182"/>
      <c r="AL149" s="182"/>
      <c r="AM149" s="475" t="e">
        <f t="shared" si="94"/>
        <v>#N/A</v>
      </c>
      <c r="AN149" s="678"/>
      <c r="AO149" s="182"/>
      <c r="AP149" s="182"/>
      <c r="AQ149" s="182"/>
      <c r="AR149" s="475" t="e">
        <f t="shared" si="96"/>
        <v>#N/A</v>
      </c>
      <c r="AS149" s="678"/>
      <c r="AT149" s="182"/>
      <c r="AU149" s="182"/>
      <c r="AV149" s="182"/>
      <c r="AW149" s="475" t="e">
        <f t="shared" si="98"/>
        <v>#N/A</v>
      </c>
      <c r="AX149" s="678"/>
    </row>
    <row r="150" spans="2:50">
      <c r="B150" s="676"/>
      <c r="C150" s="301">
        <v>4</v>
      </c>
      <c r="D150" s="566"/>
      <c r="E150" s="566"/>
      <c r="F150" s="566"/>
      <c r="G150" s="182"/>
      <c r="H150" s="678"/>
      <c r="I150" s="199" t="e">
        <f t="shared" si="100"/>
        <v>#DIV/0!</v>
      </c>
      <c r="J150" s="199" t="e">
        <f t="shared" si="101"/>
        <v>#DIV/0!</v>
      </c>
      <c r="K150" s="200" t="e">
        <f t="shared" si="102"/>
        <v>#DIV/0!</v>
      </c>
      <c r="L150" s="650"/>
      <c r="M150" s="199" t="e">
        <f>RANK(K150, K$147:$K$176)</f>
        <v>#DIV/0!</v>
      </c>
      <c r="N150" s="668"/>
      <c r="O150" s="668"/>
      <c r="P150" s="182"/>
      <c r="Q150" s="182"/>
      <c r="R150" s="182"/>
      <c r="S150" s="301" t="e">
        <f t="shared" si="103"/>
        <v>#N/A</v>
      </c>
      <c r="T150" s="678"/>
      <c r="U150" s="182"/>
      <c r="V150" s="182"/>
      <c r="W150" s="182"/>
      <c r="X150" s="475" t="e">
        <f t="shared" si="88"/>
        <v>#N/A</v>
      </c>
      <c r="Y150" s="678"/>
      <c r="Z150" s="182"/>
      <c r="AA150" s="182"/>
      <c r="AB150" s="182"/>
      <c r="AC150" s="475" t="e">
        <f t="shared" si="90"/>
        <v>#N/A</v>
      </c>
      <c r="AD150" s="678"/>
      <c r="AE150" s="182"/>
      <c r="AF150" s="182"/>
      <c r="AG150" s="182"/>
      <c r="AH150" s="475" t="e">
        <f t="shared" si="92"/>
        <v>#N/A</v>
      </c>
      <c r="AI150" s="678"/>
      <c r="AJ150" s="182"/>
      <c r="AK150" s="182"/>
      <c r="AL150" s="182"/>
      <c r="AM150" s="475" t="e">
        <f t="shared" si="94"/>
        <v>#N/A</v>
      </c>
      <c r="AN150" s="678"/>
      <c r="AO150" s="182"/>
      <c r="AP150" s="182"/>
      <c r="AQ150" s="182"/>
      <c r="AR150" s="475" t="e">
        <f t="shared" si="96"/>
        <v>#N/A</v>
      </c>
      <c r="AS150" s="678"/>
      <c r="AT150" s="182"/>
      <c r="AU150" s="182"/>
      <c r="AV150" s="182"/>
      <c r="AW150" s="475" t="e">
        <f t="shared" si="98"/>
        <v>#N/A</v>
      </c>
      <c r="AX150" s="678"/>
    </row>
    <row r="151" spans="2:50">
      <c r="B151" s="676"/>
      <c r="C151" s="301">
        <v>5</v>
      </c>
      <c r="D151" s="566"/>
      <c r="E151" s="566"/>
      <c r="F151" s="566"/>
      <c r="G151" s="182"/>
      <c r="H151" s="678"/>
      <c r="I151" s="199" t="e">
        <f t="shared" si="100"/>
        <v>#DIV/0!</v>
      </c>
      <c r="J151" s="199" t="e">
        <f t="shared" si="101"/>
        <v>#DIV/0!</v>
      </c>
      <c r="K151" s="200" t="e">
        <f t="shared" si="102"/>
        <v>#DIV/0!</v>
      </c>
      <c r="L151" s="650"/>
      <c r="M151" s="199" t="e">
        <f>RANK(K151, K$147:$K$176)</f>
        <v>#DIV/0!</v>
      </c>
      <c r="N151" s="668"/>
      <c r="O151" s="668"/>
      <c r="P151" s="182"/>
      <c r="Q151" s="182"/>
      <c r="R151" s="182"/>
      <c r="S151" s="301" t="e">
        <f t="shared" si="103"/>
        <v>#N/A</v>
      </c>
      <c r="T151" s="678"/>
      <c r="U151" s="182"/>
      <c r="V151" s="182"/>
      <c r="W151" s="182"/>
      <c r="X151" s="475" t="e">
        <f t="shared" si="88"/>
        <v>#N/A</v>
      </c>
      <c r="Y151" s="678"/>
      <c r="Z151" s="182"/>
      <c r="AA151" s="182"/>
      <c r="AB151" s="182"/>
      <c r="AC151" s="475" t="e">
        <f t="shared" si="90"/>
        <v>#N/A</v>
      </c>
      <c r="AD151" s="678"/>
      <c r="AE151" s="182"/>
      <c r="AF151" s="182"/>
      <c r="AG151" s="182"/>
      <c r="AH151" s="475" t="e">
        <f t="shared" si="92"/>
        <v>#N/A</v>
      </c>
      <c r="AI151" s="678"/>
      <c r="AJ151" s="182"/>
      <c r="AK151" s="182"/>
      <c r="AL151" s="182"/>
      <c r="AM151" s="475" t="e">
        <f t="shared" si="94"/>
        <v>#N/A</v>
      </c>
      <c r="AN151" s="678"/>
      <c r="AO151" s="182"/>
      <c r="AP151" s="182"/>
      <c r="AQ151" s="182"/>
      <c r="AR151" s="475" t="e">
        <f t="shared" si="96"/>
        <v>#N/A</v>
      </c>
      <c r="AS151" s="678"/>
      <c r="AT151" s="182"/>
      <c r="AU151" s="182"/>
      <c r="AV151" s="182"/>
      <c r="AW151" s="475" t="e">
        <f t="shared" si="98"/>
        <v>#N/A</v>
      </c>
      <c r="AX151" s="678"/>
    </row>
    <row r="152" spans="2:50">
      <c r="B152" s="676"/>
      <c r="C152" s="301">
        <v>6</v>
      </c>
      <c r="D152" s="566"/>
      <c r="E152" s="566"/>
      <c r="F152" s="566"/>
      <c r="G152" s="182"/>
      <c r="H152" s="678"/>
      <c r="I152" s="199" t="e">
        <f t="shared" si="100"/>
        <v>#DIV/0!</v>
      </c>
      <c r="J152" s="199" t="e">
        <f t="shared" si="101"/>
        <v>#DIV/0!</v>
      </c>
      <c r="K152" s="200" t="e">
        <f t="shared" si="102"/>
        <v>#DIV/0!</v>
      </c>
      <c r="L152" s="650"/>
      <c r="M152" s="199" t="e">
        <f>RANK(K152, K$147:$K$176)</f>
        <v>#DIV/0!</v>
      </c>
      <c r="N152" s="668"/>
      <c r="O152" s="668"/>
      <c r="P152" s="182"/>
      <c r="Q152" s="182"/>
      <c r="R152" s="182"/>
      <c r="S152" s="301" t="e">
        <f t="shared" si="103"/>
        <v>#N/A</v>
      </c>
      <c r="T152" s="678"/>
      <c r="U152" s="182"/>
      <c r="V152" s="182"/>
      <c r="W152" s="182"/>
      <c r="X152" s="475" t="e">
        <f t="shared" si="88"/>
        <v>#N/A</v>
      </c>
      <c r="Y152" s="678"/>
      <c r="Z152" s="182"/>
      <c r="AA152" s="182"/>
      <c r="AB152" s="182"/>
      <c r="AC152" s="475" t="e">
        <f t="shared" si="90"/>
        <v>#N/A</v>
      </c>
      <c r="AD152" s="678"/>
      <c r="AE152" s="182"/>
      <c r="AF152" s="182"/>
      <c r="AG152" s="182"/>
      <c r="AH152" s="475" t="e">
        <f t="shared" si="92"/>
        <v>#N/A</v>
      </c>
      <c r="AI152" s="678"/>
      <c r="AJ152" s="182"/>
      <c r="AK152" s="182"/>
      <c r="AL152" s="182"/>
      <c r="AM152" s="475" t="e">
        <f t="shared" si="94"/>
        <v>#N/A</v>
      </c>
      <c r="AN152" s="678"/>
      <c r="AO152" s="182"/>
      <c r="AP152" s="182"/>
      <c r="AQ152" s="182"/>
      <c r="AR152" s="475" t="e">
        <f t="shared" si="96"/>
        <v>#N/A</v>
      </c>
      <c r="AS152" s="678"/>
      <c r="AT152" s="182"/>
      <c r="AU152" s="182"/>
      <c r="AV152" s="182"/>
      <c r="AW152" s="475" t="e">
        <f t="shared" si="98"/>
        <v>#N/A</v>
      </c>
      <c r="AX152" s="678"/>
    </row>
    <row r="153" spans="2:50">
      <c r="B153" s="676"/>
      <c r="C153" s="301">
        <v>7</v>
      </c>
      <c r="D153" s="566"/>
      <c r="E153" s="566"/>
      <c r="F153" s="566"/>
      <c r="G153" s="182"/>
      <c r="H153" s="678"/>
      <c r="I153" s="199" t="e">
        <f t="shared" si="100"/>
        <v>#DIV/0!</v>
      </c>
      <c r="J153" s="199" t="e">
        <f t="shared" si="101"/>
        <v>#DIV/0!</v>
      </c>
      <c r="K153" s="200" t="e">
        <f t="shared" si="102"/>
        <v>#DIV/0!</v>
      </c>
      <c r="L153" s="650"/>
      <c r="M153" s="199" t="e">
        <f>RANK(K153, K$147:$K$176)</f>
        <v>#DIV/0!</v>
      </c>
      <c r="N153" s="668"/>
      <c r="O153" s="668"/>
      <c r="P153" s="182"/>
      <c r="Q153" s="182"/>
      <c r="R153" s="182"/>
      <c r="S153" s="301" t="e">
        <f t="shared" si="103"/>
        <v>#N/A</v>
      </c>
      <c r="T153" s="678"/>
      <c r="U153" s="182"/>
      <c r="V153" s="182"/>
      <c r="W153" s="182"/>
      <c r="X153" s="475" t="e">
        <f t="shared" si="88"/>
        <v>#N/A</v>
      </c>
      <c r="Y153" s="678"/>
      <c r="Z153" s="182"/>
      <c r="AA153" s="182"/>
      <c r="AB153" s="182"/>
      <c r="AC153" s="475" t="e">
        <f t="shared" si="90"/>
        <v>#N/A</v>
      </c>
      <c r="AD153" s="678"/>
      <c r="AE153" s="182"/>
      <c r="AF153" s="182"/>
      <c r="AG153" s="182"/>
      <c r="AH153" s="475" t="e">
        <f t="shared" si="92"/>
        <v>#N/A</v>
      </c>
      <c r="AI153" s="678"/>
      <c r="AJ153" s="182"/>
      <c r="AK153" s="182"/>
      <c r="AL153" s="182"/>
      <c r="AM153" s="475" t="e">
        <f t="shared" si="94"/>
        <v>#N/A</v>
      </c>
      <c r="AN153" s="678"/>
      <c r="AO153" s="182"/>
      <c r="AP153" s="182"/>
      <c r="AQ153" s="182"/>
      <c r="AR153" s="475" t="e">
        <f t="shared" si="96"/>
        <v>#N/A</v>
      </c>
      <c r="AS153" s="678"/>
      <c r="AT153" s="182"/>
      <c r="AU153" s="182"/>
      <c r="AV153" s="182"/>
      <c r="AW153" s="475" t="e">
        <f t="shared" si="98"/>
        <v>#N/A</v>
      </c>
      <c r="AX153" s="678"/>
    </row>
    <row r="154" spans="2:50">
      <c r="B154" s="676"/>
      <c r="C154" s="301">
        <v>8</v>
      </c>
      <c r="D154" s="566"/>
      <c r="E154" s="566"/>
      <c r="F154" s="566"/>
      <c r="G154" s="182"/>
      <c r="H154" s="678"/>
      <c r="I154" s="199" t="e">
        <f t="shared" si="100"/>
        <v>#DIV/0!</v>
      </c>
      <c r="J154" s="199" t="e">
        <f t="shared" si="101"/>
        <v>#DIV/0!</v>
      </c>
      <c r="K154" s="200" t="e">
        <f t="shared" si="102"/>
        <v>#DIV/0!</v>
      </c>
      <c r="L154" s="650"/>
      <c r="M154" s="199" t="e">
        <f>RANK(K154, K$147:$K$176)</f>
        <v>#DIV/0!</v>
      </c>
      <c r="N154" s="668"/>
      <c r="O154" s="668"/>
      <c r="P154" s="182"/>
      <c r="Q154" s="182"/>
      <c r="R154" s="182"/>
      <c r="S154" s="301" t="e">
        <f t="shared" si="103"/>
        <v>#N/A</v>
      </c>
      <c r="T154" s="678"/>
      <c r="U154" s="182"/>
      <c r="V154" s="182"/>
      <c r="W154" s="182"/>
      <c r="X154" s="475" t="e">
        <f t="shared" si="88"/>
        <v>#N/A</v>
      </c>
      <c r="Y154" s="678"/>
      <c r="Z154" s="182"/>
      <c r="AA154" s="182"/>
      <c r="AB154" s="182"/>
      <c r="AC154" s="475" t="e">
        <f t="shared" si="90"/>
        <v>#N/A</v>
      </c>
      <c r="AD154" s="678"/>
      <c r="AE154" s="182"/>
      <c r="AF154" s="182"/>
      <c r="AG154" s="182"/>
      <c r="AH154" s="475" t="e">
        <f t="shared" si="92"/>
        <v>#N/A</v>
      </c>
      <c r="AI154" s="678"/>
      <c r="AJ154" s="182"/>
      <c r="AK154" s="182"/>
      <c r="AL154" s="182"/>
      <c r="AM154" s="475" t="e">
        <f t="shared" si="94"/>
        <v>#N/A</v>
      </c>
      <c r="AN154" s="678"/>
      <c r="AO154" s="182"/>
      <c r="AP154" s="182"/>
      <c r="AQ154" s="182"/>
      <c r="AR154" s="475" t="e">
        <f t="shared" si="96"/>
        <v>#N/A</v>
      </c>
      <c r="AS154" s="678"/>
      <c r="AT154" s="182"/>
      <c r="AU154" s="182"/>
      <c r="AV154" s="182"/>
      <c r="AW154" s="475" t="e">
        <f t="shared" si="98"/>
        <v>#N/A</v>
      </c>
      <c r="AX154" s="678"/>
    </row>
    <row r="155" spans="2:50">
      <c r="B155" s="676"/>
      <c r="C155" s="301">
        <v>9</v>
      </c>
      <c r="D155" s="566"/>
      <c r="E155" s="566"/>
      <c r="F155" s="566"/>
      <c r="G155" s="182"/>
      <c r="H155" s="678"/>
      <c r="I155" s="199" t="e">
        <f t="shared" si="100"/>
        <v>#DIV/0!</v>
      </c>
      <c r="J155" s="199" t="e">
        <f t="shared" si="101"/>
        <v>#DIV/0!</v>
      </c>
      <c r="K155" s="200" t="e">
        <f t="shared" si="102"/>
        <v>#DIV/0!</v>
      </c>
      <c r="L155" s="650"/>
      <c r="M155" s="199" t="e">
        <f>RANK(K155, K$147:$K$176)</f>
        <v>#DIV/0!</v>
      </c>
      <c r="N155" s="668"/>
      <c r="O155" s="668"/>
      <c r="P155" s="182"/>
      <c r="Q155" s="182"/>
      <c r="R155" s="182"/>
      <c r="S155" s="301" t="e">
        <f t="shared" si="103"/>
        <v>#N/A</v>
      </c>
      <c r="T155" s="678"/>
      <c r="U155" s="182"/>
      <c r="V155" s="182"/>
      <c r="W155" s="182"/>
      <c r="X155" s="475" t="e">
        <f t="shared" si="88"/>
        <v>#N/A</v>
      </c>
      <c r="Y155" s="678"/>
      <c r="Z155" s="182"/>
      <c r="AA155" s="182"/>
      <c r="AB155" s="182"/>
      <c r="AC155" s="475" t="e">
        <f t="shared" si="90"/>
        <v>#N/A</v>
      </c>
      <c r="AD155" s="678"/>
      <c r="AE155" s="182"/>
      <c r="AF155" s="182"/>
      <c r="AG155" s="182"/>
      <c r="AH155" s="475" t="e">
        <f t="shared" si="92"/>
        <v>#N/A</v>
      </c>
      <c r="AI155" s="678"/>
      <c r="AJ155" s="182"/>
      <c r="AK155" s="182"/>
      <c r="AL155" s="182"/>
      <c r="AM155" s="475" t="e">
        <f t="shared" si="94"/>
        <v>#N/A</v>
      </c>
      <c r="AN155" s="678"/>
      <c r="AO155" s="182"/>
      <c r="AP155" s="182"/>
      <c r="AQ155" s="182"/>
      <c r="AR155" s="475" t="e">
        <f t="shared" si="96"/>
        <v>#N/A</v>
      </c>
      <c r="AS155" s="678"/>
      <c r="AT155" s="182"/>
      <c r="AU155" s="182"/>
      <c r="AV155" s="182"/>
      <c r="AW155" s="475" t="e">
        <f t="shared" si="98"/>
        <v>#N/A</v>
      </c>
      <c r="AX155" s="678"/>
    </row>
    <row r="156" spans="2:50">
      <c r="B156" s="676"/>
      <c r="C156" s="301">
        <v>10</v>
      </c>
      <c r="D156" s="566"/>
      <c r="E156" s="566"/>
      <c r="F156" s="566"/>
      <c r="G156" s="182"/>
      <c r="H156" s="678"/>
      <c r="I156" s="199" t="e">
        <f t="shared" si="100"/>
        <v>#DIV/0!</v>
      </c>
      <c r="J156" s="199" t="e">
        <f t="shared" si="101"/>
        <v>#DIV/0!</v>
      </c>
      <c r="K156" s="200" t="e">
        <f t="shared" si="102"/>
        <v>#DIV/0!</v>
      </c>
      <c r="L156" s="650"/>
      <c r="M156" s="199" t="e">
        <f>RANK(K156, K$147:$K$176)</f>
        <v>#DIV/0!</v>
      </c>
      <c r="N156" s="668"/>
      <c r="O156" s="668"/>
      <c r="P156" s="182"/>
      <c r="Q156" s="182"/>
      <c r="R156" s="182"/>
      <c r="S156" s="301" t="e">
        <f t="shared" si="103"/>
        <v>#N/A</v>
      </c>
      <c r="T156" s="678"/>
      <c r="U156" s="182"/>
      <c r="V156" s="182"/>
      <c r="W156" s="182"/>
      <c r="X156" s="475" t="e">
        <f t="shared" si="88"/>
        <v>#N/A</v>
      </c>
      <c r="Y156" s="678"/>
      <c r="Z156" s="182"/>
      <c r="AA156" s="182"/>
      <c r="AB156" s="182"/>
      <c r="AC156" s="475" t="e">
        <f t="shared" si="90"/>
        <v>#N/A</v>
      </c>
      <c r="AD156" s="678"/>
      <c r="AE156" s="182"/>
      <c r="AF156" s="182"/>
      <c r="AG156" s="182"/>
      <c r="AH156" s="475" t="e">
        <f t="shared" si="92"/>
        <v>#N/A</v>
      </c>
      <c r="AI156" s="678"/>
      <c r="AJ156" s="182"/>
      <c r="AK156" s="182"/>
      <c r="AL156" s="182"/>
      <c r="AM156" s="475" t="e">
        <f t="shared" si="94"/>
        <v>#N/A</v>
      </c>
      <c r="AN156" s="678"/>
      <c r="AO156" s="182"/>
      <c r="AP156" s="182"/>
      <c r="AQ156" s="182"/>
      <c r="AR156" s="475" t="e">
        <f t="shared" si="96"/>
        <v>#N/A</v>
      </c>
      <c r="AS156" s="678"/>
      <c r="AT156" s="182"/>
      <c r="AU156" s="182"/>
      <c r="AV156" s="182"/>
      <c r="AW156" s="475" t="e">
        <f t="shared" si="98"/>
        <v>#N/A</v>
      </c>
      <c r="AX156" s="678"/>
    </row>
    <row r="157" spans="2:50">
      <c r="B157" s="676"/>
      <c r="C157" s="301">
        <v>11</v>
      </c>
      <c r="D157" s="566"/>
      <c r="E157" s="566"/>
      <c r="F157" s="566"/>
      <c r="G157" s="182"/>
      <c r="H157" s="678"/>
      <c r="I157" s="199" t="e">
        <f t="shared" ref="I157:I166" si="104">AVERAGE(P157,U157,Z157,AE157,AJ157,AO157,AT157)</f>
        <v>#DIV/0!</v>
      </c>
      <c r="J157" s="199" t="e">
        <f t="shared" ref="J157:J166" si="105">AVERAGE(Q157,V157,AA157,AF157,AK157,AP157,AU157)</f>
        <v>#DIV/0!</v>
      </c>
      <c r="K157" s="200" t="e">
        <f t="shared" ref="K157:K166" si="106">AVERAGE(R157,W157,AB157,AG157,AL157,AQ157,AV157)</f>
        <v>#DIV/0!</v>
      </c>
      <c r="L157" s="650"/>
      <c r="M157" s="199" t="e">
        <f>RANK(K157, K$147:$K$176)</f>
        <v>#DIV/0!</v>
      </c>
      <c r="N157" s="668"/>
      <c r="O157" s="668"/>
      <c r="P157" s="182"/>
      <c r="Q157" s="182"/>
      <c r="R157" s="182"/>
      <c r="S157" s="301" t="e">
        <f t="shared" si="103"/>
        <v>#N/A</v>
      </c>
      <c r="T157" s="678"/>
      <c r="U157" s="182"/>
      <c r="V157" s="182"/>
      <c r="W157" s="182"/>
      <c r="X157" s="475" t="e">
        <f t="shared" si="88"/>
        <v>#N/A</v>
      </c>
      <c r="Y157" s="678"/>
      <c r="Z157" s="182"/>
      <c r="AA157" s="182"/>
      <c r="AB157" s="182"/>
      <c r="AC157" s="475" t="e">
        <f t="shared" si="90"/>
        <v>#N/A</v>
      </c>
      <c r="AD157" s="678"/>
      <c r="AE157" s="182"/>
      <c r="AF157" s="182"/>
      <c r="AG157" s="182"/>
      <c r="AH157" s="475" t="e">
        <f t="shared" si="92"/>
        <v>#N/A</v>
      </c>
      <c r="AI157" s="678"/>
      <c r="AJ157" s="182"/>
      <c r="AK157" s="182"/>
      <c r="AL157" s="182"/>
      <c r="AM157" s="475" t="e">
        <f t="shared" si="94"/>
        <v>#N/A</v>
      </c>
      <c r="AN157" s="678"/>
      <c r="AO157" s="182"/>
      <c r="AP157" s="182"/>
      <c r="AQ157" s="182"/>
      <c r="AR157" s="475" t="e">
        <f t="shared" si="96"/>
        <v>#N/A</v>
      </c>
      <c r="AS157" s="678"/>
      <c r="AT157" s="182"/>
      <c r="AU157" s="182"/>
      <c r="AV157" s="182"/>
      <c r="AW157" s="475" t="e">
        <f t="shared" si="98"/>
        <v>#N/A</v>
      </c>
      <c r="AX157" s="678"/>
    </row>
    <row r="158" spans="2:50">
      <c r="B158" s="676"/>
      <c r="C158" s="301">
        <v>12</v>
      </c>
      <c r="D158" s="566"/>
      <c r="E158" s="566"/>
      <c r="F158" s="566"/>
      <c r="G158" s="182"/>
      <c r="H158" s="678"/>
      <c r="I158" s="199" t="e">
        <f t="shared" si="104"/>
        <v>#DIV/0!</v>
      </c>
      <c r="J158" s="199" t="e">
        <f t="shared" si="105"/>
        <v>#DIV/0!</v>
      </c>
      <c r="K158" s="200" t="e">
        <f t="shared" si="106"/>
        <v>#DIV/0!</v>
      </c>
      <c r="L158" s="650"/>
      <c r="M158" s="199" t="e">
        <f>RANK(K158, K$147:$K$176)</f>
        <v>#DIV/0!</v>
      </c>
      <c r="N158" s="668"/>
      <c r="O158" s="668"/>
      <c r="P158" s="182"/>
      <c r="Q158" s="182"/>
      <c r="R158" s="182"/>
      <c r="S158" s="301" t="e">
        <f t="shared" si="103"/>
        <v>#N/A</v>
      </c>
      <c r="T158" s="678"/>
      <c r="U158" s="182"/>
      <c r="V158" s="182"/>
      <c r="W158" s="182"/>
      <c r="X158" s="475" t="e">
        <f t="shared" si="88"/>
        <v>#N/A</v>
      </c>
      <c r="Y158" s="678"/>
      <c r="Z158" s="182"/>
      <c r="AA158" s="182"/>
      <c r="AB158" s="182"/>
      <c r="AC158" s="475" t="e">
        <f t="shared" si="90"/>
        <v>#N/A</v>
      </c>
      <c r="AD158" s="678"/>
      <c r="AE158" s="182"/>
      <c r="AF158" s="182"/>
      <c r="AG158" s="182"/>
      <c r="AH158" s="475" t="e">
        <f t="shared" si="92"/>
        <v>#N/A</v>
      </c>
      <c r="AI158" s="678"/>
      <c r="AJ158" s="182"/>
      <c r="AK158" s="182"/>
      <c r="AL158" s="182"/>
      <c r="AM158" s="475" t="e">
        <f t="shared" si="94"/>
        <v>#N/A</v>
      </c>
      <c r="AN158" s="678"/>
      <c r="AO158" s="182"/>
      <c r="AP158" s="182"/>
      <c r="AQ158" s="182"/>
      <c r="AR158" s="475" t="e">
        <f t="shared" si="96"/>
        <v>#N/A</v>
      </c>
      <c r="AS158" s="678"/>
      <c r="AT158" s="182"/>
      <c r="AU158" s="182"/>
      <c r="AV158" s="182"/>
      <c r="AW158" s="475" t="e">
        <f t="shared" si="98"/>
        <v>#N/A</v>
      </c>
      <c r="AX158" s="678"/>
    </row>
    <row r="159" spans="2:50">
      <c r="B159" s="676"/>
      <c r="C159" s="301">
        <v>13</v>
      </c>
      <c r="D159" s="566"/>
      <c r="E159" s="566"/>
      <c r="F159" s="566"/>
      <c r="G159" s="182"/>
      <c r="H159" s="678"/>
      <c r="I159" s="199" t="e">
        <f t="shared" si="104"/>
        <v>#DIV/0!</v>
      </c>
      <c r="J159" s="199" t="e">
        <f t="shared" si="105"/>
        <v>#DIV/0!</v>
      </c>
      <c r="K159" s="200" t="e">
        <f t="shared" si="106"/>
        <v>#DIV/0!</v>
      </c>
      <c r="L159" s="650"/>
      <c r="M159" s="199" t="e">
        <f>RANK(K159, K$147:$K$176)</f>
        <v>#DIV/0!</v>
      </c>
      <c r="N159" s="668"/>
      <c r="O159" s="668"/>
      <c r="P159" s="182"/>
      <c r="Q159" s="182"/>
      <c r="R159" s="182"/>
      <c r="S159" s="301" t="e">
        <f t="shared" si="103"/>
        <v>#N/A</v>
      </c>
      <c r="T159" s="678"/>
      <c r="U159" s="182"/>
      <c r="V159" s="182"/>
      <c r="W159" s="182"/>
      <c r="X159" s="475" t="e">
        <f t="shared" si="88"/>
        <v>#N/A</v>
      </c>
      <c r="Y159" s="678"/>
      <c r="Z159" s="182"/>
      <c r="AA159" s="182"/>
      <c r="AB159" s="182"/>
      <c r="AC159" s="475" t="e">
        <f t="shared" si="90"/>
        <v>#N/A</v>
      </c>
      <c r="AD159" s="678"/>
      <c r="AE159" s="182"/>
      <c r="AF159" s="182"/>
      <c r="AG159" s="182"/>
      <c r="AH159" s="475" t="e">
        <f t="shared" si="92"/>
        <v>#N/A</v>
      </c>
      <c r="AI159" s="678"/>
      <c r="AJ159" s="182"/>
      <c r="AK159" s="182"/>
      <c r="AL159" s="182"/>
      <c r="AM159" s="475" t="e">
        <f t="shared" si="94"/>
        <v>#N/A</v>
      </c>
      <c r="AN159" s="678"/>
      <c r="AO159" s="182"/>
      <c r="AP159" s="182"/>
      <c r="AQ159" s="182"/>
      <c r="AR159" s="475" t="e">
        <f t="shared" si="96"/>
        <v>#N/A</v>
      </c>
      <c r="AS159" s="678"/>
      <c r="AT159" s="182"/>
      <c r="AU159" s="182"/>
      <c r="AV159" s="182"/>
      <c r="AW159" s="475" t="e">
        <f t="shared" si="98"/>
        <v>#N/A</v>
      </c>
      <c r="AX159" s="678"/>
    </row>
    <row r="160" spans="2:50">
      <c r="B160" s="676"/>
      <c r="C160" s="301">
        <v>14</v>
      </c>
      <c r="D160" s="566"/>
      <c r="E160" s="566"/>
      <c r="F160" s="566"/>
      <c r="G160" s="182"/>
      <c r="H160" s="678"/>
      <c r="I160" s="199" t="e">
        <f t="shared" si="104"/>
        <v>#DIV/0!</v>
      </c>
      <c r="J160" s="199" t="e">
        <f t="shared" si="105"/>
        <v>#DIV/0!</v>
      </c>
      <c r="K160" s="200" t="e">
        <f t="shared" si="106"/>
        <v>#DIV/0!</v>
      </c>
      <c r="L160" s="650"/>
      <c r="M160" s="199" t="e">
        <f>RANK(K160, K$147:$K$176)</f>
        <v>#DIV/0!</v>
      </c>
      <c r="N160" s="668"/>
      <c r="O160" s="668"/>
      <c r="P160" s="182"/>
      <c r="Q160" s="182"/>
      <c r="R160" s="182"/>
      <c r="S160" s="301" t="e">
        <f t="shared" si="103"/>
        <v>#N/A</v>
      </c>
      <c r="T160" s="678"/>
      <c r="U160" s="182"/>
      <c r="V160" s="182"/>
      <c r="W160" s="182"/>
      <c r="X160" s="475" t="e">
        <f t="shared" si="88"/>
        <v>#N/A</v>
      </c>
      <c r="Y160" s="678"/>
      <c r="Z160" s="182"/>
      <c r="AA160" s="182"/>
      <c r="AB160" s="182"/>
      <c r="AC160" s="475" t="e">
        <f t="shared" si="90"/>
        <v>#N/A</v>
      </c>
      <c r="AD160" s="678"/>
      <c r="AE160" s="182"/>
      <c r="AF160" s="182"/>
      <c r="AG160" s="182"/>
      <c r="AH160" s="475" t="e">
        <f t="shared" si="92"/>
        <v>#N/A</v>
      </c>
      <c r="AI160" s="678"/>
      <c r="AJ160" s="182"/>
      <c r="AK160" s="182"/>
      <c r="AL160" s="182"/>
      <c r="AM160" s="475" t="e">
        <f t="shared" si="94"/>
        <v>#N/A</v>
      </c>
      <c r="AN160" s="678"/>
      <c r="AO160" s="182"/>
      <c r="AP160" s="182"/>
      <c r="AQ160" s="182"/>
      <c r="AR160" s="475" t="e">
        <f t="shared" si="96"/>
        <v>#N/A</v>
      </c>
      <c r="AS160" s="678"/>
      <c r="AT160" s="182"/>
      <c r="AU160" s="182"/>
      <c r="AV160" s="182"/>
      <c r="AW160" s="475" t="e">
        <f t="shared" si="98"/>
        <v>#N/A</v>
      </c>
      <c r="AX160" s="678"/>
    </row>
    <row r="161" spans="2:50">
      <c r="B161" s="676"/>
      <c r="C161" s="301">
        <v>15</v>
      </c>
      <c r="D161" s="566"/>
      <c r="E161" s="566"/>
      <c r="F161" s="566"/>
      <c r="G161" s="182"/>
      <c r="H161" s="678"/>
      <c r="I161" s="199" t="e">
        <f t="shared" si="104"/>
        <v>#DIV/0!</v>
      </c>
      <c r="J161" s="199" t="e">
        <f t="shared" si="105"/>
        <v>#DIV/0!</v>
      </c>
      <c r="K161" s="200" t="e">
        <f t="shared" si="106"/>
        <v>#DIV/0!</v>
      </c>
      <c r="L161" s="650"/>
      <c r="M161" s="199" t="e">
        <f>RANK(K161, K$147:$K$176)</f>
        <v>#DIV/0!</v>
      </c>
      <c r="N161" s="668"/>
      <c r="O161" s="668"/>
      <c r="P161" s="182"/>
      <c r="Q161" s="182"/>
      <c r="R161" s="182"/>
      <c r="S161" s="301" t="e">
        <f t="shared" ref="S161:S175" si="107">RANK(R161, R$147:R$176)</f>
        <v>#N/A</v>
      </c>
      <c r="T161" s="678"/>
      <c r="U161" s="182"/>
      <c r="V161" s="182"/>
      <c r="W161" s="182"/>
      <c r="X161" s="475" t="e">
        <f t="shared" si="88"/>
        <v>#N/A</v>
      </c>
      <c r="Y161" s="678"/>
      <c r="Z161" s="182"/>
      <c r="AA161" s="182"/>
      <c r="AB161" s="182"/>
      <c r="AC161" s="475" t="e">
        <f t="shared" si="90"/>
        <v>#N/A</v>
      </c>
      <c r="AD161" s="678"/>
      <c r="AE161" s="182"/>
      <c r="AF161" s="182"/>
      <c r="AG161" s="182"/>
      <c r="AH161" s="475" t="e">
        <f t="shared" si="92"/>
        <v>#N/A</v>
      </c>
      <c r="AI161" s="678"/>
      <c r="AJ161" s="182"/>
      <c r="AK161" s="182"/>
      <c r="AL161" s="182"/>
      <c r="AM161" s="475" t="e">
        <f t="shared" si="94"/>
        <v>#N/A</v>
      </c>
      <c r="AN161" s="678"/>
      <c r="AO161" s="182"/>
      <c r="AP161" s="182"/>
      <c r="AQ161" s="182"/>
      <c r="AR161" s="475" t="e">
        <f t="shared" si="96"/>
        <v>#N/A</v>
      </c>
      <c r="AS161" s="678"/>
      <c r="AT161" s="182"/>
      <c r="AU161" s="182"/>
      <c r="AV161" s="182"/>
      <c r="AW161" s="475" t="e">
        <f t="shared" si="98"/>
        <v>#N/A</v>
      </c>
      <c r="AX161" s="678"/>
    </row>
    <row r="162" spans="2:50">
      <c r="B162" s="676"/>
      <c r="C162" s="301">
        <v>16</v>
      </c>
      <c r="D162" s="566"/>
      <c r="E162" s="566"/>
      <c r="F162" s="566"/>
      <c r="G162" s="182"/>
      <c r="H162" s="678"/>
      <c r="I162" s="199" t="e">
        <f t="shared" si="104"/>
        <v>#DIV/0!</v>
      </c>
      <c r="J162" s="199" t="e">
        <f t="shared" si="105"/>
        <v>#DIV/0!</v>
      </c>
      <c r="K162" s="200" t="e">
        <f t="shared" si="106"/>
        <v>#DIV/0!</v>
      </c>
      <c r="L162" s="650"/>
      <c r="M162" s="199" t="e">
        <f>RANK(K162, K$147:$K$176)</f>
        <v>#DIV/0!</v>
      </c>
      <c r="N162" s="668"/>
      <c r="O162" s="668"/>
      <c r="P162" s="182"/>
      <c r="Q162" s="182"/>
      <c r="R162" s="182"/>
      <c r="S162" s="301" t="e">
        <f t="shared" si="107"/>
        <v>#N/A</v>
      </c>
      <c r="T162" s="678"/>
      <c r="U162" s="182"/>
      <c r="V162" s="182"/>
      <c r="W162" s="182"/>
      <c r="X162" s="475" t="e">
        <f t="shared" si="88"/>
        <v>#N/A</v>
      </c>
      <c r="Y162" s="678"/>
      <c r="Z162" s="182"/>
      <c r="AA162" s="182"/>
      <c r="AB162" s="182"/>
      <c r="AC162" s="475" t="e">
        <f t="shared" si="90"/>
        <v>#N/A</v>
      </c>
      <c r="AD162" s="678"/>
      <c r="AE162" s="182"/>
      <c r="AF162" s="182"/>
      <c r="AG162" s="182"/>
      <c r="AH162" s="475" t="e">
        <f t="shared" si="92"/>
        <v>#N/A</v>
      </c>
      <c r="AI162" s="678"/>
      <c r="AJ162" s="182"/>
      <c r="AK162" s="182"/>
      <c r="AL162" s="182"/>
      <c r="AM162" s="475" t="e">
        <f t="shared" si="94"/>
        <v>#N/A</v>
      </c>
      <c r="AN162" s="678"/>
      <c r="AO162" s="182"/>
      <c r="AP162" s="182"/>
      <c r="AQ162" s="182"/>
      <c r="AR162" s="475" t="e">
        <f t="shared" si="96"/>
        <v>#N/A</v>
      </c>
      <c r="AS162" s="678"/>
      <c r="AT162" s="182"/>
      <c r="AU162" s="182"/>
      <c r="AV162" s="182"/>
      <c r="AW162" s="475" t="e">
        <f t="shared" si="98"/>
        <v>#N/A</v>
      </c>
      <c r="AX162" s="678"/>
    </row>
    <row r="163" spans="2:50">
      <c r="B163" s="676"/>
      <c r="C163" s="301">
        <v>17</v>
      </c>
      <c r="D163" s="566"/>
      <c r="E163" s="566"/>
      <c r="F163" s="566"/>
      <c r="G163" s="182"/>
      <c r="H163" s="678"/>
      <c r="I163" s="199" t="e">
        <f t="shared" si="104"/>
        <v>#DIV/0!</v>
      </c>
      <c r="J163" s="199" t="e">
        <f t="shared" si="105"/>
        <v>#DIV/0!</v>
      </c>
      <c r="K163" s="200" t="e">
        <f t="shared" si="106"/>
        <v>#DIV/0!</v>
      </c>
      <c r="L163" s="650"/>
      <c r="M163" s="199" t="e">
        <f>RANK(K163, K$147:$K$176)</f>
        <v>#DIV/0!</v>
      </c>
      <c r="N163" s="668"/>
      <c r="O163" s="668"/>
      <c r="P163" s="182"/>
      <c r="Q163" s="182"/>
      <c r="R163" s="182"/>
      <c r="S163" s="301" t="e">
        <f t="shared" si="107"/>
        <v>#N/A</v>
      </c>
      <c r="T163" s="678"/>
      <c r="U163" s="182"/>
      <c r="V163" s="182"/>
      <c r="W163" s="182"/>
      <c r="X163" s="475" t="e">
        <f t="shared" ref="X163:X176" si="108">RANK(W163, W$147:W$176)</f>
        <v>#N/A</v>
      </c>
      <c r="Y163" s="678"/>
      <c r="Z163" s="182"/>
      <c r="AA163" s="182"/>
      <c r="AB163" s="182"/>
      <c r="AC163" s="475" t="e">
        <f t="shared" ref="AC163:AC176" si="109">RANK(AB163, AB$147:AB$176)</f>
        <v>#N/A</v>
      </c>
      <c r="AD163" s="678"/>
      <c r="AE163" s="182"/>
      <c r="AF163" s="182"/>
      <c r="AG163" s="182"/>
      <c r="AH163" s="475" t="e">
        <f t="shared" ref="AH163:AH176" si="110">RANK(AG163, AG$147:AG$176)</f>
        <v>#N/A</v>
      </c>
      <c r="AI163" s="678"/>
      <c r="AJ163" s="182"/>
      <c r="AK163" s="182"/>
      <c r="AL163" s="182"/>
      <c r="AM163" s="475" t="e">
        <f t="shared" ref="AM163:AM176" si="111">RANK(AL163, AL$147:AL$176)</f>
        <v>#N/A</v>
      </c>
      <c r="AN163" s="678"/>
      <c r="AO163" s="182"/>
      <c r="AP163" s="182"/>
      <c r="AQ163" s="182"/>
      <c r="AR163" s="475" t="e">
        <f t="shared" ref="AR163:AR176" si="112">RANK(AQ163, AQ$147:AQ$176)</f>
        <v>#N/A</v>
      </c>
      <c r="AS163" s="678"/>
      <c r="AT163" s="182"/>
      <c r="AU163" s="182"/>
      <c r="AV163" s="182"/>
      <c r="AW163" s="475" t="e">
        <f t="shared" ref="AW163:AW176" si="113">RANK(AV163, AV$147:AV$176)</f>
        <v>#N/A</v>
      </c>
      <c r="AX163" s="678"/>
    </row>
    <row r="164" spans="2:50">
      <c r="B164" s="676"/>
      <c r="C164" s="301">
        <v>18</v>
      </c>
      <c r="D164" s="566"/>
      <c r="E164" s="566"/>
      <c r="F164" s="566"/>
      <c r="G164" s="182"/>
      <c r="H164" s="678"/>
      <c r="I164" s="199" t="e">
        <f t="shared" si="104"/>
        <v>#DIV/0!</v>
      </c>
      <c r="J164" s="199" t="e">
        <f t="shared" si="105"/>
        <v>#DIV/0!</v>
      </c>
      <c r="K164" s="200" t="e">
        <f t="shared" si="106"/>
        <v>#DIV/0!</v>
      </c>
      <c r="L164" s="650"/>
      <c r="M164" s="199" t="e">
        <f>RANK(K164, K$147:$K$176)</f>
        <v>#DIV/0!</v>
      </c>
      <c r="N164" s="668"/>
      <c r="O164" s="668"/>
      <c r="P164" s="182"/>
      <c r="Q164" s="182"/>
      <c r="R164" s="182"/>
      <c r="S164" s="301" t="e">
        <f t="shared" si="107"/>
        <v>#N/A</v>
      </c>
      <c r="T164" s="678"/>
      <c r="U164" s="182"/>
      <c r="V164" s="182"/>
      <c r="W164" s="182"/>
      <c r="X164" s="475" t="e">
        <f t="shared" si="108"/>
        <v>#N/A</v>
      </c>
      <c r="Y164" s="678"/>
      <c r="Z164" s="182"/>
      <c r="AA164" s="182"/>
      <c r="AB164" s="182"/>
      <c r="AC164" s="475" t="e">
        <f t="shared" si="109"/>
        <v>#N/A</v>
      </c>
      <c r="AD164" s="678"/>
      <c r="AE164" s="182"/>
      <c r="AF164" s="182"/>
      <c r="AG164" s="182"/>
      <c r="AH164" s="475" t="e">
        <f t="shared" si="110"/>
        <v>#N/A</v>
      </c>
      <c r="AI164" s="678"/>
      <c r="AJ164" s="182"/>
      <c r="AK164" s="182"/>
      <c r="AL164" s="182"/>
      <c r="AM164" s="475" t="e">
        <f t="shared" si="111"/>
        <v>#N/A</v>
      </c>
      <c r="AN164" s="678"/>
      <c r="AO164" s="182"/>
      <c r="AP164" s="182"/>
      <c r="AQ164" s="182"/>
      <c r="AR164" s="475" t="e">
        <f t="shared" si="112"/>
        <v>#N/A</v>
      </c>
      <c r="AS164" s="678"/>
      <c r="AT164" s="182"/>
      <c r="AU164" s="182"/>
      <c r="AV164" s="182"/>
      <c r="AW164" s="475" t="e">
        <f t="shared" si="113"/>
        <v>#N/A</v>
      </c>
      <c r="AX164" s="678"/>
    </row>
    <row r="165" spans="2:50">
      <c r="B165" s="676"/>
      <c r="C165" s="301">
        <v>19</v>
      </c>
      <c r="D165" s="566"/>
      <c r="E165" s="566"/>
      <c r="F165" s="566"/>
      <c r="G165" s="182"/>
      <c r="H165" s="678"/>
      <c r="I165" s="199" t="e">
        <f t="shared" si="104"/>
        <v>#DIV/0!</v>
      </c>
      <c r="J165" s="199" t="e">
        <f t="shared" si="105"/>
        <v>#DIV/0!</v>
      </c>
      <c r="K165" s="200" t="e">
        <f t="shared" si="106"/>
        <v>#DIV/0!</v>
      </c>
      <c r="L165" s="650"/>
      <c r="M165" s="199" t="e">
        <f>RANK(K165, K$147:$K$176)</f>
        <v>#DIV/0!</v>
      </c>
      <c r="N165" s="668"/>
      <c r="O165" s="668"/>
      <c r="P165" s="182"/>
      <c r="Q165" s="182"/>
      <c r="R165" s="182"/>
      <c r="S165" s="301" t="e">
        <f t="shared" si="107"/>
        <v>#N/A</v>
      </c>
      <c r="T165" s="678"/>
      <c r="U165" s="182"/>
      <c r="V165" s="182"/>
      <c r="W165" s="182"/>
      <c r="X165" s="475" t="e">
        <f t="shared" si="108"/>
        <v>#N/A</v>
      </c>
      <c r="Y165" s="678"/>
      <c r="Z165" s="182"/>
      <c r="AA165" s="182"/>
      <c r="AB165" s="182"/>
      <c r="AC165" s="475" t="e">
        <f t="shared" si="109"/>
        <v>#N/A</v>
      </c>
      <c r="AD165" s="678"/>
      <c r="AE165" s="182"/>
      <c r="AF165" s="182"/>
      <c r="AG165" s="182"/>
      <c r="AH165" s="475" t="e">
        <f t="shared" si="110"/>
        <v>#N/A</v>
      </c>
      <c r="AI165" s="678"/>
      <c r="AJ165" s="182"/>
      <c r="AK165" s="182"/>
      <c r="AL165" s="182"/>
      <c r="AM165" s="475" t="e">
        <f t="shared" si="111"/>
        <v>#N/A</v>
      </c>
      <c r="AN165" s="678"/>
      <c r="AO165" s="182"/>
      <c r="AP165" s="182"/>
      <c r="AQ165" s="182"/>
      <c r="AR165" s="475" t="e">
        <f t="shared" si="112"/>
        <v>#N/A</v>
      </c>
      <c r="AS165" s="678"/>
      <c r="AT165" s="182"/>
      <c r="AU165" s="182"/>
      <c r="AV165" s="182"/>
      <c r="AW165" s="475" t="e">
        <f t="shared" si="113"/>
        <v>#N/A</v>
      </c>
      <c r="AX165" s="678"/>
    </row>
    <row r="166" spans="2:50">
      <c r="B166" s="676"/>
      <c r="C166" s="301">
        <v>20</v>
      </c>
      <c r="D166" s="566"/>
      <c r="E166" s="566"/>
      <c r="F166" s="566"/>
      <c r="G166" s="182"/>
      <c r="H166" s="678"/>
      <c r="I166" s="199" t="e">
        <f t="shared" si="104"/>
        <v>#DIV/0!</v>
      </c>
      <c r="J166" s="199" t="e">
        <f t="shared" si="105"/>
        <v>#DIV/0!</v>
      </c>
      <c r="K166" s="200" t="e">
        <f t="shared" si="106"/>
        <v>#DIV/0!</v>
      </c>
      <c r="L166" s="650"/>
      <c r="M166" s="199" t="e">
        <f>RANK(K166, K$147:$K$176)</f>
        <v>#DIV/0!</v>
      </c>
      <c r="N166" s="668"/>
      <c r="O166" s="668"/>
      <c r="P166" s="182"/>
      <c r="Q166" s="182"/>
      <c r="R166" s="182"/>
      <c r="S166" s="301" t="e">
        <f t="shared" si="107"/>
        <v>#N/A</v>
      </c>
      <c r="T166" s="678"/>
      <c r="U166" s="182"/>
      <c r="V166" s="182"/>
      <c r="W166" s="182"/>
      <c r="X166" s="475" t="e">
        <f t="shared" si="108"/>
        <v>#N/A</v>
      </c>
      <c r="Y166" s="678"/>
      <c r="Z166" s="182"/>
      <c r="AA166" s="182"/>
      <c r="AB166" s="182"/>
      <c r="AC166" s="475" t="e">
        <f t="shared" si="109"/>
        <v>#N/A</v>
      </c>
      <c r="AD166" s="678"/>
      <c r="AE166" s="182"/>
      <c r="AF166" s="182"/>
      <c r="AG166" s="182"/>
      <c r="AH166" s="475" t="e">
        <f t="shared" si="110"/>
        <v>#N/A</v>
      </c>
      <c r="AI166" s="678"/>
      <c r="AJ166" s="182"/>
      <c r="AK166" s="182"/>
      <c r="AL166" s="182"/>
      <c r="AM166" s="475" t="e">
        <f t="shared" si="111"/>
        <v>#N/A</v>
      </c>
      <c r="AN166" s="678"/>
      <c r="AO166" s="182"/>
      <c r="AP166" s="182"/>
      <c r="AQ166" s="182"/>
      <c r="AR166" s="475" t="e">
        <f t="shared" si="112"/>
        <v>#N/A</v>
      </c>
      <c r="AS166" s="678"/>
      <c r="AT166" s="182"/>
      <c r="AU166" s="182"/>
      <c r="AV166" s="182"/>
      <c r="AW166" s="475" t="e">
        <f t="shared" si="113"/>
        <v>#N/A</v>
      </c>
      <c r="AX166" s="678"/>
    </row>
    <row r="167" spans="2:50">
      <c r="B167" s="676"/>
      <c r="C167" s="301">
        <v>21</v>
      </c>
      <c r="D167" s="567"/>
      <c r="E167" s="566"/>
      <c r="F167" s="566"/>
      <c r="G167" s="182"/>
      <c r="H167" s="678"/>
      <c r="I167" s="547" t="e">
        <f t="shared" ref="I167" si="114">AVERAGE(P167,U167,Z167,AE167,AJ167,AO167,AT167)</f>
        <v>#DIV/0!</v>
      </c>
      <c r="J167" s="547" t="e">
        <f t="shared" ref="J167" si="115">AVERAGE(Q167,V167,AA167,AF167,AK167,AP167,AU167)</f>
        <v>#DIV/0!</v>
      </c>
      <c r="K167" s="200" t="e">
        <f t="shared" ref="K167" si="116">AVERAGE(R167,W167,AB167,AG167,AL167,AQ167,AV167)</f>
        <v>#DIV/0!</v>
      </c>
      <c r="L167" s="650"/>
      <c r="M167" s="199" t="e">
        <f>RANK(K167, K$147:$K$176)</f>
        <v>#DIV/0!</v>
      </c>
      <c r="N167" s="668"/>
      <c r="O167" s="668"/>
      <c r="P167" s="569"/>
      <c r="Q167" s="182"/>
      <c r="R167" s="570"/>
      <c r="S167" s="301" t="e">
        <f t="shared" si="107"/>
        <v>#N/A</v>
      </c>
      <c r="T167" s="678"/>
      <c r="U167" s="569"/>
      <c r="V167" s="182"/>
      <c r="W167" s="570"/>
      <c r="X167" s="475" t="e">
        <f t="shared" si="108"/>
        <v>#N/A</v>
      </c>
      <c r="Y167" s="678"/>
      <c r="Z167" s="569"/>
      <c r="AA167" s="182"/>
      <c r="AB167" s="570"/>
      <c r="AC167" s="475" t="e">
        <f t="shared" si="109"/>
        <v>#N/A</v>
      </c>
      <c r="AD167" s="678"/>
      <c r="AE167" s="569"/>
      <c r="AF167" s="182"/>
      <c r="AG167" s="570"/>
      <c r="AH167" s="475" t="e">
        <f t="shared" si="110"/>
        <v>#N/A</v>
      </c>
      <c r="AI167" s="678"/>
      <c r="AJ167" s="569"/>
      <c r="AK167" s="182"/>
      <c r="AL167" s="570"/>
      <c r="AM167" s="475" t="e">
        <f t="shared" si="111"/>
        <v>#N/A</v>
      </c>
      <c r="AN167" s="678"/>
      <c r="AO167" s="569"/>
      <c r="AP167" s="182"/>
      <c r="AQ167" s="570"/>
      <c r="AR167" s="475" t="e">
        <f t="shared" si="112"/>
        <v>#N/A</v>
      </c>
      <c r="AS167" s="678"/>
      <c r="AT167" s="569"/>
      <c r="AU167" s="182"/>
      <c r="AV167" s="570"/>
      <c r="AW167" s="475" t="e">
        <f t="shared" si="113"/>
        <v>#N/A</v>
      </c>
      <c r="AX167" s="678"/>
    </row>
    <row r="168" spans="2:50">
      <c r="B168" s="676"/>
      <c r="C168" s="301">
        <v>22</v>
      </c>
      <c r="D168" s="301"/>
      <c r="E168" s="301"/>
      <c r="F168" s="301"/>
      <c r="G168" s="301"/>
      <c r="H168" s="678"/>
      <c r="I168" s="547"/>
      <c r="J168" s="547"/>
      <c r="K168" s="200"/>
      <c r="L168" s="650"/>
      <c r="M168" s="199" t="e">
        <f>RANK(K168, K$147:$K$176)</f>
        <v>#DIV/0!</v>
      </c>
      <c r="N168" s="668"/>
      <c r="O168" s="668"/>
      <c r="P168" s="569"/>
      <c r="Q168" s="182"/>
      <c r="R168" s="570"/>
      <c r="S168" s="301" t="e">
        <f t="shared" si="107"/>
        <v>#N/A</v>
      </c>
      <c r="T168" s="678"/>
      <c r="U168" s="569"/>
      <c r="V168" s="182"/>
      <c r="W168" s="570"/>
      <c r="X168" s="475" t="e">
        <f t="shared" si="108"/>
        <v>#N/A</v>
      </c>
      <c r="Y168" s="678"/>
      <c r="Z168" s="569"/>
      <c r="AA168" s="182"/>
      <c r="AB168" s="570"/>
      <c r="AC168" s="475" t="e">
        <f t="shared" si="109"/>
        <v>#N/A</v>
      </c>
      <c r="AD168" s="678"/>
      <c r="AE168" s="569"/>
      <c r="AF168" s="182"/>
      <c r="AG168" s="570"/>
      <c r="AH168" s="475" t="e">
        <f t="shared" si="110"/>
        <v>#N/A</v>
      </c>
      <c r="AI168" s="678"/>
      <c r="AJ168" s="569"/>
      <c r="AK168" s="182"/>
      <c r="AL168" s="570"/>
      <c r="AM168" s="475" t="e">
        <f t="shared" si="111"/>
        <v>#N/A</v>
      </c>
      <c r="AN168" s="678"/>
      <c r="AO168" s="569"/>
      <c r="AP168" s="182"/>
      <c r="AQ168" s="570"/>
      <c r="AR168" s="475" t="e">
        <f t="shared" si="112"/>
        <v>#N/A</v>
      </c>
      <c r="AS168" s="678"/>
      <c r="AT168" s="569"/>
      <c r="AU168" s="182"/>
      <c r="AV168" s="570"/>
      <c r="AW168" s="475" t="e">
        <f t="shared" si="113"/>
        <v>#N/A</v>
      </c>
      <c r="AX168" s="678"/>
    </row>
    <row r="169" spans="2:50">
      <c r="B169" s="676"/>
      <c r="C169" s="301">
        <v>23</v>
      </c>
      <c r="D169" s="301"/>
      <c r="E169" s="301"/>
      <c r="F169" s="301"/>
      <c r="G169" s="301"/>
      <c r="H169" s="678"/>
      <c r="I169" s="199"/>
      <c r="J169" s="199"/>
      <c r="K169" s="200"/>
      <c r="L169" s="650"/>
      <c r="M169" s="199" t="e">
        <f>RANK(K169, K$147:$K$176)</f>
        <v>#DIV/0!</v>
      </c>
      <c r="N169" s="668"/>
      <c r="O169" s="668"/>
      <c r="P169" s="569"/>
      <c r="Q169" s="182"/>
      <c r="R169" s="570"/>
      <c r="S169" s="301" t="e">
        <f t="shared" si="107"/>
        <v>#N/A</v>
      </c>
      <c r="T169" s="678"/>
      <c r="U169" s="569"/>
      <c r="V169" s="182"/>
      <c r="W169" s="570"/>
      <c r="X169" s="475" t="e">
        <f t="shared" si="108"/>
        <v>#N/A</v>
      </c>
      <c r="Y169" s="678"/>
      <c r="Z169" s="569"/>
      <c r="AA169" s="182"/>
      <c r="AB169" s="570"/>
      <c r="AC169" s="475" t="e">
        <f t="shared" si="109"/>
        <v>#N/A</v>
      </c>
      <c r="AD169" s="678"/>
      <c r="AE169" s="569"/>
      <c r="AF169" s="182"/>
      <c r="AG169" s="570"/>
      <c r="AH169" s="475" t="e">
        <f t="shared" si="110"/>
        <v>#N/A</v>
      </c>
      <c r="AI169" s="678"/>
      <c r="AJ169" s="569"/>
      <c r="AK169" s="182"/>
      <c r="AL169" s="570"/>
      <c r="AM169" s="475" t="e">
        <f t="shared" si="111"/>
        <v>#N/A</v>
      </c>
      <c r="AN169" s="678"/>
      <c r="AO169" s="569"/>
      <c r="AP169" s="182"/>
      <c r="AQ169" s="570"/>
      <c r="AR169" s="475" t="e">
        <f t="shared" si="112"/>
        <v>#N/A</v>
      </c>
      <c r="AS169" s="678"/>
      <c r="AT169" s="569"/>
      <c r="AU169" s="182"/>
      <c r="AV169" s="570"/>
      <c r="AW169" s="475" t="e">
        <f t="shared" si="113"/>
        <v>#N/A</v>
      </c>
      <c r="AX169" s="678"/>
    </row>
    <row r="170" spans="2:50">
      <c r="B170" s="676"/>
      <c r="C170" s="301">
        <v>24</v>
      </c>
      <c r="D170" s="301"/>
      <c r="E170" s="301"/>
      <c r="F170" s="301"/>
      <c r="G170" s="301"/>
      <c r="H170" s="678"/>
      <c r="I170" s="445"/>
      <c r="J170" s="445"/>
      <c r="K170" s="200"/>
      <c r="L170" s="650"/>
      <c r="M170" s="199" t="e">
        <f>RANK(K170, K$147:$K$176)</f>
        <v>#DIV/0!</v>
      </c>
      <c r="N170" s="668"/>
      <c r="O170" s="668"/>
      <c r="P170" s="569"/>
      <c r="Q170" s="182"/>
      <c r="R170" s="570"/>
      <c r="S170" s="301" t="e">
        <f t="shared" si="107"/>
        <v>#N/A</v>
      </c>
      <c r="T170" s="678"/>
      <c r="U170" s="569"/>
      <c r="V170" s="182"/>
      <c r="W170" s="570"/>
      <c r="X170" s="475" t="e">
        <f t="shared" si="108"/>
        <v>#N/A</v>
      </c>
      <c r="Y170" s="678"/>
      <c r="Z170" s="569"/>
      <c r="AA170" s="182"/>
      <c r="AB170" s="570"/>
      <c r="AC170" s="475" t="e">
        <f t="shared" si="109"/>
        <v>#N/A</v>
      </c>
      <c r="AD170" s="678"/>
      <c r="AE170" s="569"/>
      <c r="AF170" s="182"/>
      <c r="AG170" s="570"/>
      <c r="AH170" s="475" t="e">
        <f t="shared" si="110"/>
        <v>#N/A</v>
      </c>
      <c r="AI170" s="678"/>
      <c r="AJ170" s="569"/>
      <c r="AK170" s="182"/>
      <c r="AL170" s="570"/>
      <c r="AM170" s="475" t="e">
        <f t="shared" si="111"/>
        <v>#N/A</v>
      </c>
      <c r="AN170" s="678"/>
      <c r="AO170" s="569"/>
      <c r="AP170" s="182"/>
      <c r="AQ170" s="570"/>
      <c r="AR170" s="475" t="e">
        <f t="shared" si="112"/>
        <v>#N/A</v>
      </c>
      <c r="AS170" s="678"/>
      <c r="AT170" s="569"/>
      <c r="AU170" s="182"/>
      <c r="AV170" s="570"/>
      <c r="AW170" s="475" t="e">
        <f t="shared" si="113"/>
        <v>#N/A</v>
      </c>
      <c r="AX170" s="678"/>
    </row>
    <row r="171" spans="2:50">
      <c r="B171" s="676"/>
      <c r="C171" s="301">
        <v>25</v>
      </c>
      <c r="D171" s="301"/>
      <c r="E171" s="301"/>
      <c r="F171" s="301"/>
      <c r="G171" s="301"/>
      <c r="H171" s="678"/>
      <c r="I171" s="202"/>
      <c r="J171" s="202"/>
      <c r="K171" s="202"/>
      <c r="L171" s="650"/>
      <c r="M171" s="199" t="e">
        <f>RANK(K171, K$147:$K$176)</f>
        <v>#DIV/0!</v>
      </c>
      <c r="N171" s="668"/>
      <c r="O171" s="668"/>
      <c r="P171" s="569"/>
      <c r="Q171" s="182"/>
      <c r="R171" s="570"/>
      <c r="S171" s="301" t="e">
        <f t="shared" si="107"/>
        <v>#N/A</v>
      </c>
      <c r="T171" s="678"/>
      <c r="U171" s="569"/>
      <c r="V171" s="182"/>
      <c r="W171" s="570"/>
      <c r="X171" s="475" t="e">
        <f t="shared" si="108"/>
        <v>#N/A</v>
      </c>
      <c r="Y171" s="678"/>
      <c r="Z171" s="569"/>
      <c r="AA171" s="182"/>
      <c r="AB171" s="570"/>
      <c r="AC171" s="475" t="e">
        <f t="shared" si="109"/>
        <v>#N/A</v>
      </c>
      <c r="AD171" s="678"/>
      <c r="AE171" s="569"/>
      <c r="AF171" s="182"/>
      <c r="AG171" s="570"/>
      <c r="AH171" s="475" t="e">
        <f t="shared" si="110"/>
        <v>#N/A</v>
      </c>
      <c r="AI171" s="678"/>
      <c r="AJ171" s="569"/>
      <c r="AK171" s="182"/>
      <c r="AL171" s="570"/>
      <c r="AM171" s="475" t="e">
        <f t="shared" si="111"/>
        <v>#N/A</v>
      </c>
      <c r="AN171" s="678"/>
      <c r="AO171" s="569"/>
      <c r="AP171" s="182"/>
      <c r="AQ171" s="570"/>
      <c r="AR171" s="475" t="e">
        <f t="shared" si="112"/>
        <v>#N/A</v>
      </c>
      <c r="AS171" s="678"/>
      <c r="AT171" s="569"/>
      <c r="AU171" s="182"/>
      <c r="AV171" s="570"/>
      <c r="AW171" s="475" t="e">
        <f t="shared" si="113"/>
        <v>#N/A</v>
      </c>
      <c r="AX171" s="678"/>
    </row>
    <row r="172" spans="2:50">
      <c r="B172" s="676"/>
      <c r="C172" s="301">
        <v>26</v>
      </c>
      <c r="D172" s="301"/>
      <c r="E172" s="301"/>
      <c r="F172" s="301"/>
      <c r="G172" s="301"/>
      <c r="H172" s="678"/>
      <c r="I172" s="202"/>
      <c r="J172" s="202"/>
      <c r="K172" s="202"/>
      <c r="L172" s="650"/>
      <c r="M172" s="199" t="e">
        <f>RANK(K172, K$147:$K$176)</f>
        <v>#DIV/0!</v>
      </c>
      <c r="N172" s="668"/>
      <c r="O172" s="668"/>
      <c r="P172" s="569"/>
      <c r="Q172" s="182"/>
      <c r="R172" s="570"/>
      <c r="S172" s="301" t="e">
        <f t="shared" si="107"/>
        <v>#N/A</v>
      </c>
      <c r="T172" s="678"/>
      <c r="U172" s="569"/>
      <c r="V172" s="182"/>
      <c r="W172" s="570"/>
      <c r="X172" s="475" t="e">
        <f t="shared" si="108"/>
        <v>#N/A</v>
      </c>
      <c r="Y172" s="678"/>
      <c r="Z172" s="569"/>
      <c r="AA172" s="182"/>
      <c r="AB172" s="570"/>
      <c r="AC172" s="475" t="e">
        <f t="shared" si="109"/>
        <v>#N/A</v>
      </c>
      <c r="AD172" s="678"/>
      <c r="AE172" s="569"/>
      <c r="AF172" s="182"/>
      <c r="AG172" s="570"/>
      <c r="AH172" s="475" t="e">
        <f t="shared" si="110"/>
        <v>#N/A</v>
      </c>
      <c r="AI172" s="678"/>
      <c r="AJ172" s="569"/>
      <c r="AK172" s="182"/>
      <c r="AL172" s="570"/>
      <c r="AM172" s="475" t="e">
        <f t="shared" si="111"/>
        <v>#N/A</v>
      </c>
      <c r="AN172" s="678"/>
      <c r="AO172" s="569"/>
      <c r="AP172" s="182"/>
      <c r="AQ172" s="570"/>
      <c r="AR172" s="475" t="e">
        <f t="shared" si="112"/>
        <v>#N/A</v>
      </c>
      <c r="AS172" s="678"/>
      <c r="AT172" s="569"/>
      <c r="AU172" s="182"/>
      <c r="AV172" s="570"/>
      <c r="AW172" s="475" t="e">
        <f t="shared" si="113"/>
        <v>#N/A</v>
      </c>
      <c r="AX172" s="678"/>
    </row>
    <row r="173" spans="2:50">
      <c r="B173" s="676"/>
      <c r="C173" s="301">
        <v>27</v>
      </c>
      <c r="D173" s="301"/>
      <c r="E173" s="301"/>
      <c r="F173" s="301"/>
      <c r="G173" s="301"/>
      <c r="H173" s="678"/>
      <c r="I173" s="202"/>
      <c r="J173" s="202"/>
      <c r="K173" s="202"/>
      <c r="L173" s="650"/>
      <c r="M173" s="199" t="e">
        <f>RANK(K173, K$147:$K$176)</f>
        <v>#DIV/0!</v>
      </c>
      <c r="N173" s="668"/>
      <c r="O173" s="668"/>
      <c r="P173" s="569"/>
      <c r="Q173" s="182"/>
      <c r="R173" s="570"/>
      <c r="S173" s="301" t="e">
        <f t="shared" si="107"/>
        <v>#N/A</v>
      </c>
      <c r="T173" s="678"/>
      <c r="U173" s="569"/>
      <c r="V173" s="182"/>
      <c r="W173" s="570"/>
      <c r="X173" s="475" t="e">
        <f t="shared" si="108"/>
        <v>#N/A</v>
      </c>
      <c r="Y173" s="678"/>
      <c r="Z173" s="569"/>
      <c r="AA173" s="182"/>
      <c r="AB173" s="570"/>
      <c r="AC173" s="475" t="e">
        <f t="shared" si="109"/>
        <v>#N/A</v>
      </c>
      <c r="AD173" s="678"/>
      <c r="AE173" s="569"/>
      <c r="AF173" s="182"/>
      <c r="AG173" s="570"/>
      <c r="AH173" s="475" t="e">
        <f t="shared" si="110"/>
        <v>#N/A</v>
      </c>
      <c r="AI173" s="678"/>
      <c r="AJ173" s="569"/>
      <c r="AK173" s="182"/>
      <c r="AL173" s="570"/>
      <c r="AM173" s="475" t="e">
        <f t="shared" si="111"/>
        <v>#N/A</v>
      </c>
      <c r="AN173" s="678"/>
      <c r="AO173" s="569"/>
      <c r="AP173" s="182"/>
      <c r="AQ173" s="570"/>
      <c r="AR173" s="475" t="e">
        <f t="shared" si="112"/>
        <v>#N/A</v>
      </c>
      <c r="AS173" s="678"/>
      <c r="AT173" s="569"/>
      <c r="AU173" s="182"/>
      <c r="AV173" s="570"/>
      <c r="AW173" s="475" t="e">
        <f t="shared" si="113"/>
        <v>#N/A</v>
      </c>
      <c r="AX173" s="678"/>
    </row>
    <row r="174" spans="2:50">
      <c r="B174" s="676"/>
      <c r="C174" s="301">
        <v>28</v>
      </c>
      <c r="D174" s="301"/>
      <c r="E174" s="301"/>
      <c r="F174" s="301"/>
      <c r="G174" s="301"/>
      <c r="H174" s="678"/>
      <c r="I174" s="202"/>
      <c r="J174" s="202"/>
      <c r="K174" s="202"/>
      <c r="L174" s="650"/>
      <c r="M174" s="199" t="e">
        <f>RANK(K174, K$147:$K$176)</f>
        <v>#DIV/0!</v>
      </c>
      <c r="N174" s="668"/>
      <c r="O174" s="668"/>
      <c r="P174" s="569"/>
      <c r="Q174" s="182"/>
      <c r="R174" s="570"/>
      <c r="S174" s="301" t="e">
        <f t="shared" si="107"/>
        <v>#N/A</v>
      </c>
      <c r="T174" s="678"/>
      <c r="U174" s="569"/>
      <c r="V174" s="182"/>
      <c r="W174" s="570"/>
      <c r="X174" s="475" t="e">
        <f t="shared" si="108"/>
        <v>#N/A</v>
      </c>
      <c r="Y174" s="678"/>
      <c r="Z174" s="569"/>
      <c r="AA174" s="182"/>
      <c r="AB174" s="570"/>
      <c r="AC174" s="475" t="e">
        <f t="shared" si="109"/>
        <v>#N/A</v>
      </c>
      <c r="AD174" s="678"/>
      <c r="AE174" s="569"/>
      <c r="AF174" s="182"/>
      <c r="AG174" s="570"/>
      <c r="AH174" s="475" t="e">
        <f t="shared" si="110"/>
        <v>#N/A</v>
      </c>
      <c r="AI174" s="678"/>
      <c r="AJ174" s="569"/>
      <c r="AK174" s="182"/>
      <c r="AL174" s="570"/>
      <c r="AM174" s="475" t="e">
        <f t="shared" si="111"/>
        <v>#N/A</v>
      </c>
      <c r="AN174" s="678"/>
      <c r="AO174" s="569"/>
      <c r="AP174" s="182"/>
      <c r="AQ174" s="570"/>
      <c r="AR174" s="475" t="e">
        <f t="shared" si="112"/>
        <v>#N/A</v>
      </c>
      <c r="AS174" s="678"/>
      <c r="AT174" s="569"/>
      <c r="AU174" s="182"/>
      <c r="AV174" s="570"/>
      <c r="AW174" s="475" t="e">
        <f t="shared" si="113"/>
        <v>#N/A</v>
      </c>
      <c r="AX174" s="678"/>
    </row>
    <row r="175" spans="2:50">
      <c r="B175" s="676"/>
      <c r="C175" s="301">
        <v>29</v>
      </c>
      <c r="D175" s="301"/>
      <c r="E175" s="301"/>
      <c r="F175" s="301"/>
      <c r="G175" s="301"/>
      <c r="H175" s="678"/>
      <c r="I175" s="202"/>
      <c r="J175" s="202"/>
      <c r="K175" s="202"/>
      <c r="L175" s="650"/>
      <c r="M175" s="199" t="e">
        <f>RANK(K175, K$147:$K$176)</f>
        <v>#DIV/0!</v>
      </c>
      <c r="N175" s="668"/>
      <c r="O175" s="668"/>
      <c r="P175" s="569"/>
      <c r="Q175" s="182"/>
      <c r="R175" s="570"/>
      <c r="S175" s="301" t="e">
        <f t="shared" si="107"/>
        <v>#N/A</v>
      </c>
      <c r="T175" s="678"/>
      <c r="U175" s="569"/>
      <c r="V175" s="182"/>
      <c r="W175" s="570"/>
      <c r="X175" s="475" t="e">
        <f t="shared" si="108"/>
        <v>#N/A</v>
      </c>
      <c r="Y175" s="678"/>
      <c r="Z175" s="569"/>
      <c r="AA175" s="182"/>
      <c r="AB175" s="570"/>
      <c r="AC175" s="475" t="e">
        <f t="shared" si="109"/>
        <v>#N/A</v>
      </c>
      <c r="AD175" s="678"/>
      <c r="AE175" s="569"/>
      <c r="AF175" s="182"/>
      <c r="AG175" s="570"/>
      <c r="AH175" s="475" t="e">
        <f t="shared" si="110"/>
        <v>#N/A</v>
      </c>
      <c r="AI175" s="678"/>
      <c r="AJ175" s="569"/>
      <c r="AK175" s="182"/>
      <c r="AL175" s="570"/>
      <c r="AM175" s="475" t="e">
        <f t="shared" si="111"/>
        <v>#N/A</v>
      </c>
      <c r="AN175" s="678"/>
      <c r="AO175" s="569"/>
      <c r="AP175" s="182"/>
      <c r="AQ175" s="570"/>
      <c r="AR175" s="475" t="e">
        <f t="shared" si="112"/>
        <v>#N/A</v>
      </c>
      <c r="AS175" s="678"/>
      <c r="AT175" s="569"/>
      <c r="AU175" s="182"/>
      <c r="AV175" s="570"/>
      <c r="AW175" s="475" t="e">
        <f t="shared" si="113"/>
        <v>#N/A</v>
      </c>
      <c r="AX175" s="678"/>
    </row>
    <row r="176" spans="2:50">
      <c r="B176" s="676"/>
      <c r="C176" s="301">
        <v>30</v>
      </c>
      <c r="D176" s="301"/>
      <c r="E176" s="301"/>
      <c r="F176" s="301"/>
      <c r="G176" s="301"/>
      <c r="H176" s="679"/>
      <c r="I176" s="202"/>
      <c r="J176" s="202"/>
      <c r="K176" s="202"/>
      <c r="L176" s="651"/>
      <c r="M176" s="199" t="e">
        <f>RANK(K176, K$147:$K$176)</f>
        <v>#DIV/0!</v>
      </c>
      <c r="N176" s="668"/>
      <c r="O176" s="668"/>
      <c r="P176" s="569"/>
      <c r="Q176" s="182"/>
      <c r="R176" s="570"/>
      <c r="S176" s="301" t="e">
        <f t="shared" si="103"/>
        <v>#N/A</v>
      </c>
      <c r="T176" s="679"/>
      <c r="U176" s="569"/>
      <c r="V176" s="182"/>
      <c r="W176" s="570"/>
      <c r="X176" s="475" t="e">
        <f t="shared" si="108"/>
        <v>#N/A</v>
      </c>
      <c r="Y176" s="679"/>
      <c r="Z176" s="569"/>
      <c r="AA176" s="182"/>
      <c r="AB176" s="570"/>
      <c r="AC176" s="475" t="e">
        <f t="shared" si="109"/>
        <v>#N/A</v>
      </c>
      <c r="AD176" s="679"/>
      <c r="AE176" s="569"/>
      <c r="AF176" s="182"/>
      <c r="AG176" s="570"/>
      <c r="AH176" s="475" t="e">
        <f t="shared" si="110"/>
        <v>#N/A</v>
      </c>
      <c r="AI176" s="679"/>
      <c r="AJ176" s="569"/>
      <c r="AK176" s="182"/>
      <c r="AL176" s="570"/>
      <c r="AM176" s="475" t="e">
        <f t="shared" si="111"/>
        <v>#N/A</v>
      </c>
      <c r="AN176" s="679"/>
      <c r="AO176" s="569"/>
      <c r="AP176" s="182"/>
      <c r="AQ176" s="570"/>
      <c r="AR176" s="475" t="e">
        <f t="shared" si="112"/>
        <v>#N/A</v>
      </c>
      <c r="AS176" s="679"/>
      <c r="AT176" s="569"/>
      <c r="AU176" s="182"/>
      <c r="AV176" s="570"/>
      <c r="AW176" s="475" t="e">
        <f t="shared" si="113"/>
        <v>#N/A</v>
      </c>
      <c r="AX176" s="679"/>
    </row>
    <row r="177" spans="2:50" ht="15.75">
      <c r="B177" s="680" t="s">
        <v>163</v>
      </c>
      <c r="C177" s="681"/>
      <c r="D177" s="681"/>
      <c r="E177" s="681"/>
      <c r="F177" s="681"/>
      <c r="G177" s="681"/>
      <c r="H177" s="682"/>
      <c r="I177" s="208"/>
      <c r="J177" s="208"/>
      <c r="K177" s="208"/>
      <c r="L177" s="208"/>
      <c r="M177" s="207"/>
      <c r="N177" s="669" t="s">
        <v>156</v>
      </c>
      <c r="O177" s="669" t="s">
        <v>105</v>
      </c>
      <c r="P177" s="675">
        <f>P142+7</f>
        <v>46119</v>
      </c>
      <c r="Q177" s="676"/>
      <c r="R177" s="676"/>
      <c r="S177" s="676"/>
      <c r="T177" s="676"/>
      <c r="U177" s="672">
        <f>P177+1</f>
        <v>46120</v>
      </c>
      <c r="V177" s="673"/>
      <c r="W177" s="673"/>
      <c r="X177" s="673"/>
      <c r="Y177" s="674"/>
      <c r="Z177" s="672">
        <f>U177+1</f>
        <v>46121</v>
      </c>
      <c r="AA177" s="673"/>
      <c r="AB177" s="673"/>
      <c r="AC177" s="673"/>
      <c r="AD177" s="674"/>
      <c r="AE177" s="672">
        <f>Z177+1</f>
        <v>46122</v>
      </c>
      <c r="AF177" s="673"/>
      <c r="AG177" s="673"/>
      <c r="AH177" s="673"/>
      <c r="AI177" s="674"/>
      <c r="AJ177" s="672">
        <f>AE177+1</f>
        <v>46123</v>
      </c>
      <c r="AK177" s="673"/>
      <c r="AL177" s="673"/>
      <c r="AM177" s="673"/>
      <c r="AN177" s="674"/>
      <c r="AO177" s="672">
        <f>AJ177+1</f>
        <v>46124</v>
      </c>
      <c r="AP177" s="673"/>
      <c r="AQ177" s="673"/>
      <c r="AR177" s="673"/>
      <c r="AS177" s="674"/>
      <c r="AT177" s="672">
        <f>AO177+1</f>
        <v>46125</v>
      </c>
      <c r="AU177" s="673"/>
      <c r="AV177" s="673"/>
      <c r="AW177" s="673"/>
      <c r="AX177" s="674"/>
    </row>
    <row r="178" spans="2:50" ht="15.75">
      <c r="B178" s="683"/>
      <c r="C178" s="683"/>
      <c r="D178" s="683"/>
      <c r="E178" s="683"/>
      <c r="F178" s="683"/>
      <c r="G178" s="683"/>
      <c r="H178" s="683"/>
      <c r="I178" s="205"/>
      <c r="J178" s="205"/>
      <c r="K178" s="205"/>
      <c r="L178" s="205"/>
      <c r="M178" s="206"/>
      <c r="N178" s="671"/>
      <c r="O178" s="671"/>
      <c r="P178" s="675" t="s">
        <v>158</v>
      </c>
      <c r="Q178" s="676"/>
      <c r="R178" s="676"/>
      <c r="S178" s="676"/>
      <c r="T178" s="676"/>
      <c r="U178" s="675" t="s">
        <v>114</v>
      </c>
      <c r="V178" s="676"/>
      <c r="W178" s="676"/>
      <c r="X178" s="676"/>
      <c r="Y178" s="676"/>
      <c r="Z178" s="675" t="s">
        <v>159</v>
      </c>
      <c r="AA178" s="676"/>
      <c r="AB178" s="676"/>
      <c r="AC178" s="676"/>
      <c r="AD178" s="676"/>
      <c r="AE178" s="675" t="s">
        <v>157</v>
      </c>
      <c r="AF178" s="676"/>
      <c r="AG178" s="676"/>
      <c r="AH178" s="676"/>
      <c r="AI178" s="676"/>
      <c r="AJ178" s="675" t="s">
        <v>160</v>
      </c>
      <c r="AK178" s="676"/>
      <c r="AL178" s="676"/>
      <c r="AM178" s="676"/>
      <c r="AN178" s="676"/>
      <c r="AO178" s="675" t="s">
        <v>115</v>
      </c>
      <c r="AP178" s="676"/>
      <c r="AQ178" s="676"/>
      <c r="AR178" s="676"/>
      <c r="AS178" s="676"/>
      <c r="AT178" s="675" t="s">
        <v>162</v>
      </c>
      <c r="AU178" s="676"/>
      <c r="AV178" s="676"/>
      <c r="AW178" s="676"/>
      <c r="AX178" s="676"/>
    </row>
    <row r="179" spans="2:50">
      <c r="B179" s="668" t="s">
        <v>154</v>
      </c>
      <c r="C179" s="668" t="s">
        <v>429</v>
      </c>
      <c r="D179" s="668"/>
      <c r="E179" s="668" t="s">
        <v>420</v>
      </c>
      <c r="F179" s="668"/>
      <c r="G179" s="668"/>
      <c r="H179" s="684" t="s">
        <v>416</v>
      </c>
      <c r="I179" s="668" t="s">
        <v>421</v>
      </c>
      <c r="J179" s="668"/>
      <c r="K179" s="668"/>
      <c r="L179" s="684" t="s">
        <v>416</v>
      </c>
      <c r="M179" s="669" t="s">
        <v>417</v>
      </c>
      <c r="N179" s="668"/>
      <c r="O179" s="668" t="s">
        <v>422</v>
      </c>
      <c r="P179" s="665" t="s">
        <v>418</v>
      </c>
      <c r="Q179" s="666"/>
      <c r="R179" s="666"/>
      <c r="S179" s="667"/>
      <c r="T179" s="668" t="s">
        <v>416</v>
      </c>
      <c r="U179" s="665" t="s">
        <v>418</v>
      </c>
      <c r="V179" s="666"/>
      <c r="W179" s="666"/>
      <c r="X179" s="667"/>
      <c r="Y179" s="668" t="s">
        <v>416</v>
      </c>
      <c r="Z179" s="665" t="s">
        <v>418</v>
      </c>
      <c r="AA179" s="666"/>
      <c r="AB179" s="666"/>
      <c r="AC179" s="667"/>
      <c r="AD179" s="668" t="s">
        <v>416</v>
      </c>
      <c r="AE179" s="665" t="s">
        <v>418</v>
      </c>
      <c r="AF179" s="666"/>
      <c r="AG179" s="666"/>
      <c r="AH179" s="667"/>
      <c r="AI179" s="668" t="s">
        <v>416</v>
      </c>
      <c r="AJ179" s="665" t="s">
        <v>418</v>
      </c>
      <c r="AK179" s="666"/>
      <c r="AL179" s="666"/>
      <c r="AM179" s="667"/>
      <c r="AN179" s="668" t="s">
        <v>416</v>
      </c>
      <c r="AO179" s="665" t="s">
        <v>418</v>
      </c>
      <c r="AP179" s="666"/>
      <c r="AQ179" s="666"/>
      <c r="AR179" s="667"/>
      <c r="AS179" s="668" t="s">
        <v>416</v>
      </c>
      <c r="AT179" s="702" t="s">
        <v>418</v>
      </c>
      <c r="AU179" s="703"/>
      <c r="AV179" s="703"/>
      <c r="AW179" s="704"/>
      <c r="AX179" s="705" t="s">
        <v>416</v>
      </c>
    </row>
    <row r="180" spans="2:50">
      <c r="B180" s="668"/>
      <c r="C180" s="668"/>
      <c r="D180" s="668"/>
      <c r="E180" s="668" t="s">
        <v>423</v>
      </c>
      <c r="F180" s="668"/>
      <c r="G180" s="668"/>
      <c r="H180" s="685"/>
      <c r="I180" s="668" t="s">
        <v>423</v>
      </c>
      <c r="J180" s="668"/>
      <c r="K180" s="668"/>
      <c r="L180" s="685"/>
      <c r="M180" s="670"/>
      <c r="N180" s="668"/>
      <c r="O180" s="668"/>
      <c r="P180" s="665" t="s">
        <v>424</v>
      </c>
      <c r="Q180" s="666"/>
      <c r="R180" s="666"/>
      <c r="S180" s="667"/>
      <c r="T180" s="668"/>
      <c r="U180" s="665" t="s">
        <v>424</v>
      </c>
      <c r="V180" s="666"/>
      <c r="W180" s="666"/>
      <c r="X180" s="667"/>
      <c r="Y180" s="668"/>
      <c r="Z180" s="665" t="s">
        <v>424</v>
      </c>
      <c r="AA180" s="666"/>
      <c r="AB180" s="666"/>
      <c r="AC180" s="667"/>
      <c r="AD180" s="668"/>
      <c r="AE180" s="665" t="s">
        <v>424</v>
      </c>
      <c r="AF180" s="666"/>
      <c r="AG180" s="666"/>
      <c r="AH180" s="667"/>
      <c r="AI180" s="668"/>
      <c r="AJ180" s="665" t="s">
        <v>424</v>
      </c>
      <c r="AK180" s="666"/>
      <c r="AL180" s="666"/>
      <c r="AM180" s="667"/>
      <c r="AN180" s="668"/>
      <c r="AO180" s="665" t="s">
        <v>424</v>
      </c>
      <c r="AP180" s="666"/>
      <c r="AQ180" s="666"/>
      <c r="AR180" s="667"/>
      <c r="AS180" s="668"/>
      <c r="AT180" s="702" t="s">
        <v>424</v>
      </c>
      <c r="AU180" s="703"/>
      <c r="AV180" s="703"/>
      <c r="AW180" s="704"/>
      <c r="AX180" s="705"/>
    </row>
    <row r="181" spans="2:50">
      <c r="B181" s="668"/>
      <c r="C181" s="668"/>
      <c r="D181" s="668"/>
      <c r="E181" s="488" t="s">
        <v>425</v>
      </c>
      <c r="F181" s="488" t="s">
        <v>426</v>
      </c>
      <c r="G181" s="488" t="s">
        <v>427</v>
      </c>
      <c r="H181" s="686"/>
      <c r="I181" s="488" t="s">
        <v>425</v>
      </c>
      <c r="J181" s="488" t="s">
        <v>426</v>
      </c>
      <c r="K181" s="488" t="s">
        <v>427</v>
      </c>
      <c r="L181" s="686"/>
      <c r="M181" s="671"/>
      <c r="N181" s="668"/>
      <c r="O181" s="668"/>
      <c r="P181" s="488" t="s">
        <v>425</v>
      </c>
      <c r="Q181" s="488" t="s">
        <v>426</v>
      </c>
      <c r="R181" s="488" t="s">
        <v>427</v>
      </c>
      <c r="S181" s="488" t="s">
        <v>417</v>
      </c>
      <c r="T181" s="668"/>
      <c r="U181" s="488" t="s">
        <v>425</v>
      </c>
      <c r="V181" s="488" t="s">
        <v>426</v>
      </c>
      <c r="W181" s="488" t="s">
        <v>427</v>
      </c>
      <c r="X181" s="488" t="s">
        <v>417</v>
      </c>
      <c r="Y181" s="668"/>
      <c r="Z181" s="488" t="s">
        <v>425</v>
      </c>
      <c r="AA181" s="488" t="s">
        <v>426</v>
      </c>
      <c r="AB181" s="488" t="s">
        <v>427</v>
      </c>
      <c r="AC181" s="488" t="s">
        <v>417</v>
      </c>
      <c r="AD181" s="668"/>
      <c r="AE181" s="488" t="s">
        <v>425</v>
      </c>
      <c r="AF181" s="488" t="s">
        <v>426</v>
      </c>
      <c r="AG181" s="488" t="s">
        <v>427</v>
      </c>
      <c r="AH181" s="488" t="s">
        <v>417</v>
      </c>
      <c r="AI181" s="668"/>
      <c r="AJ181" s="488" t="s">
        <v>425</v>
      </c>
      <c r="AK181" s="488" t="s">
        <v>426</v>
      </c>
      <c r="AL181" s="488" t="s">
        <v>427</v>
      </c>
      <c r="AM181" s="488" t="s">
        <v>417</v>
      </c>
      <c r="AN181" s="668"/>
      <c r="AO181" s="488" t="s">
        <v>425</v>
      </c>
      <c r="AP181" s="488" t="s">
        <v>426</v>
      </c>
      <c r="AQ181" s="488" t="s">
        <v>427</v>
      </c>
      <c r="AR181" s="488" t="s">
        <v>417</v>
      </c>
      <c r="AS181" s="668"/>
      <c r="AT181" s="492" t="s">
        <v>425</v>
      </c>
      <c r="AU181" s="492" t="s">
        <v>426</v>
      </c>
      <c r="AV181" s="492" t="s">
        <v>427</v>
      </c>
      <c r="AW181" s="492" t="s">
        <v>417</v>
      </c>
      <c r="AX181" s="705"/>
    </row>
    <row r="182" spans="2:50">
      <c r="B182" s="700" t="s">
        <v>671</v>
      </c>
      <c r="C182" s="493">
        <v>1</v>
      </c>
      <c r="D182" s="493"/>
      <c r="E182" s="494"/>
      <c r="F182" s="494"/>
      <c r="G182" s="494"/>
      <c r="H182" s="712" t="e">
        <f>AVERAGE(G182:G211)</f>
        <v>#DIV/0!</v>
      </c>
      <c r="I182" s="494" t="e">
        <f>AVERAGE(P182,U182,Z182,AE182,AJ182,AO182,AT182)</f>
        <v>#DIV/0!</v>
      </c>
      <c r="J182" s="494" t="e">
        <f>AVERAGE(Q182,V182,AA182,AF182,AK182,AP182,AU182)</f>
        <v>#DIV/0!</v>
      </c>
      <c r="K182" s="495" t="e">
        <f>AVERAGE(R182,W182,AB182,AG182,AL182,AQ182,AV182)</f>
        <v>#DIV/0!</v>
      </c>
      <c r="L182" s="649" t="str">
        <f>IFERROR(AVERAGE(K182:K211),"-")</f>
        <v>-</v>
      </c>
      <c r="M182" s="494" t="e">
        <f>RANK(K182, K$182:$K$211)</f>
        <v>#DIV/0!</v>
      </c>
      <c r="N182" s="668"/>
      <c r="O182" s="668"/>
      <c r="P182" s="182"/>
      <c r="Q182" s="182"/>
      <c r="R182" s="182"/>
      <c r="S182" s="493" t="e">
        <f>RANK(R182, R$112:R$141)</f>
        <v>#N/A</v>
      </c>
      <c r="T182" s="715" t="e">
        <f>AVERAGE(R182:R211)</f>
        <v>#DIV/0!</v>
      </c>
      <c r="U182" s="182"/>
      <c r="V182" s="182"/>
      <c r="W182" s="182"/>
      <c r="X182" s="493" t="e">
        <f>RANK(W182, W$112:W$141)</f>
        <v>#N/A</v>
      </c>
      <c r="Y182" s="715" t="e">
        <f>AVERAGE(W182:W211)</f>
        <v>#DIV/0!</v>
      </c>
      <c r="Z182" s="182"/>
      <c r="AA182" s="182"/>
      <c r="AB182" s="182"/>
      <c r="AC182" s="493" t="e">
        <f>RANK(AB182, AB$112:AB$141)</f>
        <v>#N/A</v>
      </c>
      <c r="AD182" s="715" t="e">
        <f>AVERAGE(AB182:AB211)</f>
        <v>#DIV/0!</v>
      </c>
      <c r="AE182" s="182"/>
      <c r="AF182" s="182"/>
      <c r="AG182" s="182"/>
      <c r="AH182" s="493" t="e">
        <f>RANK(AG182, AG$112:AG$141)</f>
        <v>#N/A</v>
      </c>
      <c r="AI182" s="715" t="e">
        <f>AVERAGE(AG182:AG211)</f>
        <v>#DIV/0!</v>
      </c>
      <c r="AJ182" s="182"/>
      <c r="AK182" s="182"/>
      <c r="AL182" s="182"/>
      <c r="AM182" s="493" t="e">
        <f>RANK(AL182, AL$112:AL$141)</f>
        <v>#N/A</v>
      </c>
      <c r="AN182" s="715" t="e">
        <f>AVERAGE(AL182:AL211)</f>
        <v>#DIV/0!</v>
      </c>
      <c r="AO182" s="182"/>
      <c r="AP182" s="182"/>
      <c r="AQ182" s="182"/>
      <c r="AR182" s="493" t="e">
        <f>RANK(AQ182, AQ$112:AQ$141)</f>
        <v>#N/A</v>
      </c>
      <c r="AS182" s="715" t="e">
        <f>AVERAGE(AQ182:AQ211)</f>
        <v>#DIV/0!</v>
      </c>
      <c r="AT182" s="182"/>
      <c r="AU182" s="182"/>
      <c r="AV182" s="182"/>
      <c r="AW182" s="496" t="e">
        <f>RANK(AV182, AV$112:AV$141)</f>
        <v>#N/A</v>
      </c>
      <c r="AX182" s="706" t="e">
        <f>AVERAGE(AV182:AV211)</f>
        <v>#DIV/0!</v>
      </c>
    </row>
    <row r="183" spans="2:50">
      <c r="B183" s="701"/>
      <c r="C183" s="493">
        <v>2</v>
      </c>
      <c r="D183" s="493"/>
      <c r="E183" s="494"/>
      <c r="F183" s="494"/>
      <c r="G183" s="494"/>
      <c r="H183" s="713"/>
      <c r="I183" s="494" t="e">
        <f t="shared" ref="I183:K198" si="117">AVERAGE(P183,U183,Z183,AE183,AJ183,AO183,AT183)</f>
        <v>#DIV/0!</v>
      </c>
      <c r="J183" s="494" t="e">
        <f t="shared" si="117"/>
        <v>#DIV/0!</v>
      </c>
      <c r="K183" s="495" t="e">
        <f t="shared" si="117"/>
        <v>#DIV/0!</v>
      </c>
      <c r="L183" s="650"/>
      <c r="M183" s="494" t="e">
        <f>RANK(K183, K$182:$K$211)</f>
        <v>#DIV/0!</v>
      </c>
      <c r="N183" s="668"/>
      <c r="O183" s="668"/>
      <c r="P183" s="182"/>
      <c r="Q183" s="182"/>
      <c r="R183" s="182"/>
      <c r="S183" s="493" t="e">
        <f t="shared" ref="S183:S211" si="118">RANK(R183, R$112:R$141)</f>
        <v>#N/A</v>
      </c>
      <c r="T183" s="715"/>
      <c r="U183" s="182"/>
      <c r="V183" s="182"/>
      <c r="W183" s="182"/>
      <c r="X183" s="493" t="e">
        <f t="shared" ref="X183:X211" si="119">RANK(W183, W$112:W$141)</f>
        <v>#N/A</v>
      </c>
      <c r="Y183" s="715"/>
      <c r="Z183" s="182"/>
      <c r="AA183" s="182"/>
      <c r="AB183" s="182"/>
      <c r="AC183" s="493" t="e">
        <f t="shared" ref="AC183:AC211" si="120">RANK(AB183, AB$112:AB$141)</f>
        <v>#N/A</v>
      </c>
      <c r="AD183" s="715"/>
      <c r="AE183" s="182"/>
      <c r="AF183" s="182"/>
      <c r="AG183" s="182"/>
      <c r="AH183" s="493" t="e">
        <f t="shared" ref="AH183:AH211" si="121">RANK(AG183, AG$112:AG$141)</f>
        <v>#N/A</v>
      </c>
      <c r="AI183" s="715"/>
      <c r="AJ183" s="182"/>
      <c r="AK183" s="182"/>
      <c r="AL183" s="182"/>
      <c r="AM183" s="493" t="e">
        <f t="shared" ref="AM183:AM211" si="122">RANK(AL183, AL$112:AL$141)</f>
        <v>#N/A</v>
      </c>
      <c r="AN183" s="715"/>
      <c r="AO183" s="182"/>
      <c r="AP183" s="182"/>
      <c r="AQ183" s="182"/>
      <c r="AR183" s="493" t="e">
        <f t="shared" ref="AR183:AR211" si="123">RANK(AQ183, AQ$112:AQ$141)</f>
        <v>#N/A</v>
      </c>
      <c r="AS183" s="715"/>
      <c r="AT183" s="182"/>
      <c r="AU183" s="182"/>
      <c r="AV183" s="182"/>
      <c r="AW183" s="496" t="e">
        <f t="shared" ref="AW183:AW211" si="124">RANK(AV183, AV$112:AV$141)</f>
        <v>#N/A</v>
      </c>
      <c r="AX183" s="706"/>
    </row>
    <row r="184" spans="2:50">
      <c r="B184" s="701"/>
      <c r="C184" s="493">
        <v>3</v>
      </c>
      <c r="D184" s="493"/>
      <c r="E184" s="494"/>
      <c r="F184" s="494"/>
      <c r="G184" s="494"/>
      <c r="H184" s="713"/>
      <c r="I184" s="494" t="e">
        <f t="shared" si="117"/>
        <v>#DIV/0!</v>
      </c>
      <c r="J184" s="494" t="e">
        <f t="shared" si="117"/>
        <v>#DIV/0!</v>
      </c>
      <c r="K184" s="495" t="e">
        <f t="shared" si="117"/>
        <v>#DIV/0!</v>
      </c>
      <c r="L184" s="650"/>
      <c r="M184" s="494" t="e">
        <f>RANK(K184, K$182:$K$211)</f>
        <v>#DIV/0!</v>
      </c>
      <c r="N184" s="668"/>
      <c r="O184" s="668"/>
      <c r="P184" s="182"/>
      <c r="Q184" s="182"/>
      <c r="R184" s="182"/>
      <c r="S184" s="493" t="e">
        <f t="shared" si="118"/>
        <v>#N/A</v>
      </c>
      <c r="T184" s="715"/>
      <c r="U184" s="182"/>
      <c r="V184" s="182"/>
      <c r="W184" s="182"/>
      <c r="X184" s="493" t="e">
        <f t="shared" si="119"/>
        <v>#N/A</v>
      </c>
      <c r="Y184" s="715"/>
      <c r="Z184" s="182"/>
      <c r="AA184" s="182"/>
      <c r="AB184" s="182"/>
      <c r="AC184" s="493" t="e">
        <f t="shared" si="120"/>
        <v>#N/A</v>
      </c>
      <c r="AD184" s="715"/>
      <c r="AE184" s="182"/>
      <c r="AF184" s="182"/>
      <c r="AG184" s="182"/>
      <c r="AH184" s="493" t="e">
        <f t="shared" si="121"/>
        <v>#N/A</v>
      </c>
      <c r="AI184" s="715"/>
      <c r="AJ184" s="182"/>
      <c r="AK184" s="182"/>
      <c r="AL184" s="182"/>
      <c r="AM184" s="493" t="e">
        <f t="shared" si="122"/>
        <v>#N/A</v>
      </c>
      <c r="AN184" s="715"/>
      <c r="AO184" s="182"/>
      <c r="AP184" s="182"/>
      <c r="AQ184" s="182"/>
      <c r="AR184" s="493" t="e">
        <f t="shared" si="123"/>
        <v>#N/A</v>
      </c>
      <c r="AS184" s="715"/>
      <c r="AT184" s="182"/>
      <c r="AU184" s="182"/>
      <c r="AV184" s="182"/>
      <c r="AW184" s="496" t="e">
        <f t="shared" si="124"/>
        <v>#N/A</v>
      </c>
      <c r="AX184" s="706"/>
    </row>
    <row r="185" spans="2:50">
      <c r="B185" s="701"/>
      <c r="C185" s="493">
        <v>4</v>
      </c>
      <c r="D185" s="493"/>
      <c r="E185" s="494"/>
      <c r="F185" s="494"/>
      <c r="G185" s="494"/>
      <c r="H185" s="713"/>
      <c r="I185" s="494" t="e">
        <f t="shared" si="117"/>
        <v>#DIV/0!</v>
      </c>
      <c r="J185" s="494" t="e">
        <f t="shared" si="117"/>
        <v>#DIV/0!</v>
      </c>
      <c r="K185" s="495" t="e">
        <f t="shared" si="117"/>
        <v>#DIV/0!</v>
      </c>
      <c r="L185" s="650"/>
      <c r="M185" s="494" t="e">
        <f>RANK(K185, K$182:$K$211)</f>
        <v>#DIV/0!</v>
      </c>
      <c r="N185" s="668"/>
      <c r="O185" s="668"/>
      <c r="P185" s="182"/>
      <c r="Q185" s="182"/>
      <c r="R185" s="182"/>
      <c r="S185" s="493" t="e">
        <f t="shared" si="118"/>
        <v>#N/A</v>
      </c>
      <c r="T185" s="715"/>
      <c r="U185" s="182"/>
      <c r="V185" s="182"/>
      <c r="W185" s="182"/>
      <c r="X185" s="493" t="e">
        <f t="shared" si="119"/>
        <v>#N/A</v>
      </c>
      <c r="Y185" s="715"/>
      <c r="Z185" s="182"/>
      <c r="AA185" s="182"/>
      <c r="AB185" s="182"/>
      <c r="AC185" s="493" t="e">
        <f t="shared" si="120"/>
        <v>#N/A</v>
      </c>
      <c r="AD185" s="715"/>
      <c r="AE185" s="182"/>
      <c r="AF185" s="182"/>
      <c r="AG185" s="182"/>
      <c r="AH185" s="493" t="e">
        <f t="shared" si="121"/>
        <v>#N/A</v>
      </c>
      <c r="AI185" s="715"/>
      <c r="AJ185" s="182"/>
      <c r="AK185" s="182"/>
      <c r="AL185" s="182"/>
      <c r="AM185" s="493" t="e">
        <f t="shared" si="122"/>
        <v>#N/A</v>
      </c>
      <c r="AN185" s="715"/>
      <c r="AO185" s="182"/>
      <c r="AP185" s="182"/>
      <c r="AQ185" s="182"/>
      <c r="AR185" s="493" t="e">
        <f t="shared" si="123"/>
        <v>#N/A</v>
      </c>
      <c r="AS185" s="715"/>
      <c r="AT185" s="182"/>
      <c r="AU185" s="182"/>
      <c r="AV185" s="182"/>
      <c r="AW185" s="496" t="e">
        <f t="shared" si="124"/>
        <v>#N/A</v>
      </c>
      <c r="AX185" s="706"/>
    </row>
    <row r="186" spans="2:50">
      <c r="B186" s="701"/>
      <c r="C186" s="493">
        <v>5</v>
      </c>
      <c r="D186" s="493"/>
      <c r="E186" s="494"/>
      <c r="F186" s="494"/>
      <c r="G186" s="494"/>
      <c r="H186" s="713"/>
      <c r="I186" s="494" t="e">
        <f t="shared" si="117"/>
        <v>#DIV/0!</v>
      </c>
      <c r="J186" s="494" t="e">
        <f t="shared" si="117"/>
        <v>#DIV/0!</v>
      </c>
      <c r="K186" s="495" t="e">
        <f t="shared" si="117"/>
        <v>#DIV/0!</v>
      </c>
      <c r="L186" s="650"/>
      <c r="M186" s="494" t="e">
        <f>RANK(K186, K$182:$K$211)</f>
        <v>#DIV/0!</v>
      </c>
      <c r="N186" s="668"/>
      <c r="O186" s="668"/>
      <c r="P186" s="182"/>
      <c r="Q186" s="182"/>
      <c r="R186" s="182"/>
      <c r="S186" s="493" t="e">
        <f t="shared" si="118"/>
        <v>#N/A</v>
      </c>
      <c r="T186" s="715"/>
      <c r="U186" s="182"/>
      <c r="V186" s="182"/>
      <c r="W186" s="182"/>
      <c r="X186" s="493" t="e">
        <f t="shared" si="119"/>
        <v>#N/A</v>
      </c>
      <c r="Y186" s="715"/>
      <c r="Z186" s="182"/>
      <c r="AA186" s="182"/>
      <c r="AB186" s="182"/>
      <c r="AC186" s="493" t="e">
        <f t="shared" si="120"/>
        <v>#N/A</v>
      </c>
      <c r="AD186" s="715"/>
      <c r="AE186" s="182"/>
      <c r="AF186" s="182"/>
      <c r="AG186" s="182"/>
      <c r="AH186" s="493" t="e">
        <f t="shared" si="121"/>
        <v>#N/A</v>
      </c>
      <c r="AI186" s="715"/>
      <c r="AJ186" s="182"/>
      <c r="AK186" s="182"/>
      <c r="AL186" s="182"/>
      <c r="AM186" s="493" t="e">
        <f t="shared" si="122"/>
        <v>#N/A</v>
      </c>
      <c r="AN186" s="715"/>
      <c r="AO186" s="182"/>
      <c r="AP186" s="182"/>
      <c r="AQ186" s="182"/>
      <c r="AR186" s="493" t="e">
        <f t="shared" si="123"/>
        <v>#N/A</v>
      </c>
      <c r="AS186" s="715"/>
      <c r="AT186" s="182"/>
      <c r="AU186" s="182"/>
      <c r="AV186" s="182"/>
      <c r="AW186" s="496" t="e">
        <f t="shared" si="124"/>
        <v>#N/A</v>
      </c>
      <c r="AX186" s="706"/>
    </row>
    <row r="187" spans="2:50">
      <c r="B187" s="701"/>
      <c r="C187" s="493">
        <v>6</v>
      </c>
      <c r="D187" s="493"/>
      <c r="E187" s="494"/>
      <c r="F187" s="494"/>
      <c r="G187" s="494"/>
      <c r="H187" s="713"/>
      <c r="I187" s="494" t="e">
        <f t="shared" si="117"/>
        <v>#DIV/0!</v>
      </c>
      <c r="J187" s="494" t="e">
        <f t="shared" si="117"/>
        <v>#DIV/0!</v>
      </c>
      <c r="K187" s="495" t="e">
        <f t="shared" si="117"/>
        <v>#DIV/0!</v>
      </c>
      <c r="L187" s="650"/>
      <c r="M187" s="494" t="e">
        <f>RANK(K187, K$182:$K$211)</f>
        <v>#DIV/0!</v>
      </c>
      <c r="N187" s="668"/>
      <c r="O187" s="668"/>
      <c r="P187" s="182"/>
      <c r="Q187" s="182"/>
      <c r="R187" s="182"/>
      <c r="S187" s="493" t="e">
        <f t="shared" si="118"/>
        <v>#N/A</v>
      </c>
      <c r="T187" s="715"/>
      <c r="U187" s="182"/>
      <c r="V187" s="182"/>
      <c r="W187" s="182"/>
      <c r="X187" s="493" t="e">
        <f t="shared" si="119"/>
        <v>#N/A</v>
      </c>
      <c r="Y187" s="715"/>
      <c r="Z187" s="182"/>
      <c r="AA187" s="182"/>
      <c r="AB187" s="182"/>
      <c r="AC187" s="493" t="e">
        <f t="shared" si="120"/>
        <v>#N/A</v>
      </c>
      <c r="AD187" s="715"/>
      <c r="AE187" s="182"/>
      <c r="AF187" s="182"/>
      <c r="AG187" s="182"/>
      <c r="AH187" s="493" t="e">
        <f t="shared" si="121"/>
        <v>#N/A</v>
      </c>
      <c r="AI187" s="715"/>
      <c r="AJ187" s="182"/>
      <c r="AK187" s="182"/>
      <c r="AL187" s="182"/>
      <c r="AM187" s="493" t="e">
        <f t="shared" si="122"/>
        <v>#N/A</v>
      </c>
      <c r="AN187" s="715"/>
      <c r="AO187" s="182"/>
      <c r="AP187" s="182"/>
      <c r="AQ187" s="182"/>
      <c r="AR187" s="493" t="e">
        <f t="shared" si="123"/>
        <v>#N/A</v>
      </c>
      <c r="AS187" s="715"/>
      <c r="AT187" s="182"/>
      <c r="AU187" s="182"/>
      <c r="AV187" s="182"/>
      <c r="AW187" s="496" t="e">
        <f t="shared" si="124"/>
        <v>#N/A</v>
      </c>
      <c r="AX187" s="706"/>
    </row>
    <row r="188" spans="2:50">
      <c r="B188" s="701"/>
      <c r="C188" s="493">
        <v>7</v>
      </c>
      <c r="D188" s="493"/>
      <c r="E188" s="494"/>
      <c r="F188" s="494"/>
      <c r="G188" s="494"/>
      <c r="H188" s="713"/>
      <c r="I188" s="494" t="e">
        <f t="shared" si="117"/>
        <v>#DIV/0!</v>
      </c>
      <c r="J188" s="494" t="e">
        <f t="shared" si="117"/>
        <v>#DIV/0!</v>
      </c>
      <c r="K188" s="495" t="e">
        <f t="shared" si="117"/>
        <v>#DIV/0!</v>
      </c>
      <c r="L188" s="650"/>
      <c r="M188" s="494" t="e">
        <f>RANK(K188, K$182:$K$211)</f>
        <v>#DIV/0!</v>
      </c>
      <c r="N188" s="668"/>
      <c r="O188" s="668"/>
      <c r="P188" s="182"/>
      <c r="Q188" s="182"/>
      <c r="R188" s="182"/>
      <c r="S188" s="493" t="e">
        <f t="shared" si="118"/>
        <v>#N/A</v>
      </c>
      <c r="T188" s="715"/>
      <c r="U188" s="182"/>
      <c r="V188" s="182"/>
      <c r="W188" s="182"/>
      <c r="X188" s="493" t="e">
        <f t="shared" si="119"/>
        <v>#N/A</v>
      </c>
      <c r="Y188" s="715"/>
      <c r="Z188" s="182"/>
      <c r="AA188" s="182"/>
      <c r="AB188" s="182"/>
      <c r="AC188" s="493" t="e">
        <f t="shared" si="120"/>
        <v>#N/A</v>
      </c>
      <c r="AD188" s="715"/>
      <c r="AE188" s="182"/>
      <c r="AF188" s="182"/>
      <c r="AG188" s="182"/>
      <c r="AH188" s="493" t="e">
        <f t="shared" si="121"/>
        <v>#N/A</v>
      </c>
      <c r="AI188" s="715"/>
      <c r="AJ188" s="182"/>
      <c r="AK188" s="182"/>
      <c r="AL188" s="182"/>
      <c r="AM188" s="493" t="e">
        <f t="shared" si="122"/>
        <v>#N/A</v>
      </c>
      <c r="AN188" s="715"/>
      <c r="AO188" s="182"/>
      <c r="AP188" s="182"/>
      <c r="AQ188" s="182"/>
      <c r="AR188" s="493" t="e">
        <f t="shared" si="123"/>
        <v>#N/A</v>
      </c>
      <c r="AS188" s="715"/>
      <c r="AT188" s="182"/>
      <c r="AU188" s="182"/>
      <c r="AV188" s="182"/>
      <c r="AW188" s="496" t="e">
        <f t="shared" si="124"/>
        <v>#N/A</v>
      </c>
      <c r="AX188" s="706"/>
    </row>
    <row r="189" spans="2:50">
      <c r="B189" s="701"/>
      <c r="C189" s="493">
        <v>8</v>
      </c>
      <c r="D189" s="493"/>
      <c r="E189" s="494"/>
      <c r="F189" s="494"/>
      <c r="G189" s="494"/>
      <c r="H189" s="713"/>
      <c r="I189" s="494" t="e">
        <f t="shared" si="117"/>
        <v>#DIV/0!</v>
      </c>
      <c r="J189" s="494" t="e">
        <f t="shared" si="117"/>
        <v>#DIV/0!</v>
      </c>
      <c r="K189" s="495" t="e">
        <f t="shared" si="117"/>
        <v>#DIV/0!</v>
      </c>
      <c r="L189" s="650"/>
      <c r="M189" s="494" t="e">
        <f>RANK(K189, K$182:$K$211)</f>
        <v>#DIV/0!</v>
      </c>
      <c r="N189" s="668"/>
      <c r="O189" s="668"/>
      <c r="P189" s="182"/>
      <c r="Q189" s="182"/>
      <c r="R189" s="182"/>
      <c r="S189" s="493" t="e">
        <f t="shared" si="118"/>
        <v>#N/A</v>
      </c>
      <c r="T189" s="715"/>
      <c r="U189" s="182"/>
      <c r="V189" s="182"/>
      <c r="W189" s="182"/>
      <c r="X189" s="493" t="e">
        <f t="shared" si="119"/>
        <v>#N/A</v>
      </c>
      <c r="Y189" s="715"/>
      <c r="Z189" s="182"/>
      <c r="AA189" s="182"/>
      <c r="AB189" s="182"/>
      <c r="AC189" s="493" t="e">
        <f t="shared" si="120"/>
        <v>#N/A</v>
      </c>
      <c r="AD189" s="715"/>
      <c r="AE189" s="182"/>
      <c r="AF189" s="182"/>
      <c r="AG189" s="182"/>
      <c r="AH189" s="493" t="e">
        <f t="shared" si="121"/>
        <v>#N/A</v>
      </c>
      <c r="AI189" s="715"/>
      <c r="AJ189" s="182"/>
      <c r="AK189" s="182"/>
      <c r="AL189" s="182"/>
      <c r="AM189" s="493" t="e">
        <f t="shared" si="122"/>
        <v>#N/A</v>
      </c>
      <c r="AN189" s="715"/>
      <c r="AO189" s="182"/>
      <c r="AP189" s="182"/>
      <c r="AQ189" s="182"/>
      <c r="AR189" s="493" t="e">
        <f t="shared" si="123"/>
        <v>#N/A</v>
      </c>
      <c r="AS189" s="715"/>
      <c r="AT189" s="182"/>
      <c r="AU189" s="182"/>
      <c r="AV189" s="182"/>
      <c r="AW189" s="496" t="e">
        <f t="shared" si="124"/>
        <v>#N/A</v>
      </c>
      <c r="AX189" s="706"/>
    </row>
    <row r="190" spans="2:50">
      <c r="B190" s="701"/>
      <c r="C190" s="493">
        <v>9</v>
      </c>
      <c r="D190" s="493"/>
      <c r="E190" s="494"/>
      <c r="F190" s="494"/>
      <c r="G190" s="494"/>
      <c r="H190" s="713"/>
      <c r="I190" s="494" t="e">
        <f t="shared" si="117"/>
        <v>#DIV/0!</v>
      </c>
      <c r="J190" s="494" t="e">
        <f t="shared" si="117"/>
        <v>#DIV/0!</v>
      </c>
      <c r="K190" s="495" t="e">
        <f t="shared" si="117"/>
        <v>#DIV/0!</v>
      </c>
      <c r="L190" s="650"/>
      <c r="M190" s="494" t="e">
        <f>RANK(K190, K$182:$K$211)</f>
        <v>#DIV/0!</v>
      </c>
      <c r="N190" s="668"/>
      <c r="O190" s="668"/>
      <c r="P190" s="182"/>
      <c r="Q190" s="182"/>
      <c r="R190" s="182"/>
      <c r="S190" s="493" t="e">
        <f t="shared" si="118"/>
        <v>#N/A</v>
      </c>
      <c r="T190" s="715"/>
      <c r="U190" s="182"/>
      <c r="V190" s="182"/>
      <c r="W190" s="182"/>
      <c r="X190" s="493" t="e">
        <f t="shared" si="119"/>
        <v>#N/A</v>
      </c>
      <c r="Y190" s="715"/>
      <c r="Z190" s="182"/>
      <c r="AA190" s="182"/>
      <c r="AB190" s="182"/>
      <c r="AC190" s="493" t="e">
        <f t="shared" si="120"/>
        <v>#N/A</v>
      </c>
      <c r="AD190" s="715"/>
      <c r="AE190" s="182"/>
      <c r="AF190" s="182"/>
      <c r="AG190" s="182"/>
      <c r="AH190" s="493" t="e">
        <f t="shared" si="121"/>
        <v>#N/A</v>
      </c>
      <c r="AI190" s="715"/>
      <c r="AJ190" s="182"/>
      <c r="AK190" s="182"/>
      <c r="AL190" s="182"/>
      <c r="AM190" s="493" t="e">
        <f t="shared" si="122"/>
        <v>#N/A</v>
      </c>
      <c r="AN190" s="715"/>
      <c r="AO190" s="182"/>
      <c r="AP190" s="182"/>
      <c r="AQ190" s="182"/>
      <c r="AR190" s="493" t="e">
        <f t="shared" si="123"/>
        <v>#N/A</v>
      </c>
      <c r="AS190" s="715"/>
      <c r="AT190" s="182"/>
      <c r="AU190" s="182"/>
      <c r="AV190" s="182"/>
      <c r="AW190" s="496" t="e">
        <f t="shared" si="124"/>
        <v>#N/A</v>
      </c>
      <c r="AX190" s="706"/>
    </row>
    <row r="191" spans="2:50">
      <c r="B191" s="701"/>
      <c r="C191" s="493">
        <v>10</v>
      </c>
      <c r="D191" s="493"/>
      <c r="E191" s="494"/>
      <c r="F191" s="494"/>
      <c r="G191" s="494"/>
      <c r="H191" s="713"/>
      <c r="I191" s="494" t="e">
        <f t="shared" si="117"/>
        <v>#DIV/0!</v>
      </c>
      <c r="J191" s="494" t="e">
        <f t="shared" si="117"/>
        <v>#DIV/0!</v>
      </c>
      <c r="K191" s="495" t="e">
        <f t="shared" si="117"/>
        <v>#DIV/0!</v>
      </c>
      <c r="L191" s="650"/>
      <c r="M191" s="494" t="e">
        <f>RANK(K191, K$182:$K$211)</f>
        <v>#DIV/0!</v>
      </c>
      <c r="N191" s="668"/>
      <c r="O191" s="668"/>
      <c r="P191" s="182"/>
      <c r="Q191" s="182"/>
      <c r="R191" s="182"/>
      <c r="S191" s="493" t="e">
        <f t="shared" si="118"/>
        <v>#N/A</v>
      </c>
      <c r="T191" s="715"/>
      <c r="U191" s="182"/>
      <c r="V191" s="182"/>
      <c r="W191" s="182"/>
      <c r="X191" s="493" t="e">
        <f t="shared" si="119"/>
        <v>#N/A</v>
      </c>
      <c r="Y191" s="715"/>
      <c r="Z191" s="182"/>
      <c r="AA191" s="182"/>
      <c r="AB191" s="182"/>
      <c r="AC191" s="493" t="e">
        <f t="shared" si="120"/>
        <v>#N/A</v>
      </c>
      <c r="AD191" s="715"/>
      <c r="AE191" s="182"/>
      <c r="AF191" s="182"/>
      <c r="AG191" s="182"/>
      <c r="AH191" s="493" t="e">
        <f t="shared" si="121"/>
        <v>#N/A</v>
      </c>
      <c r="AI191" s="715"/>
      <c r="AJ191" s="182"/>
      <c r="AK191" s="182"/>
      <c r="AL191" s="182"/>
      <c r="AM191" s="493" t="e">
        <f t="shared" si="122"/>
        <v>#N/A</v>
      </c>
      <c r="AN191" s="715"/>
      <c r="AO191" s="182"/>
      <c r="AP191" s="182"/>
      <c r="AQ191" s="182"/>
      <c r="AR191" s="493" t="e">
        <f t="shared" si="123"/>
        <v>#N/A</v>
      </c>
      <c r="AS191" s="715"/>
      <c r="AT191" s="182"/>
      <c r="AU191" s="182"/>
      <c r="AV191" s="182"/>
      <c r="AW191" s="496" t="e">
        <f t="shared" si="124"/>
        <v>#N/A</v>
      </c>
      <c r="AX191" s="706"/>
    </row>
    <row r="192" spans="2:50">
      <c r="B192" s="701"/>
      <c r="C192" s="493">
        <v>11</v>
      </c>
      <c r="D192" s="493"/>
      <c r="E192" s="494"/>
      <c r="F192" s="494"/>
      <c r="G192" s="494"/>
      <c r="H192" s="713"/>
      <c r="I192" s="494" t="e">
        <f t="shared" si="117"/>
        <v>#DIV/0!</v>
      </c>
      <c r="J192" s="494" t="e">
        <f t="shared" si="117"/>
        <v>#DIV/0!</v>
      </c>
      <c r="K192" s="495" t="e">
        <f t="shared" si="117"/>
        <v>#DIV/0!</v>
      </c>
      <c r="L192" s="650"/>
      <c r="M192" s="494" t="e">
        <f>RANK(K192, K$182:$K$211)</f>
        <v>#DIV/0!</v>
      </c>
      <c r="N192" s="668"/>
      <c r="O192" s="668"/>
      <c r="P192" s="182"/>
      <c r="Q192" s="182"/>
      <c r="R192" s="182"/>
      <c r="S192" s="493" t="e">
        <f t="shared" si="118"/>
        <v>#N/A</v>
      </c>
      <c r="T192" s="715"/>
      <c r="U192" s="182"/>
      <c r="V192" s="182"/>
      <c r="W192" s="182"/>
      <c r="X192" s="493" t="e">
        <f t="shared" si="119"/>
        <v>#N/A</v>
      </c>
      <c r="Y192" s="715"/>
      <c r="Z192" s="182"/>
      <c r="AA192" s="182"/>
      <c r="AB192" s="182"/>
      <c r="AC192" s="493" t="e">
        <f t="shared" si="120"/>
        <v>#N/A</v>
      </c>
      <c r="AD192" s="715"/>
      <c r="AE192" s="182"/>
      <c r="AF192" s="182"/>
      <c r="AG192" s="182"/>
      <c r="AH192" s="493" t="e">
        <f t="shared" si="121"/>
        <v>#N/A</v>
      </c>
      <c r="AI192" s="715"/>
      <c r="AJ192" s="182"/>
      <c r="AK192" s="182"/>
      <c r="AL192" s="182"/>
      <c r="AM192" s="493" t="e">
        <f t="shared" si="122"/>
        <v>#N/A</v>
      </c>
      <c r="AN192" s="715"/>
      <c r="AO192" s="182"/>
      <c r="AP192" s="182"/>
      <c r="AQ192" s="182"/>
      <c r="AR192" s="493" t="e">
        <f t="shared" si="123"/>
        <v>#N/A</v>
      </c>
      <c r="AS192" s="715"/>
      <c r="AT192" s="182"/>
      <c r="AU192" s="182"/>
      <c r="AV192" s="182"/>
      <c r="AW192" s="496" t="e">
        <f t="shared" si="124"/>
        <v>#N/A</v>
      </c>
      <c r="AX192" s="706"/>
    </row>
    <row r="193" spans="2:50">
      <c r="B193" s="701"/>
      <c r="C193" s="493">
        <v>12</v>
      </c>
      <c r="D193" s="493"/>
      <c r="E193" s="494"/>
      <c r="F193" s="494"/>
      <c r="G193" s="494"/>
      <c r="H193" s="713"/>
      <c r="I193" s="494" t="e">
        <f t="shared" si="117"/>
        <v>#DIV/0!</v>
      </c>
      <c r="J193" s="494" t="e">
        <f t="shared" si="117"/>
        <v>#DIV/0!</v>
      </c>
      <c r="K193" s="495" t="e">
        <f t="shared" si="117"/>
        <v>#DIV/0!</v>
      </c>
      <c r="L193" s="650"/>
      <c r="M193" s="494" t="e">
        <f>RANK(K193, K$182:$K$211)</f>
        <v>#DIV/0!</v>
      </c>
      <c r="N193" s="668"/>
      <c r="O193" s="668"/>
      <c r="P193" s="182"/>
      <c r="Q193" s="182"/>
      <c r="R193" s="182"/>
      <c r="S193" s="493" t="e">
        <f t="shared" si="118"/>
        <v>#N/A</v>
      </c>
      <c r="T193" s="715"/>
      <c r="U193" s="182"/>
      <c r="V193" s="182"/>
      <c r="W193" s="182"/>
      <c r="X193" s="493" t="e">
        <f t="shared" si="119"/>
        <v>#N/A</v>
      </c>
      <c r="Y193" s="715"/>
      <c r="Z193" s="182"/>
      <c r="AA193" s="182"/>
      <c r="AB193" s="182"/>
      <c r="AC193" s="493" t="e">
        <f t="shared" si="120"/>
        <v>#N/A</v>
      </c>
      <c r="AD193" s="715"/>
      <c r="AE193" s="182"/>
      <c r="AF193" s="182"/>
      <c r="AG193" s="182"/>
      <c r="AH193" s="493" t="e">
        <f t="shared" si="121"/>
        <v>#N/A</v>
      </c>
      <c r="AI193" s="715"/>
      <c r="AJ193" s="182"/>
      <c r="AK193" s="182"/>
      <c r="AL193" s="182"/>
      <c r="AM193" s="493" t="e">
        <f t="shared" si="122"/>
        <v>#N/A</v>
      </c>
      <c r="AN193" s="715"/>
      <c r="AO193" s="182"/>
      <c r="AP193" s="182"/>
      <c r="AQ193" s="182"/>
      <c r="AR193" s="493" t="e">
        <f t="shared" si="123"/>
        <v>#N/A</v>
      </c>
      <c r="AS193" s="715"/>
      <c r="AT193" s="182"/>
      <c r="AU193" s="182"/>
      <c r="AV193" s="182"/>
      <c r="AW193" s="496" t="e">
        <f t="shared" si="124"/>
        <v>#N/A</v>
      </c>
      <c r="AX193" s="706"/>
    </row>
    <row r="194" spans="2:50">
      <c r="B194" s="701"/>
      <c r="C194" s="493">
        <v>13</v>
      </c>
      <c r="D194" s="493"/>
      <c r="E194" s="494"/>
      <c r="F194" s="494"/>
      <c r="G194" s="494"/>
      <c r="H194" s="713"/>
      <c r="I194" s="494" t="e">
        <f t="shared" si="117"/>
        <v>#DIV/0!</v>
      </c>
      <c r="J194" s="494" t="e">
        <f t="shared" si="117"/>
        <v>#DIV/0!</v>
      </c>
      <c r="K194" s="495" t="e">
        <f t="shared" si="117"/>
        <v>#DIV/0!</v>
      </c>
      <c r="L194" s="650"/>
      <c r="M194" s="494" t="e">
        <f>RANK(K194, K$182:$K$211)</f>
        <v>#DIV/0!</v>
      </c>
      <c r="N194" s="668"/>
      <c r="O194" s="668"/>
      <c r="P194" s="182"/>
      <c r="Q194" s="182"/>
      <c r="R194" s="182"/>
      <c r="S194" s="493" t="e">
        <f t="shared" si="118"/>
        <v>#N/A</v>
      </c>
      <c r="T194" s="715"/>
      <c r="U194" s="182"/>
      <c r="V194" s="182"/>
      <c r="W194" s="182"/>
      <c r="X194" s="493" t="e">
        <f t="shared" si="119"/>
        <v>#N/A</v>
      </c>
      <c r="Y194" s="715"/>
      <c r="Z194" s="182"/>
      <c r="AA194" s="182"/>
      <c r="AB194" s="182"/>
      <c r="AC194" s="493" t="e">
        <f t="shared" si="120"/>
        <v>#N/A</v>
      </c>
      <c r="AD194" s="715"/>
      <c r="AE194" s="182"/>
      <c r="AF194" s="182"/>
      <c r="AG194" s="182"/>
      <c r="AH194" s="493" t="e">
        <f t="shared" si="121"/>
        <v>#N/A</v>
      </c>
      <c r="AI194" s="715"/>
      <c r="AJ194" s="182"/>
      <c r="AK194" s="182"/>
      <c r="AL194" s="182"/>
      <c r="AM194" s="493" t="e">
        <f t="shared" si="122"/>
        <v>#N/A</v>
      </c>
      <c r="AN194" s="715"/>
      <c r="AO194" s="182"/>
      <c r="AP194" s="182"/>
      <c r="AQ194" s="182"/>
      <c r="AR194" s="493" t="e">
        <f t="shared" si="123"/>
        <v>#N/A</v>
      </c>
      <c r="AS194" s="715"/>
      <c r="AT194" s="182"/>
      <c r="AU194" s="182"/>
      <c r="AV194" s="182"/>
      <c r="AW194" s="496" t="e">
        <f t="shared" si="124"/>
        <v>#N/A</v>
      </c>
      <c r="AX194" s="706"/>
    </row>
    <row r="195" spans="2:50">
      <c r="B195" s="701"/>
      <c r="C195" s="493">
        <v>14</v>
      </c>
      <c r="D195" s="493"/>
      <c r="E195" s="494"/>
      <c r="F195" s="494"/>
      <c r="G195" s="494"/>
      <c r="H195" s="713"/>
      <c r="I195" s="494" t="e">
        <f t="shared" si="117"/>
        <v>#DIV/0!</v>
      </c>
      <c r="J195" s="494" t="e">
        <f t="shared" si="117"/>
        <v>#DIV/0!</v>
      </c>
      <c r="K195" s="495" t="e">
        <f t="shared" si="117"/>
        <v>#DIV/0!</v>
      </c>
      <c r="L195" s="650"/>
      <c r="M195" s="494" t="e">
        <f>RANK(K195, K$182:$K$211)</f>
        <v>#DIV/0!</v>
      </c>
      <c r="N195" s="668"/>
      <c r="O195" s="668"/>
      <c r="P195" s="182"/>
      <c r="Q195" s="182"/>
      <c r="R195" s="182"/>
      <c r="S195" s="493" t="e">
        <f t="shared" si="118"/>
        <v>#N/A</v>
      </c>
      <c r="T195" s="715"/>
      <c r="U195" s="182"/>
      <c r="V195" s="182"/>
      <c r="W195" s="182"/>
      <c r="X195" s="493" t="e">
        <f t="shared" si="119"/>
        <v>#N/A</v>
      </c>
      <c r="Y195" s="715"/>
      <c r="Z195" s="182"/>
      <c r="AA195" s="182"/>
      <c r="AB195" s="182"/>
      <c r="AC195" s="493" t="e">
        <f t="shared" si="120"/>
        <v>#N/A</v>
      </c>
      <c r="AD195" s="715"/>
      <c r="AE195" s="182"/>
      <c r="AF195" s="182"/>
      <c r="AG195" s="182"/>
      <c r="AH195" s="493" t="e">
        <f t="shared" si="121"/>
        <v>#N/A</v>
      </c>
      <c r="AI195" s="715"/>
      <c r="AJ195" s="182"/>
      <c r="AK195" s="182"/>
      <c r="AL195" s="182"/>
      <c r="AM195" s="493" t="e">
        <f t="shared" si="122"/>
        <v>#N/A</v>
      </c>
      <c r="AN195" s="715"/>
      <c r="AO195" s="182"/>
      <c r="AP195" s="182"/>
      <c r="AQ195" s="182"/>
      <c r="AR195" s="493" t="e">
        <f t="shared" si="123"/>
        <v>#N/A</v>
      </c>
      <c r="AS195" s="715"/>
      <c r="AT195" s="182"/>
      <c r="AU195" s="182"/>
      <c r="AV195" s="182"/>
      <c r="AW195" s="496" t="e">
        <f t="shared" si="124"/>
        <v>#N/A</v>
      </c>
      <c r="AX195" s="706"/>
    </row>
    <row r="196" spans="2:50">
      <c r="B196" s="701"/>
      <c r="C196" s="493">
        <v>15</v>
      </c>
      <c r="D196" s="493"/>
      <c r="E196" s="494"/>
      <c r="F196" s="494"/>
      <c r="G196" s="494"/>
      <c r="H196" s="713"/>
      <c r="I196" s="494" t="e">
        <f t="shared" si="117"/>
        <v>#DIV/0!</v>
      </c>
      <c r="J196" s="494" t="e">
        <f t="shared" si="117"/>
        <v>#DIV/0!</v>
      </c>
      <c r="K196" s="495" t="e">
        <f t="shared" si="117"/>
        <v>#DIV/0!</v>
      </c>
      <c r="L196" s="650"/>
      <c r="M196" s="494" t="e">
        <f>RANK(K196, K$182:$K$211)</f>
        <v>#DIV/0!</v>
      </c>
      <c r="N196" s="668"/>
      <c r="O196" s="668"/>
      <c r="P196" s="182"/>
      <c r="Q196" s="182"/>
      <c r="R196" s="182"/>
      <c r="S196" s="493" t="e">
        <f t="shared" si="118"/>
        <v>#N/A</v>
      </c>
      <c r="T196" s="715"/>
      <c r="U196" s="182"/>
      <c r="V196" s="182"/>
      <c r="W196" s="182"/>
      <c r="X196" s="493" t="e">
        <f t="shared" si="119"/>
        <v>#N/A</v>
      </c>
      <c r="Y196" s="715"/>
      <c r="Z196" s="182"/>
      <c r="AA196" s="182"/>
      <c r="AB196" s="182"/>
      <c r="AC196" s="493" t="e">
        <f t="shared" si="120"/>
        <v>#N/A</v>
      </c>
      <c r="AD196" s="715"/>
      <c r="AE196" s="182"/>
      <c r="AF196" s="182"/>
      <c r="AG196" s="182"/>
      <c r="AH196" s="493" t="e">
        <f t="shared" si="121"/>
        <v>#N/A</v>
      </c>
      <c r="AI196" s="715"/>
      <c r="AJ196" s="182"/>
      <c r="AK196" s="182"/>
      <c r="AL196" s="182"/>
      <c r="AM196" s="493" t="e">
        <f t="shared" si="122"/>
        <v>#N/A</v>
      </c>
      <c r="AN196" s="715"/>
      <c r="AO196" s="182"/>
      <c r="AP196" s="182"/>
      <c r="AQ196" s="182"/>
      <c r="AR196" s="493" t="e">
        <f t="shared" si="123"/>
        <v>#N/A</v>
      </c>
      <c r="AS196" s="715"/>
      <c r="AT196" s="182"/>
      <c r="AU196" s="182"/>
      <c r="AV196" s="182"/>
      <c r="AW196" s="496" t="e">
        <f t="shared" si="124"/>
        <v>#N/A</v>
      </c>
      <c r="AX196" s="706"/>
    </row>
    <row r="197" spans="2:50">
      <c r="B197" s="701"/>
      <c r="C197" s="493">
        <v>16</v>
      </c>
      <c r="D197" s="493"/>
      <c r="E197" s="494"/>
      <c r="F197" s="494"/>
      <c r="G197" s="494"/>
      <c r="H197" s="713"/>
      <c r="I197" s="494" t="e">
        <f t="shared" si="117"/>
        <v>#DIV/0!</v>
      </c>
      <c r="J197" s="494" t="e">
        <f t="shared" si="117"/>
        <v>#DIV/0!</v>
      </c>
      <c r="K197" s="495" t="e">
        <f t="shared" si="117"/>
        <v>#DIV/0!</v>
      </c>
      <c r="L197" s="650"/>
      <c r="M197" s="494" t="e">
        <f>RANK(K197, K$182:$K$211)</f>
        <v>#DIV/0!</v>
      </c>
      <c r="N197" s="668"/>
      <c r="O197" s="668"/>
      <c r="P197" s="182"/>
      <c r="Q197" s="182"/>
      <c r="R197" s="182"/>
      <c r="S197" s="493" t="e">
        <f t="shared" si="118"/>
        <v>#N/A</v>
      </c>
      <c r="T197" s="715"/>
      <c r="U197" s="182"/>
      <c r="V197" s="182"/>
      <c r="W197" s="182"/>
      <c r="X197" s="493" t="e">
        <f t="shared" si="119"/>
        <v>#N/A</v>
      </c>
      <c r="Y197" s="715"/>
      <c r="Z197" s="182"/>
      <c r="AA197" s="182"/>
      <c r="AB197" s="182"/>
      <c r="AC197" s="493" t="e">
        <f t="shared" si="120"/>
        <v>#N/A</v>
      </c>
      <c r="AD197" s="715"/>
      <c r="AE197" s="182"/>
      <c r="AF197" s="182"/>
      <c r="AG197" s="182"/>
      <c r="AH197" s="493" t="e">
        <f t="shared" si="121"/>
        <v>#N/A</v>
      </c>
      <c r="AI197" s="715"/>
      <c r="AJ197" s="182"/>
      <c r="AK197" s="182"/>
      <c r="AL197" s="182"/>
      <c r="AM197" s="493" t="e">
        <f t="shared" si="122"/>
        <v>#N/A</v>
      </c>
      <c r="AN197" s="715"/>
      <c r="AO197" s="182"/>
      <c r="AP197" s="182"/>
      <c r="AQ197" s="182"/>
      <c r="AR197" s="493" t="e">
        <f t="shared" si="123"/>
        <v>#N/A</v>
      </c>
      <c r="AS197" s="715"/>
      <c r="AT197" s="182"/>
      <c r="AU197" s="182"/>
      <c r="AV197" s="182"/>
      <c r="AW197" s="496" t="e">
        <f t="shared" si="124"/>
        <v>#N/A</v>
      </c>
      <c r="AX197" s="706"/>
    </row>
    <row r="198" spans="2:50">
      <c r="B198" s="701"/>
      <c r="C198" s="493">
        <v>17</v>
      </c>
      <c r="D198" s="493"/>
      <c r="E198" s="494"/>
      <c r="F198" s="494"/>
      <c r="G198" s="494"/>
      <c r="H198" s="713"/>
      <c r="I198" s="494" t="e">
        <f t="shared" si="117"/>
        <v>#DIV/0!</v>
      </c>
      <c r="J198" s="494" t="e">
        <f t="shared" si="117"/>
        <v>#DIV/0!</v>
      </c>
      <c r="K198" s="495" t="e">
        <f t="shared" si="117"/>
        <v>#DIV/0!</v>
      </c>
      <c r="L198" s="650"/>
      <c r="M198" s="494" t="e">
        <f>RANK(K198, K$182:$K$211)</f>
        <v>#DIV/0!</v>
      </c>
      <c r="N198" s="668"/>
      <c r="O198" s="668"/>
      <c r="P198" s="182"/>
      <c r="Q198" s="182"/>
      <c r="R198" s="182"/>
      <c r="S198" s="493" t="e">
        <f t="shared" si="118"/>
        <v>#N/A</v>
      </c>
      <c r="T198" s="715"/>
      <c r="U198" s="182"/>
      <c r="V198" s="182"/>
      <c r="W198" s="182"/>
      <c r="X198" s="493" t="e">
        <f t="shared" si="119"/>
        <v>#N/A</v>
      </c>
      <c r="Y198" s="715"/>
      <c r="Z198" s="182"/>
      <c r="AA198" s="182"/>
      <c r="AB198" s="182"/>
      <c r="AC198" s="493" t="e">
        <f t="shared" si="120"/>
        <v>#N/A</v>
      </c>
      <c r="AD198" s="715"/>
      <c r="AE198" s="182"/>
      <c r="AF198" s="182"/>
      <c r="AG198" s="182"/>
      <c r="AH198" s="493" t="e">
        <f t="shared" si="121"/>
        <v>#N/A</v>
      </c>
      <c r="AI198" s="715"/>
      <c r="AJ198" s="182"/>
      <c r="AK198" s="182"/>
      <c r="AL198" s="182"/>
      <c r="AM198" s="493" t="e">
        <f t="shared" si="122"/>
        <v>#N/A</v>
      </c>
      <c r="AN198" s="715"/>
      <c r="AO198" s="182"/>
      <c r="AP198" s="182"/>
      <c r="AQ198" s="182"/>
      <c r="AR198" s="493" t="e">
        <f t="shared" si="123"/>
        <v>#N/A</v>
      </c>
      <c r="AS198" s="715"/>
      <c r="AT198" s="182"/>
      <c r="AU198" s="182"/>
      <c r="AV198" s="182"/>
      <c r="AW198" s="496" t="e">
        <f t="shared" si="124"/>
        <v>#N/A</v>
      </c>
      <c r="AX198" s="706"/>
    </row>
    <row r="199" spans="2:50">
      <c r="B199" s="701"/>
      <c r="C199" s="493">
        <v>18</v>
      </c>
      <c r="D199" s="493"/>
      <c r="E199" s="494"/>
      <c r="F199" s="494"/>
      <c r="G199" s="494"/>
      <c r="H199" s="713"/>
      <c r="I199" s="494" t="e">
        <f t="shared" ref="I199:K202" si="125">AVERAGE(P199,U199,Z199,AE199,AJ199,AO199,AT199)</f>
        <v>#DIV/0!</v>
      </c>
      <c r="J199" s="494" t="e">
        <f t="shared" si="125"/>
        <v>#DIV/0!</v>
      </c>
      <c r="K199" s="495" t="e">
        <f t="shared" si="125"/>
        <v>#DIV/0!</v>
      </c>
      <c r="L199" s="650"/>
      <c r="M199" s="494" t="e">
        <f>RANK(K199, K$182:$K$211)</f>
        <v>#DIV/0!</v>
      </c>
      <c r="N199" s="668"/>
      <c r="O199" s="668"/>
      <c r="P199" s="182"/>
      <c r="Q199" s="182"/>
      <c r="R199" s="182"/>
      <c r="S199" s="493" t="e">
        <f t="shared" si="118"/>
        <v>#N/A</v>
      </c>
      <c r="T199" s="715"/>
      <c r="U199" s="182"/>
      <c r="V199" s="182"/>
      <c r="W199" s="182"/>
      <c r="X199" s="493" t="e">
        <f t="shared" si="119"/>
        <v>#N/A</v>
      </c>
      <c r="Y199" s="715"/>
      <c r="Z199" s="182"/>
      <c r="AA199" s="182"/>
      <c r="AB199" s="182"/>
      <c r="AC199" s="493" t="e">
        <f t="shared" si="120"/>
        <v>#N/A</v>
      </c>
      <c r="AD199" s="715"/>
      <c r="AE199" s="182"/>
      <c r="AF199" s="182"/>
      <c r="AG199" s="182"/>
      <c r="AH199" s="493" t="e">
        <f t="shared" si="121"/>
        <v>#N/A</v>
      </c>
      <c r="AI199" s="715"/>
      <c r="AJ199" s="182"/>
      <c r="AK199" s="182"/>
      <c r="AL199" s="182"/>
      <c r="AM199" s="493" t="e">
        <f t="shared" si="122"/>
        <v>#N/A</v>
      </c>
      <c r="AN199" s="715"/>
      <c r="AO199" s="182"/>
      <c r="AP199" s="182"/>
      <c r="AQ199" s="182"/>
      <c r="AR199" s="493" t="e">
        <f t="shared" si="123"/>
        <v>#N/A</v>
      </c>
      <c r="AS199" s="715"/>
      <c r="AT199" s="182"/>
      <c r="AU199" s="182"/>
      <c r="AV199" s="182"/>
      <c r="AW199" s="496" t="e">
        <f t="shared" si="124"/>
        <v>#N/A</v>
      </c>
      <c r="AX199" s="706"/>
    </row>
    <row r="200" spans="2:50">
      <c r="B200" s="701"/>
      <c r="C200" s="493">
        <v>19</v>
      </c>
      <c r="D200" s="493"/>
      <c r="E200" s="494"/>
      <c r="F200" s="494"/>
      <c r="G200" s="494"/>
      <c r="H200" s="713"/>
      <c r="I200" s="494" t="e">
        <f t="shared" si="125"/>
        <v>#DIV/0!</v>
      </c>
      <c r="J200" s="494" t="e">
        <f t="shared" si="125"/>
        <v>#DIV/0!</v>
      </c>
      <c r="K200" s="495" t="e">
        <f t="shared" si="125"/>
        <v>#DIV/0!</v>
      </c>
      <c r="L200" s="650"/>
      <c r="M200" s="494" t="e">
        <f>RANK(K200, K$182:$K$211)</f>
        <v>#DIV/0!</v>
      </c>
      <c r="N200" s="668"/>
      <c r="O200" s="668"/>
      <c r="P200" s="182"/>
      <c r="Q200" s="182"/>
      <c r="R200" s="182"/>
      <c r="S200" s="493" t="e">
        <f t="shared" si="118"/>
        <v>#N/A</v>
      </c>
      <c r="T200" s="715"/>
      <c r="U200" s="182"/>
      <c r="V200" s="182"/>
      <c r="W200" s="182"/>
      <c r="X200" s="493" t="e">
        <f t="shared" si="119"/>
        <v>#N/A</v>
      </c>
      <c r="Y200" s="715"/>
      <c r="Z200" s="182"/>
      <c r="AA200" s="182"/>
      <c r="AB200" s="182"/>
      <c r="AC200" s="493" t="e">
        <f t="shared" si="120"/>
        <v>#N/A</v>
      </c>
      <c r="AD200" s="715"/>
      <c r="AE200" s="182"/>
      <c r="AF200" s="182"/>
      <c r="AG200" s="182"/>
      <c r="AH200" s="493" t="e">
        <f t="shared" si="121"/>
        <v>#N/A</v>
      </c>
      <c r="AI200" s="715"/>
      <c r="AJ200" s="182"/>
      <c r="AK200" s="182"/>
      <c r="AL200" s="182"/>
      <c r="AM200" s="493" t="e">
        <f t="shared" si="122"/>
        <v>#N/A</v>
      </c>
      <c r="AN200" s="715"/>
      <c r="AO200" s="182"/>
      <c r="AP200" s="182"/>
      <c r="AQ200" s="182"/>
      <c r="AR200" s="493" t="e">
        <f t="shared" si="123"/>
        <v>#N/A</v>
      </c>
      <c r="AS200" s="715"/>
      <c r="AT200" s="182"/>
      <c r="AU200" s="182"/>
      <c r="AV200" s="182"/>
      <c r="AW200" s="496" t="e">
        <f t="shared" si="124"/>
        <v>#N/A</v>
      </c>
      <c r="AX200" s="706"/>
    </row>
    <row r="201" spans="2:50">
      <c r="B201" s="701"/>
      <c r="C201" s="493">
        <v>20</v>
      </c>
      <c r="D201" s="493"/>
      <c r="E201" s="494"/>
      <c r="F201" s="494"/>
      <c r="G201" s="494"/>
      <c r="H201" s="713"/>
      <c r="I201" s="494" t="e">
        <f t="shared" si="125"/>
        <v>#DIV/0!</v>
      </c>
      <c r="J201" s="494" t="e">
        <f t="shared" si="125"/>
        <v>#DIV/0!</v>
      </c>
      <c r="K201" s="495" t="e">
        <f t="shared" si="125"/>
        <v>#DIV/0!</v>
      </c>
      <c r="L201" s="650"/>
      <c r="M201" s="494" t="e">
        <f>RANK(K201, K$182:$K$211)</f>
        <v>#DIV/0!</v>
      </c>
      <c r="N201" s="668"/>
      <c r="O201" s="668"/>
      <c r="P201" s="182"/>
      <c r="Q201" s="182"/>
      <c r="R201" s="182"/>
      <c r="S201" s="493" t="e">
        <f t="shared" si="118"/>
        <v>#N/A</v>
      </c>
      <c r="T201" s="715"/>
      <c r="U201" s="182"/>
      <c r="V201" s="182"/>
      <c r="W201" s="182"/>
      <c r="X201" s="493" t="e">
        <f t="shared" si="119"/>
        <v>#N/A</v>
      </c>
      <c r="Y201" s="715"/>
      <c r="Z201" s="182"/>
      <c r="AA201" s="182"/>
      <c r="AB201" s="182"/>
      <c r="AC201" s="493" t="e">
        <f t="shared" si="120"/>
        <v>#N/A</v>
      </c>
      <c r="AD201" s="715"/>
      <c r="AE201" s="182"/>
      <c r="AF201" s="182"/>
      <c r="AG201" s="182"/>
      <c r="AH201" s="493" t="e">
        <f t="shared" si="121"/>
        <v>#N/A</v>
      </c>
      <c r="AI201" s="715"/>
      <c r="AJ201" s="182"/>
      <c r="AK201" s="182"/>
      <c r="AL201" s="182"/>
      <c r="AM201" s="493" t="e">
        <f t="shared" si="122"/>
        <v>#N/A</v>
      </c>
      <c r="AN201" s="715"/>
      <c r="AO201" s="182"/>
      <c r="AP201" s="182"/>
      <c r="AQ201" s="182"/>
      <c r="AR201" s="493" t="e">
        <f t="shared" si="123"/>
        <v>#N/A</v>
      </c>
      <c r="AS201" s="715"/>
      <c r="AT201" s="182"/>
      <c r="AU201" s="182"/>
      <c r="AV201" s="182"/>
      <c r="AW201" s="496" t="e">
        <f t="shared" si="124"/>
        <v>#N/A</v>
      </c>
      <c r="AX201" s="706"/>
    </row>
    <row r="202" spans="2:50">
      <c r="B202" s="701"/>
      <c r="C202" s="493">
        <v>21</v>
      </c>
      <c r="D202" s="497"/>
      <c r="E202" s="494"/>
      <c r="F202" s="494"/>
      <c r="G202" s="494"/>
      <c r="H202" s="713"/>
      <c r="I202" s="494" t="e">
        <f t="shared" si="125"/>
        <v>#DIV/0!</v>
      </c>
      <c r="J202" s="494" t="e">
        <f t="shared" si="125"/>
        <v>#DIV/0!</v>
      </c>
      <c r="K202" s="495" t="e">
        <f t="shared" si="125"/>
        <v>#DIV/0!</v>
      </c>
      <c r="L202" s="650"/>
      <c r="M202" s="494" t="e">
        <f>RANK(K202, K$182:$K$211)</f>
        <v>#DIV/0!</v>
      </c>
      <c r="N202" s="668"/>
      <c r="O202" s="668"/>
      <c r="P202" s="504"/>
      <c r="Q202" s="182"/>
      <c r="R202" s="506"/>
      <c r="S202" s="493" t="e">
        <f t="shared" si="118"/>
        <v>#N/A</v>
      </c>
      <c r="T202" s="715"/>
      <c r="U202" s="504"/>
      <c r="V202" s="182"/>
      <c r="W202" s="506"/>
      <c r="X202" s="493" t="e">
        <f t="shared" si="119"/>
        <v>#N/A</v>
      </c>
      <c r="Y202" s="715"/>
      <c r="Z202" s="504"/>
      <c r="AA202" s="182"/>
      <c r="AB202" s="506"/>
      <c r="AC202" s="493" t="e">
        <f t="shared" si="120"/>
        <v>#N/A</v>
      </c>
      <c r="AD202" s="715"/>
      <c r="AE202" s="504"/>
      <c r="AF202" s="182"/>
      <c r="AG202" s="506"/>
      <c r="AH202" s="493" t="e">
        <f t="shared" si="121"/>
        <v>#N/A</v>
      </c>
      <c r="AI202" s="715"/>
      <c r="AJ202" s="504"/>
      <c r="AK202" s="182"/>
      <c r="AL202" s="506"/>
      <c r="AM202" s="493" t="e">
        <f t="shared" si="122"/>
        <v>#N/A</v>
      </c>
      <c r="AN202" s="715"/>
      <c r="AO202" s="504"/>
      <c r="AP202" s="182"/>
      <c r="AQ202" s="506"/>
      <c r="AR202" s="493" t="e">
        <f t="shared" si="123"/>
        <v>#N/A</v>
      </c>
      <c r="AS202" s="715"/>
      <c r="AT202" s="504"/>
      <c r="AU202" s="182"/>
      <c r="AV202" s="506"/>
      <c r="AW202" s="496" t="e">
        <f t="shared" si="124"/>
        <v>#N/A</v>
      </c>
      <c r="AX202" s="706"/>
    </row>
    <row r="203" spans="2:50">
      <c r="B203" s="701"/>
      <c r="C203" s="493">
        <v>22</v>
      </c>
      <c r="D203" s="493"/>
      <c r="E203" s="494"/>
      <c r="F203" s="494"/>
      <c r="G203" s="494"/>
      <c r="H203" s="713"/>
      <c r="I203" s="494"/>
      <c r="J203" s="494"/>
      <c r="K203" s="495"/>
      <c r="L203" s="650"/>
      <c r="M203" s="494" t="e">
        <f>RANK(K203, K$182:$K$211)</f>
        <v>#DIV/0!</v>
      </c>
      <c r="N203" s="668"/>
      <c r="O203" s="668"/>
      <c r="P203" s="504"/>
      <c r="Q203" s="182"/>
      <c r="R203" s="506"/>
      <c r="S203" s="493" t="e">
        <f t="shared" si="118"/>
        <v>#N/A</v>
      </c>
      <c r="T203" s="715"/>
      <c r="U203" s="504"/>
      <c r="V203" s="182"/>
      <c r="W203" s="506"/>
      <c r="X203" s="493" t="e">
        <f t="shared" si="119"/>
        <v>#N/A</v>
      </c>
      <c r="Y203" s="715"/>
      <c r="Z203" s="504"/>
      <c r="AA203" s="182"/>
      <c r="AB203" s="506"/>
      <c r="AC203" s="493" t="e">
        <f t="shared" si="120"/>
        <v>#N/A</v>
      </c>
      <c r="AD203" s="715"/>
      <c r="AE203" s="504"/>
      <c r="AF203" s="182"/>
      <c r="AG203" s="506"/>
      <c r="AH203" s="493" t="e">
        <f t="shared" si="121"/>
        <v>#N/A</v>
      </c>
      <c r="AI203" s="715"/>
      <c r="AJ203" s="504"/>
      <c r="AK203" s="182"/>
      <c r="AL203" s="506"/>
      <c r="AM203" s="493" t="e">
        <f t="shared" si="122"/>
        <v>#N/A</v>
      </c>
      <c r="AN203" s="715"/>
      <c r="AO203" s="504"/>
      <c r="AP203" s="182"/>
      <c r="AQ203" s="506"/>
      <c r="AR203" s="493" t="e">
        <f t="shared" si="123"/>
        <v>#N/A</v>
      </c>
      <c r="AS203" s="715"/>
      <c r="AT203" s="504"/>
      <c r="AU203" s="182"/>
      <c r="AV203" s="506"/>
      <c r="AW203" s="496" t="e">
        <f t="shared" si="124"/>
        <v>#N/A</v>
      </c>
      <c r="AX203" s="706"/>
    </row>
    <row r="204" spans="2:50">
      <c r="B204" s="701"/>
      <c r="C204" s="493">
        <v>23</v>
      </c>
      <c r="D204" s="493"/>
      <c r="E204" s="494"/>
      <c r="F204" s="494"/>
      <c r="G204" s="494"/>
      <c r="H204" s="713"/>
      <c r="I204" s="494"/>
      <c r="J204" s="494"/>
      <c r="K204" s="495"/>
      <c r="L204" s="650"/>
      <c r="M204" s="494" t="e">
        <f>RANK(K204, K$182:$K$211)</f>
        <v>#DIV/0!</v>
      </c>
      <c r="N204" s="668"/>
      <c r="O204" s="668"/>
      <c r="P204" s="504"/>
      <c r="Q204" s="504"/>
      <c r="R204" s="506"/>
      <c r="S204" s="493" t="e">
        <f t="shared" si="118"/>
        <v>#N/A</v>
      </c>
      <c r="T204" s="715"/>
      <c r="U204" s="504"/>
      <c r="V204" s="504"/>
      <c r="W204" s="506"/>
      <c r="X204" s="493" t="e">
        <f t="shared" si="119"/>
        <v>#N/A</v>
      </c>
      <c r="Y204" s="715"/>
      <c r="Z204" s="504"/>
      <c r="AA204" s="504"/>
      <c r="AB204" s="506"/>
      <c r="AC204" s="493" t="e">
        <f t="shared" si="120"/>
        <v>#N/A</v>
      </c>
      <c r="AD204" s="715"/>
      <c r="AE204" s="504"/>
      <c r="AF204" s="504"/>
      <c r="AG204" s="506"/>
      <c r="AH204" s="493" t="e">
        <f t="shared" si="121"/>
        <v>#N/A</v>
      </c>
      <c r="AI204" s="715"/>
      <c r="AJ204" s="504"/>
      <c r="AK204" s="504"/>
      <c r="AL204" s="506"/>
      <c r="AM204" s="493" t="e">
        <f t="shared" si="122"/>
        <v>#N/A</v>
      </c>
      <c r="AN204" s="715"/>
      <c r="AO204" s="504"/>
      <c r="AP204" s="504"/>
      <c r="AQ204" s="506"/>
      <c r="AR204" s="493" t="e">
        <f t="shared" si="123"/>
        <v>#N/A</v>
      </c>
      <c r="AS204" s="715"/>
      <c r="AT204" s="504"/>
      <c r="AU204" s="504"/>
      <c r="AV204" s="506"/>
      <c r="AW204" s="496" t="e">
        <f t="shared" si="124"/>
        <v>#N/A</v>
      </c>
      <c r="AX204" s="706"/>
    </row>
    <row r="205" spans="2:50">
      <c r="B205" s="701"/>
      <c r="C205" s="493">
        <v>24</v>
      </c>
      <c r="D205" s="488"/>
      <c r="E205" s="494"/>
      <c r="F205" s="494"/>
      <c r="G205" s="494"/>
      <c r="H205" s="713"/>
      <c r="I205" s="494"/>
      <c r="J205" s="494"/>
      <c r="K205" s="495"/>
      <c r="L205" s="650"/>
      <c r="M205" s="494" t="e">
        <f>RANK(K205, K$182:$K$211)</f>
        <v>#DIV/0!</v>
      </c>
      <c r="N205" s="668"/>
      <c r="O205" s="668"/>
      <c r="P205" s="504"/>
      <c r="Q205" s="504"/>
      <c r="R205" s="504"/>
      <c r="S205" s="493" t="e">
        <f t="shared" si="118"/>
        <v>#N/A</v>
      </c>
      <c r="T205" s="715"/>
      <c r="U205" s="504"/>
      <c r="V205" s="504"/>
      <c r="W205" s="504"/>
      <c r="X205" s="493" t="e">
        <f t="shared" si="119"/>
        <v>#N/A</v>
      </c>
      <c r="Y205" s="715"/>
      <c r="Z205" s="504"/>
      <c r="AA205" s="504"/>
      <c r="AB205" s="504"/>
      <c r="AC205" s="493" t="e">
        <f t="shared" si="120"/>
        <v>#N/A</v>
      </c>
      <c r="AD205" s="715"/>
      <c r="AE205" s="504"/>
      <c r="AF205" s="504"/>
      <c r="AG205" s="504"/>
      <c r="AH205" s="493" t="e">
        <f t="shared" si="121"/>
        <v>#N/A</v>
      </c>
      <c r="AI205" s="715"/>
      <c r="AJ205" s="504"/>
      <c r="AK205" s="504"/>
      <c r="AL205" s="504"/>
      <c r="AM205" s="493" t="e">
        <f t="shared" si="122"/>
        <v>#N/A</v>
      </c>
      <c r="AN205" s="715"/>
      <c r="AO205" s="504"/>
      <c r="AP205" s="504"/>
      <c r="AQ205" s="504"/>
      <c r="AR205" s="493" t="e">
        <f t="shared" si="123"/>
        <v>#N/A</v>
      </c>
      <c r="AS205" s="715"/>
      <c r="AT205" s="504"/>
      <c r="AU205" s="504"/>
      <c r="AV205" s="504"/>
      <c r="AW205" s="496" t="e">
        <f t="shared" si="124"/>
        <v>#N/A</v>
      </c>
      <c r="AX205" s="706"/>
    </row>
    <row r="206" spans="2:50">
      <c r="B206" s="701"/>
      <c r="C206" s="493">
        <v>25</v>
      </c>
      <c r="D206" s="493"/>
      <c r="E206" s="494"/>
      <c r="F206" s="494"/>
      <c r="G206" s="494"/>
      <c r="H206" s="713"/>
      <c r="I206" s="494"/>
      <c r="J206" s="494"/>
      <c r="K206" s="495"/>
      <c r="L206" s="650"/>
      <c r="M206" s="494" t="e">
        <f>RANK(K206, K$182:$K$211)</f>
        <v>#DIV/0!</v>
      </c>
      <c r="N206" s="668"/>
      <c r="O206" s="668"/>
      <c r="P206" s="504"/>
      <c r="Q206" s="504"/>
      <c r="R206" s="504"/>
      <c r="S206" s="493" t="e">
        <f t="shared" si="118"/>
        <v>#N/A</v>
      </c>
      <c r="T206" s="715"/>
      <c r="U206" s="504"/>
      <c r="V206" s="504"/>
      <c r="W206" s="504"/>
      <c r="X206" s="493" t="e">
        <f t="shared" si="119"/>
        <v>#N/A</v>
      </c>
      <c r="Y206" s="715"/>
      <c r="Z206" s="504"/>
      <c r="AA206" s="504"/>
      <c r="AB206" s="504"/>
      <c r="AC206" s="493" t="e">
        <f t="shared" si="120"/>
        <v>#N/A</v>
      </c>
      <c r="AD206" s="715"/>
      <c r="AE206" s="504"/>
      <c r="AF206" s="504"/>
      <c r="AG206" s="504"/>
      <c r="AH206" s="493" t="e">
        <f t="shared" si="121"/>
        <v>#N/A</v>
      </c>
      <c r="AI206" s="715"/>
      <c r="AJ206" s="504"/>
      <c r="AK206" s="504"/>
      <c r="AL206" s="504"/>
      <c r="AM206" s="493" t="e">
        <f t="shared" si="122"/>
        <v>#N/A</v>
      </c>
      <c r="AN206" s="715"/>
      <c r="AO206" s="504"/>
      <c r="AP206" s="504"/>
      <c r="AQ206" s="504"/>
      <c r="AR206" s="493" t="e">
        <f t="shared" si="123"/>
        <v>#N/A</v>
      </c>
      <c r="AS206" s="715"/>
      <c r="AT206" s="504"/>
      <c r="AU206" s="504"/>
      <c r="AV206" s="504"/>
      <c r="AW206" s="496" t="e">
        <f t="shared" si="124"/>
        <v>#N/A</v>
      </c>
      <c r="AX206" s="706"/>
    </row>
    <row r="207" spans="2:50">
      <c r="B207" s="701"/>
      <c r="C207" s="493">
        <v>26</v>
      </c>
      <c r="D207" s="493"/>
      <c r="E207" s="494"/>
      <c r="F207" s="494"/>
      <c r="G207" s="494"/>
      <c r="H207" s="713"/>
      <c r="I207" s="494"/>
      <c r="J207" s="494"/>
      <c r="K207" s="495"/>
      <c r="L207" s="650"/>
      <c r="M207" s="494" t="e">
        <f>RANK(K207, K$182:$K$211)</f>
        <v>#DIV/0!</v>
      </c>
      <c r="N207" s="668"/>
      <c r="O207" s="668"/>
      <c r="P207" s="504"/>
      <c r="Q207" s="504"/>
      <c r="R207" s="504"/>
      <c r="S207" s="493" t="e">
        <f t="shared" si="118"/>
        <v>#N/A</v>
      </c>
      <c r="T207" s="715"/>
      <c r="U207" s="504"/>
      <c r="V207" s="504"/>
      <c r="W207" s="504"/>
      <c r="X207" s="493" t="e">
        <f t="shared" si="119"/>
        <v>#N/A</v>
      </c>
      <c r="Y207" s="715"/>
      <c r="Z207" s="504"/>
      <c r="AA207" s="504"/>
      <c r="AB207" s="504"/>
      <c r="AC207" s="493" t="e">
        <f t="shared" si="120"/>
        <v>#N/A</v>
      </c>
      <c r="AD207" s="715"/>
      <c r="AE207" s="504"/>
      <c r="AF207" s="504"/>
      <c r="AG207" s="504"/>
      <c r="AH207" s="493" t="e">
        <f t="shared" si="121"/>
        <v>#N/A</v>
      </c>
      <c r="AI207" s="715"/>
      <c r="AJ207" s="504"/>
      <c r="AK207" s="504"/>
      <c r="AL207" s="504"/>
      <c r="AM207" s="493" t="e">
        <f t="shared" si="122"/>
        <v>#N/A</v>
      </c>
      <c r="AN207" s="715"/>
      <c r="AO207" s="504"/>
      <c r="AP207" s="504"/>
      <c r="AQ207" s="504"/>
      <c r="AR207" s="493" t="e">
        <f t="shared" si="123"/>
        <v>#N/A</v>
      </c>
      <c r="AS207" s="715"/>
      <c r="AT207" s="504"/>
      <c r="AU207" s="504"/>
      <c r="AV207" s="504"/>
      <c r="AW207" s="496" t="e">
        <f t="shared" si="124"/>
        <v>#N/A</v>
      </c>
      <c r="AX207" s="706"/>
    </row>
    <row r="208" spans="2:50">
      <c r="B208" s="701"/>
      <c r="C208" s="493">
        <v>27</v>
      </c>
      <c r="D208" s="493"/>
      <c r="E208" s="494"/>
      <c r="F208" s="494"/>
      <c r="G208" s="494"/>
      <c r="H208" s="713"/>
      <c r="I208" s="494"/>
      <c r="J208" s="494"/>
      <c r="K208" s="495"/>
      <c r="L208" s="650"/>
      <c r="M208" s="494" t="e">
        <f>RANK(K208, K$182:$K$211)</f>
        <v>#DIV/0!</v>
      </c>
      <c r="N208" s="668"/>
      <c r="O208" s="668"/>
      <c r="P208" s="504"/>
      <c r="Q208" s="504"/>
      <c r="R208" s="504"/>
      <c r="S208" s="493" t="e">
        <f t="shared" si="118"/>
        <v>#N/A</v>
      </c>
      <c r="T208" s="715"/>
      <c r="U208" s="504"/>
      <c r="V208" s="504"/>
      <c r="W208" s="504"/>
      <c r="X208" s="493" t="e">
        <f t="shared" si="119"/>
        <v>#N/A</v>
      </c>
      <c r="Y208" s="715"/>
      <c r="Z208" s="504"/>
      <c r="AA208" s="504"/>
      <c r="AB208" s="504"/>
      <c r="AC208" s="493" t="e">
        <f t="shared" si="120"/>
        <v>#N/A</v>
      </c>
      <c r="AD208" s="715"/>
      <c r="AE208" s="504"/>
      <c r="AF208" s="504"/>
      <c r="AG208" s="504"/>
      <c r="AH208" s="493" t="e">
        <f t="shared" si="121"/>
        <v>#N/A</v>
      </c>
      <c r="AI208" s="715"/>
      <c r="AJ208" s="504"/>
      <c r="AK208" s="504"/>
      <c r="AL208" s="504"/>
      <c r="AM208" s="493" t="e">
        <f t="shared" si="122"/>
        <v>#N/A</v>
      </c>
      <c r="AN208" s="715"/>
      <c r="AO208" s="504"/>
      <c r="AP208" s="504"/>
      <c r="AQ208" s="504"/>
      <c r="AR208" s="493" t="e">
        <f t="shared" si="123"/>
        <v>#N/A</v>
      </c>
      <c r="AS208" s="715"/>
      <c r="AT208" s="504"/>
      <c r="AU208" s="504"/>
      <c r="AV208" s="504"/>
      <c r="AW208" s="496" t="e">
        <f t="shared" si="124"/>
        <v>#N/A</v>
      </c>
      <c r="AX208" s="706"/>
    </row>
    <row r="209" spans="2:50">
      <c r="B209" s="701"/>
      <c r="C209" s="493">
        <v>28</v>
      </c>
      <c r="D209" s="493"/>
      <c r="E209" s="494"/>
      <c r="F209" s="494"/>
      <c r="G209" s="494"/>
      <c r="H209" s="713"/>
      <c r="I209" s="494"/>
      <c r="J209" s="494"/>
      <c r="K209" s="495"/>
      <c r="L209" s="650"/>
      <c r="M209" s="494" t="e">
        <f>RANK(K209, K$182:$K$211)</f>
        <v>#DIV/0!</v>
      </c>
      <c r="N209" s="668"/>
      <c r="O209" s="668"/>
      <c r="P209" s="504"/>
      <c r="Q209" s="504"/>
      <c r="R209" s="504"/>
      <c r="S209" s="493" t="e">
        <f t="shared" si="118"/>
        <v>#N/A</v>
      </c>
      <c r="T209" s="715"/>
      <c r="U209" s="504"/>
      <c r="V209" s="504"/>
      <c r="W209" s="504"/>
      <c r="X209" s="493" t="e">
        <f t="shared" si="119"/>
        <v>#N/A</v>
      </c>
      <c r="Y209" s="715"/>
      <c r="Z209" s="504"/>
      <c r="AA209" s="504"/>
      <c r="AB209" s="504"/>
      <c r="AC209" s="493" t="e">
        <f t="shared" si="120"/>
        <v>#N/A</v>
      </c>
      <c r="AD209" s="715"/>
      <c r="AE209" s="504"/>
      <c r="AF209" s="504"/>
      <c r="AG209" s="504"/>
      <c r="AH209" s="493" t="e">
        <f t="shared" si="121"/>
        <v>#N/A</v>
      </c>
      <c r="AI209" s="715"/>
      <c r="AJ209" s="504"/>
      <c r="AK209" s="504"/>
      <c r="AL209" s="504"/>
      <c r="AM209" s="493" t="e">
        <f t="shared" si="122"/>
        <v>#N/A</v>
      </c>
      <c r="AN209" s="715"/>
      <c r="AO209" s="504"/>
      <c r="AP209" s="504"/>
      <c r="AQ209" s="504"/>
      <c r="AR209" s="493" t="e">
        <f t="shared" si="123"/>
        <v>#N/A</v>
      </c>
      <c r="AS209" s="715"/>
      <c r="AT209" s="504"/>
      <c r="AU209" s="504"/>
      <c r="AV209" s="504"/>
      <c r="AW209" s="496" t="e">
        <f t="shared" si="124"/>
        <v>#N/A</v>
      </c>
      <c r="AX209" s="706"/>
    </row>
    <row r="210" spans="2:50">
      <c r="B210" s="701"/>
      <c r="C210" s="493">
        <v>29</v>
      </c>
      <c r="D210" s="493"/>
      <c r="E210" s="494"/>
      <c r="F210" s="494"/>
      <c r="G210" s="494"/>
      <c r="H210" s="713"/>
      <c r="I210" s="494"/>
      <c r="J210" s="494"/>
      <c r="K210" s="495"/>
      <c r="L210" s="650"/>
      <c r="M210" s="494" t="e">
        <f>RANK(K210, K$182:$K$211)</f>
        <v>#DIV/0!</v>
      </c>
      <c r="N210" s="668"/>
      <c r="O210" s="668"/>
      <c r="P210" s="504"/>
      <c r="Q210" s="504"/>
      <c r="R210" s="504"/>
      <c r="S210" s="493" t="e">
        <f t="shared" si="118"/>
        <v>#N/A</v>
      </c>
      <c r="T210" s="715"/>
      <c r="U210" s="504"/>
      <c r="V210" s="504"/>
      <c r="W210" s="504"/>
      <c r="X210" s="493" t="e">
        <f t="shared" si="119"/>
        <v>#N/A</v>
      </c>
      <c r="Y210" s="715"/>
      <c r="Z210" s="504"/>
      <c r="AA210" s="504"/>
      <c r="AB210" s="504"/>
      <c r="AC210" s="493" t="e">
        <f t="shared" si="120"/>
        <v>#N/A</v>
      </c>
      <c r="AD210" s="715"/>
      <c r="AE210" s="504"/>
      <c r="AF210" s="504"/>
      <c r="AG210" s="504"/>
      <c r="AH210" s="493" t="e">
        <f t="shared" si="121"/>
        <v>#N/A</v>
      </c>
      <c r="AI210" s="715"/>
      <c r="AJ210" s="504"/>
      <c r="AK210" s="504"/>
      <c r="AL210" s="504"/>
      <c r="AM210" s="493" t="e">
        <f t="shared" si="122"/>
        <v>#N/A</v>
      </c>
      <c r="AN210" s="715"/>
      <c r="AO210" s="504"/>
      <c r="AP210" s="504"/>
      <c r="AQ210" s="504"/>
      <c r="AR210" s="493" t="e">
        <f t="shared" si="123"/>
        <v>#N/A</v>
      </c>
      <c r="AS210" s="715"/>
      <c r="AT210" s="504"/>
      <c r="AU210" s="504"/>
      <c r="AV210" s="504"/>
      <c r="AW210" s="496" t="e">
        <f t="shared" si="124"/>
        <v>#N/A</v>
      </c>
      <c r="AX210" s="706"/>
    </row>
    <row r="211" spans="2:50">
      <c r="B211" s="701"/>
      <c r="C211" s="493">
        <v>30</v>
      </c>
      <c r="D211" s="493"/>
      <c r="E211" s="494"/>
      <c r="F211" s="494"/>
      <c r="G211" s="494"/>
      <c r="H211" s="713"/>
      <c r="I211" s="494"/>
      <c r="J211" s="494"/>
      <c r="K211" s="495"/>
      <c r="L211" s="651"/>
      <c r="M211" s="494" t="e">
        <f>RANK(K211, K$182:$K$211)</f>
        <v>#DIV/0!</v>
      </c>
      <c r="N211" s="668"/>
      <c r="O211" s="668"/>
      <c r="P211" s="504"/>
      <c r="Q211" s="504"/>
      <c r="R211" s="504"/>
      <c r="S211" s="493" t="e">
        <f t="shared" si="118"/>
        <v>#N/A</v>
      </c>
      <c r="T211" s="715"/>
      <c r="U211" s="504"/>
      <c r="V211" s="504"/>
      <c r="W211" s="504"/>
      <c r="X211" s="493" t="e">
        <f t="shared" si="119"/>
        <v>#N/A</v>
      </c>
      <c r="Y211" s="715"/>
      <c r="Z211" s="504"/>
      <c r="AA211" s="504"/>
      <c r="AB211" s="504"/>
      <c r="AC211" s="493" t="e">
        <f t="shared" si="120"/>
        <v>#N/A</v>
      </c>
      <c r="AD211" s="715"/>
      <c r="AE211" s="504"/>
      <c r="AF211" s="504"/>
      <c r="AG211" s="504"/>
      <c r="AH211" s="493" t="e">
        <f t="shared" si="121"/>
        <v>#N/A</v>
      </c>
      <c r="AI211" s="715"/>
      <c r="AJ211" s="504"/>
      <c r="AK211" s="504"/>
      <c r="AL211" s="504"/>
      <c r="AM211" s="493" t="e">
        <f t="shared" si="122"/>
        <v>#N/A</v>
      </c>
      <c r="AN211" s="715"/>
      <c r="AO211" s="504"/>
      <c r="AP211" s="504"/>
      <c r="AQ211" s="504"/>
      <c r="AR211" s="493" t="e">
        <f t="shared" si="123"/>
        <v>#N/A</v>
      </c>
      <c r="AS211" s="715"/>
      <c r="AT211" s="504"/>
      <c r="AU211" s="504"/>
      <c r="AV211" s="504"/>
      <c r="AW211" s="496" t="e">
        <f t="shared" si="124"/>
        <v>#N/A</v>
      </c>
      <c r="AX211" s="706"/>
    </row>
    <row r="213" spans="2:50" ht="15.75">
      <c r="B213" s="707" t="s">
        <v>660</v>
      </c>
      <c r="C213" s="708"/>
      <c r="D213" s="708"/>
      <c r="E213" s="708"/>
      <c r="F213" s="708"/>
      <c r="G213" s="708"/>
      <c r="H213" s="709"/>
      <c r="I213" s="347"/>
      <c r="J213" s="347"/>
      <c r="K213" s="347"/>
      <c r="L213" s="347"/>
      <c r="M213" s="348"/>
    </row>
    <row r="214" spans="2:50" ht="15.75">
      <c r="B214" s="710"/>
      <c r="C214" s="710"/>
      <c r="D214" s="710"/>
      <c r="E214" s="710"/>
      <c r="F214" s="710"/>
      <c r="G214" s="710"/>
      <c r="H214" s="710"/>
      <c r="I214" s="349"/>
      <c r="J214" s="349"/>
      <c r="K214" s="349"/>
      <c r="L214" s="349"/>
      <c r="M214" s="350"/>
    </row>
    <row r="215" spans="2:50">
      <c r="B215" s="668" t="s">
        <v>661</v>
      </c>
      <c r="C215" s="668" t="s">
        <v>662</v>
      </c>
      <c r="D215" s="668"/>
      <c r="E215" s="668" t="s">
        <v>663</v>
      </c>
      <c r="F215" s="668"/>
      <c r="G215" s="668"/>
      <c r="H215" s="668" t="s">
        <v>664</v>
      </c>
      <c r="I215" s="711" t="s">
        <v>665</v>
      </c>
      <c r="J215" s="711"/>
      <c r="K215" s="711"/>
      <c r="L215" s="711" t="s">
        <v>664</v>
      </c>
      <c r="M215" s="711" t="s">
        <v>666</v>
      </c>
    </row>
    <row r="216" spans="2:50">
      <c r="B216" s="668"/>
      <c r="C216" s="668"/>
      <c r="D216" s="668"/>
      <c r="E216" s="668" t="s">
        <v>667</v>
      </c>
      <c r="F216" s="668"/>
      <c r="G216" s="668"/>
      <c r="H216" s="668"/>
      <c r="I216" s="711" t="s">
        <v>667</v>
      </c>
      <c r="J216" s="711"/>
      <c r="K216" s="711"/>
      <c r="L216" s="711"/>
      <c r="M216" s="711"/>
    </row>
    <row r="217" spans="2:50">
      <c r="B217" s="668"/>
      <c r="C217" s="668"/>
      <c r="D217" s="668"/>
      <c r="E217" s="344" t="s">
        <v>668</v>
      </c>
      <c r="F217" s="344" t="s">
        <v>669</v>
      </c>
      <c r="G217" s="344" t="s">
        <v>670</v>
      </c>
      <c r="H217" s="668"/>
      <c r="I217" s="351" t="s">
        <v>668</v>
      </c>
      <c r="J217" s="351" t="s">
        <v>669</v>
      </c>
      <c r="K217" s="351" t="s">
        <v>670</v>
      </c>
      <c r="L217" s="711"/>
      <c r="M217" s="711"/>
    </row>
    <row r="218" spans="2:50">
      <c r="B218" s="700" t="s">
        <v>671</v>
      </c>
      <c r="C218" s="343">
        <v>1</v>
      </c>
      <c r="D218" s="343"/>
      <c r="E218" s="343"/>
      <c r="F218" s="343"/>
      <c r="G218" s="343"/>
      <c r="H218" s="690" t="e">
        <f>AVERAGE(G218:G247)</f>
        <v>#DIV/0!</v>
      </c>
      <c r="I218" s="199" t="e">
        <f t="shared" ref="I218:K240" si="126">AVERAGEIF($D$7:$D$211,$D218,I$7:I$211)</f>
        <v>#DIV/0!</v>
      </c>
      <c r="J218" s="199" t="e">
        <f t="shared" si="126"/>
        <v>#DIV/0!</v>
      </c>
      <c r="K218" s="199" t="e">
        <f>AVERAGEIF($D$7:$D$211,$D218,K$7:K$211)</f>
        <v>#DIV/0!</v>
      </c>
      <c r="L218" s="714" t="e">
        <f>AVERAGE(K218:K247)</f>
        <v>#DIV/0!</v>
      </c>
      <c r="M218" s="199" t="e">
        <f>RANK(K218, K$218:$K$247)</f>
        <v>#DIV/0!</v>
      </c>
    </row>
    <row r="219" spans="2:50">
      <c r="B219" s="676"/>
      <c r="C219" s="343">
        <v>2</v>
      </c>
      <c r="D219" s="343"/>
      <c r="E219" s="343"/>
      <c r="F219" s="343"/>
      <c r="G219" s="530"/>
      <c r="H219" s="690"/>
      <c r="I219" s="199" t="e">
        <f t="shared" si="126"/>
        <v>#DIV/0!</v>
      </c>
      <c r="J219" s="199" t="e">
        <f t="shared" si="126"/>
        <v>#DIV/0!</v>
      </c>
      <c r="K219" s="199" t="e">
        <f t="shared" si="126"/>
        <v>#DIV/0!</v>
      </c>
      <c r="L219" s="714"/>
      <c r="M219" s="199" t="e">
        <f>RANK(K219, K$218:$K$247)</f>
        <v>#DIV/0!</v>
      </c>
    </row>
    <row r="220" spans="2:50">
      <c r="B220" s="676"/>
      <c r="C220" s="343">
        <v>3</v>
      </c>
      <c r="D220" s="343"/>
      <c r="E220" s="343"/>
      <c r="F220" s="530"/>
      <c r="G220" s="343"/>
      <c r="H220" s="690"/>
      <c r="I220" s="199" t="e">
        <f t="shared" si="126"/>
        <v>#DIV/0!</v>
      </c>
      <c r="J220" s="199" t="e">
        <f t="shared" si="126"/>
        <v>#DIV/0!</v>
      </c>
      <c r="K220" s="199" t="e">
        <f t="shared" si="126"/>
        <v>#DIV/0!</v>
      </c>
      <c r="L220" s="714"/>
      <c r="M220" s="199" t="e">
        <f>RANK(K220, K$218:$K$247)</f>
        <v>#DIV/0!</v>
      </c>
    </row>
    <row r="221" spans="2:50">
      <c r="B221" s="676"/>
      <c r="C221" s="343">
        <v>4</v>
      </c>
      <c r="D221" s="343"/>
      <c r="E221" s="343"/>
      <c r="F221" s="530"/>
      <c r="G221" s="530"/>
      <c r="H221" s="690"/>
      <c r="I221" s="199" t="e">
        <f t="shared" si="126"/>
        <v>#DIV/0!</v>
      </c>
      <c r="J221" s="199" t="e">
        <f t="shared" si="126"/>
        <v>#DIV/0!</v>
      </c>
      <c r="K221" s="199" t="e">
        <f t="shared" si="126"/>
        <v>#DIV/0!</v>
      </c>
      <c r="L221" s="714"/>
      <c r="M221" s="199" t="e">
        <f>RANK(K221, K$218:$K$247)</f>
        <v>#DIV/0!</v>
      </c>
    </row>
    <row r="222" spans="2:50">
      <c r="B222" s="676"/>
      <c r="C222" s="343">
        <v>5</v>
      </c>
      <c r="D222" s="343"/>
      <c r="E222" s="343"/>
      <c r="F222" s="530"/>
      <c r="G222" s="530"/>
      <c r="H222" s="690"/>
      <c r="I222" s="199" t="e">
        <f t="shared" si="126"/>
        <v>#DIV/0!</v>
      </c>
      <c r="J222" s="199" t="e">
        <f t="shared" si="126"/>
        <v>#DIV/0!</v>
      </c>
      <c r="K222" s="199" t="e">
        <f t="shared" si="126"/>
        <v>#DIV/0!</v>
      </c>
      <c r="L222" s="714"/>
      <c r="M222" s="199" t="e">
        <f>RANK(K222, K$218:$K$247)</f>
        <v>#DIV/0!</v>
      </c>
    </row>
    <row r="223" spans="2:50">
      <c r="B223" s="676"/>
      <c r="C223" s="343">
        <v>6</v>
      </c>
      <c r="D223" s="343"/>
      <c r="E223" s="343"/>
      <c r="F223" s="530"/>
      <c r="G223" s="530"/>
      <c r="H223" s="690"/>
      <c r="I223" s="199" t="e">
        <f t="shared" si="126"/>
        <v>#DIV/0!</v>
      </c>
      <c r="J223" s="199" t="e">
        <f t="shared" si="126"/>
        <v>#DIV/0!</v>
      </c>
      <c r="K223" s="199" t="e">
        <f t="shared" si="126"/>
        <v>#DIV/0!</v>
      </c>
      <c r="L223" s="714"/>
      <c r="M223" s="199" t="e">
        <f>RANK(K223, K$218:$K$247)</f>
        <v>#DIV/0!</v>
      </c>
    </row>
    <row r="224" spans="2:50">
      <c r="B224" s="676"/>
      <c r="C224" s="343">
        <v>7</v>
      </c>
      <c r="D224" s="529"/>
      <c r="E224" s="343"/>
      <c r="F224" s="530"/>
      <c r="G224" s="530"/>
      <c r="H224" s="690"/>
      <c r="I224" s="199" t="e">
        <f t="shared" si="126"/>
        <v>#DIV/0!</v>
      </c>
      <c r="J224" s="199" t="e">
        <f t="shared" si="126"/>
        <v>#DIV/0!</v>
      </c>
      <c r="K224" s="199" t="e">
        <f t="shared" si="126"/>
        <v>#DIV/0!</v>
      </c>
      <c r="L224" s="714"/>
      <c r="M224" s="199" t="e">
        <f>RANK(K224, K$218:$K$247)</f>
        <v>#DIV/0!</v>
      </c>
    </row>
    <row r="225" spans="2:13" s="108" customFormat="1">
      <c r="B225" s="676"/>
      <c r="C225" s="343">
        <v>8</v>
      </c>
      <c r="D225" s="529"/>
      <c r="E225" s="343"/>
      <c r="F225" s="530"/>
      <c r="G225" s="530"/>
      <c r="H225" s="690"/>
      <c r="I225" s="199" t="e">
        <f t="shared" si="126"/>
        <v>#DIV/0!</v>
      </c>
      <c r="J225" s="199" t="e">
        <f t="shared" si="126"/>
        <v>#DIV/0!</v>
      </c>
      <c r="K225" s="199" t="e">
        <f t="shared" si="126"/>
        <v>#DIV/0!</v>
      </c>
      <c r="L225" s="714"/>
      <c r="M225" s="199" t="e">
        <f>RANK(K225, K$218:$K$247)</f>
        <v>#DIV/0!</v>
      </c>
    </row>
    <row r="226" spans="2:13" s="108" customFormat="1">
      <c r="B226" s="676"/>
      <c r="C226" s="343">
        <v>9</v>
      </c>
      <c r="D226" s="343"/>
      <c r="E226" s="343"/>
      <c r="F226" s="343"/>
      <c r="G226" s="343"/>
      <c r="H226" s="690"/>
      <c r="I226" s="199" t="e">
        <f t="shared" si="126"/>
        <v>#DIV/0!</v>
      </c>
      <c r="J226" s="199" t="e">
        <f t="shared" si="126"/>
        <v>#DIV/0!</v>
      </c>
      <c r="K226" s="199" t="e">
        <f t="shared" si="126"/>
        <v>#DIV/0!</v>
      </c>
      <c r="L226" s="714"/>
      <c r="M226" s="199" t="e">
        <f>RANK(K226, K$218:$K$247)</f>
        <v>#DIV/0!</v>
      </c>
    </row>
    <row r="227" spans="2:13" s="108" customFormat="1">
      <c r="B227" s="676"/>
      <c r="C227" s="343">
        <v>10</v>
      </c>
      <c r="D227" s="343"/>
      <c r="E227" s="343"/>
      <c r="F227" s="343"/>
      <c r="G227" s="343"/>
      <c r="H227" s="690"/>
      <c r="I227" s="199" t="e">
        <f t="shared" si="126"/>
        <v>#DIV/0!</v>
      </c>
      <c r="J227" s="199" t="e">
        <f t="shared" si="126"/>
        <v>#DIV/0!</v>
      </c>
      <c r="K227" s="199" t="e">
        <f t="shared" si="126"/>
        <v>#DIV/0!</v>
      </c>
      <c r="L227" s="714"/>
      <c r="M227" s="199" t="e">
        <f>RANK(K227, K$218:$K$247)</f>
        <v>#DIV/0!</v>
      </c>
    </row>
    <row r="228" spans="2:13" s="108" customFormat="1">
      <c r="B228" s="676"/>
      <c r="C228" s="343">
        <v>11</v>
      </c>
      <c r="D228" s="343"/>
      <c r="E228" s="343"/>
      <c r="F228" s="343"/>
      <c r="G228" s="343"/>
      <c r="H228" s="690"/>
      <c r="I228" s="199" t="e">
        <f t="shared" si="126"/>
        <v>#DIV/0!</v>
      </c>
      <c r="J228" s="199" t="e">
        <f t="shared" si="126"/>
        <v>#DIV/0!</v>
      </c>
      <c r="K228" s="199" t="e">
        <f t="shared" si="126"/>
        <v>#DIV/0!</v>
      </c>
      <c r="L228" s="714"/>
      <c r="M228" s="199" t="e">
        <f>RANK(K228, K$218:$K$247)</f>
        <v>#DIV/0!</v>
      </c>
    </row>
    <row r="229" spans="2:13" s="108" customFormat="1">
      <c r="B229" s="676"/>
      <c r="C229" s="343">
        <v>12</v>
      </c>
      <c r="D229" s="343"/>
      <c r="E229" s="343"/>
      <c r="F229" s="343"/>
      <c r="G229" s="343"/>
      <c r="H229" s="690"/>
      <c r="I229" s="199" t="e">
        <f t="shared" si="126"/>
        <v>#DIV/0!</v>
      </c>
      <c r="J229" s="199" t="e">
        <f t="shared" si="126"/>
        <v>#DIV/0!</v>
      </c>
      <c r="K229" s="199" t="e">
        <f t="shared" si="126"/>
        <v>#DIV/0!</v>
      </c>
      <c r="L229" s="714"/>
      <c r="M229" s="199" t="e">
        <f>RANK(K229, K$218:$K$247)</f>
        <v>#DIV/0!</v>
      </c>
    </row>
    <row r="230" spans="2:13" s="108" customFormat="1">
      <c r="B230" s="676"/>
      <c r="C230" s="343">
        <v>13</v>
      </c>
      <c r="D230" s="343"/>
      <c r="E230" s="343"/>
      <c r="F230" s="343"/>
      <c r="G230" s="343"/>
      <c r="H230" s="690"/>
      <c r="I230" s="199" t="e">
        <f t="shared" si="126"/>
        <v>#DIV/0!</v>
      </c>
      <c r="J230" s="199" t="e">
        <f t="shared" si="126"/>
        <v>#DIV/0!</v>
      </c>
      <c r="K230" s="199" t="e">
        <f t="shared" si="126"/>
        <v>#DIV/0!</v>
      </c>
      <c r="L230" s="714"/>
      <c r="M230" s="199" t="e">
        <f>RANK(K230, K$218:$K$247)</f>
        <v>#DIV/0!</v>
      </c>
    </row>
    <row r="231" spans="2:13" s="108" customFormat="1">
      <c r="B231" s="676"/>
      <c r="C231" s="343">
        <v>14</v>
      </c>
      <c r="D231" s="343"/>
      <c r="E231" s="343"/>
      <c r="F231" s="343"/>
      <c r="G231" s="343"/>
      <c r="H231" s="690"/>
      <c r="I231" s="199" t="e">
        <f t="shared" si="126"/>
        <v>#DIV/0!</v>
      </c>
      <c r="J231" s="199" t="e">
        <f t="shared" si="126"/>
        <v>#DIV/0!</v>
      </c>
      <c r="K231" s="199" t="e">
        <f t="shared" si="126"/>
        <v>#DIV/0!</v>
      </c>
      <c r="L231" s="714"/>
      <c r="M231" s="199" t="e">
        <f>RANK(K231, K$218:$K$247)</f>
        <v>#DIV/0!</v>
      </c>
    </row>
    <row r="232" spans="2:13" s="108" customFormat="1">
      <c r="B232" s="676"/>
      <c r="C232" s="343">
        <v>15</v>
      </c>
      <c r="D232" s="343"/>
      <c r="E232" s="343"/>
      <c r="F232" s="343"/>
      <c r="G232" s="343"/>
      <c r="H232" s="690"/>
      <c r="I232" s="199" t="e">
        <f t="shared" si="126"/>
        <v>#DIV/0!</v>
      </c>
      <c r="J232" s="199" t="e">
        <f t="shared" si="126"/>
        <v>#DIV/0!</v>
      </c>
      <c r="K232" s="199" t="e">
        <f t="shared" si="126"/>
        <v>#DIV/0!</v>
      </c>
      <c r="L232" s="714"/>
      <c r="M232" s="199" t="e">
        <f>RANK(K232, K$218:$K$247)</f>
        <v>#DIV/0!</v>
      </c>
    </row>
    <row r="233" spans="2:13" s="108" customFormat="1">
      <c r="B233" s="676"/>
      <c r="C233" s="343">
        <v>16</v>
      </c>
      <c r="D233" s="343"/>
      <c r="E233" s="343"/>
      <c r="F233" s="343"/>
      <c r="G233" s="343"/>
      <c r="H233" s="690"/>
      <c r="I233" s="199" t="e">
        <f t="shared" si="126"/>
        <v>#DIV/0!</v>
      </c>
      <c r="J233" s="199" t="e">
        <f t="shared" si="126"/>
        <v>#DIV/0!</v>
      </c>
      <c r="K233" s="199" t="e">
        <f t="shared" si="126"/>
        <v>#DIV/0!</v>
      </c>
      <c r="L233" s="714"/>
      <c r="M233" s="199" t="e">
        <f>RANK(K233, K$218:$K$247)</f>
        <v>#DIV/0!</v>
      </c>
    </row>
    <row r="234" spans="2:13" s="108" customFormat="1">
      <c r="B234" s="676"/>
      <c r="C234" s="343">
        <v>17</v>
      </c>
      <c r="D234" s="343"/>
      <c r="E234" s="343"/>
      <c r="F234" s="343"/>
      <c r="G234" s="343"/>
      <c r="H234" s="690"/>
      <c r="I234" s="199" t="e">
        <f t="shared" si="126"/>
        <v>#DIV/0!</v>
      </c>
      <c r="J234" s="199" t="e">
        <f t="shared" si="126"/>
        <v>#DIV/0!</v>
      </c>
      <c r="K234" s="199" t="e">
        <f t="shared" si="126"/>
        <v>#DIV/0!</v>
      </c>
      <c r="L234" s="714"/>
      <c r="M234" s="199" t="e">
        <f>RANK(K234, K$218:$K$247)</f>
        <v>#DIV/0!</v>
      </c>
    </row>
    <row r="235" spans="2:13" s="108" customFormat="1">
      <c r="B235" s="676"/>
      <c r="C235" s="343">
        <v>18</v>
      </c>
      <c r="D235" s="343"/>
      <c r="E235" s="343"/>
      <c r="F235" s="343"/>
      <c r="G235" s="343"/>
      <c r="H235" s="690"/>
      <c r="I235" s="199" t="e">
        <f t="shared" si="126"/>
        <v>#DIV/0!</v>
      </c>
      <c r="J235" s="199" t="e">
        <f t="shared" si="126"/>
        <v>#DIV/0!</v>
      </c>
      <c r="K235" s="199" t="e">
        <f t="shared" si="126"/>
        <v>#DIV/0!</v>
      </c>
      <c r="L235" s="714"/>
      <c r="M235" s="199" t="e">
        <f>RANK(K235, K$218:$K$247)</f>
        <v>#DIV/0!</v>
      </c>
    </row>
    <row r="236" spans="2:13" s="108" customFormat="1">
      <c r="B236" s="676"/>
      <c r="C236" s="343">
        <v>19</v>
      </c>
      <c r="D236" s="343"/>
      <c r="E236" s="343"/>
      <c r="F236" s="343"/>
      <c r="G236" s="343"/>
      <c r="H236" s="690"/>
      <c r="I236" s="199" t="e">
        <f t="shared" si="126"/>
        <v>#DIV/0!</v>
      </c>
      <c r="J236" s="199" t="e">
        <f t="shared" si="126"/>
        <v>#DIV/0!</v>
      </c>
      <c r="K236" s="199" t="e">
        <f t="shared" si="126"/>
        <v>#DIV/0!</v>
      </c>
      <c r="L236" s="714"/>
      <c r="M236" s="199" t="e">
        <f>RANK(K236, K$218:$K$247)</f>
        <v>#DIV/0!</v>
      </c>
    </row>
    <row r="237" spans="2:13" s="108" customFormat="1">
      <c r="B237" s="676"/>
      <c r="C237" s="343">
        <v>20</v>
      </c>
      <c r="D237" s="343"/>
      <c r="E237" s="343"/>
      <c r="F237" s="343"/>
      <c r="G237" s="343"/>
      <c r="H237" s="690"/>
      <c r="I237" s="199" t="e">
        <f t="shared" si="126"/>
        <v>#DIV/0!</v>
      </c>
      <c r="J237" s="199" t="e">
        <f t="shared" si="126"/>
        <v>#DIV/0!</v>
      </c>
      <c r="K237" s="199" t="e">
        <f t="shared" si="126"/>
        <v>#DIV/0!</v>
      </c>
      <c r="L237" s="714"/>
      <c r="M237" s="199" t="e">
        <f>RANK(K237, K$218:$K$247)</f>
        <v>#DIV/0!</v>
      </c>
    </row>
    <row r="238" spans="2:13" s="108" customFormat="1">
      <c r="B238" s="676"/>
      <c r="C238" s="343">
        <v>21</v>
      </c>
      <c r="D238" s="343"/>
      <c r="E238" s="343"/>
      <c r="F238" s="343"/>
      <c r="G238" s="343"/>
      <c r="H238" s="690"/>
      <c r="I238" s="199" t="e">
        <f t="shared" si="126"/>
        <v>#DIV/0!</v>
      </c>
      <c r="J238" s="199" t="e">
        <f t="shared" si="126"/>
        <v>#DIV/0!</v>
      </c>
      <c r="K238" s="199" t="e">
        <f t="shared" si="126"/>
        <v>#DIV/0!</v>
      </c>
      <c r="L238" s="714"/>
      <c r="M238" s="199" t="e">
        <f>RANK(K238, K$218:$K$247)</f>
        <v>#DIV/0!</v>
      </c>
    </row>
    <row r="239" spans="2:13" s="108" customFormat="1">
      <c r="B239" s="676"/>
      <c r="C239" s="343">
        <v>22</v>
      </c>
      <c r="D239" s="343"/>
      <c r="E239" s="343"/>
      <c r="F239" s="343"/>
      <c r="G239" s="343"/>
      <c r="H239" s="690"/>
      <c r="I239" s="199" t="e">
        <f t="shared" si="126"/>
        <v>#DIV/0!</v>
      </c>
      <c r="J239" s="199" t="e">
        <f t="shared" si="126"/>
        <v>#DIV/0!</v>
      </c>
      <c r="K239" s="199" t="e">
        <f t="shared" si="126"/>
        <v>#DIV/0!</v>
      </c>
      <c r="L239" s="714"/>
      <c r="M239" s="199" t="e">
        <f>RANK(K239, K$218:$K$247)</f>
        <v>#DIV/0!</v>
      </c>
    </row>
    <row r="240" spans="2:13" s="108" customFormat="1">
      <c r="B240" s="676"/>
      <c r="C240" s="343">
        <v>23</v>
      </c>
      <c r="D240" s="343"/>
      <c r="E240" s="343"/>
      <c r="F240" s="343"/>
      <c r="G240" s="343"/>
      <c r="H240" s="690"/>
      <c r="I240" s="199" t="e">
        <f t="shared" si="126"/>
        <v>#DIV/0!</v>
      </c>
      <c r="J240" s="199" t="e">
        <f t="shared" si="126"/>
        <v>#DIV/0!</v>
      </c>
      <c r="K240" s="199" t="e">
        <f t="shared" si="126"/>
        <v>#DIV/0!</v>
      </c>
      <c r="L240" s="714"/>
      <c r="M240" s="199" t="e">
        <f>RANK(K240, K$218:$K$247)</f>
        <v>#DIV/0!</v>
      </c>
    </row>
    <row r="241" spans="2:13" s="108" customFormat="1">
      <c r="B241" s="676"/>
      <c r="C241" s="343">
        <v>24</v>
      </c>
      <c r="D241" s="343"/>
      <c r="E241" s="343"/>
      <c r="F241" s="343"/>
      <c r="G241" s="343"/>
      <c r="H241" s="690"/>
      <c r="I241" s="199"/>
      <c r="J241" s="199"/>
      <c r="K241" s="199"/>
      <c r="L241" s="714"/>
      <c r="M241" s="199" t="e">
        <f>RANK(K241, K$218:$K$247)</f>
        <v>#DIV/0!</v>
      </c>
    </row>
    <row r="242" spans="2:13" s="108" customFormat="1">
      <c r="B242" s="676"/>
      <c r="C242" s="343">
        <v>25</v>
      </c>
      <c r="D242" s="343"/>
      <c r="E242" s="343"/>
      <c r="F242" s="343"/>
      <c r="G242" s="343"/>
      <c r="H242" s="690"/>
      <c r="I242" s="199"/>
      <c r="J242" s="199"/>
      <c r="K242" s="199"/>
      <c r="L242" s="714"/>
      <c r="M242" s="199" t="e">
        <f>RANK(K242, K$218:$K$247)</f>
        <v>#DIV/0!</v>
      </c>
    </row>
    <row r="243" spans="2:13" s="108" customFormat="1">
      <c r="B243" s="676"/>
      <c r="C243" s="343">
        <v>26</v>
      </c>
      <c r="D243" s="343"/>
      <c r="E243" s="343"/>
      <c r="F243" s="343"/>
      <c r="G243" s="343"/>
      <c r="H243" s="690"/>
      <c r="I243" s="199"/>
      <c r="J243" s="199"/>
      <c r="K243" s="199"/>
      <c r="L243" s="714"/>
      <c r="M243" s="199" t="e">
        <f>RANK(K243, K$218:$K$247)</f>
        <v>#DIV/0!</v>
      </c>
    </row>
    <row r="244" spans="2:13" s="108" customFormat="1">
      <c r="B244" s="676"/>
      <c r="C244" s="343">
        <v>27</v>
      </c>
      <c r="D244" s="343"/>
      <c r="E244" s="343"/>
      <c r="F244" s="343"/>
      <c r="G244" s="343"/>
      <c r="H244" s="690"/>
      <c r="I244" s="199"/>
      <c r="J244" s="199"/>
      <c r="K244" s="199"/>
      <c r="L244" s="714"/>
      <c r="M244" s="199" t="e">
        <f>RANK(K244, K$218:$K$247)</f>
        <v>#DIV/0!</v>
      </c>
    </row>
    <row r="245" spans="2:13" s="108" customFormat="1">
      <c r="B245" s="676"/>
      <c r="C245" s="343">
        <v>28</v>
      </c>
      <c r="D245" s="343"/>
      <c r="E245" s="343"/>
      <c r="F245" s="343"/>
      <c r="G245" s="343"/>
      <c r="H245" s="690"/>
      <c r="I245" s="199"/>
      <c r="J245" s="199"/>
      <c r="K245" s="199"/>
      <c r="L245" s="714"/>
      <c r="M245" s="199" t="e">
        <f>RANK(K245, K$218:$K$247)</f>
        <v>#DIV/0!</v>
      </c>
    </row>
    <row r="246" spans="2:13" s="108" customFormat="1">
      <c r="B246" s="676"/>
      <c r="C246" s="343">
        <v>29</v>
      </c>
      <c r="D246" s="343"/>
      <c r="E246" s="343"/>
      <c r="F246" s="343"/>
      <c r="G246" s="343"/>
      <c r="H246" s="690"/>
      <c r="I246" s="199"/>
      <c r="J246" s="199"/>
      <c r="K246" s="199"/>
      <c r="L246" s="714"/>
      <c r="M246" s="199" t="e">
        <f>RANK(K246, K$218:$K$247)</f>
        <v>#DIV/0!</v>
      </c>
    </row>
    <row r="247" spans="2:13" s="108" customFormat="1">
      <c r="B247" s="676"/>
      <c r="C247" s="343">
        <v>30</v>
      </c>
      <c r="D247" s="343"/>
      <c r="E247" s="343"/>
      <c r="F247" s="343"/>
      <c r="G247" s="343"/>
      <c r="H247" s="690"/>
      <c r="I247" s="199"/>
      <c r="J247" s="199"/>
      <c r="K247" s="199"/>
      <c r="L247" s="714"/>
      <c r="M247" s="199" t="e">
        <f>RANK(K247, K$218:$K$247)</f>
        <v>#DIV/0!</v>
      </c>
    </row>
    <row r="250" spans="2:13" s="108" customFormat="1">
      <c r="C250" s="107"/>
      <c r="D250" s="530" t="s">
        <v>361</v>
      </c>
      <c r="E250" s="530">
        <v>4</v>
      </c>
      <c r="F250" s="530">
        <v>2700</v>
      </c>
      <c r="G250" s="530">
        <f>F250/E250</f>
        <v>675</v>
      </c>
      <c r="H250" s="107">
        <v>704.2</v>
      </c>
      <c r="I250" s="107"/>
      <c r="J250" s="107"/>
      <c r="K250" s="107"/>
      <c r="L250" s="107"/>
      <c r="M250" s="107"/>
    </row>
    <row r="251" spans="2:13" s="108" customFormat="1">
      <c r="C251" s="107"/>
      <c r="D251" s="530" t="s">
        <v>363</v>
      </c>
      <c r="E251" s="530">
        <v>3</v>
      </c>
      <c r="F251" s="530">
        <v>2700</v>
      </c>
      <c r="G251" s="530">
        <f t="shared" ref="G251:G255" si="127">F251/E251</f>
        <v>900</v>
      </c>
      <c r="H251" s="107"/>
      <c r="I251" s="107"/>
      <c r="J251" s="107"/>
      <c r="K251" s="107"/>
      <c r="L251" s="107"/>
      <c r="M251" s="107"/>
    </row>
    <row r="252" spans="2:13" s="108" customFormat="1">
      <c r="C252" s="107"/>
      <c r="D252" s="530" t="s">
        <v>364</v>
      </c>
      <c r="E252" s="530">
        <v>4</v>
      </c>
      <c r="F252" s="530">
        <v>2700</v>
      </c>
      <c r="G252" s="530">
        <f t="shared" si="127"/>
        <v>675</v>
      </c>
      <c r="H252" s="107"/>
      <c r="I252" s="107"/>
      <c r="J252" s="107"/>
      <c r="K252" s="107"/>
      <c r="L252" s="107"/>
      <c r="M252" s="107"/>
    </row>
    <row r="253" spans="2:13" s="108" customFormat="1">
      <c r="C253" s="107"/>
      <c r="D253" s="530" t="s">
        <v>759</v>
      </c>
      <c r="E253" s="530">
        <v>4</v>
      </c>
      <c r="F253" s="530">
        <v>2700</v>
      </c>
      <c r="G253" s="530">
        <f t="shared" si="127"/>
        <v>675</v>
      </c>
      <c r="H253" s="107"/>
      <c r="I253" s="107"/>
      <c r="J253" s="107"/>
      <c r="K253" s="107"/>
      <c r="L253" s="107"/>
      <c r="M253" s="107"/>
    </row>
    <row r="254" spans="2:13" s="108" customFormat="1">
      <c r="C254" s="107"/>
      <c r="D254" s="529" t="s">
        <v>875</v>
      </c>
      <c r="E254" s="530">
        <v>4</v>
      </c>
      <c r="F254" s="530">
        <v>2600</v>
      </c>
      <c r="G254" s="530">
        <f t="shared" si="127"/>
        <v>650</v>
      </c>
      <c r="H254" s="107"/>
      <c r="I254" s="107"/>
      <c r="J254" s="107"/>
      <c r="K254" s="107"/>
      <c r="L254" s="107"/>
      <c r="M254" s="107"/>
    </row>
    <row r="255" spans="2:13" s="108" customFormat="1">
      <c r="C255" s="107"/>
      <c r="D255" s="529" t="s">
        <v>876</v>
      </c>
      <c r="E255" s="530">
        <v>4</v>
      </c>
      <c r="F255" s="530">
        <v>2600</v>
      </c>
      <c r="G255" s="530">
        <f t="shared" si="127"/>
        <v>650</v>
      </c>
      <c r="H255" s="107"/>
      <c r="I255" s="107"/>
      <c r="J255" s="107"/>
      <c r="K255" s="107"/>
      <c r="L255" s="107"/>
      <c r="M255" s="107"/>
    </row>
    <row r="257" spans="4:8" s="108" customFormat="1">
      <c r="D257" s="530" t="s">
        <v>361</v>
      </c>
      <c r="E257" s="530">
        <v>4</v>
      </c>
      <c r="F257" s="530">
        <v>3300</v>
      </c>
      <c r="G257" s="530">
        <f>F257/E257</f>
        <v>825</v>
      </c>
      <c r="H257" s="107">
        <v>845.8</v>
      </c>
    </row>
    <row r="258" spans="4:8" s="108" customFormat="1">
      <c r="D258" s="530" t="s">
        <v>363</v>
      </c>
      <c r="E258" s="530">
        <v>3</v>
      </c>
      <c r="F258" s="530">
        <v>3300</v>
      </c>
      <c r="G258" s="530">
        <f t="shared" ref="G258:G262" si="128">F258/E258</f>
        <v>1100</v>
      </c>
      <c r="H258" s="107"/>
    </row>
    <row r="259" spans="4:8" s="108" customFormat="1">
      <c r="D259" s="530" t="s">
        <v>364</v>
      </c>
      <c r="E259" s="530">
        <v>4</v>
      </c>
      <c r="F259" s="530">
        <v>3300</v>
      </c>
      <c r="G259" s="530">
        <f t="shared" si="128"/>
        <v>825</v>
      </c>
      <c r="H259" s="107"/>
    </row>
    <row r="260" spans="4:8" s="108" customFormat="1">
      <c r="D260" s="530" t="s">
        <v>759</v>
      </c>
      <c r="E260" s="530">
        <v>4</v>
      </c>
      <c r="F260" s="530">
        <v>3100</v>
      </c>
      <c r="G260" s="530">
        <f t="shared" si="128"/>
        <v>775</v>
      </c>
      <c r="H260" s="107"/>
    </row>
    <row r="261" spans="4:8" s="108" customFormat="1">
      <c r="D261" s="529" t="s">
        <v>875</v>
      </c>
      <c r="E261" s="530">
        <v>4</v>
      </c>
      <c r="F261" s="530">
        <v>3100</v>
      </c>
      <c r="G261" s="530">
        <f t="shared" si="128"/>
        <v>775</v>
      </c>
      <c r="H261" s="107"/>
    </row>
    <row r="262" spans="4:8" s="108" customFormat="1">
      <c r="D262" s="529" t="s">
        <v>876</v>
      </c>
      <c r="E262" s="530">
        <v>4</v>
      </c>
      <c r="F262" s="530">
        <v>3100</v>
      </c>
      <c r="G262" s="530">
        <f t="shared" si="128"/>
        <v>775</v>
      </c>
      <c r="H262" s="107"/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9" zoomScale="70" zoomScaleNormal="70" workbookViewId="0">
      <pane xSplit="15" topLeftCell="P1" activePane="topRight" state="frozen"/>
      <selection activeCell="P2" sqref="P2:AX2"/>
      <selection pane="topRight" activeCell="P47" sqref="P4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AVERAGE(L7,L27,L47,L87,L87,L107)</f>
        <v>176.69514509891619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5" t="s">
        <v>158</v>
      </c>
      <c r="Q3" s="676"/>
      <c r="R3" s="676"/>
      <c r="S3" s="676"/>
      <c r="T3" s="676"/>
      <c r="U3" s="675" t="s">
        <v>114</v>
      </c>
      <c r="V3" s="676"/>
      <c r="W3" s="676"/>
      <c r="X3" s="676"/>
      <c r="Y3" s="676"/>
      <c r="Z3" s="675" t="s">
        <v>159</v>
      </c>
      <c r="AA3" s="676"/>
      <c r="AB3" s="676"/>
      <c r="AC3" s="676"/>
      <c r="AD3" s="676"/>
      <c r="AE3" s="675" t="s">
        <v>157</v>
      </c>
      <c r="AF3" s="676"/>
      <c r="AG3" s="676"/>
      <c r="AH3" s="676"/>
      <c r="AI3" s="676"/>
      <c r="AJ3" s="675" t="s">
        <v>160</v>
      </c>
      <c r="AK3" s="676"/>
      <c r="AL3" s="676"/>
      <c r="AM3" s="676"/>
      <c r="AN3" s="676"/>
      <c r="AO3" s="675" t="s">
        <v>115</v>
      </c>
      <c r="AP3" s="676"/>
      <c r="AQ3" s="676"/>
      <c r="AR3" s="676"/>
      <c r="AS3" s="676"/>
      <c r="AT3" s="675" t="s">
        <v>162</v>
      </c>
      <c r="AU3" s="676"/>
      <c r="AV3" s="676"/>
      <c r="AW3" s="676"/>
      <c r="AX3" s="676"/>
    </row>
    <row r="4" spans="1:54" ht="14.25">
      <c r="A4" s="81"/>
      <c r="B4" s="668" t="s">
        <v>841</v>
      </c>
      <c r="C4" s="668" t="s">
        <v>842</v>
      </c>
      <c r="D4" s="668"/>
      <c r="E4" s="668" t="s">
        <v>843</v>
      </c>
      <c r="F4" s="668"/>
      <c r="G4" s="668"/>
      <c r="H4" s="684" t="s">
        <v>844</v>
      </c>
      <c r="I4" s="668" t="s">
        <v>845</v>
      </c>
      <c r="J4" s="668"/>
      <c r="K4" s="668"/>
      <c r="L4" s="684" t="s">
        <v>844</v>
      </c>
      <c r="M4" s="669" t="s">
        <v>846</v>
      </c>
      <c r="N4" s="668"/>
      <c r="O4" s="668" t="s">
        <v>847</v>
      </c>
      <c r="P4" s="665" t="s">
        <v>848</v>
      </c>
      <c r="Q4" s="666"/>
      <c r="R4" s="666"/>
      <c r="S4" s="667"/>
      <c r="T4" s="668" t="s">
        <v>844</v>
      </c>
      <c r="U4" s="665" t="s">
        <v>848</v>
      </c>
      <c r="V4" s="666"/>
      <c r="W4" s="666"/>
      <c r="X4" s="667"/>
      <c r="Y4" s="668" t="s">
        <v>844</v>
      </c>
      <c r="Z4" s="665" t="s">
        <v>848</v>
      </c>
      <c r="AA4" s="666"/>
      <c r="AB4" s="666"/>
      <c r="AC4" s="667"/>
      <c r="AD4" s="668" t="s">
        <v>844</v>
      </c>
      <c r="AE4" s="665" t="s">
        <v>848</v>
      </c>
      <c r="AF4" s="666"/>
      <c r="AG4" s="666"/>
      <c r="AH4" s="667"/>
      <c r="AI4" s="668" t="s">
        <v>844</v>
      </c>
      <c r="AJ4" s="665" t="s">
        <v>848</v>
      </c>
      <c r="AK4" s="666"/>
      <c r="AL4" s="666"/>
      <c r="AM4" s="667"/>
      <c r="AN4" s="668" t="s">
        <v>844</v>
      </c>
      <c r="AO4" s="665" t="s">
        <v>848</v>
      </c>
      <c r="AP4" s="666"/>
      <c r="AQ4" s="666"/>
      <c r="AR4" s="667"/>
      <c r="AS4" s="668" t="s">
        <v>844</v>
      </c>
      <c r="AT4" s="665" t="s">
        <v>848</v>
      </c>
      <c r="AU4" s="666"/>
      <c r="AV4" s="666"/>
      <c r="AW4" s="667"/>
      <c r="AX4" s="668" t="s">
        <v>844</v>
      </c>
    </row>
    <row r="5" spans="1:54" ht="14.25">
      <c r="A5" s="81"/>
      <c r="B5" s="668"/>
      <c r="C5" s="668"/>
      <c r="D5" s="668"/>
      <c r="E5" s="668" t="s">
        <v>849</v>
      </c>
      <c r="F5" s="668"/>
      <c r="G5" s="668"/>
      <c r="H5" s="685"/>
      <c r="I5" s="668" t="s">
        <v>849</v>
      </c>
      <c r="J5" s="668"/>
      <c r="K5" s="668"/>
      <c r="L5" s="685"/>
      <c r="M5" s="670"/>
      <c r="N5" s="668"/>
      <c r="O5" s="668"/>
      <c r="P5" s="665" t="s">
        <v>850</v>
      </c>
      <c r="Q5" s="666"/>
      <c r="R5" s="666"/>
      <c r="S5" s="667"/>
      <c r="T5" s="668"/>
      <c r="U5" s="665" t="s">
        <v>850</v>
      </c>
      <c r="V5" s="666"/>
      <c r="W5" s="666"/>
      <c r="X5" s="667"/>
      <c r="Y5" s="668"/>
      <c r="Z5" s="665" t="s">
        <v>850</v>
      </c>
      <c r="AA5" s="666"/>
      <c r="AB5" s="666"/>
      <c r="AC5" s="667"/>
      <c r="AD5" s="668"/>
      <c r="AE5" s="665" t="s">
        <v>850</v>
      </c>
      <c r="AF5" s="666"/>
      <c r="AG5" s="666"/>
      <c r="AH5" s="667"/>
      <c r="AI5" s="668"/>
      <c r="AJ5" s="665" t="s">
        <v>850</v>
      </c>
      <c r="AK5" s="666"/>
      <c r="AL5" s="666"/>
      <c r="AM5" s="667"/>
      <c r="AN5" s="668"/>
      <c r="AO5" s="665" t="s">
        <v>850</v>
      </c>
      <c r="AP5" s="666"/>
      <c r="AQ5" s="666"/>
      <c r="AR5" s="667"/>
      <c r="AS5" s="668"/>
      <c r="AT5" s="665" t="s">
        <v>850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03" t="s">
        <v>851</v>
      </c>
      <c r="F6" s="503" t="s">
        <v>852</v>
      </c>
      <c r="G6" s="503" t="s">
        <v>853</v>
      </c>
      <c r="H6" s="686"/>
      <c r="I6" s="503" t="s">
        <v>851</v>
      </c>
      <c r="J6" s="503" t="s">
        <v>852</v>
      </c>
      <c r="K6" s="503" t="s">
        <v>853</v>
      </c>
      <c r="L6" s="686"/>
      <c r="M6" s="671"/>
      <c r="N6" s="668"/>
      <c r="O6" s="668"/>
      <c r="P6" s="503" t="s">
        <v>851</v>
      </c>
      <c r="Q6" s="503" t="s">
        <v>852</v>
      </c>
      <c r="R6" s="503" t="s">
        <v>853</v>
      </c>
      <c r="S6" s="503" t="s">
        <v>846</v>
      </c>
      <c r="T6" s="668"/>
      <c r="U6" s="503" t="s">
        <v>851</v>
      </c>
      <c r="V6" s="503" t="s">
        <v>852</v>
      </c>
      <c r="W6" s="503" t="s">
        <v>853</v>
      </c>
      <c r="X6" s="503" t="s">
        <v>846</v>
      </c>
      <c r="Y6" s="668"/>
      <c r="Z6" s="503" t="s">
        <v>851</v>
      </c>
      <c r="AA6" s="503" t="s">
        <v>852</v>
      </c>
      <c r="AB6" s="503" t="s">
        <v>853</v>
      </c>
      <c r="AC6" s="503" t="s">
        <v>846</v>
      </c>
      <c r="AD6" s="668"/>
      <c r="AE6" s="503" t="s">
        <v>851</v>
      </c>
      <c r="AF6" s="503" t="s">
        <v>852</v>
      </c>
      <c r="AG6" s="503" t="s">
        <v>853</v>
      </c>
      <c r="AH6" s="503" t="s">
        <v>846</v>
      </c>
      <c r="AI6" s="668"/>
      <c r="AJ6" s="503" t="s">
        <v>851</v>
      </c>
      <c r="AK6" s="503" t="s">
        <v>852</v>
      </c>
      <c r="AL6" s="503" t="s">
        <v>853</v>
      </c>
      <c r="AM6" s="503" t="s">
        <v>846</v>
      </c>
      <c r="AN6" s="668"/>
      <c r="AO6" s="503" t="s">
        <v>851</v>
      </c>
      <c r="AP6" s="503" t="s">
        <v>852</v>
      </c>
      <c r="AQ6" s="503" t="s">
        <v>853</v>
      </c>
      <c r="AR6" s="503" t="s">
        <v>846</v>
      </c>
      <c r="AS6" s="668"/>
      <c r="AT6" s="503" t="s">
        <v>851</v>
      </c>
      <c r="AU6" s="503" t="s">
        <v>852</v>
      </c>
      <c r="AV6" s="503" t="s">
        <v>853</v>
      </c>
      <c r="AW6" s="503" t="s">
        <v>846</v>
      </c>
      <c r="AX6" s="668"/>
    </row>
    <row r="7" spans="1:54" ht="14.25">
      <c r="A7" s="81"/>
      <c r="B7" s="716" t="s">
        <v>854</v>
      </c>
      <c r="C7" s="505">
        <v>1</v>
      </c>
      <c r="D7" s="498" t="s">
        <v>922</v>
      </c>
      <c r="E7" s="509">
        <v>10</v>
      </c>
      <c r="F7" s="509">
        <v>1500</v>
      </c>
      <c r="G7" s="509">
        <v>150</v>
      </c>
      <c r="H7" s="712">
        <f>AVERAGE(G7:G21)</f>
        <v>170</v>
      </c>
      <c r="I7" s="509">
        <f>AVERAGE(P7,U7,Z7,AE7,AJ7,AO7,AT7)</f>
        <v>11.142857142857142</v>
      </c>
      <c r="J7" s="509">
        <f>AVERAGE(Q7,V7,AA7,AF7,AK7,AP7,AU7)</f>
        <v>1518.1428571428548</v>
      </c>
      <c r="K7" s="507">
        <f>AVERAGE(R7,W7,AB7,AG7,AL7,AQ7,AV7)</f>
        <v>137.52380952380932</v>
      </c>
      <c r="L7" s="712">
        <f>AVERAGE(K7:K21)</f>
        <v>182.60525037107632</v>
      </c>
      <c r="M7" s="508">
        <f>RANK(K7, K$7:$K$21)</f>
        <v>5</v>
      </c>
      <c r="N7" s="668"/>
      <c r="O7" s="668"/>
      <c r="P7" s="505">
        <v>10</v>
      </c>
      <c r="Q7" s="509">
        <v>1403.9999999999975</v>
      </c>
      <c r="R7" s="509">
        <v>140.39999999999975</v>
      </c>
      <c r="S7" s="504">
        <f>RANK(R7, R$7:R$21)</f>
        <v>4</v>
      </c>
      <c r="T7" s="715">
        <f>AVERAGE(R7:R21)</f>
        <v>176.96833408137755</v>
      </c>
      <c r="U7" s="573">
        <v>10</v>
      </c>
      <c r="V7" s="574">
        <v>1537.9999999999973</v>
      </c>
      <c r="W7" s="574">
        <v>153.79999999999973</v>
      </c>
      <c r="X7" s="504">
        <f>RANK(W7, W$7:W$21)</f>
        <v>3</v>
      </c>
      <c r="Y7" s="715">
        <f t="shared" ref="Y7" si="0">AVERAGE(W7:W21)</f>
        <v>185.82850241545876</v>
      </c>
      <c r="Z7" s="573">
        <v>12</v>
      </c>
      <c r="AA7" s="574">
        <v>1486.0000000000014</v>
      </c>
      <c r="AB7" s="574">
        <v>123.83333333333344</v>
      </c>
      <c r="AC7" s="504">
        <f>RANK(AB7, AB$7:AB$21)</f>
        <v>5</v>
      </c>
      <c r="AD7" s="715">
        <f t="shared" ref="AD7" si="1">AVERAGE(AB7:AB21)</f>
        <v>175.97301587301578</v>
      </c>
      <c r="AE7" s="573">
        <v>10</v>
      </c>
      <c r="AF7" s="574">
        <v>1682.9999999999925</v>
      </c>
      <c r="AG7" s="574">
        <v>168.29999999999924</v>
      </c>
      <c r="AH7" s="504">
        <f>RANK(AG7, AG$7:AG$21)</f>
        <v>3</v>
      </c>
      <c r="AI7" s="715">
        <f t="shared" ref="AI7" si="2">AVERAGE(AG7:AG21)</f>
        <v>190.87981492192003</v>
      </c>
      <c r="AJ7" s="573">
        <v>12</v>
      </c>
      <c r="AK7" s="574">
        <v>1619.9999999999993</v>
      </c>
      <c r="AL7" s="574">
        <v>134.99999999999994</v>
      </c>
      <c r="AM7" s="504">
        <f>RANK(AL7, AL$7:AL$21)</f>
        <v>5</v>
      </c>
      <c r="AN7" s="715">
        <f t="shared" ref="AN7" si="3">AVERAGE(AL7:AL21)</f>
        <v>177.38539682539707</v>
      </c>
      <c r="AO7" s="573">
        <v>12</v>
      </c>
      <c r="AP7" s="574">
        <v>1447.9999999999975</v>
      </c>
      <c r="AQ7" s="574">
        <v>120.66666666666646</v>
      </c>
      <c r="AR7" s="504">
        <f>RANK(AQ7, AQ$7:AQ$21)</f>
        <v>5</v>
      </c>
      <c r="AS7" s="715">
        <f t="shared" ref="AS7" si="4">AVERAGE(AQ7:AQ21)</f>
        <v>180.06848140965801</v>
      </c>
      <c r="AT7" s="573">
        <v>12</v>
      </c>
      <c r="AU7" s="574">
        <v>1447.9999999999975</v>
      </c>
      <c r="AV7" s="574">
        <v>120.66666666666646</v>
      </c>
      <c r="AW7" s="504">
        <f>RANK(AV7, AV$7:AV$21)</f>
        <v>5</v>
      </c>
      <c r="AX7" s="715">
        <f t="shared" ref="AX7" si="5">AVERAGE(AV7:AV21)</f>
        <v>191.13320707070713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701"/>
      <c r="C8" s="505">
        <v>2</v>
      </c>
      <c r="D8" s="498" t="s">
        <v>923</v>
      </c>
      <c r="E8" s="509">
        <v>15</v>
      </c>
      <c r="F8" s="509">
        <v>1800</v>
      </c>
      <c r="G8" s="509">
        <v>120</v>
      </c>
      <c r="H8" s="713"/>
      <c r="I8" s="509">
        <f t="shared" ref="I8:K10" si="6">AVERAGE(P8,U8,Z8,AE8,AJ8,AO8,AT8)</f>
        <v>12.142857142857142</v>
      </c>
      <c r="J8" s="509">
        <f t="shared" si="6"/>
        <v>1791.8040816326527</v>
      </c>
      <c r="K8" s="507">
        <f t="shared" si="6"/>
        <v>147.68452817024243</v>
      </c>
      <c r="L8" s="713"/>
      <c r="M8" s="508">
        <f>RANK(K8, K$7:$K$21)</f>
        <v>4</v>
      </c>
      <c r="N8" s="668"/>
      <c r="O8" s="668"/>
      <c r="P8" s="505">
        <v>13</v>
      </c>
      <c r="Q8" s="509">
        <v>1782.6666666666667</v>
      </c>
      <c r="R8" s="509">
        <v>137.12820512820514</v>
      </c>
      <c r="S8" s="504">
        <f t="shared" ref="S8:S21" si="7">RANK(R8, R$7:R$21)</f>
        <v>5</v>
      </c>
      <c r="T8" s="715"/>
      <c r="U8" s="573">
        <v>12</v>
      </c>
      <c r="V8" s="574">
        <v>1699.199999999995</v>
      </c>
      <c r="W8" s="574">
        <v>141.5999999999996</v>
      </c>
      <c r="X8" s="504">
        <f t="shared" ref="X8:X21" si="8">RANK(W8, W$7:W$21)</f>
        <v>5</v>
      </c>
      <c r="Y8" s="715"/>
      <c r="Z8" s="573">
        <v>12</v>
      </c>
      <c r="AA8" s="574">
        <v>1808</v>
      </c>
      <c r="AB8" s="574">
        <v>150.66666666666666</v>
      </c>
      <c r="AC8" s="504">
        <f t="shared" ref="AC8:AC21" si="9">RANK(AB8, AB$7:AB$21)</f>
        <v>3</v>
      </c>
      <c r="AD8" s="715"/>
      <c r="AE8" s="573">
        <v>12</v>
      </c>
      <c r="AF8" s="574">
        <v>1837.7142857142878</v>
      </c>
      <c r="AG8" s="574">
        <v>153.14285714285731</v>
      </c>
      <c r="AH8" s="504">
        <f t="shared" ref="AH8:AH21" si="10">RANK(AG8, AG$7:AG$21)</f>
        <v>5</v>
      </c>
      <c r="AI8" s="715"/>
      <c r="AJ8" s="573">
        <v>12</v>
      </c>
      <c r="AK8" s="574">
        <v>1777.7142857142878</v>
      </c>
      <c r="AL8" s="574">
        <v>148.14285714285731</v>
      </c>
      <c r="AM8" s="504">
        <f t="shared" ref="AM8:AM21" si="11">RANK(AL8, AL$7:AL$21)</f>
        <v>4</v>
      </c>
      <c r="AN8" s="715"/>
      <c r="AO8" s="573">
        <v>12</v>
      </c>
      <c r="AP8" s="574">
        <v>1818.6666666666665</v>
      </c>
      <c r="AQ8" s="574">
        <v>151.55555555555554</v>
      </c>
      <c r="AR8" s="504">
        <f t="shared" ref="AR8:AR21" si="12">RANK(AQ8, AQ$7:AQ$21)</f>
        <v>3</v>
      </c>
      <c r="AS8" s="715"/>
      <c r="AT8" s="573">
        <v>12</v>
      </c>
      <c r="AU8" s="574">
        <v>1818.6666666666665</v>
      </c>
      <c r="AV8" s="574">
        <v>151.55555555555554</v>
      </c>
      <c r="AW8" s="504">
        <f t="shared" ref="AW8:AW21" si="13">RANK(AV8, AV$7:AV$21)</f>
        <v>4</v>
      </c>
      <c r="AX8" s="715"/>
      <c r="AZ8" s="362" t="e">
        <f>RANK(AX8, $K$7:AX$21)</f>
        <v>#N/A</v>
      </c>
      <c r="BB8" s="359" t="e">
        <f t="shared" ref="BB8:BB21" si="14">RANK(BA8, BA$7:BA$21)</f>
        <v>#N/A</v>
      </c>
    </row>
    <row r="9" spans="1:54" ht="14.25">
      <c r="A9" s="81"/>
      <c r="B9" s="701"/>
      <c r="C9" s="505">
        <v>3</v>
      </c>
      <c r="D9" s="498" t="s">
        <v>366</v>
      </c>
      <c r="E9" s="509">
        <v>15</v>
      </c>
      <c r="F9" s="509">
        <v>1800</v>
      </c>
      <c r="G9" s="509">
        <v>120</v>
      </c>
      <c r="H9" s="713"/>
      <c r="I9" s="509">
        <f t="shared" si="6"/>
        <v>12.142857142857142</v>
      </c>
      <c r="J9" s="509">
        <f t="shared" si="6"/>
        <v>1834.9877551020413</v>
      </c>
      <c r="K9" s="507">
        <f t="shared" si="6"/>
        <v>151.21723356009073</v>
      </c>
      <c r="L9" s="713"/>
      <c r="M9" s="508">
        <f>RANK(K9, K$7:$K$21)</f>
        <v>3</v>
      </c>
      <c r="N9" s="668"/>
      <c r="O9" s="668"/>
      <c r="P9" s="505">
        <v>13</v>
      </c>
      <c r="Q9" s="509">
        <v>1854.6666666666667</v>
      </c>
      <c r="R9" s="509">
        <v>142.66666666666669</v>
      </c>
      <c r="S9" s="504">
        <f t="shared" si="7"/>
        <v>3</v>
      </c>
      <c r="T9" s="715"/>
      <c r="U9" s="573">
        <v>12</v>
      </c>
      <c r="V9" s="574">
        <v>1811.9999999999948</v>
      </c>
      <c r="W9" s="574">
        <v>150.99999999999957</v>
      </c>
      <c r="X9" s="504">
        <f t="shared" si="8"/>
        <v>4</v>
      </c>
      <c r="Y9" s="715"/>
      <c r="Z9" s="573">
        <v>12</v>
      </c>
      <c r="AA9" s="574">
        <v>1733.999999999995</v>
      </c>
      <c r="AB9" s="574">
        <v>144.49999999999957</v>
      </c>
      <c r="AC9" s="504">
        <f t="shared" si="9"/>
        <v>4</v>
      </c>
      <c r="AD9" s="715"/>
      <c r="AE9" s="573">
        <v>12</v>
      </c>
      <c r="AF9" s="574">
        <v>1883.999999999998</v>
      </c>
      <c r="AG9" s="574">
        <v>156.99999999999983</v>
      </c>
      <c r="AH9" s="504">
        <f t="shared" si="10"/>
        <v>4</v>
      </c>
      <c r="AI9" s="715"/>
      <c r="AJ9" s="573">
        <v>12</v>
      </c>
      <c r="AK9" s="574">
        <v>1909.7142857142928</v>
      </c>
      <c r="AL9" s="574">
        <v>159.14285714285774</v>
      </c>
      <c r="AM9" s="504">
        <f t="shared" si="11"/>
        <v>3</v>
      </c>
      <c r="AN9" s="715"/>
      <c r="AO9" s="573">
        <v>12</v>
      </c>
      <c r="AP9" s="574">
        <v>1729.2000000000062</v>
      </c>
      <c r="AQ9" s="574">
        <v>144.10000000000051</v>
      </c>
      <c r="AR9" s="504">
        <f t="shared" si="12"/>
        <v>4</v>
      </c>
      <c r="AS9" s="715"/>
      <c r="AT9" s="573">
        <v>12</v>
      </c>
      <c r="AU9" s="574">
        <v>1921.3333333333335</v>
      </c>
      <c r="AV9" s="574">
        <v>160.11111111111111</v>
      </c>
      <c r="AW9" s="504">
        <f t="shared" si="13"/>
        <v>3</v>
      </c>
      <c r="AX9" s="715"/>
      <c r="AZ9" s="362" t="e">
        <f>RANK(AX9, $K$7:AX$21)</f>
        <v>#N/A</v>
      </c>
      <c r="BB9" s="359" t="e">
        <f t="shared" si="14"/>
        <v>#N/A</v>
      </c>
    </row>
    <row r="10" spans="1:54" ht="14.25">
      <c r="A10" s="81"/>
      <c r="B10" s="701"/>
      <c r="C10" s="505">
        <v>4</v>
      </c>
      <c r="D10" s="498" t="s">
        <v>754</v>
      </c>
      <c r="E10" s="509">
        <v>6</v>
      </c>
      <c r="F10" s="509">
        <v>1500</v>
      </c>
      <c r="G10" s="509">
        <v>250</v>
      </c>
      <c r="H10" s="713"/>
      <c r="I10" s="509">
        <f t="shared" si="6"/>
        <v>6</v>
      </c>
      <c r="J10" s="509">
        <f t="shared" si="6"/>
        <v>1535.1632653061235</v>
      </c>
      <c r="K10" s="507">
        <f t="shared" si="6"/>
        <v>255.86054421768722</v>
      </c>
      <c r="L10" s="713"/>
      <c r="M10" s="508">
        <f>RANK(K10, K$7:$K$21)</f>
        <v>2</v>
      </c>
      <c r="N10" s="668"/>
      <c r="O10" s="668"/>
      <c r="P10" s="505">
        <v>6</v>
      </c>
      <c r="Q10" s="509">
        <v>1492.1739130434783</v>
      </c>
      <c r="R10" s="509">
        <v>248.69565217391303</v>
      </c>
      <c r="S10" s="504">
        <f t="shared" si="7"/>
        <v>2</v>
      </c>
      <c r="T10" s="715"/>
      <c r="U10" s="573">
        <v>6</v>
      </c>
      <c r="V10" s="574">
        <v>1567.8260869565217</v>
      </c>
      <c r="W10" s="574">
        <v>261.30434782608694</v>
      </c>
      <c r="X10" s="504">
        <f t="shared" si="8"/>
        <v>2</v>
      </c>
      <c r="Y10" s="715"/>
      <c r="Z10" s="573">
        <v>6</v>
      </c>
      <c r="AA10" s="574">
        <v>1480.0000000000005</v>
      </c>
      <c r="AB10" s="574">
        <v>246.66666666666674</v>
      </c>
      <c r="AC10" s="504">
        <f t="shared" si="9"/>
        <v>2</v>
      </c>
      <c r="AD10" s="715"/>
      <c r="AE10" s="573">
        <v>6</v>
      </c>
      <c r="AF10" s="574">
        <v>1575.0000000000018</v>
      </c>
      <c r="AG10" s="574">
        <v>262.50000000000028</v>
      </c>
      <c r="AH10" s="504">
        <f t="shared" si="10"/>
        <v>2</v>
      </c>
      <c r="AI10" s="715"/>
      <c r="AJ10" s="573">
        <v>6</v>
      </c>
      <c r="AK10" s="574">
        <v>1480.0000000000014</v>
      </c>
      <c r="AL10" s="574">
        <v>246.66666666666688</v>
      </c>
      <c r="AM10" s="504">
        <f t="shared" si="11"/>
        <v>2</v>
      </c>
      <c r="AN10" s="715"/>
      <c r="AO10" s="573">
        <v>6</v>
      </c>
      <c r="AP10" s="574">
        <v>1537.1428571428598</v>
      </c>
      <c r="AQ10" s="574">
        <v>256.19047619047666</v>
      </c>
      <c r="AR10" s="504">
        <f t="shared" si="12"/>
        <v>2</v>
      </c>
      <c r="AS10" s="715"/>
      <c r="AT10" s="573">
        <v>6</v>
      </c>
      <c r="AU10" s="574">
        <v>1613.9999999999995</v>
      </c>
      <c r="AV10" s="574">
        <v>268.99999999999994</v>
      </c>
      <c r="AW10" s="504">
        <f t="shared" si="13"/>
        <v>2</v>
      </c>
      <c r="AX10" s="715"/>
      <c r="AZ10" s="362" t="e">
        <f>RANK(AX10, $K$7:AX$21)</f>
        <v>#N/A</v>
      </c>
      <c r="BB10" s="359" t="e">
        <f t="shared" si="14"/>
        <v>#N/A</v>
      </c>
    </row>
    <row r="11" spans="1:54" ht="14.25">
      <c r="A11" s="81"/>
      <c r="B11" s="701"/>
      <c r="C11" s="505">
        <v>5</v>
      </c>
      <c r="D11" s="498" t="s">
        <v>693</v>
      </c>
      <c r="E11" s="509">
        <v>5</v>
      </c>
      <c r="F11" s="509">
        <v>1500</v>
      </c>
      <c r="G11" s="509">
        <v>300</v>
      </c>
      <c r="H11" s="713"/>
      <c r="I11" s="509">
        <f>AVERAGE(P11,U11,Z11,AE11,AJ11,AO11,AT11)</f>
        <v>5</v>
      </c>
      <c r="J11" s="509">
        <f>AVERAGE(Q11,V11,AA11,AF11,AK11,AP11,AU11)</f>
        <v>1506.1838327638757</v>
      </c>
      <c r="K11" s="507">
        <f>AVERAGE(R11,W11,AB11,AG11,AL11,AQ11,AV11)</f>
        <v>301.23676655277507</v>
      </c>
      <c r="L11" s="713"/>
      <c r="M11" s="508">
        <f>RANK(K11, K$7:$K$21)</f>
        <v>1</v>
      </c>
      <c r="N11" s="668"/>
      <c r="O11" s="668"/>
      <c r="P11" s="505">
        <v>5</v>
      </c>
      <c r="Q11" s="509">
        <v>1469.1428571428589</v>
      </c>
      <c r="R11" s="509">
        <v>293.82857142857176</v>
      </c>
      <c r="S11" s="504">
        <f t="shared" si="7"/>
        <v>1</v>
      </c>
      <c r="T11" s="715"/>
      <c r="U11" s="573">
        <v>5</v>
      </c>
      <c r="V11" s="574">
        <v>1539.4285714285732</v>
      </c>
      <c r="W11" s="574">
        <v>307.88571428571464</v>
      </c>
      <c r="X11" s="504">
        <f t="shared" si="8"/>
        <v>1</v>
      </c>
      <c r="Y11" s="715"/>
      <c r="Z11" s="573">
        <v>5</v>
      </c>
      <c r="AA11" s="574">
        <v>1470.8571428571415</v>
      </c>
      <c r="AB11" s="574">
        <v>294.17142857142829</v>
      </c>
      <c r="AC11" s="504">
        <f t="shared" si="9"/>
        <v>1</v>
      </c>
      <c r="AD11" s="715"/>
      <c r="AE11" s="573">
        <v>5</v>
      </c>
      <c r="AF11" s="574">
        <v>1516.1538461538446</v>
      </c>
      <c r="AG11" s="574">
        <v>303.23076923076894</v>
      </c>
      <c r="AH11" s="504">
        <f t="shared" si="10"/>
        <v>1</v>
      </c>
      <c r="AI11" s="715"/>
      <c r="AJ11" s="573">
        <v>5</v>
      </c>
      <c r="AK11" s="574">
        <v>1384.8000000000027</v>
      </c>
      <c r="AL11" s="574">
        <v>276.96000000000055</v>
      </c>
      <c r="AM11" s="504">
        <f t="shared" si="11"/>
        <v>1</v>
      </c>
      <c r="AN11" s="715"/>
      <c r="AO11" s="573">
        <v>5</v>
      </c>
      <c r="AP11" s="574">
        <v>1533.5294117647059</v>
      </c>
      <c r="AQ11" s="574">
        <v>306.70588235294116</v>
      </c>
      <c r="AR11" s="504">
        <f t="shared" si="12"/>
        <v>1</v>
      </c>
      <c r="AS11" s="715"/>
      <c r="AT11" s="573">
        <v>5</v>
      </c>
      <c r="AU11" s="574">
        <v>1629.3750000000018</v>
      </c>
      <c r="AV11" s="574">
        <v>325.87500000000034</v>
      </c>
      <c r="AW11" s="504">
        <f t="shared" si="13"/>
        <v>1</v>
      </c>
      <c r="AX11" s="715"/>
      <c r="AZ11" s="362" t="e">
        <f>RANK(AX11, $K$7:AX$21)</f>
        <v>#N/A</v>
      </c>
      <c r="BB11" s="359" t="e">
        <f t="shared" si="14"/>
        <v>#N/A</v>
      </c>
    </row>
    <row r="12" spans="1:54" ht="14.25">
      <c r="A12" s="81"/>
      <c r="B12" s="701"/>
      <c r="C12" s="505">
        <v>6</v>
      </c>
      <c r="D12" s="498" t="s">
        <v>924</v>
      </c>
      <c r="E12" s="509">
        <v>15</v>
      </c>
      <c r="F12" s="509">
        <v>1200</v>
      </c>
      <c r="G12" s="509">
        <v>80</v>
      </c>
      <c r="H12" s="713"/>
      <c r="I12" s="509">
        <f t="shared" ref="I12:K12" si="15">AVERAGE(P12,U12,Z12,AE12,AJ12,AO12,AT12)</f>
        <v>12</v>
      </c>
      <c r="J12" s="509">
        <f t="shared" si="15"/>
        <v>1225.3034424222392</v>
      </c>
      <c r="K12" s="507">
        <f t="shared" si="15"/>
        <v>102.10862020185327</v>
      </c>
      <c r="L12" s="713"/>
      <c r="M12" s="508">
        <f>RANK(K12, K$7:$K$21)</f>
        <v>6</v>
      </c>
      <c r="N12" s="668"/>
      <c r="O12" s="668"/>
      <c r="P12" s="505">
        <v>12</v>
      </c>
      <c r="Q12" s="509">
        <v>1189.0909090909088</v>
      </c>
      <c r="R12" s="509">
        <v>99.090909090909065</v>
      </c>
      <c r="S12" s="504">
        <f t="shared" si="7"/>
        <v>6</v>
      </c>
      <c r="T12" s="715"/>
      <c r="U12" s="573">
        <v>12</v>
      </c>
      <c r="V12" s="574">
        <v>1192.5714285714282</v>
      </c>
      <c r="W12" s="574">
        <v>99.380952380952351</v>
      </c>
      <c r="X12" s="504">
        <f t="shared" si="8"/>
        <v>6</v>
      </c>
      <c r="Y12" s="715"/>
      <c r="Z12" s="573">
        <v>12</v>
      </c>
      <c r="AA12" s="574">
        <v>1152.0000000000007</v>
      </c>
      <c r="AB12" s="574">
        <v>96.000000000000057</v>
      </c>
      <c r="AC12" s="504">
        <f t="shared" si="9"/>
        <v>6</v>
      </c>
      <c r="AD12" s="715"/>
      <c r="AE12" s="573">
        <v>12</v>
      </c>
      <c r="AF12" s="574">
        <v>1213.2631578947362</v>
      </c>
      <c r="AG12" s="574">
        <v>101.10526315789468</v>
      </c>
      <c r="AH12" s="504">
        <f t="shared" si="10"/>
        <v>6</v>
      </c>
      <c r="AI12" s="715"/>
      <c r="AJ12" s="573">
        <v>12</v>
      </c>
      <c r="AK12" s="574">
        <v>1180.8000000000004</v>
      </c>
      <c r="AL12" s="574">
        <v>98.400000000000034</v>
      </c>
      <c r="AM12" s="504">
        <f t="shared" si="11"/>
        <v>6</v>
      </c>
      <c r="AN12" s="715"/>
      <c r="AO12" s="573">
        <v>12</v>
      </c>
      <c r="AP12" s="574">
        <v>1214.3076923076915</v>
      </c>
      <c r="AQ12" s="574">
        <v>101.19230769230762</v>
      </c>
      <c r="AR12" s="504">
        <f t="shared" si="12"/>
        <v>6</v>
      </c>
      <c r="AS12" s="715"/>
      <c r="AT12" s="573">
        <v>12</v>
      </c>
      <c r="AU12" s="574">
        <v>1435.0909090909099</v>
      </c>
      <c r="AV12" s="574">
        <v>119.59090909090916</v>
      </c>
      <c r="AW12" s="504">
        <f t="shared" si="13"/>
        <v>6</v>
      </c>
      <c r="AX12" s="715"/>
      <c r="AZ12" s="362" t="e">
        <f>RANK(AX12, $K$7:AX$21)</f>
        <v>#N/A</v>
      </c>
      <c r="BB12" s="359" t="e">
        <f t="shared" si="14"/>
        <v>#N/A</v>
      </c>
    </row>
    <row r="13" spans="1:54" ht="14.25">
      <c r="A13" s="81"/>
      <c r="B13" s="701"/>
      <c r="C13" s="505">
        <v>7</v>
      </c>
      <c r="D13" s="498"/>
      <c r="E13" s="509"/>
      <c r="F13" s="509"/>
      <c r="G13" s="509"/>
      <c r="H13" s="713"/>
      <c r="I13" s="509"/>
      <c r="J13" s="509"/>
      <c r="K13" s="507"/>
      <c r="L13" s="713"/>
      <c r="M13" s="508" t="e">
        <f>RANK(K13, K$7:$K$21)</f>
        <v>#N/A</v>
      </c>
      <c r="N13" s="668"/>
      <c r="O13" s="668"/>
      <c r="P13" s="505"/>
      <c r="Q13" s="509"/>
      <c r="R13" s="509"/>
      <c r="S13" s="504" t="e">
        <f t="shared" si="7"/>
        <v>#N/A</v>
      </c>
      <c r="T13" s="715"/>
      <c r="U13" s="573"/>
      <c r="V13" s="574"/>
      <c r="W13" s="574"/>
      <c r="X13" s="504" t="e">
        <f t="shared" si="8"/>
        <v>#N/A</v>
      </c>
      <c r="Y13" s="715"/>
      <c r="Z13" s="573"/>
      <c r="AA13" s="574"/>
      <c r="AB13" s="574"/>
      <c r="AC13" s="504" t="e">
        <f t="shared" si="9"/>
        <v>#N/A</v>
      </c>
      <c r="AD13" s="715"/>
      <c r="AE13" s="573"/>
      <c r="AF13" s="574"/>
      <c r="AG13" s="574"/>
      <c r="AH13" s="504" t="e">
        <f t="shared" si="10"/>
        <v>#N/A</v>
      </c>
      <c r="AI13" s="715"/>
      <c r="AJ13" s="573"/>
      <c r="AK13" s="574"/>
      <c r="AL13" s="574"/>
      <c r="AM13" s="504" t="e">
        <f t="shared" si="11"/>
        <v>#N/A</v>
      </c>
      <c r="AN13" s="715"/>
      <c r="AO13" s="573"/>
      <c r="AP13" s="574"/>
      <c r="AQ13" s="574"/>
      <c r="AR13" s="504" t="e">
        <f t="shared" si="12"/>
        <v>#N/A</v>
      </c>
      <c r="AS13" s="715"/>
      <c r="AT13" s="573"/>
      <c r="AU13" s="574"/>
      <c r="AV13" s="574"/>
      <c r="AW13" s="504" t="e">
        <f t="shared" si="13"/>
        <v>#N/A</v>
      </c>
      <c r="AX13" s="715"/>
      <c r="AZ13" s="362" t="e">
        <f>RANK(AX13, $K$7:AX$21)</f>
        <v>#N/A</v>
      </c>
      <c r="BB13" s="359" t="e">
        <f t="shared" si="14"/>
        <v>#N/A</v>
      </c>
    </row>
    <row r="14" spans="1:54" ht="14.25">
      <c r="A14" s="81"/>
      <c r="B14" s="701"/>
      <c r="C14" s="505">
        <v>8</v>
      </c>
      <c r="D14" s="352"/>
      <c r="E14" s="509"/>
      <c r="F14" s="509"/>
      <c r="G14" s="509"/>
      <c r="H14" s="713"/>
      <c r="I14" s="509"/>
      <c r="J14" s="509"/>
      <c r="K14" s="507"/>
      <c r="L14" s="713"/>
      <c r="M14" s="508" t="e">
        <f>RANK(K14, K$7:$K$21)</f>
        <v>#N/A</v>
      </c>
      <c r="N14" s="668"/>
      <c r="O14" s="668"/>
      <c r="P14" s="505"/>
      <c r="Q14" s="509"/>
      <c r="R14" s="509"/>
      <c r="S14" s="504" t="e">
        <f t="shared" si="7"/>
        <v>#N/A</v>
      </c>
      <c r="T14" s="715"/>
      <c r="U14" s="573"/>
      <c r="V14" s="574"/>
      <c r="W14" s="574"/>
      <c r="X14" s="504" t="e">
        <f t="shared" si="8"/>
        <v>#N/A</v>
      </c>
      <c r="Y14" s="715"/>
      <c r="Z14" s="573"/>
      <c r="AA14" s="574"/>
      <c r="AB14" s="574"/>
      <c r="AC14" s="504" t="e">
        <f t="shared" si="9"/>
        <v>#N/A</v>
      </c>
      <c r="AD14" s="715"/>
      <c r="AE14" s="573"/>
      <c r="AF14" s="574"/>
      <c r="AG14" s="574"/>
      <c r="AH14" s="504" t="e">
        <f t="shared" si="10"/>
        <v>#N/A</v>
      </c>
      <c r="AI14" s="715"/>
      <c r="AJ14" s="573"/>
      <c r="AK14" s="574"/>
      <c r="AL14" s="574"/>
      <c r="AM14" s="504" t="e">
        <f t="shared" si="11"/>
        <v>#N/A</v>
      </c>
      <c r="AN14" s="715"/>
      <c r="AO14" s="573"/>
      <c r="AP14" s="574"/>
      <c r="AQ14" s="574"/>
      <c r="AR14" s="504" t="e">
        <f t="shared" si="12"/>
        <v>#N/A</v>
      </c>
      <c r="AS14" s="715"/>
      <c r="AT14" s="573"/>
      <c r="AU14" s="574"/>
      <c r="AV14" s="574"/>
      <c r="AW14" s="504" t="e">
        <f t="shared" si="13"/>
        <v>#N/A</v>
      </c>
      <c r="AX14" s="715"/>
      <c r="AZ14" s="362" t="e">
        <f>RANK(AX14, $K$7:AX$21)</f>
        <v>#N/A</v>
      </c>
      <c r="BB14" s="359" t="e">
        <f t="shared" si="14"/>
        <v>#N/A</v>
      </c>
    </row>
    <row r="15" spans="1:54" ht="14.25">
      <c r="A15" s="81"/>
      <c r="B15" s="701"/>
      <c r="C15" s="505">
        <v>9</v>
      </c>
      <c r="D15" s="498"/>
      <c r="E15" s="509"/>
      <c r="F15" s="509"/>
      <c r="G15" s="509"/>
      <c r="H15" s="713"/>
      <c r="I15" s="509"/>
      <c r="J15" s="509"/>
      <c r="K15" s="507"/>
      <c r="L15" s="713"/>
      <c r="M15" s="508" t="e">
        <f>RANK(K15, K$7:$K$21)</f>
        <v>#N/A</v>
      </c>
      <c r="N15" s="668"/>
      <c r="O15" s="668"/>
      <c r="P15" s="505"/>
      <c r="Q15" s="509"/>
      <c r="R15" s="509"/>
      <c r="S15" s="504" t="e">
        <f t="shared" si="7"/>
        <v>#N/A</v>
      </c>
      <c r="T15" s="715"/>
      <c r="U15" s="573"/>
      <c r="V15" s="574"/>
      <c r="W15" s="574"/>
      <c r="X15" s="504" t="e">
        <f t="shared" si="8"/>
        <v>#N/A</v>
      </c>
      <c r="Y15" s="715"/>
      <c r="Z15" s="573"/>
      <c r="AA15" s="574"/>
      <c r="AB15" s="574"/>
      <c r="AC15" s="504" t="e">
        <f t="shared" si="9"/>
        <v>#N/A</v>
      </c>
      <c r="AD15" s="715"/>
      <c r="AE15" s="573"/>
      <c r="AF15" s="574"/>
      <c r="AG15" s="574"/>
      <c r="AH15" s="504" t="e">
        <f t="shared" si="10"/>
        <v>#N/A</v>
      </c>
      <c r="AI15" s="715"/>
      <c r="AJ15" s="573"/>
      <c r="AK15" s="574"/>
      <c r="AL15" s="574"/>
      <c r="AM15" s="504" t="e">
        <f t="shared" si="11"/>
        <v>#N/A</v>
      </c>
      <c r="AN15" s="715"/>
      <c r="AO15" s="573"/>
      <c r="AP15" s="574"/>
      <c r="AQ15" s="574"/>
      <c r="AR15" s="504" t="e">
        <f t="shared" si="12"/>
        <v>#N/A</v>
      </c>
      <c r="AS15" s="715"/>
      <c r="AT15" s="573"/>
      <c r="AU15" s="574"/>
      <c r="AV15" s="574"/>
      <c r="AW15" s="504" t="e">
        <f t="shared" si="13"/>
        <v>#N/A</v>
      </c>
      <c r="AX15" s="715"/>
      <c r="AZ15" s="362" t="e">
        <f>RANK(AX15, $K$7:AX$21)</f>
        <v>#N/A</v>
      </c>
      <c r="BB15" s="359" t="e">
        <f t="shared" si="14"/>
        <v>#N/A</v>
      </c>
    </row>
    <row r="16" spans="1:54" ht="14.25">
      <c r="A16" s="81"/>
      <c r="B16" s="701"/>
      <c r="C16" s="505">
        <v>10</v>
      </c>
      <c r="D16" s="498"/>
      <c r="E16" s="509"/>
      <c r="F16" s="509"/>
      <c r="G16" s="509"/>
      <c r="H16" s="713"/>
      <c r="I16" s="509"/>
      <c r="J16" s="509"/>
      <c r="K16" s="507"/>
      <c r="L16" s="713"/>
      <c r="M16" s="508" t="e">
        <f>RANK(K16, K$7:$K$21)</f>
        <v>#N/A</v>
      </c>
      <c r="N16" s="668"/>
      <c r="O16" s="668"/>
      <c r="P16" s="505"/>
      <c r="Q16" s="509"/>
      <c r="R16" s="509"/>
      <c r="S16" s="504" t="e">
        <f t="shared" si="7"/>
        <v>#N/A</v>
      </c>
      <c r="T16" s="715"/>
      <c r="U16" s="573"/>
      <c r="V16" s="574"/>
      <c r="W16" s="574"/>
      <c r="X16" s="504" t="e">
        <f t="shared" si="8"/>
        <v>#N/A</v>
      </c>
      <c r="Y16" s="715"/>
      <c r="Z16" s="573"/>
      <c r="AA16" s="574"/>
      <c r="AB16" s="574"/>
      <c r="AC16" s="504" t="e">
        <f t="shared" si="9"/>
        <v>#N/A</v>
      </c>
      <c r="AD16" s="715"/>
      <c r="AE16" s="573"/>
      <c r="AF16" s="574"/>
      <c r="AG16" s="574"/>
      <c r="AH16" s="504" t="e">
        <f t="shared" si="10"/>
        <v>#N/A</v>
      </c>
      <c r="AI16" s="715"/>
      <c r="AJ16" s="573"/>
      <c r="AK16" s="574"/>
      <c r="AL16" s="574"/>
      <c r="AM16" s="504" t="e">
        <f t="shared" si="11"/>
        <v>#N/A</v>
      </c>
      <c r="AN16" s="715"/>
      <c r="AO16" s="573"/>
      <c r="AP16" s="574"/>
      <c r="AQ16" s="574"/>
      <c r="AR16" s="504" t="e">
        <f t="shared" si="12"/>
        <v>#N/A</v>
      </c>
      <c r="AS16" s="715"/>
      <c r="AT16" s="573"/>
      <c r="AU16" s="574"/>
      <c r="AV16" s="574"/>
      <c r="AW16" s="504" t="e">
        <f t="shared" si="13"/>
        <v>#N/A</v>
      </c>
      <c r="AX16" s="715"/>
      <c r="AZ16" s="362" t="e">
        <f>RANK(AX16, $K$7:AX$21)</f>
        <v>#N/A</v>
      </c>
      <c r="BB16" s="359" t="e">
        <f t="shared" si="14"/>
        <v>#N/A</v>
      </c>
    </row>
    <row r="17" spans="2:54">
      <c r="B17" s="701"/>
      <c r="C17" s="505">
        <v>11</v>
      </c>
      <c r="D17" s="498"/>
      <c r="E17" s="509"/>
      <c r="F17" s="509"/>
      <c r="G17" s="509"/>
      <c r="H17" s="713"/>
      <c r="I17" s="505"/>
      <c r="J17" s="505"/>
      <c r="K17" s="505"/>
      <c r="L17" s="713"/>
      <c r="M17" s="508" t="e">
        <f>RANK(K17, K$7:$K$21)</f>
        <v>#N/A</v>
      </c>
      <c r="N17" s="668"/>
      <c r="O17" s="668"/>
      <c r="P17" s="505"/>
      <c r="Q17" s="509"/>
      <c r="R17" s="509"/>
      <c r="S17" s="504" t="e">
        <f t="shared" si="7"/>
        <v>#N/A</v>
      </c>
      <c r="T17" s="715"/>
      <c r="U17" s="573"/>
      <c r="V17" s="574"/>
      <c r="W17" s="574"/>
      <c r="X17" s="504" t="e">
        <f t="shared" si="8"/>
        <v>#N/A</v>
      </c>
      <c r="Y17" s="715"/>
      <c r="Z17" s="573"/>
      <c r="AA17" s="574"/>
      <c r="AB17" s="574"/>
      <c r="AC17" s="504" t="e">
        <f t="shared" si="9"/>
        <v>#N/A</v>
      </c>
      <c r="AD17" s="715"/>
      <c r="AE17" s="573"/>
      <c r="AF17" s="574"/>
      <c r="AG17" s="574"/>
      <c r="AH17" s="504" t="e">
        <f t="shared" si="10"/>
        <v>#N/A</v>
      </c>
      <c r="AI17" s="715"/>
      <c r="AJ17" s="573"/>
      <c r="AK17" s="574"/>
      <c r="AL17" s="574"/>
      <c r="AM17" s="504" t="e">
        <f t="shared" si="11"/>
        <v>#N/A</v>
      </c>
      <c r="AN17" s="715"/>
      <c r="AO17" s="573"/>
      <c r="AP17" s="574"/>
      <c r="AQ17" s="574"/>
      <c r="AR17" s="504" t="e">
        <f t="shared" si="12"/>
        <v>#N/A</v>
      </c>
      <c r="AS17" s="715"/>
      <c r="AT17" s="573"/>
      <c r="AU17" s="574"/>
      <c r="AV17" s="574"/>
      <c r="AW17" s="504" t="e">
        <f t="shared" si="13"/>
        <v>#N/A</v>
      </c>
      <c r="AX17" s="715"/>
      <c r="AZ17" s="362" t="e">
        <f>RANK(AX17, $K$7:AX$21)</f>
        <v>#N/A</v>
      </c>
      <c r="BB17" s="359" t="e">
        <f t="shared" si="14"/>
        <v>#N/A</v>
      </c>
    </row>
    <row r="18" spans="2:54">
      <c r="B18" s="701"/>
      <c r="C18" s="505">
        <v>12</v>
      </c>
      <c r="D18" s="498"/>
      <c r="E18" s="509"/>
      <c r="F18" s="509"/>
      <c r="G18" s="509"/>
      <c r="H18" s="713"/>
      <c r="I18" s="505"/>
      <c r="J18" s="505"/>
      <c r="K18" s="505"/>
      <c r="L18" s="713"/>
      <c r="M18" s="508" t="e">
        <f>RANK(K18, K$7:$K$21)</f>
        <v>#N/A</v>
      </c>
      <c r="N18" s="668"/>
      <c r="O18" s="668"/>
      <c r="P18" s="505"/>
      <c r="Q18" s="509"/>
      <c r="R18" s="509"/>
      <c r="S18" s="504" t="e">
        <f t="shared" si="7"/>
        <v>#N/A</v>
      </c>
      <c r="T18" s="715"/>
      <c r="U18" s="573"/>
      <c r="V18" s="574"/>
      <c r="W18" s="574"/>
      <c r="X18" s="504" t="e">
        <f t="shared" si="8"/>
        <v>#N/A</v>
      </c>
      <c r="Y18" s="715"/>
      <c r="Z18" s="573"/>
      <c r="AA18" s="574"/>
      <c r="AB18" s="574"/>
      <c r="AC18" s="504" t="e">
        <f t="shared" si="9"/>
        <v>#N/A</v>
      </c>
      <c r="AD18" s="715"/>
      <c r="AE18" s="573"/>
      <c r="AF18" s="574"/>
      <c r="AG18" s="574"/>
      <c r="AH18" s="504" t="e">
        <f t="shared" si="10"/>
        <v>#N/A</v>
      </c>
      <c r="AI18" s="715"/>
      <c r="AJ18" s="573"/>
      <c r="AK18" s="574"/>
      <c r="AL18" s="574"/>
      <c r="AM18" s="504" t="e">
        <f t="shared" si="11"/>
        <v>#N/A</v>
      </c>
      <c r="AN18" s="715"/>
      <c r="AO18" s="573"/>
      <c r="AP18" s="574"/>
      <c r="AQ18" s="574"/>
      <c r="AR18" s="504" t="e">
        <f t="shared" si="12"/>
        <v>#N/A</v>
      </c>
      <c r="AS18" s="715"/>
      <c r="AT18" s="573"/>
      <c r="AU18" s="574"/>
      <c r="AV18" s="574"/>
      <c r="AW18" s="504" t="e">
        <f t="shared" si="13"/>
        <v>#N/A</v>
      </c>
      <c r="AX18" s="715"/>
      <c r="AZ18" s="362" t="e">
        <f>RANK(AX18, $K$7:AX$21)</f>
        <v>#N/A</v>
      </c>
      <c r="BB18" s="359" t="e">
        <f t="shared" si="14"/>
        <v>#N/A</v>
      </c>
    </row>
    <row r="19" spans="2:54">
      <c r="B19" s="701"/>
      <c r="C19" s="505">
        <v>13</v>
      </c>
      <c r="D19" s="498"/>
      <c r="E19" s="509"/>
      <c r="F19" s="509"/>
      <c r="G19" s="509"/>
      <c r="H19" s="713"/>
      <c r="I19" s="505"/>
      <c r="J19" s="505"/>
      <c r="K19" s="505"/>
      <c r="L19" s="713"/>
      <c r="M19" s="508" t="e">
        <f>RANK(K19, K$7:$K$21)</f>
        <v>#N/A</v>
      </c>
      <c r="N19" s="668"/>
      <c r="O19" s="668"/>
      <c r="P19" s="505"/>
      <c r="Q19" s="509"/>
      <c r="R19" s="509"/>
      <c r="S19" s="504" t="e">
        <f t="shared" si="7"/>
        <v>#N/A</v>
      </c>
      <c r="T19" s="715"/>
      <c r="U19" s="573"/>
      <c r="V19" s="574"/>
      <c r="W19" s="574"/>
      <c r="X19" s="504" t="e">
        <f t="shared" si="8"/>
        <v>#N/A</v>
      </c>
      <c r="Y19" s="715"/>
      <c r="Z19" s="573"/>
      <c r="AA19" s="574"/>
      <c r="AB19" s="574"/>
      <c r="AC19" s="504" t="e">
        <f t="shared" si="9"/>
        <v>#N/A</v>
      </c>
      <c r="AD19" s="715"/>
      <c r="AE19" s="573"/>
      <c r="AF19" s="574"/>
      <c r="AG19" s="574"/>
      <c r="AH19" s="504" t="e">
        <f t="shared" si="10"/>
        <v>#N/A</v>
      </c>
      <c r="AI19" s="715"/>
      <c r="AJ19" s="573"/>
      <c r="AK19" s="574"/>
      <c r="AL19" s="574"/>
      <c r="AM19" s="504" t="e">
        <f t="shared" si="11"/>
        <v>#N/A</v>
      </c>
      <c r="AN19" s="715"/>
      <c r="AO19" s="573"/>
      <c r="AP19" s="574"/>
      <c r="AQ19" s="574"/>
      <c r="AR19" s="504" t="e">
        <f t="shared" si="12"/>
        <v>#N/A</v>
      </c>
      <c r="AS19" s="715"/>
      <c r="AT19" s="573"/>
      <c r="AU19" s="574"/>
      <c r="AV19" s="574"/>
      <c r="AW19" s="504" t="e">
        <f t="shared" si="13"/>
        <v>#N/A</v>
      </c>
      <c r="AX19" s="715"/>
      <c r="AZ19" s="362" t="e">
        <f>RANK(AX19, $K$7:AX$21)</f>
        <v>#N/A</v>
      </c>
      <c r="BB19" s="359" t="e">
        <f t="shared" si="14"/>
        <v>#N/A</v>
      </c>
    </row>
    <row r="20" spans="2:54">
      <c r="B20" s="701"/>
      <c r="C20" s="505">
        <v>14</v>
      </c>
      <c r="D20" s="498"/>
      <c r="E20" s="509"/>
      <c r="F20" s="509"/>
      <c r="G20" s="509"/>
      <c r="H20" s="713"/>
      <c r="I20" s="505"/>
      <c r="J20" s="505"/>
      <c r="K20" s="505"/>
      <c r="L20" s="713"/>
      <c r="M20" s="508" t="e">
        <f>RANK(K20, K$7:$K$21)</f>
        <v>#N/A</v>
      </c>
      <c r="N20" s="668"/>
      <c r="O20" s="668"/>
      <c r="P20" s="505"/>
      <c r="Q20" s="509"/>
      <c r="R20" s="509"/>
      <c r="S20" s="504" t="e">
        <f t="shared" si="7"/>
        <v>#N/A</v>
      </c>
      <c r="T20" s="715"/>
      <c r="U20" s="573"/>
      <c r="V20" s="574"/>
      <c r="W20" s="574"/>
      <c r="X20" s="504" t="e">
        <f t="shared" si="8"/>
        <v>#N/A</v>
      </c>
      <c r="Y20" s="715"/>
      <c r="Z20" s="573"/>
      <c r="AA20" s="574"/>
      <c r="AB20" s="574"/>
      <c r="AC20" s="504" t="e">
        <f t="shared" si="9"/>
        <v>#N/A</v>
      </c>
      <c r="AD20" s="715"/>
      <c r="AE20" s="573"/>
      <c r="AF20" s="574"/>
      <c r="AG20" s="574"/>
      <c r="AH20" s="504" t="e">
        <f t="shared" si="10"/>
        <v>#N/A</v>
      </c>
      <c r="AI20" s="715"/>
      <c r="AJ20" s="573"/>
      <c r="AK20" s="574"/>
      <c r="AL20" s="574"/>
      <c r="AM20" s="504" t="e">
        <f t="shared" si="11"/>
        <v>#N/A</v>
      </c>
      <c r="AN20" s="715"/>
      <c r="AO20" s="573"/>
      <c r="AP20" s="574"/>
      <c r="AQ20" s="574"/>
      <c r="AR20" s="504" t="e">
        <f t="shared" si="12"/>
        <v>#N/A</v>
      </c>
      <c r="AS20" s="715"/>
      <c r="AT20" s="573"/>
      <c r="AU20" s="574"/>
      <c r="AV20" s="574"/>
      <c r="AW20" s="504" t="e">
        <f t="shared" si="13"/>
        <v>#N/A</v>
      </c>
      <c r="AX20" s="715"/>
      <c r="AZ20" s="362" t="e">
        <f>RANK(AX20, $K$7:AX$21)</f>
        <v>#N/A</v>
      </c>
      <c r="BB20" s="359" t="e">
        <f t="shared" si="14"/>
        <v>#N/A</v>
      </c>
    </row>
    <row r="21" spans="2:54">
      <c r="B21" s="701"/>
      <c r="C21" s="505">
        <v>15</v>
      </c>
      <c r="D21" s="498"/>
      <c r="E21" s="509"/>
      <c r="F21" s="509"/>
      <c r="G21" s="509"/>
      <c r="H21" s="723"/>
      <c r="I21" s="505"/>
      <c r="J21" s="505"/>
      <c r="K21" s="505"/>
      <c r="L21" s="723"/>
      <c r="M21" s="508" t="e">
        <f>RANK(K21, K$7:$K$21)</f>
        <v>#N/A</v>
      </c>
      <c r="N21" s="668"/>
      <c r="O21" s="668"/>
      <c r="P21" s="505"/>
      <c r="Q21" s="509"/>
      <c r="R21" s="509"/>
      <c r="S21" s="504" t="e">
        <f t="shared" si="7"/>
        <v>#N/A</v>
      </c>
      <c r="T21" s="715"/>
      <c r="U21" s="573"/>
      <c r="V21" s="574"/>
      <c r="W21" s="574"/>
      <c r="X21" s="504" t="e">
        <f t="shared" si="8"/>
        <v>#N/A</v>
      </c>
      <c r="Y21" s="715"/>
      <c r="Z21" s="573"/>
      <c r="AA21" s="574"/>
      <c r="AB21" s="574"/>
      <c r="AC21" s="504" t="e">
        <f t="shared" si="9"/>
        <v>#N/A</v>
      </c>
      <c r="AD21" s="715"/>
      <c r="AE21" s="573"/>
      <c r="AF21" s="574"/>
      <c r="AG21" s="574"/>
      <c r="AH21" s="504" t="e">
        <f t="shared" si="10"/>
        <v>#N/A</v>
      </c>
      <c r="AI21" s="715"/>
      <c r="AJ21" s="573"/>
      <c r="AK21" s="574"/>
      <c r="AL21" s="574"/>
      <c r="AM21" s="504" t="e">
        <f t="shared" si="11"/>
        <v>#N/A</v>
      </c>
      <c r="AN21" s="715"/>
      <c r="AO21" s="573"/>
      <c r="AP21" s="574"/>
      <c r="AQ21" s="574"/>
      <c r="AR21" s="504" t="e">
        <f t="shared" si="12"/>
        <v>#N/A</v>
      </c>
      <c r="AS21" s="715"/>
      <c r="AT21" s="573"/>
      <c r="AU21" s="574"/>
      <c r="AV21" s="574"/>
      <c r="AW21" s="504" t="e">
        <f t="shared" si="13"/>
        <v>#N/A</v>
      </c>
      <c r="AX21" s="715"/>
      <c r="AZ21" s="361" t="e">
        <f>RANK(AX21, $K$7:AX$21)</f>
        <v>#N/A</v>
      </c>
      <c r="BB21" s="359" t="e">
        <f t="shared" si="14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69" t="s">
        <v>156</v>
      </c>
      <c r="O22" s="669" t="s">
        <v>105</v>
      </c>
      <c r="P22" s="675">
        <f>P2+7</f>
        <v>46091</v>
      </c>
      <c r="Q22" s="676"/>
      <c r="R22" s="676"/>
      <c r="S22" s="676"/>
      <c r="T22" s="676"/>
      <c r="U22" s="672">
        <f>P22+1</f>
        <v>46092</v>
      </c>
      <c r="V22" s="673"/>
      <c r="W22" s="673"/>
      <c r="X22" s="673"/>
      <c r="Y22" s="674"/>
      <c r="Z22" s="672">
        <f>U22+1</f>
        <v>46093</v>
      </c>
      <c r="AA22" s="673"/>
      <c r="AB22" s="673"/>
      <c r="AC22" s="673"/>
      <c r="AD22" s="674"/>
      <c r="AE22" s="672">
        <f>Z22+1</f>
        <v>46094</v>
      </c>
      <c r="AF22" s="673"/>
      <c r="AG22" s="673"/>
      <c r="AH22" s="673"/>
      <c r="AI22" s="674"/>
      <c r="AJ22" s="672">
        <f>AE22+1</f>
        <v>46095</v>
      </c>
      <c r="AK22" s="673"/>
      <c r="AL22" s="673"/>
      <c r="AM22" s="673"/>
      <c r="AN22" s="674"/>
      <c r="AO22" s="672">
        <f>AJ22+1</f>
        <v>46096</v>
      </c>
      <c r="AP22" s="673"/>
      <c r="AQ22" s="673"/>
      <c r="AR22" s="673"/>
      <c r="AS22" s="674"/>
      <c r="AT22" s="672">
        <f>AO22+1</f>
        <v>46097</v>
      </c>
      <c r="AU22" s="673"/>
      <c r="AV22" s="673"/>
      <c r="AW22" s="673"/>
      <c r="AX22" s="674"/>
    </row>
    <row r="23" spans="2:54" ht="15.75">
      <c r="B23" s="683"/>
      <c r="C23" s="683"/>
      <c r="D23" s="683"/>
      <c r="E23" s="683"/>
      <c r="F23" s="683"/>
      <c r="G23" s="683"/>
      <c r="H23" s="683"/>
      <c r="I23" s="205"/>
      <c r="J23" s="205"/>
      <c r="K23" s="205"/>
      <c r="L23" s="205"/>
      <c r="M23" s="206"/>
      <c r="N23" s="671"/>
      <c r="O23" s="671"/>
      <c r="P23" s="675" t="s">
        <v>336</v>
      </c>
      <c r="Q23" s="676"/>
      <c r="R23" s="676"/>
      <c r="S23" s="676"/>
      <c r="T23" s="676"/>
      <c r="U23" s="675" t="s">
        <v>337</v>
      </c>
      <c r="V23" s="676"/>
      <c r="W23" s="676"/>
      <c r="X23" s="676"/>
      <c r="Y23" s="676"/>
      <c r="Z23" s="675" t="s">
        <v>338</v>
      </c>
      <c r="AA23" s="676"/>
      <c r="AB23" s="676"/>
      <c r="AC23" s="676"/>
      <c r="AD23" s="676"/>
      <c r="AE23" s="675" t="s">
        <v>339</v>
      </c>
      <c r="AF23" s="676"/>
      <c r="AG23" s="676"/>
      <c r="AH23" s="676"/>
      <c r="AI23" s="676"/>
      <c r="AJ23" s="675" t="s">
        <v>340</v>
      </c>
      <c r="AK23" s="676"/>
      <c r="AL23" s="676"/>
      <c r="AM23" s="676"/>
      <c r="AN23" s="676"/>
      <c r="AO23" s="675" t="s">
        <v>341</v>
      </c>
      <c r="AP23" s="676"/>
      <c r="AQ23" s="676"/>
      <c r="AR23" s="676"/>
      <c r="AS23" s="676"/>
      <c r="AT23" s="675" t="s">
        <v>342</v>
      </c>
      <c r="AU23" s="676"/>
      <c r="AV23" s="676"/>
      <c r="AW23" s="676"/>
      <c r="AX23" s="676"/>
    </row>
    <row r="24" spans="2:54">
      <c r="B24" s="668" t="s">
        <v>855</v>
      </c>
      <c r="C24" s="668" t="s">
        <v>856</v>
      </c>
      <c r="D24" s="668"/>
      <c r="E24" s="668" t="s">
        <v>857</v>
      </c>
      <c r="F24" s="668"/>
      <c r="G24" s="668"/>
      <c r="H24" s="684" t="s">
        <v>858</v>
      </c>
      <c r="I24" s="652" t="s">
        <v>859</v>
      </c>
      <c r="J24" s="652"/>
      <c r="K24" s="652"/>
      <c r="L24" s="653" t="s">
        <v>858</v>
      </c>
      <c r="M24" s="659" t="s">
        <v>860</v>
      </c>
      <c r="N24" s="668"/>
      <c r="O24" s="668" t="s">
        <v>861</v>
      </c>
      <c r="P24" s="665" t="s">
        <v>862</v>
      </c>
      <c r="Q24" s="666"/>
      <c r="R24" s="666"/>
      <c r="S24" s="667"/>
      <c r="T24" s="668" t="s">
        <v>858</v>
      </c>
      <c r="U24" s="665" t="s">
        <v>862</v>
      </c>
      <c r="V24" s="666"/>
      <c r="W24" s="666"/>
      <c r="X24" s="667"/>
      <c r="Y24" s="668" t="s">
        <v>858</v>
      </c>
      <c r="Z24" s="665" t="s">
        <v>862</v>
      </c>
      <c r="AA24" s="666"/>
      <c r="AB24" s="666"/>
      <c r="AC24" s="667"/>
      <c r="AD24" s="668" t="s">
        <v>858</v>
      </c>
      <c r="AE24" s="665" t="s">
        <v>862</v>
      </c>
      <c r="AF24" s="666"/>
      <c r="AG24" s="666"/>
      <c r="AH24" s="667"/>
      <c r="AI24" s="668" t="s">
        <v>858</v>
      </c>
      <c r="AJ24" s="665" t="s">
        <v>862</v>
      </c>
      <c r="AK24" s="666"/>
      <c r="AL24" s="666"/>
      <c r="AM24" s="667"/>
      <c r="AN24" s="668" t="s">
        <v>858</v>
      </c>
      <c r="AO24" s="665" t="s">
        <v>862</v>
      </c>
      <c r="AP24" s="666"/>
      <c r="AQ24" s="666"/>
      <c r="AR24" s="667"/>
      <c r="AS24" s="668" t="s">
        <v>858</v>
      </c>
      <c r="AT24" s="665" t="s">
        <v>862</v>
      </c>
      <c r="AU24" s="666"/>
      <c r="AV24" s="666"/>
      <c r="AW24" s="667"/>
      <c r="AX24" s="668" t="s">
        <v>858</v>
      </c>
    </row>
    <row r="25" spans="2:54">
      <c r="B25" s="668"/>
      <c r="C25" s="668"/>
      <c r="D25" s="668"/>
      <c r="E25" s="668" t="s">
        <v>863</v>
      </c>
      <c r="F25" s="668"/>
      <c r="G25" s="668"/>
      <c r="H25" s="685"/>
      <c r="I25" s="652" t="s">
        <v>863</v>
      </c>
      <c r="J25" s="652"/>
      <c r="K25" s="652"/>
      <c r="L25" s="654"/>
      <c r="M25" s="660"/>
      <c r="N25" s="668"/>
      <c r="O25" s="668"/>
      <c r="P25" s="665" t="s">
        <v>864</v>
      </c>
      <c r="Q25" s="666"/>
      <c r="R25" s="666"/>
      <c r="S25" s="667"/>
      <c r="T25" s="668"/>
      <c r="U25" s="665" t="s">
        <v>864</v>
      </c>
      <c r="V25" s="666"/>
      <c r="W25" s="666"/>
      <c r="X25" s="667"/>
      <c r="Y25" s="668"/>
      <c r="Z25" s="665" t="s">
        <v>864</v>
      </c>
      <c r="AA25" s="666"/>
      <c r="AB25" s="666"/>
      <c r="AC25" s="667"/>
      <c r="AD25" s="668"/>
      <c r="AE25" s="665" t="s">
        <v>864</v>
      </c>
      <c r="AF25" s="666"/>
      <c r="AG25" s="666"/>
      <c r="AH25" s="667"/>
      <c r="AI25" s="668"/>
      <c r="AJ25" s="665" t="s">
        <v>864</v>
      </c>
      <c r="AK25" s="666"/>
      <c r="AL25" s="666"/>
      <c r="AM25" s="667"/>
      <c r="AN25" s="668"/>
      <c r="AO25" s="665" t="s">
        <v>864</v>
      </c>
      <c r="AP25" s="666"/>
      <c r="AQ25" s="666"/>
      <c r="AR25" s="667"/>
      <c r="AS25" s="668"/>
      <c r="AT25" s="665" t="s">
        <v>864</v>
      </c>
      <c r="AU25" s="666"/>
      <c r="AV25" s="666"/>
      <c r="AW25" s="667"/>
      <c r="AX25" s="668"/>
    </row>
    <row r="26" spans="2:54">
      <c r="B26" s="668"/>
      <c r="C26" s="668"/>
      <c r="D26" s="668"/>
      <c r="E26" s="521" t="s">
        <v>865</v>
      </c>
      <c r="F26" s="521" t="s">
        <v>866</v>
      </c>
      <c r="G26" s="521" t="s">
        <v>867</v>
      </c>
      <c r="H26" s="686"/>
      <c r="I26" s="520" t="s">
        <v>865</v>
      </c>
      <c r="J26" s="520" t="s">
        <v>866</v>
      </c>
      <c r="K26" s="520" t="s">
        <v>867</v>
      </c>
      <c r="L26" s="655"/>
      <c r="M26" s="661"/>
      <c r="N26" s="668"/>
      <c r="O26" s="668"/>
      <c r="P26" s="521" t="s">
        <v>865</v>
      </c>
      <c r="Q26" s="521" t="s">
        <v>866</v>
      </c>
      <c r="R26" s="521" t="s">
        <v>867</v>
      </c>
      <c r="S26" s="521" t="s">
        <v>860</v>
      </c>
      <c r="T26" s="668"/>
      <c r="U26" s="521" t="s">
        <v>865</v>
      </c>
      <c r="V26" s="521" t="s">
        <v>866</v>
      </c>
      <c r="W26" s="521" t="s">
        <v>867</v>
      </c>
      <c r="X26" s="521" t="s">
        <v>860</v>
      </c>
      <c r="Y26" s="668"/>
      <c r="Z26" s="521" t="s">
        <v>865</v>
      </c>
      <c r="AA26" s="521" t="s">
        <v>866</v>
      </c>
      <c r="AB26" s="521" t="s">
        <v>867</v>
      </c>
      <c r="AC26" s="521" t="s">
        <v>860</v>
      </c>
      <c r="AD26" s="668"/>
      <c r="AE26" s="521" t="s">
        <v>865</v>
      </c>
      <c r="AF26" s="521" t="s">
        <v>866</v>
      </c>
      <c r="AG26" s="521" t="s">
        <v>867</v>
      </c>
      <c r="AH26" s="521" t="s">
        <v>860</v>
      </c>
      <c r="AI26" s="668"/>
      <c r="AJ26" s="521" t="s">
        <v>865</v>
      </c>
      <c r="AK26" s="521" t="s">
        <v>866</v>
      </c>
      <c r="AL26" s="521" t="s">
        <v>867</v>
      </c>
      <c r="AM26" s="521" t="s">
        <v>860</v>
      </c>
      <c r="AN26" s="668"/>
      <c r="AO26" s="521" t="s">
        <v>865</v>
      </c>
      <c r="AP26" s="521" t="s">
        <v>866</v>
      </c>
      <c r="AQ26" s="521" t="s">
        <v>867</v>
      </c>
      <c r="AR26" s="521" t="s">
        <v>860</v>
      </c>
      <c r="AS26" s="668"/>
      <c r="AT26" s="521" t="s">
        <v>865</v>
      </c>
      <c r="AU26" s="521" t="s">
        <v>866</v>
      </c>
      <c r="AV26" s="521" t="s">
        <v>867</v>
      </c>
      <c r="AW26" s="521" t="s">
        <v>860</v>
      </c>
      <c r="AX26" s="668"/>
    </row>
    <row r="27" spans="2:54">
      <c r="B27" s="716" t="s">
        <v>868</v>
      </c>
      <c r="C27" s="522">
        <v>1</v>
      </c>
      <c r="D27" s="569" t="s">
        <v>922</v>
      </c>
      <c r="E27" s="569">
        <v>10</v>
      </c>
      <c r="F27" s="569">
        <v>1500</v>
      </c>
      <c r="G27" s="182">
        <v>150</v>
      </c>
      <c r="H27" s="720">
        <f>AVERAGE(G27:G41)</f>
        <v>170</v>
      </c>
      <c r="I27" s="523">
        <f>AVERAGE(P27,U27,Z27,AE27,AJ27,AO27,AT27)</f>
        <v>10</v>
      </c>
      <c r="J27" s="523">
        <f>AVERAGE(Q27,V27,AA27,AF27,AK27,AP27,AU27)</f>
        <v>1478.8285714285682</v>
      </c>
      <c r="K27" s="200">
        <f>AVERAGE(R27,W27,AB27,AG27,AL27,AQ27,AV27)</f>
        <v>147.88285714285684</v>
      </c>
      <c r="L27" s="649">
        <f>IFERROR(AVERAGE(K27:K41),"-")</f>
        <v>179.71932107702514</v>
      </c>
      <c r="M27" s="524">
        <f>RANK(K27, K$27:$K$41)</f>
        <v>3</v>
      </c>
      <c r="N27" s="668"/>
      <c r="O27" s="668"/>
      <c r="P27" s="573">
        <v>10</v>
      </c>
      <c r="Q27" s="574">
        <v>1355.9999999999975</v>
      </c>
      <c r="R27" s="574">
        <v>135.59999999999974</v>
      </c>
      <c r="S27" s="522">
        <f>RANK(R27, R$27:R$41)</f>
        <v>5</v>
      </c>
      <c r="T27" s="690">
        <f>AVERAGE(R27:R41)</f>
        <v>183.03901338160676</v>
      </c>
      <c r="U27" s="573">
        <v>10</v>
      </c>
      <c r="V27" s="574">
        <v>1406.000000000005</v>
      </c>
      <c r="W27" s="574">
        <v>140.60000000000051</v>
      </c>
      <c r="X27" s="522">
        <f>RANK(W27, W$27:W$41)</f>
        <v>5</v>
      </c>
      <c r="Y27" s="690">
        <f>AVERAGE(W27:W41)</f>
        <v>180.24565527065542</v>
      </c>
      <c r="Z27" s="573">
        <v>10</v>
      </c>
      <c r="AA27" s="574">
        <v>1371.9999999999975</v>
      </c>
      <c r="AB27" s="574">
        <v>137.19999999999976</v>
      </c>
      <c r="AC27" s="522">
        <f>RANK(AB27, AB$27:AB$41)</f>
        <v>5</v>
      </c>
      <c r="AD27" s="690">
        <f>AVERAGE(AB27:AB41)</f>
        <v>176.95739864519669</v>
      </c>
      <c r="AE27" s="573">
        <v>10</v>
      </c>
      <c r="AF27" s="574">
        <v>1607.9999999999927</v>
      </c>
      <c r="AG27" s="574">
        <v>160.79999999999927</v>
      </c>
      <c r="AH27" s="522">
        <f>RANK(AG27, AG$27:AG$41)</f>
        <v>3</v>
      </c>
      <c r="AI27" s="690">
        <f>AVERAGE(AG27:AG41)</f>
        <v>175.61705128205131</v>
      </c>
      <c r="AJ27" s="573">
        <v>10</v>
      </c>
      <c r="AK27" s="574">
        <v>1496.9999999999934</v>
      </c>
      <c r="AL27" s="574">
        <v>149.69999999999933</v>
      </c>
      <c r="AM27" s="522">
        <f>RANK(AL27, AL$27:AL$41)</f>
        <v>5</v>
      </c>
      <c r="AN27" s="690">
        <f>AVERAGE(AL27:AL41)</f>
        <v>188.60129169076549</v>
      </c>
      <c r="AO27" s="573">
        <v>10</v>
      </c>
      <c r="AP27" s="574">
        <v>1567.1999999999955</v>
      </c>
      <c r="AQ27" s="574">
        <v>156.71999999999954</v>
      </c>
      <c r="AR27" s="522">
        <f>RANK(AQ27, AQ$27:AQ$41)</f>
        <v>3</v>
      </c>
      <c r="AS27" s="690">
        <f>AVERAGE(AQ27:AQ41)</f>
        <v>180.94794821925254</v>
      </c>
      <c r="AT27" s="573">
        <v>10</v>
      </c>
      <c r="AU27" s="574">
        <v>1545.5999999999956</v>
      </c>
      <c r="AV27" s="574">
        <v>154.55999999999955</v>
      </c>
      <c r="AW27" s="522">
        <f>RANK(AV27, AV$27:AV$41)</f>
        <v>3</v>
      </c>
      <c r="AX27" s="690">
        <f>AVERAGE(AV27:AV41)</f>
        <v>172.62688904964762</v>
      </c>
    </row>
    <row r="28" spans="2:54">
      <c r="B28" s="676"/>
      <c r="C28" s="522">
        <v>2</v>
      </c>
      <c r="D28" s="569" t="s">
        <v>923</v>
      </c>
      <c r="E28" s="569">
        <v>15</v>
      </c>
      <c r="F28" s="569">
        <v>1800</v>
      </c>
      <c r="G28" s="182">
        <v>120</v>
      </c>
      <c r="H28" s="721"/>
      <c r="I28" s="523">
        <f t="shared" ref="I28:K32" si="16">AVERAGE(P28,U28,Z28,AE28,AJ28,AO28,AT28)</f>
        <v>12.142857142857142</v>
      </c>
      <c r="J28" s="523">
        <f t="shared" si="16"/>
        <v>1706.3761904761907</v>
      </c>
      <c r="K28" s="200">
        <f t="shared" si="16"/>
        <v>140.87493894993898</v>
      </c>
      <c r="L28" s="650"/>
      <c r="M28" s="524">
        <f>RANK(K28, K$27:$K$41)</f>
        <v>5</v>
      </c>
      <c r="N28" s="668"/>
      <c r="O28" s="668"/>
      <c r="P28" s="573">
        <v>12</v>
      </c>
      <c r="Q28" s="574">
        <v>1882.4999999999993</v>
      </c>
      <c r="R28" s="574">
        <v>156.87499999999994</v>
      </c>
      <c r="S28" s="522">
        <f t="shared" ref="S28:S41" si="17">RANK(R28, R$27:R$41)</f>
        <v>3</v>
      </c>
      <c r="T28" s="690"/>
      <c r="U28" s="573">
        <v>12</v>
      </c>
      <c r="V28" s="574">
        <v>1700</v>
      </c>
      <c r="W28" s="574">
        <v>141.66666666666666</v>
      </c>
      <c r="X28" s="522">
        <f t="shared" ref="X28:X41" si="18">RANK(W28, W$27:W$41)</f>
        <v>4</v>
      </c>
      <c r="Y28" s="690"/>
      <c r="Z28" s="573">
        <v>12</v>
      </c>
      <c r="AA28" s="574">
        <v>1704</v>
      </c>
      <c r="AB28" s="574">
        <v>142</v>
      </c>
      <c r="AC28" s="522">
        <f t="shared" ref="AC28:AC41" si="19">RANK(AB28, AB$27:AB$41)</f>
        <v>4</v>
      </c>
      <c r="AD28" s="690"/>
      <c r="AE28" s="573">
        <v>12</v>
      </c>
      <c r="AF28" s="574">
        <v>1571.9999999999995</v>
      </c>
      <c r="AG28" s="574">
        <v>130.99999999999997</v>
      </c>
      <c r="AH28" s="522">
        <f t="shared" ref="AH28:AH41" si="20">RANK(AG28, AG$27:AG$41)</f>
        <v>5</v>
      </c>
      <c r="AI28" s="690"/>
      <c r="AJ28" s="573">
        <v>12</v>
      </c>
      <c r="AK28" s="574">
        <v>1888.0000000000018</v>
      </c>
      <c r="AL28" s="574">
        <v>157.33333333333348</v>
      </c>
      <c r="AM28" s="522">
        <f t="shared" ref="AM28:AM41" si="21">RANK(AL28, AL$27:AL$41)</f>
        <v>4</v>
      </c>
      <c r="AN28" s="690"/>
      <c r="AO28" s="573">
        <v>12</v>
      </c>
      <c r="AP28" s="574">
        <v>1753.3333333333333</v>
      </c>
      <c r="AQ28" s="574">
        <v>146.11111111111111</v>
      </c>
      <c r="AR28" s="522">
        <f t="shared" ref="AR28:AR41" si="22">RANK(AQ28, AQ$27:AQ$41)</f>
        <v>5</v>
      </c>
      <c r="AS28" s="690"/>
      <c r="AT28" s="573">
        <v>13</v>
      </c>
      <c r="AU28" s="574">
        <v>1444.8000000000004</v>
      </c>
      <c r="AV28" s="574">
        <v>111.13846153846157</v>
      </c>
      <c r="AW28" s="522">
        <f t="shared" ref="AW28:AW41" si="23">RANK(AV28, AV$27:AV$41)</f>
        <v>5</v>
      </c>
      <c r="AX28" s="690"/>
    </row>
    <row r="29" spans="2:54">
      <c r="B29" s="676"/>
      <c r="C29" s="522">
        <v>3</v>
      </c>
      <c r="D29" s="569" t="s">
        <v>366</v>
      </c>
      <c r="E29" s="569">
        <v>15</v>
      </c>
      <c r="F29" s="569">
        <v>1800</v>
      </c>
      <c r="G29" s="182">
        <v>120</v>
      </c>
      <c r="H29" s="721"/>
      <c r="I29" s="523">
        <f t="shared" si="16"/>
        <v>12.142857142857142</v>
      </c>
      <c r="J29" s="523">
        <f t="shared" si="16"/>
        <v>1755.4190476190472</v>
      </c>
      <c r="K29" s="200">
        <f t="shared" si="16"/>
        <v>144.90250305250302</v>
      </c>
      <c r="L29" s="650"/>
      <c r="M29" s="524">
        <f>RANK(K29, K$27:$K$41)</f>
        <v>4</v>
      </c>
      <c r="N29" s="668"/>
      <c r="O29" s="668"/>
      <c r="P29" s="573">
        <v>12</v>
      </c>
      <c r="Q29" s="574">
        <v>1777.3333333333335</v>
      </c>
      <c r="R29" s="574">
        <v>148.11111111111111</v>
      </c>
      <c r="S29" s="522">
        <f t="shared" si="17"/>
        <v>4</v>
      </c>
      <c r="T29" s="690"/>
      <c r="U29" s="573">
        <v>12</v>
      </c>
      <c r="V29" s="574">
        <v>1801.3333333333333</v>
      </c>
      <c r="W29" s="574">
        <v>150.11111111111111</v>
      </c>
      <c r="X29" s="522">
        <f t="shared" si="18"/>
        <v>3</v>
      </c>
      <c r="Y29" s="690"/>
      <c r="Z29" s="573">
        <v>12</v>
      </c>
      <c r="AA29" s="574">
        <v>1802.6666666666667</v>
      </c>
      <c r="AB29" s="574">
        <v>150.22222222222223</v>
      </c>
      <c r="AC29" s="522">
        <f t="shared" si="19"/>
        <v>3</v>
      </c>
      <c r="AD29" s="690"/>
      <c r="AE29" s="573">
        <v>12</v>
      </c>
      <c r="AF29" s="574">
        <v>1586.9999999999995</v>
      </c>
      <c r="AG29" s="574">
        <v>132.24999999999997</v>
      </c>
      <c r="AH29" s="522">
        <f t="shared" si="20"/>
        <v>4</v>
      </c>
      <c r="AI29" s="690"/>
      <c r="AJ29" s="573">
        <v>12</v>
      </c>
      <c r="AK29" s="574">
        <v>1981.9999999999964</v>
      </c>
      <c r="AL29" s="574">
        <v>165.16666666666637</v>
      </c>
      <c r="AM29" s="522">
        <f t="shared" si="21"/>
        <v>3</v>
      </c>
      <c r="AN29" s="690"/>
      <c r="AO29" s="573">
        <v>12</v>
      </c>
      <c r="AP29" s="574">
        <v>1828</v>
      </c>
      <c r="AQ29" s="574">
        <v>152.33333333333334</v>
      </c>
      <c r="AR29" s="522">
        <f t="shared" si="22"/>
        <v>4</v>
      </c>
      <c r="AS29" s="690"/>
      <c r="AT29" s="573">
        <v>13</v>
      </c>
      <c r="AU29" s="574">
        <v>1509.6000000000004</v>
      </c>
      <c r="AV29" s="574">
        <v>116.12307692307695</v>
      </c>
      <c r="AW29" s="522">
        <f t="shared" si="23"/>
        <v>4</v>
      </c>
      <c r="AX29" s="690"/>
    </row>
    <row r="30" spans="2:54">
      <c r="B30" s="676"/>
      <c r="C30" s="522">
        <v>4</v>
      </c>
      <c r="D30" s="569" t="s">
        <v>754</v>
      </c>
      <c r="E30" s="569">
        <v>6</v>
      </c>
      <c r="F30" s="569">
        <v>1500</v>
      </c>
      <c r="G30" s="182">
        <v>250</v>
      </c>
      <c r="H30" s="721"/>
      <c r="I30" s="523">
        <f t="shared" si="16"/>
        <v>6</v>
      </c>
      <c r="J30" s="523">
        <f t="shared" si="16"/>
        <v>1502.3504089895087</v>
      </c>
      <c r="K30" s="200">
        <f t="shared" si="16"/>
        <v>250.39173483158476</v>
      </c>
      <c r="L30" s="650"/>
      <c r="M30" s="524">
        <f>RANK(K30, K$27:$K$41)</f>
        <v>2</v>
      </c>
      <c r="N30" s="668"/>
      <c r="O30" s="668"/>
      <c r="P30" s="573">
        <v>6</v>
      </c>
      <c r="Q30" s="574">
        <v>1518.9473684210548</v>
      </c>
      <c r="R30" s="574">
        <v>253.15789473684245</v>
      </c>
      <c r="S30" s="522">
        <f t="shared" si="17"/>
        <v>2</v>
      </c>
      <c r="T30" s="690"/>
      <c r="U30" s="573">
        <v>6</v>
      </c>
      <c r="V30" s="574">
        <v>1533.0000000000023</v>
      </c>
      <c r="W30" s="574">
        <v>255.50000000000037</v>
      </c>
      <c r="X30" s="522">
        <f t="shared" si="18"/>
        <v>2</v>
      </c>
      <c r="Y30" s="690"/>
      <c r="Z30" s="573">
        <v>6</v>
      </c>
      <c r="AA30" s="574">
        <v>1437.1428571428567</v>
      </c>
      <c r="AB30" s="574">
        <v>239.52380952380943</v>
      </c>
      <c r="AC30" s="522">
        <f t="shared" si="19"/>
        <v>2</v>
      </c>
      <c r="AD30" s="690"/>
      <c r="AE30" s="573">
        <v>6</v>
      </c>
      <c r="AF30" s="574">
        <v>1500.0000000000016</v>
      </c>
      <c r="AG30" s="574">
        <v>250.00000000000026</v>
      </c>
      <c r="AH30" s="522">
        <f t="shared" si="20"/>
        <v>2</v>
      </c>
      <c r="AI30" s="690"/>
      <c r="AJ30" s="573">
        <v>6</v>
      </c>
      <c r="AK30" s="574">
        <v>1523.0769230769286</v>
      </c>
      <c r="AL30" s="574">
        <v>253.84615384615475</v>
      </c>
      <c r="AM30" s="579">
        <f t="shared" si="21"/>
        <v>2</v>
      </c>
      <c r="AN30" s="690"/>
      <c r="AO30" s="573">
        <v>6</v>
      </c>
      <c r="AP30" s="574">
        <v>1454.2857142857138</v>
      </c>
      <c r="AQ30" s="574">
        <v>242.38095238095229</v>
      </c>
      <c r="AR30" s="522">
        <f t="shared" si="22"/>
        <v>2</v>
      </c>
      <c r="AS30" s="690"/>
      <c r="AT30" s="573">
        <v>6</v>
      </c>
      <c r="AU30" s="574">
        <v>1550.000000000002</v>
      </c>
      <c r="AV30" s="574">
        <v>258.33333333333366</v>
      </c>
      <c r="AW30" s="522">
        <f t="shared" si="23"/>
        <v>2</v>
      </c>
      <c r="AX30" s="690"/>
    </row>
    <row r="31" spans="2:54">
      <c r="B31" s="676"/>
      <c r="C31" s="522">
        <v>5</v>
      </c>
      <c r="D31" s="569" t="s">
        <v>693</v>
      </c>
      <c r="E31" s="569">
        <v>5</v>
      </c>
      <c r="F31" s="569">
        <v>1500</v>
      </c>
      <c r="G31" s="182">
        <v>300</v>
      </c>
      <c r="H31" s="721"/>
      <c r="I31" s="523">
        <f t="shared" si="16"/>
        <v>5</v>
      </c>
      <c r="J31" s="523">
        <f t="shared" si="16"/>
        <v>1511.0463556703912</v>
      </c>
      <c r="K31" s="200">
        <f t="shared" si="16"/>
        <v>302.20927113407828</v>
      </c>
      <c r="L31" s="650"/>
      <c r="M31" s="524">
        <f>RANK(K31, K$27:$K$41)</f>
        <v>1</v>
      </c>
      <c r="N31" s="668"/>
      <c r="O31" s="668"/>
      <c r="P31" s="573">
        <v>5</v>
      </c>
      <c r="Q31" s="574">
        <v>1552.2580645161283</v>
      </c>
      <c r="R31" s="574">
        <v>310.45161290322568</v>
      </c>
      <c r="S31" s="522">
        <f t="shared" si="17"/>
        <v>1</v>
      </c>
      <c r="T31" s="690"/>
      <c r="U31" s="573">
        <v>5</v>
      </c>
      <c r="V31" s="574">
        <v>1511.2499999999995</v>
      </c>
      <c r="W31" s="574">
        <v>302.24999999999989</v>
      </c>
      <c r="X31" s="522">
        <f t="shared" si="18"/>
        <v>1</v>
      </c>
      <c r="Y31" s="690"/>
      <c r="Z31" s="573">
        <v>5</v>
      </c>
      <c r="AA31" s="574">
        <v>1509.6774193548401</v>
      </c>
      <c r="AB31" s="574">
        <v>301.93548387096803</v>
      </c>
      <c r="AC31" s="522">
        <f t="shared" si="19"/>
        <v>1</v>
      </c>
      <c r="AD31" s="690"/>
      <c r="AE31" s="573">
        <v>5</v>
      </c>
      <c r="AF31" s="574">
        <v>1432.8000000000029</v>
      </c>
      <c r="AG31" s="574">
        <v>286.56000000000057</v>
      </c>
      <c r="AH31" s="522">
        <f t="shared" si="20"/>
        <v>1</v>
      </c>
      <c r="AI31" s="690"/>
      <c r="AJ31" s="573">
        <v>5</v>
      </c>
      <c r="AK31" s="574">
        <v>1574.2857142857169</v>
      </c>
      <c r="AL31" s="574">
        <v>314.8571428571434</v>
      </c>
      <c r="AM31" s="579">
        <f t="shared" si="21"/>
        <v>1</v>
      </c>
      <c r="AN31" s="690"/>
      <c r="AO31" s="573">
        <v>5</v>
      </c>
      <c r="AP31" s="574">
        <v>1476.3636363636381</v>
      </c>
      <c r="AQ31" s="574">
        <v>295.27272727272759</v>
      </c>
      <c r="AR31" s="522">
        <f t="shared" si="22"/>
        <v>1</v>
      </c>
      <c r="AS31" s="690"/>
      <c r="AT31" s="573">
        <v>5</v>
      </c>
      <c r="AU31" s="574">
        <v>1520.689655172413</v>
      </c>
      <c r="AV31" s="574">
        <v>304.13793103448262</v>
      </c>
      <c r="AW31" s="522">
        <f t="shared" si="23"/>
        <v>1</v>
      </c>
      <c r="AX31" s="690"/>
    </row>
    <row r="32" spans="2:54">
      <c r="B32" s="676"/>
      <c r="C32" s="522">
        <v>6</v>
      </c>
      <c r="D32" s="569" t="s">
        <v>924</v>
      </c>
      <c r="E32" s="569">
        <v>15</v>
      </c>
      <c r="F32" s="569">
        <v>1200</v>
      </c>
      <c r="G32" s="182">
        <v>80</v>
      </c>
      <c r="H32" s="721"/>
      <c r="I32" s="523">
        <f t="shared" si="16"/>
        <v>13</v>
      </c>
      <c r="J32" s="523">
        <f t="shared" si="16"/>
        <v>1196.7100775654555</v>
      </c>
      <c r="K32" s="200">
        <f t="shared" si="16"/>
        <v>92.054621351188871</v>
      </c>
      <c r="L32" s="650"/>
      <c r="M32" s="524">
        <f>RANK(K32, K$27:$K$41)</f>
        <v>6</v>
      </c>
      <c r="N32" s="668"/>
      <c r="O32" s="668"/>
      <c r="P32" s="573">
        <v>13</v>
      </c>
      <c r="Q32" s="574">
        <v>1222.5000000000002</v>
      </c>
      <c r="R32" s="574">
        <v>94.038461538461561</v>
      </c>
      <c r="S32" s="522">
        <f t="shared" si="17"/>
        <v>6</v>
      </c>
      <c r="T32" s="690"/>
      <c r="U32" s="573">
        <v>13</v>
      </c>
      <c r="V32" s="574">
        <v>1187.5000000000002</v>
      </c>
      <c r="W32" s="574">
        <v>91.346153846153868</v>
      </c>
      <c r="X32" s="522">
        <f t="shared" si="18"/>
        <v>6</v>
      </c>
      <c r="Y32" s="690"/>
      <c r="Z32" s="573">
        <v>13</v>
      </c>
      <c r="AA32" s="574">
        <v>1181.217391304348</v>
      </c>
      <c r="AB32" s="574">
        <v>90.86287625418062</v>
      </c>
      <c r="AC32" s="522">
        <f t="shared" si="19"/>
        <v>6</v>
      </c>
      <c r="AD32" s="690"/>
      <c r="AE32" s="573">
        <v>13</v>
      </c>
      <c r="AF32" s="574">
        <v>1210.2000000000003</v>
      </c>
      <c r="AG32" s="574">
        <v>93.092307692307713</v>
      </c>
      <c r="AH32" s="522">
        <f t="shared" si="20"/>
        <v>6</v>
      </c>
      <c r="AI32" s="690"/>
      <c r="AJ32" s="573">
        <v>13</v>
      </c>
      <c r="AK32" s="574">
        <v>1179.1578947368423</v>
      </c>
      <c r="AL32" s="574">
        <v>90.704453441295556</v>
      </c>
      <c r="AM32" s="579">
        <f t="shared" si="21"/>
        <v>6</v>
      </c>
      <c r="AN32" s="690"/>
      <c r="AO32" s="573">
        <v>13</v>
      </c>
      <c r="AP32" s="574">
        <v>1207.3043478260872</v>
      </c>
      <c r="AQ32" s="574">
        <v>92.869565217391326</v>
      </c>
      <c r="AR32" s="522">
        <f t="shared" si="22"/>
        <v>6</v>
      </c>
      <c r="AS32" s="690"/>
      <c r="AT32" s="573">
        <v>13</v>
      </c>
      <c r="AU32" s="574">
        <v>1189.090909090909</v>
      </c>
      <c r="AV32" s="574">
        <v>91.468531468531467</v>
      </c>
      <c r="AW32" s="522">
        <f t="shared" si="23"/>
        <v>6</v>
      </c>
      <c r="AX32" s="690"/>
    </row>
    <row r="33" spans="2:50">
      <c r="B33" s="676"/>
      <c r="C33" s="522">
        <v>7</v>
      </c>
      <c r="D33" s="569"/>
      <c r="E33" s="569"/>
      <c r="F33" s="569"/>
      <c r="G33" s="182"/>
      <c r="H33" s="721"/>
      <c r="I33" s="523"/>
      <c r="J33" s="523"/>
      <c r="K33" s="200"/>
      <c r="L33" s="650"/>
      <c r="M33" s="524" t="e">
        <f>RANK(K33, K$27:$K$41)</f>
        <v>#N/A</v>
      </c>
      <c r="N33" s="668"/>
      <c r="O33" s="668"/>
      <c r="P33" s="573"/>
      <c r="Q33" s="574"/>
      <c r="R33" s="574"/>
      <c r="S33" s="522" t="e">
        <f t="shared" si="17"/>
        <v>#N/A</v>
      </c>
      <c r="T33" s="690"/>
      <c r="U33" s="573"/>
      <c r="V33" s="574"/>
      <c r="W33" s="574"/>
      <c r="X33" s="522" t="e">
        <f t="shared" si="18"/>
        <v>#N/A</v>
      </c>
      <c r="Y33" s="690"/>
      <c r="Z33" s="573"/>
      <c r="AA33" s="574"/>
      <c r="AB33" s="574"/>
      <c r="AC33" s="522" t="e">
        <f t="shared" si="19"/>
        <v>#N/A</v>
      </c>
      <c r="AD33" s="690"/>
      <c r="AE33" s="573"/>
      <c r="AF33" s="574"/>
      <c r="AG33" s="574"/>
      <c r="AH33" s="522" t="e">
        <f t="shared" si="20"/>
        <v>#N/A</v>
      </c>
      <c r="AI33" s="690"/>
      <c r="AJ33" s="573"/>
      <c r="AK33" s="574"/>
      <c r="AL33" s="574"/>
      <c r="AM33" s="579" t="e">
        <f t="shared" si="21"/>
        <v>#N/A</v>
      </c>
      <c r="AN33" s="690"/>
      <c r="AO33" s="573"/>
      <c r="AP33" s="574"/>
      <c r="AQ33" s="574"/>
      <c r="AR33" s="522" t="e">
        <f t="shared" si="22"/>
        <v>#N/A</v>
      </c>
      <c r="AS33" s="690"/>
      <c r="AT33" s="573"/>
      <c r="AU33" s="574"/>
      <c r="AV33" s="574"/>
      <c r="AW33" s="522" t="e">
        <f t="shared" si="23"/>
        <v>#N/A</v>
      </c>
      <c r="AX33" s="690"/>
    </row>
    <row r="34" spans="2:50">
      <c r="B34" s="676"/>
      <c r="C34" s="522">
        <v>8</v>
      </c>
      <c r="D34" s="569"/>
      <c r="E34" s="569"/>
      <c r="F34" s="569"/>
      <c r="G34" s="182"/>
      <c r="H34" s="721"/>
      <c r="I34" s="523"/>
      <c r="J34" s="523"/>
      <c r="K34" s="200"/>
      <c r="L34" s="650"/>
      <c r="M34" s="524" t="e">
        <f>RANK(K34, K$27:$K$41)</f>
        <v>#N/A</v>
      </c>
      <c r="N34" s="668"/>
      <c r="O34" s="668"/>
      <c r="P34" s="573"/>
      <c r="Q34" s="574"/>
      <c r="R34" s="574"/>
      <c r="S34" s="522" t="e">
        <f t="shared" si="17"/>
        <v>#N/A</v>
      </c>
      <c r="T34" s="690"/>
      <c r="U34" s="573"/>
      <c r="V34" s="574"/>
      <c r="W34" s="574"/>
      <c r="X34" s="522" t="e">
        <f t="shared" si="18"/>
        <v>#N/A</v>
      </c>
      <c r="Y34" s="690"/>
      <c r="Z34" s="573"/>
      <c r="AA34" s="574"/>
      <c r="AB34" s="574"/>
      <c r="AC34" s="522" t="e">
        <f t="shared" si="19"/>
        <v>#N/A</v>
      </c>
      <c r="AD34" s="690"/>
      <c r="AE34" s="573"/>
      <c r="AF34" s="574"/>
      <c r="AG34" s="574"/>
      <c r="AH34" s="522" t="e">
        <f t="shared" si="20"/>
        <v>#N/A</v>
      </c>
      <c r="AI34" s="690"/>
      <c r="AJ34" s="573"/>
      <c r="AK34" s="574"/>
      <c r="AL34" s="574"/>
      <c r="AM34" s="579" t="e">
        <f t="shared" si="21"/>
        <v>#N/A</v>
      </c>
      <c r="AN34" s="690"/>
      <c r="AO34" s="573"/>
      <c r="AP34" s="574"/>
      <c r="AQ34" s="574"/>
      <c r="AR34" s="522" t="e">
        <f t="shared" si="22"/>
        <v>#N/A</v>
      </c>
      <c r="AS34" s="690"/>
      <c r="AT34" s="573"/>
      <c r="AU34" s="574"/>
      <c r="AV34" s="574"/>
      <c r="AW34" s="522" t="e">
        <f t="shared" si="23"/>
        <v>#N/A</v>
      </c>
      <c r="AX34" s="690"/>
    </row>
    <row r="35" spans="2:50">
      <c r="B35" s="676"/>
      <c r="C35" s="522">
        <v>9</v>
      </c>
      <c r="D35" s="569"/>
      <c r="E35" s="569"/>
      <c r="F35" s="569"/>
      <c r="G35" s="182"/>
      <c r="H35" s="721"/>
      <c r="I35" s="523"/>
      <c r="J35" s="523"/>
      <c r="K35" s="200"/>
      <c r="L35" s="650"/>
      <c r="M35" s="524" t="e">
        <f>RANK(K35, K$27:$K$41)</f>
        <v>#N/A</v>
      </c>
      <c r="N35" s="668"/>
      <c r="O35" s="668"/>
      <c r="P35" s="573"/>
      <c r="Q35" s="574"/>
      <c r="R35" s="574"/>
      <c r="S35" s="522" t="e">
        <f t="shared" si="17"/>
        <v>#N/A</v>
      </c>
      <c r="T35" s="690"/>
      <c r="U35" s="573"/>
      <c r="V35" s="574"/>
      <c r="W35" s="574"/>
      <c r="X35" s="522" t="e">
        <f t="shared" si="18"/>
        <v>#N/A</v>
      </c>
      <c r="Y35" s="690"/>
      <c r="Z35" s="573"/>
      <c r="AA35" s="574"/>
      <c r="AB35" s="574"/>
      <c r="AC35" s="522" t="e">
        <f t="shared" si="19"/>
        <v>#N/A</v>
      </c>
      <c r="AD35" s="690"/>
      <c r="AE35" s="573"/>
      <c r="AF35" s="574"/>
      <c r="AG35" s="574"/>
      <c r="AH35" s="522" t="e">
        <f t="shared" si="20"/>
        <v>#N/A</v>
      </c>
      <c r="AI35" s="690"/>
      <c r="AJ35" s="573"/>
      <c r="AK35" s="574"/>
      <c r="AL35" s="574"/>
      <c r="AM35" s="579" t="e">
        <f t="shared" si="21"/>
        <v>#N/A</v>
      </c>
      <c r="AN35" s="690"/>
      <c r="AO35" s="573"/>
      <c r="AP35" s="574"/>
      <c r="AQ35" s="574"/>
      <c r="AR35" s="522" t="e">
        <f t="shared" si="22"/>
        <v>#N/A</v>
      </c>
      <c r="AS35" s="690"/>
      <c r="AT35" s="573"/>
      <c r="AU35" s="574"/>
      <c r="AV35" s="574"/>
      <c r="AW35" s="522" t="e">
        <f t="shared" si="23"/>
        <v>#N/A</v>
      </c>
      <c r="AX35" s="690"/>
    </row>
    <row r="36" spans="2:50">
      <c r="B36" s="676"/>
      <c r="C36" s="522">
        <v>10</v>
      </c>
      <c r="D36" s="569"/>
      <c r="E36" s="569"/>
      <c r="F36" s="569"/>
      <c r="G36" s="182"/>
      <c r="H36" s="721"/>
      <c r="I36" s="523"/>
      <c r="J36" s="523"/>
      <c r="K36" s="200"/>
      <c r="L36" s="650"/>
      <c r="M36" s="524" t="e">
        <f>RANK(K36, K$27:$K$41)</f>
        <v>#N/A</v>
      </c>
      <c r="N36" s="668"/>
      <c r="O36" s="668"/>
      <c r="P36" s="573"/>
      <c r="Q36" s="574"/>
      <c r="R36" s="574"/>
      <c r="S36" s="522" t="e">
        <f t="shared" si="17"/>
        <v>#N/A</v>
      </c>
      <c r="T36" s="690"/>
      <c r="U36" s="573"/>
      <c r="V36" s="574"/>
      <c r="W36" s="574"/>
      <c r="X36" s="522" t="e">
        <f t="shared" si="18"/>
        <v>#N/A</v>
      </c>
      <c r="Y36" s="690"/>
      <c r="Z36" s="573"/>
      <c r="AA36" s="574"/>
      <c r="AB36" s="574"/>
      <c r="AC36" s="522" t="e">
        <f t="shared" si="19"/>
        <v>#N/A</v>
      </c>
      <c r="AD36" s="690"/>
      <c r="AE36" s="573"/>
      <c r="AF36" s="574"/>
      <c r="AG36" s="574"/>
      <c r="AH36" s="522" t="e">
        <f t="shared" si="20"/>
        <v>#N/A</v>
      </c>
      <c r="AI36" s="690"/>
      <c r="AJ36" s="573"/>
      <c r="AK36" s="574"/>
      <c r="AL36" s="574"/>
      <c r="AM36" s="579" t="e">
        <f t="shared" si="21"/>
        <v>#N/A</v>
      </c>
      <c r="AN36" s="690"/>
      <c r="AO36" s="573"/>
      <c r="AP36" s="574"/>
      <c r="AQ36" s="574"/>
      <c r="AR36" s="522" t="e">
        <f t="shared" si="22"/>
        <v>#N/A</v>
      </c>
      <c r="AS36" s="690"/>
      <c r="AT36" s="573"/>
      <c r="AU36" s="574"/>
      <c r="AV36" s="574"/>
      <c r="AW36" s="522" t="e">
        <f t="shared" si="23"/>
        <v>#N/A</v>
      </c>
      <c r="AX36" s="690"/>
    </row>
    <row r="37" spans="2:50">
      <c r="B37" s="676"/>
      <c r="C37" s="522">
        <v>11</v>
      </c>
      <c r="D37" s="569"/>
      <c r="E37" s="569"/>
      <c r="F37" s="569"/>
      <c r="G37" s="182"/>
      <c r="H37" s="721"/>
      <c r="I37" s="202"/>
      <c r="J37" s="202"/>
      <c r="K37" s="202"/>
      <c r="L37" s="650"/>
      <c r="M37" s="524" t="e">
        <f>RANK(K37, K$27:$K$41)</f>
        <v>#N/A</v>
      </c>
      <c r="N37" s="668"/>
      <c r="O37" s="668"/>
      <c r="P37" s="573"/>
      <c r="Q37" s="574"/>
      <c r="R37" s="574"/>
      <c r="S37" s="522" t="e">
        <f t="shared" si="17"/>
        <v>#N/A</v>
      </c>
      <c r="T37" s="690"/>
      <c r="U37" s="573"/>
      <c r="V37" s="574"/>
      <c r="W37" s="574"/>
      <c r="X37" s="522" t="e">
        <f t="shared" si="18"/>
        <v>#N/A</v>
      </c>
      <c r="Y37" s="690"/>
      <c r="Z37" s="573"/>
      <c r="AA37" s="574"/>
      <c r="AB37" s="574"/>
      <c r="AC37" s="522" t="e">
        <f t="shared" si="19"/>
        <v>#N/A</v>
      </c>
      <c r="AD37" s="690"/>
      <c r="AE37" s="573"/>
      <c r="AF37" s="574"/>
      <c r="AG37" s="574"/>
      <c r="AH37" s="522" t="e">
        <f t="shared" si="20"/>
        <v>#N/A</v>
      </c>
      <c r="AI37" s="690"/>
      <c r="AJ37" s="573"/>
      <c r="AK37" s="574"/>
      <c r="AL37" s="574"/>
      <c r="AM37" s="579" t="e">
        <f t="shared" si="21"/>
        <v>#N/A</v>
      </c>
      <c r="AN37" s="690"/>
      <c r="AO37" s="573"/>
      <c r="AP37" s="574"/>
      <c r="AQ37" s="574"/>
      <c r="AR37" s="522" t="e">
        <f t="shared" si="22"/>
        <v>#N/A</v>
      </c>
      <c r="AS37" s="690"/>
      <c r="AT37" s="573"/>
      <c r="AU37" s="574"/>
      <c r="AV37" s="574"/>
      <c r="AW37" s="522" t="e">
        <f t="shared" si="23"/>
        <v>#N/A</v>
      </c>
      <c r="AX37" s="690"/>
    </row>
    <row r="38" spans="2:50">
      <c r="B38" s="676"/>
      <c r="C38" s="522">
        <v>12</v>
      </c>
      <c r="D38" s="569"/>
      <c r="E38" s="569"/>
      <c r="F38" s="569"/>
      <c r="G38" s="182"/>
      <c r="H38" s="721"/>
      <c r="I38" s="202"/>
      <c r="J38" s="202"/>
      <c r="K38" s="202"/>
      <c r="L38" s="650"/>
      <c r="M38" s="524" t="e">
        <f>RANK(K38, K$27:$K$41)</f>
        <v>#N/A</v>
      </c>
      <c r="N38" s="668"/>
      <c r="O38" s="668"/>
      <c r="P38" s="573"/>
      <c r="Q38" s="574"/>
      <c r="R38" s="574"/>
      <c r="S38" s="522" t="e">
        <f t="shared" si="17"/>
        <v>#N/A</v>
      </c>
      <c r="T38" s="690"/>
      <c r="U38" s="573"/>
      <c r="V38" s="574"/>
      <c r="W38" s="574"/>
      <c r="X38" s="522" t="e">
        <f t="shared" si="18"/>
        <v>#N/A</v>
      </c>
      <c r="Y38" s="690"/>
      <c r="Z38" s="573"/>
      <c r="AA38" s="574"/>
      <c r="AB38" s="574"/>
      <c r="AC38" s="522" t="e">
        <f t="shared" si="19"/>
        <v>#N/A</v>
      </c>
      <c r="AD38" s="690"/>
      <c r="AE38" s="573"/>
      <c r="AF38" s="574"/>
      <c r="AG38" s="574"/>
      <c r="AH38" s="522" t="e">
        <f t="shared" si="20"/>
        <v>#N/A</v>
      </c>
      <c r="AI38" s="690"/>
      <c r="AJ38" s="573"/>
      <c r="AK38" s="574"/>
      <c r="AL38" s="574"/>
      <c r="AM38" s="579" t="e">
        <f t="shared" si="21"/>
        <v>#N/A</v>
      </c>
      <c r="AN38" s="690"/>
      <c r="AO38" s="573"/>
      <c r="AP38" s="574"/>
      <c r="AQ38" s="574"/>
      <c r="AR38" s="522" t="e">
        <f t="shared" si="22"/>
        <v>#N/A</v>
      </c>
      <c r="AS38" s="690"/>
      <c r="AT38" s="573"/>
      <c r="AU38" s="574"/>
      <c r="AV38" s="574"/>
      <c r="AW38" s="522" t="e">
        <f t="shared" si="23"/>
        <v>#N/A</v>
      </c>
      <c r="AX38" s="690"/>
    </row>
    <row r="39" spans="2:50">
      <c r="B39" s="676"/>
      <c r="C39" s="522">
        <v>13</v>
      </c>
      <c r="D39" s="569"/>
      <c r="E39" s="569"/>
      <c r="F39" s="569"/>
      <c r="G39" s="182"/>
      <c r="H39" s="721"/>
      <c r="I39" s="202"/>
      <c r="J39" s="202"/>
      <c r="K39" s="202"/>
      <c r="L39" s="650"/>
      <c r="M39" s="524" t="e">
        <f>RANK(K39, K$27:$K$41)</f>
        <v>#N/A</v>
      </c>
      <c r="N39" s="668"/>
      <c r="O39" s="668"/>
      <c r="P39" s="573"/>
      <c r="Q39" s="574"/>
      <c r="R39" s="574"/>
      <c r="S39" s="522" t="e">
        <f t="shared" si="17"/>
        <v>#N/A</v>
      </c>
      <c r="T39" s="690"/>
      <c r="U39" s="573"/>
      <c r="V39" s="574"/>
      <c r="W39" s="574"/>
      <c r="X39" s="522" t="e">
        <f t="shared" si="18"/>
        <v>#N/A</v>
      </c>
      <c r="Y39" s="690"/>
      <c r="Z39" s="573"/>
      <c r="AA39" s="574"/>
      <c r="AB39" s="574"/>
      <c r="AC39" s="522" t="e">
        <f t="shared" si="19"/>
        <v>#N/A</v>
      </c>
      <c r="AD39" s="690"/>
      <c r="AE39" s="573"/>
      <c r="AF39" s="574"/>
      <c r="AG39" s="574"/>
      <c r="AH39" s="522" t="e">
        <f t="shared" si="20"/>
        <v>#N/A</v>
      </c>
      <c r="AI39" s="690"/>
      <c r="AJ39" s="573"/>
      <c r="AK39" s="574"/>
      <c r="AL39" s="574"/>
      <c r="AM39" s="579" t="e">
        <f t="shared" si="21"/>
        <v>#N/A</v>
      </c>
      <c r="AN39" s="690"/>
      <c r="AO39" s="573"/>
      <c r="AP39" s="574"/>
      <c r="AQ39" s="574"/>
      <c r="AR39" s="522" t="e">
        <f t="shared" si="22"/>
        <v>#N/A</v>
      </c>
      <c r="AS39" s="690"/>
      <c r="AT39" s="573"/>
      <c r="AU39" s="574"/>
      <c r="AV39" s="574"/>
      <c r="AW39" s="522" t="e">
        <f t="shared" si="23"/>
        <v>#N/A</v>
      </c>
      <c r="AX39" s="690"/>
    </row>
    <row r="40" spans="2:50">
      <c r="B40" s="676"/>
      <c r="C40" s="522">
        <v>14</v>
      </c>
      <c r="D40" s="569"/>
      <c r="E40" s="569"/>
      <c r="F40" s="569"/>
      <c r="G40" s="182"/>
      <c r="H40" s="721"/>
      <c r="I40" s="202"/>
      <c r="J40" s="202"/>
      <c r="K40" s="202"/>
      <c r="L40" s="650"/>
      <c r="M40" s="524" t="e">
        <f>RANK(K40, K$27:$K$41)</f>
        <v>#N/A</v>
      </c>
      <c r="N40" s="668"/>
      <c r="O40" s="668"/>
      <c r="P40" s="573"/>
      <c r="Q40" s="574"/>
      <c r="R40" s="574"/>
      <c r="S40" s="522" t="e">
        <f t="shared" si="17"/>
        <v>#N/A</v>
      </c>
      <c r="T40" s="690"/>
      <c r="U40" s="573"/>
      <c r="V40" s="574"/>
      <c r="W40" s="574"/>
      <c r="X40" s="522" t="e">
        <f t="shared" si="18"/>
        <v>#N/A</v>
      </c>
      <c r="Y40" s="690"/>
      <c r="Z40" s="573"/>
      <c r="AA40" s="574"/>
      <c r="AB40" s="574"/>
      <c r="AC40" s="522" t="e">
        <f t="shared" si="19"/>
        <v>#N/A</v>
      </c>
      <c r="AD40" s="690"/>
      <c r="AE40" s="573"/>
      <c r="AF40" s="574"/>
      <c r="AG40" s="574"/>
      <c r="AH40" s="522" t="e">
        <f t="shared" si="20"/>
        <v>#N/A</v>
      </c>
      <c r="AI40" s="690"/>
      <c r="AJ40" s="573"/>
      <c r="AK40" s="574"/>
      <c r="AL40" s="574"/>
      <c r="AM40" s="579" t="e">
        <f t="shared" si="21"/>
        <v>#N/A</v>
      </c>
      <c r="AN40" s="690"/>
      <c r="AO40" s="573"/>
      <c r="AP40" s="574"/>
      <c r="AQ40" s="574"/>
      <c r="AR40" s="522" t="e">
        <f t="shared" si="22"/>
        <v>#N/A</v>
      </c>
      <c r="AS40" s="690"/>
      <c r="AT40" s="573"/>
      <c r="AU40" s="574"/>
      <c r="AV40" s="574"/>
      <c r="AW40" s="522" t="e">
        <f t="shared" si="23"/>
        <v>#N/A</v>
      </c>
      <c r="AX40" s="690"/>
    </row>
    <row r="41" spans="2:50">
      <c r="B41" s="676"/>
      <c r="C41" s="522">
        <v>15</v>
      </c>
      <c r="D41" s="569"/>
      <c r="E41" s="569"/>
      <c r="F41" s="569"/>
      <c r="G41" s="569"/>
      <c r="H41" s="722"/>
      <c r="I41" s="202"/>
      <c r="J41" s="202"/>
      <c r="K41" s="202"/>
      <c r="L41" s="651"/>
      <c r="M41" s="523" t="e">
        <f>RANK(K41, K$27:$K$41)</f>
        <v>#N/A</v>
      </c>
      <c r="N41" s="668"/>
      <c r="O41" s="668"/>
      <c r="P41" s="573"/>
      <c r="Q41" s="574"/>
      <c r="R41" s="574"/>
      <c r="S41" s="522" t="e">
        <f t="shared" si="17"/>
        <v>#N/A</v>
      </c>
      <c r="T41" s="690"/>
      <c r="U41" s="573"/>
      <c r="V41" s="574"/>
      <c r="W41" s="574"/>
      <c r="X41" s="522" t="e">
        <f t="shared" si="18"/>
        <v>#N/A</v>
      </c>
      <c r="Y41" s="690"/>
      <c r="Z41" s="573"/>
      <c r="AA41" s="574"/>
      <c r="AB41" s="574"/>
      <c r="AC41" s="522" t="e">
        <f t="shared" si="19"/>
        <v>#N/A</v>
      </c>
      <c r="AD41" s="690"/>
      <c r="AE41" s="573"/>
      <c r="AF41" s="574"/>
      <c r="AG41" s="574"/>
      <c r="AH41" s="522" t="e">
        <f t="shared" si="20"/>
        <v>#N/A</v>
      </c>
      <c r="AI41" s="690"/>
      <c r="AJ41" s="573"/>
      <c r="AK41" s="574"/>
      <c r="AL41" s="574"/>
      <c r="AM41" s="579" t="e">
        <f t="shared" si="21"/>
        <v>#N/A</v>
      </c>
      <c r="AN41" s="690"/>
      <c r="AO41" s="573"/>
      <c r="AP41" s="574"/>
      <c r="AQ41" s="574"/>
      <c r="AR41" s="522" t="e">
        <f t="shared" si="22"/>
        <v>#N/A</v>
      </c>
      <c r="AS41" s="690"/>
      <c r="AT41" s="573"/>
      <c r="AU41" s="574"/>
      <c r="AV41" s="574"/>
      <c r="AW41" s="522" t="e">
        <f t="shared" si="23"/>
        <v>#N/A</v>
      </c>
      <c r="AX41" s="690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69" t="s">
        <v>156</v>
      </c>
      <c r="O42" s="669" t="s">
        <v>105</v>
      </c>
      <c r="P42" s="675">
        <f>P22+7</f>
        <v>46098</v>
      </c>
      <c r="Q42" s="676"/>
      <c r="R42" s="676"/>
      <c r="S42" s="676"/>
      <c r="T42" s="676"/>
      <c r="U42" s="672">
        <f>P42+1</f>
        <v>46099</v>
      </c>
      <c r="V42" s="673"/>
      <c r="W42" s="673"/>
      <c r="X42" s="673"/>
      <c r="Y42" s="674"/>
      <c r="Z42" s="672">
        <f>U42+1</f>
        <v>46100</v>
      </c>
      <c r="AA42" s="673"/>
      <c r="AB42" s="673"/>
      <c r="AC42" s="673"/>
      <c r="AD42" s="674"/>
      <c r="AE42" s="672">
        <f>Z42+1</f>
        <v>46101</v>
      </c>
      <c r="AF42" s="673"/>
      <c r="AG42" s="673"/>
      <c r="AH42" s="673"/>
      <c r="AI42" s="674"/>
      <c r="AJ42" s="672">
        <f>AE42+1</f>
        <v>46102</v>
      </c>
      <c r="AK42" s="673"/>
      <c r="AL42" s="673"/>
      <c r="AM42" s="673"/>
      <c r="AN42" s="674"/>
      <c r="AO42" s="672">
        <f>AJ42+1</f>
        <v>46103</v>
      </c>
      <c r="AP42" s="673"/>
      <c r="AQ42" s="673"/>
      <c r="AR42" s="673"/>
      <c r="AS42" s="674"/>
      <c r="AT42" s="672">
        <f>AO42+1</f>
        <v>46104</v>
      </c>
      <c r="AU42" s="673"/>
      <c r="AV42" s="673"/>
      <c r="AW42" s="673"/>
      <c r="AX42" s="674"/>
    </row>
    <row r="43" spans="2:50" ht="15.75">
      <c r="B43" s="683"/>
      <c r="C43" s="683"/>
      <c r="D43" s="683"/>
      <c r="E43" s="683"/>
      <c r="F43" s="683"/>
      <c r="G43" s="683"/>
      <c r="H43" s="683"/>
      <c r="I43" s="205"/>
      <c r="J43" s="205"/>
      <c r="K43" s="205"/>
      <c r="L43" s="205"/>
      <c r="M43" s="206"/>
      <c r="N43" s="671"/>
      <c r="O43" s="671"/>
      <c r="P43" s="675" t="s">
        <v>336</v>
      </c>
      <c r="Q43" s="676"/>
      <c r="R43" s="676"/>
      <c r="S43" s="676"/>
      <c r="T43" s="676"/>
      <c r="U43" s="675" t="s">
        <v>337</v>
      </c>
      <c r="V43" s="676"/>
      <c r="W43" s="676"/>
      <c r="X43" s="676"/>
      <c r="Y43" s="676"/>
      <c r="Z43" s="675" t="s">
        <v>338</v>
      </c>
      <c r="AA43" s="676"/>
      <c r="AB43" s="676"/>
      <c r="AC43" s="676"/>
      <c r="AD43" s="676"/>
      <c r="AE43" s="675" t="s">
        <v>339</v>
      </c>
      <c r="AF43" s="676"/>
      <c r="AG43" s="676"/>
      <c r="AH43" s="676"/>
      <c r="AI43" s="676"/>
      <c r="AJ43" s="675" t="s">
        <v>340</v>
      </c>
      <c r="AK43" s="676"/>
      <c r="AL43" s="676"/>
      <c r="AM43" s="676"/>
      <c r="AN43" s="676"/>
      <c r="AO43" s="675" t="s">
        <v>341</v>
      </c>
      <c r="AP43" s="676"/>
      <c r="AQ43" s="676"/>
      <c r="AR43" s="676"/>
      <c r="AS43" s="676"/>
      <c r="AT43" s="675" t="s">
        <v>342</v>
      </c>
      <c r="AU43" s="676"/>
      <c r="AV43" s="676"/>
      <c r="AW43" s="676"/>
      <c r="AX43" s="676"/>
    </row>
    <row r="44" spans="2:50">
      <c r="B44" s="668" t="s">
        <v>621</v>
      </c>
      <c r="C44" s="668" t="s">
        <v>622</v>
      </c>
      <c r="D44" s="668"/>
      <c r="E44" s="668" t="s">
        <v>623</v>
      </c>
      <c r="F44" s="668"/>
      <c r="G44" s="668"/>
      <c r="H44" s="684" t="s">
        <v>624</v>
      </c>
      <c r="I44" s="652" t="s">
        <v>625</v>
      </c>
      <c r="J44" s="652"/>
      <c r="K44" s="652"/>
      <c r="L44" s="653" t="s">
        <v>624</v>
      </c>
      <c r="M44" s="659" t="s">
        <v>626</v>
      </c>
      <c r="N44" s="668"/>
      <c r="O44" s="668" t="s">
        <v>627</v>
      </c>
      <c r="P44" s="665" t="s">
        <v>889</v>
      </c>
      <c r="Q44" s="666"/>
      <c r="R44" s="666"/>
      <c r="S44" s="667"/>
      <c r="T44" s="668" t="s">
        <v>890</v>
      </c>
      <c r="U44" s="665" t="s">
        <v>889</v>
      </c>
      <c r="V44" s="666"/>
      <c r="W44" s="666"/>
      <c r="X44" s="667"/>
      <c r="Y44" s="668" t="s">
        <v>890</v>
      </c>
      <c r="Z44" s="665" t="s">
        <v>889</v>
      </c>
      <c r="AA44" s="666"/>
      <c r="AB44" s="666"/>
      <c r="AC44" s="667"/>
      <c r="AD44" s="668" t="s">
        <v>890</v>
      </c>
      <c r="AE44" s="665" t="s">
        <v>889</v>
      </c>
      <c r="AF44" s="666"/>
      <c r="AG44" s="666"/>
      <c r="AH44" s="667"/>
      <c r="AI44" s="668" t="s">
        <v>890</v>
      </c>
      <c r="AJ44" s="665" t="s">
        <v>889</v>
      </c>
      <c r="AK44" s="666"/>
      <c r="AL44" s="666"/>
      <c r="AM44" s="667"/>
      <c r="AN44" s="668" t="s">
        <v>890</v>
      </c>
      <c r="AO44" s="665" t="s">
        <v>889</v>
      </c>
      <c r="AP44" s="666"/>
      <c r="AQ44" s="666"/>
      <c r="AR44" s="667"/>
      <c r="AS44" s="668" t="s">
        <v>890</v>
      </c>
      <c r="AT44" s="665" t="s">
        <v>889</v>
      </c>
      <c r="AU44" s="666"/>
      <c r="AV44" s="666"/>
      <c r="AW44" s="667"/>
      <c r="AX44" s="668" t="s">
        <v>890</v>
      </c>
    </row>
    <row r="45" spans="2:50">
      <c r="B45" s="668"/>
      <c r="C45" s="668"/>
      <c r="D45" s="668"/>
      <c r="E45" s="668" t="s">
        <v>628</v>
      </c>
      <c r="F45" s="668"/>
      <c r="G45" s="668"/>
      <c r="H45" s="685"/>
      <c r="I45" s="652" t="s">
        <v>628</v>
      </c>
      <c r="J45" s="652"/>
      <c r="K45" s="652"/>
      <c r="L45" s="654"/>
      <c r="M45" s="660"/>
      <c r="N45" s="668"/>
      <c r="O45" s="668"/>
      <c r="P45" s="665" t="s">
        <v>891</v>
      </c>
      <c r="Q45" s="666"/>
      <c r="R45" s="666"/>
      <c r="S45" s="667"/>
      <c r="T45" s="668"/>
      <c r="U45" s="665" t="s">
        <v>891</v>
      </c>
      <c r="V45" s="666"/>
      <c r="W45" s="666"/>
      <c r="X45" s="667"/>
      <c r="Y45" s="668"/>
      <c r="Z45" s="665" t="s">
        <v>891</v>
      </c>
      <c r="AA45" s="666"/>
      <c r="AB45" s="666"/>
      <c r="AC45" s="667"/>
      <c r="AD45" s="668"/>
      <c r="AE45" s="665" t="s">
        <v>891</v>
      </c>
      <c r="AF45" s="666"/>
      <c r="AG45" s="666"/>
      <c r="AH45" s="667"/>
      <c r="AI45" s="668"/>
      <c r="AJ45" s="665" t="s">
        <v>891</v>
      </c>
      <c r="AK45" s="666"/>
      <c r="AL45" s="666"/>
      <c r="AM45" s="667"/>
      <c r="AN45" s="668"/>
      <c r="AO45" s="665" t="s">
        <v>891</v>
      </c>
      <c r="AP45" s="666"/>
      <c r="AQ45" s="666"/>
      <c r="AR45" s="667"/>
      <c r="AS45" s="668"/>
      <c r="AT45" s="665" t="s">
        <v>891</v>
      </c>
      <c r="AU45" s="666"/>
      <c r="AV45" s="666"/>
      <c r="AW45" s="667"/>
      <c r="AX45" s="668"/>
    </row>
    <row r="46" spans="2:50">
      <c r="B46" s="668"/>
      <c r="C46" s="668"/>
      <c r="D46" s="668"/>
      <c r="E46" s="335" t="s">
        <v>629</v>
      </c>
      <c r="F46" s="335" t="s">
        <v>630</v>
      </c>
      <c r="G46" s="335" t="s">
        <v>631</v>
      </c>
      <c r="H46" s="686"/>
      <c r="I46" s="336" t="s">
        <v>629</v>
      </c>
      <c r="J46" s="336" t="s">
        <v>630</v>
      </c>
      <c r="K46" s="336" t="s">
        <v>631</v>
      </c>
      <c r="L46" s="655"/>
      <c r="M46" s="661"/>
      <c r="N46" s="668"/>
      <c r="O46" s="668"/>
      <c r="P46" s="532" t="s">
        <v>892</v>
      </c>
      <c r="Q46" s="532" t="s">
        <v>893</v>
      </c>
      <c r="R46" s="532" t="s">
        <v>894</v>
      </c>
      <c r="S46" s="532" t="s">
        <v>895</v>
      </c>
      <c r="T46" s="668"/>
      <c r="U46" s="532" t="s">
        <v>892</v>
      </c>
      <c r="V46" s="532" t="s">
        <v>893</v>
      </c>
      <c r="W46" s="532" t="s">
        <v>894</v>
      </c>
      <c r="X46" s="532" t="s">
        <v>895</v>
      </c>
      <c r="Y46" s="668"/>
      <c r="Z46" s="532" t="s">
        <v>892</v>
      </c>
      <c r="AA46" s="532" t="s">
        <v>893</v>
      </c>
      <c r="AB46" s="532" t="s">
        <v>894</v>
      </c>
      <c r="AC46" s="532" t="s">
        <v>895</v>
      </c>
      <c r="AD46" s="668"/>
      <c r="AE46" s="532" t="s">
        <v>892</v>
      </c>
      <c r="AF46" s="532" t="s">
        <v>893</v>
      </c>
      <c r="AG46" s="532" t="s">
        <v>894</v>
      </c>
      <c r="AH46" s="532" t="s">
        <v>895</v>
      </c>
      <c r="AI46" s="668"/>
      <c r="AJ46" s="532" t="s">
        <v>892</v>
      </c>
      <c r="AK46" s="532" t="s">
        <v>893</v>
      </c>
      <c r="AL46" s="532" t="s">
        <v>894</v>
      </c>
      <c r="AM46" s="532" t="s">
        <v>895</v>
      </c>
      <c r="AN46" s="668"/>
      <c r="AO46" s="532" t="s">
        <v>892</v>
      </c>
      <c r="AP46" s="532" t="s">
        <v>893</v>
      </c>
      <c r="AQ46" s="532" t="s">
        <v>894</v>
      </c>
      <c r="AR46" s="532" t="s">
        <v>895</v>
      </c>
      <c r="AS46" s="668"/>
      <c r="AT46" s="532" t="s">
        <v>892</v>
      </c>
      <c r="AU46" s="532" t="s">
        <v>893</v>
      </c>
      <c r="AV46" s="532" t="s">
        <v>894</v>
      </c>
      <c r="AW46" s="532" t="s">
        <v>895</v>
      </c>
      <c r="AX46" s="668"/>
    </row>
    <row r="47" spans="2:50">
      <c r="B47" s="716" t="s">
        <v>632</v>
      </c>
      <c r="C47" s="334">
        <v>1</v>
      </c>
      <c r="D47" s="569" t="s">
        <v>922</v>
      </c>
      <c r="E47" s="569">
        <v>10</v>
      </c>
      <c r="F47" s="569">
        <v>1500</v>
      </c>
      <c r="G47" s="182">
        <v>150</v>
      </c>
      <c r="H47" s="717">
        <f>AVERAGE(G47:G61)</f>
        <v>157.14285714285714</v>
      </c>
      <c r="I47" s="199">
        <f>AVERAGE(P47,U47,Z47,AE47,AJ47,AO47,AT47)</f>
        <v>10</v>
      </c>
      <c r="J47" s="199">
        <f>AVERAGE(Q47,V47,AA47,AF47,AK47,AP47,AU47)</f>
        <v>1465.57142857143</v>
      </c>
      <c r="K47" s="200">
        <f>AVERAGE(R47,W47,AB47,AG47,AL47,AQ47,AV47)</f>
        <v>146.55714285714302</v>
      </c>
      <c r="L47" s="649">
        <f>IFERROR(AVERAGE(K47:K61),"-")</f>
        <v>167.76086384864715</v>
      </c>
      <c r="M47" s="201">
        <f>RANK(K47, K$47:$K$61)</f>
        <v>5</v>
      </c>
      <c r="N47" s="668"/>
      <c r="O47" s="668"/>
      <c r="P47" s="573">
        <v>10</v>
      </c>
      <c r="Q47" s="574">
        <v>1393.9999999999975</v>
      </c>
      <c r="R47" s="574">
        <v>139.39999999999975</v>
      </c>
      <c r="S47" s="534">
        <f>RANK(R47, R$47:R$61)</f>
        <v>5</v>
      </c>
      <c r="T47" s="690">
        <f>AVERAGE(R47:R61)</f>
        <v>172.62080174448593</v>
      </c>
      <c r="U47" s="573">
        <v>10</v>
      </c>
      <c r="V47" s="574">
        <v>1341.9999999999977</v>
      </c>
      <c r="W47" s="574">
        <v>134.19999999999976</v>
      </c>
      <c r="X47" s="534">
        <f>RANK(W47, W$47:W$61)</f>
        <v>5</v>
      </c>
      <c r="Y47" s="690">
        <f>AVERAGE(W47:W61)</f>
        <v>168.06415902999098</v>
      </c>
      <c r="Z47" s="573">
        <v>10</v>
      </c>
      <c r="AA47" s="574">
        <v>1318.0000000000011</v>
      </c>
      <c r="AB47" s="574">
        <v>131.80000000000013</v>
      </c>
      <c r="AC47" s="534">
        <f>RANK(AB47, AB$47:AB$61)</f>
        <v>5</v>
      </c>
      <c r="AD47" s="690">
        <f>AVERAGE(AB47:AB61)</f>
        <v>163.71479380834222</v>
      </c>
      <c r="AE47" s="573">
        <v>10</v>
      </c>
      <c r="AF47" s="574">
        <v>1605.0000000000057</v>
      </c>
      <c r="AG47" s="574">
        <v>160.50000000000057</v>
      </c>
      <c r="AH47" s="534">
        <f>RANK(AG47, AG$47:AG$61)</f>
        <v>3</v>
      </c>
      <c r="AI47" s="690">
        <f>AVERAGE(AG47:AG61)</f>
        <v>164.72938371152682</v>
      </c>
      <c r="AJ47" s="573">
        <v>10</v>
      </c>
      <c r="AK47" s="574">
        <v>1572.0000000000055</v>
      </c>
      <c r="AL47" s="574">
        <v>157.20000000000056</v>
      </c>
      <c r="AM47" s="534">
        <f>RANK(AL47, AL$47:AL$61)</f>
        <v>4</v>
      </c>
      <c r="AN47" s="690">
        <f>AVERAGE(AL47:AL61)</f>
        <v>173.35834239021077</v>
      </c>
      <c r="AO47" s="573">
        <v>10</v>
      </c>
      <c r="AP47" s="574">
        <v>1443.9999999999975</v>
      </c>
      <c r="AQ47" s="574">
        <v>144.39999999999975</v>
      </c>
      <c r="AR47" s="534">
        <f>RANK(AQ47, AQ$47:AQ$61)</f>
        <v>3</v>
      </c>
      <c r="AS47" s="690">
        <f>AVERAGE(AQ47:AQ61)</f>
        <v>162.56575890138456</v>
      </c>
      <c r="AT47" s="573">
        <v>10</v>
      </c>
      <c r="AU47" s="574">
        <v>1584.0000000000057</v>
      </c>
      <c r="AV47" s="574">
        <v>158.40000000000057</v>
      </c>
      <c r="AW47" s="534">
        <f>RANK(AV47, AV$47:AV$61)</f>
        <v>4</v>
      </c>
      <c r="AX47" s="690">
        <f>AVERAGE(AV47:AV61)</f>
        <v>169.27280735458882</v>
      </c>
    </row>
    <row r="48" spans="2:50">
      <c r="B48" s="676"/>
      <c r="C48" s="334">
        <v>2</v>
      </c>
      <c r="D48" s="569" t="s">
        <v>923</v>
      </c>
      <c r="E48" s="569">
        <v>15</v>
      </c>
      <c r="F48" s="569">
        <v>1800</v>
      </c>
      <c r="G48" s="182">
        <v>120</v>
      </c>
      <c r="H48" s="718"/>
      <c r="I48" s="199">
        <f t="shared" ref="I48:I52" si="24">AVERAGE(P48,U48,Z48,AE48,AJ48,AO48,AT48)</f>
        <v>12.142857142857142</v>
      </c>
      <c r="J48" s="199">
        <f t="shared" ref="J48:J52" si="25">AVERAGE(Q48,V48,AA48,AF48,AK48,AP48,AU48)</f>
        <v>1809.2346938775515</v>
      </c>
      <c r="K48" s="200">
        <f t="shared" ref="K48:K52" si="26">AVERAGE(R48,W48,AB48,AG48,AL48,AQ48,AV48)</f>
        <v>149.20789726146873</v>
      </c>
      <c r="L48" s="650"/>
      <c r="M48" s="201">
        <f>RANK(K48, K$47:$K$61)</f>
        <v>4</v>
      </c>
      <c r="N48" s="668"/>
      <c r="O48" s="668"/>
      <c r="P48" s="573">
        <v>12</v>
      </c>
      <c r="Q48" s="574">
        <v>1852.4999999999993</v>
      </c>
      <c r="R48" s="574">
        <v>154.37499999999994</v>
      </c>
      <c r="S48" s="534">
        <f t="shared" ref="S48:S53" si="27">RANK(R48, R$47:R$61)</f>
        <v>4</v>
      </c>
      <c r="T48" s="690"/>
      <c r="U48" s="573">
        <v>12</v>
      </c>
      <c r="V48" s="574">
        <v>1948.4999999999993</v>
      </c>
      <c r="W48" s="574">
        <v>162.37499999999994</v>
      </c>
      <c r="X48" s="534">
        <f t="shared" ref="X48:X53" si="28">RANK(W48, W$47:W$61)</f>
        <v>3</v>
      </c>
      <c r="Y48" s="690"/>
      <c r="Z48" s="573">
        <v>12</v>
      </c>
      <c r="AA48" s="574">
        <v>1734.6666666666667</v>
      </c>
      <c r="AB48" s="574">
        <v>144.55555555555557</v>
      </c>
      <c r="AC48" s="534">
        <f t="shared" ref="AC48:AC53" si="29">RANK(AB48, AB$47:AB$61)</f>
        <v>4</v>
      </c>
      <c r="AD48" s="690"/>
      <c r="AE48" s="573">
        <v>12</v>
      </c>
      <c r="AF48" s="574">
        <v>1733.1428571428594</v>
      </c>
      <c r="AG48" s="574">
        <v>144.42857142857162</v>
      </c>
      <c r="AH48" s="534">
        <f t="shared" ref="AH48:AH53" si="30">RANK(AG48, AG$47:AG$61)</f>
        <v>5</v>
      </c>
      <c r="AI48" s="690"/>
      <c r="AJ48" s="573">
        <v>12</v>
      </c>
      <c r="AK48" s="574">
        <v>1892.0000000000018</v>
      </c>
      <c r="AL48" s="574">
        <v>157.66666666666683</v>
      </c>
      <c r="AM48" s="534">
        <f t="shared" ref="AM48:AM53" si="31">RANK(AL48, AL$47:AL$61)</f>
        <v>3</v>
      </c>
      <c r="AN48" s="690"/>
      <c r="AO48" s="573">
        <v>13</v>
      </c>
      <c r="AP48" s="574">
        <v>1705.3333333333333</v>
      </c>
      <c r="AQ48" s="574">
        <v>131.17948717948718</v>
      </c>
      <c r="AR48" s="534">
        <f t="shared" ref="AR48:AR53" si="32">RANK(AQ48, AQ$47:AQ$61)</f>
        <v>5</v>
      </c>
      <c r="AS48" s="690"/>
      <c r="AT48" s="573">
        <v>12</v>
      </c>
      <c r="AU48" s="574">
        <v>1798.4999999999995</v>
      </c>
      <c r="AV48" s="574">
        <v>149.87499999999997</v>
      </c>
      <c r="AW48" s="534">
        <f t="shared" ref="AW48:AW53" si="33">RANK(AV48, AV$47:AV$61)</f>
        <v>5</v>
      </c>
      <c r="AX48" s="690"/>
    </row>
    <row r="49" spans="2:50">
      <c r="B49" s="676"/>
      <c r="C49" s="334">
        <v>3</v>
      </c>
      <c r="D49" s="569" t="s">
        <v>366</v>
      </c>
      <c r="E49" s="569">
        <v>15</v>
      </c>
      <c r="F49" s="569">
        <v>1800</v>
      </c>
      <c r="G49" s="182">
        <v>120</v>
      </c>
      <c r="H49" s="718"/>
      <c r="I49" s="199">
        <f t="shared" si="24"/>
        <v>12.142857142857142</v>
      </c>
      <c r="J49" s="199">
        <f t="shared" si="25"/>
        <v>1836.6530612244901</v>
      </c>
      <c r="K49" s="200">
        <f t="shared" si="26"/>
        <v>151.40362811791388</v>
      </c>
      <c r="L49" s="650"/>
      <c r="M49" s="201">
        <f>RANK(K49, K$47:$K$61)</f>
        <v>3</v>
      </c>
      <c r="N49" s="668"/>
      <c r="O49" s="668"/>
      <c r="P49" s="573">
        <v>12</v>
      </c>
      <c r="Q49" s="574">
        <v>1966.4999999999995</v>
      </c>
      <c r="R49" s="574">
        <v>163.87499999999997</v>
      </c>
      <c r="S49" s="534">
        <f t="shared" si="27"/>
        <v>3</v>
      </c>
      <c r="T49" s="690"/>
      <c r="U49" s="573">
        <v>12</v>
      </c>
      <c r="V49" s="574">
        <v>1832</v>
      </c>
      <c r="W49" s="574">
        <v>152.66666666666666</v>
      </c>
      <c r="X49" s="534">
        <f t="shared" si="28"/>
        <v>4</v>
      </c>
      <c r="Y49" s="690"/>
      <c r="Z49" s="573">
        <v>12</v>
      </c>
      <c r="AA49" s="574">
        <v>1809.3333333333333</v>
      </c>
      <c r="AB49" s="574">
        <v>150.77777777777777</v>
      </c>
      <c r="AC49" s="534">
        <f t="shared" si="29"/>
        <v>3</v>
      </c>
      <c r="AD49" s="690"/>
      <c r="AE49" s="573">
        <v>12</v>
      </c>
      <c r="AF49" s="574">
        <v>1817.1428571428553</v>
      </c>
      <c r="AG49" s="574">
        <v>151.42857142857127</v>
      </c>
      <c r="AH49" s="534">
        <f t="shared" si="30"/>
        <v>4</v>
      </c>
      <c r="AI49" s="690"/>
      <c r="AJ49" s="573">
        <v>12</v>
      </c>
      <c r="AK49" s="574">
        <v>1719.4285714285777</v>
      </c>
      <c r="AL49" s="574">
        <v>143.28571428571482</v>
      </c>
      <c r="AM49" s="534">
        <f t="shared" si="31"/>
        <v>5</v>
      </c>
      <c r="AN49" s="690"/>
      <c r="AO49" s="573">
        <v>13</v>
      </c>
      <c r="AP49" s="574">
        <v>1802.6666666666667</v>
      </c>
      <c r="AQ49" s="574">
        <v>138.66666666666669</v>
      </c>
      <c r="AR49" s="534">
        <f t="shared" si="32"/>
        <v>4</v>
      </c>
      <c r="AS49" s="690"/>
      <c r="AT49" s="573">
        <v>12</v>
      </c>
      <c r="AU49" s="574">
        <v>1909.4999999999993</v>
      </c>
      <c r="AV49" s="574">
        <v>159.12499999999994</v>
      </c>
      <c r="AW49" s="534">
        <f t="shared" si="33"/>
        <v>3</v>
      </c>
      <c r="AX49" s="690"/>
    </row>
    <row r="50" spans="2:50">
      <c r="B50" s="676"/>
      <c r="C50" s="334">
        <v>4</v>
      </c>
      <c r="D50" s="569" t="s">
        <v>754</v>
      </c>
      <c r="E50" s="569">
        <v>6</v>
      </c>
      <c r="F50" s="569">
        <v>1500</v>
      </c>
      <c r="G50" s="182">
        <v>250</v>
      </c>
      <c r="H50" s="718"/>
      <c r="I50" s="199">
        <f t="shared" si="24"/>
        <v>6</v>
      </c>
      <c r="J50" s="199">
        <f t="shared" si="25"/>
        <v>1479.6086563812137</v>
      </c>
      <c r="K50" s="200">
        <f t="shared" si="26"/>
        <v>246.60144273020231</v>
      </c>
      <c r="L50" s="650"/>
      <c r="M50" s="201">
        <f>RANK(K50, K$47:$K$61)</f>
        <v>2</v>
      </c>
      <c r="N50" s="668"/>
      <c r="O50" s="668"/>
      <c r="P50" s="573">
        <v>6</v>
      </c>
      <c r="Q50" s="574">
        <v>1524.0000000000025</v>
      </c>
      <c r="R50" s="574">
        <v>254.00000000000043</v>
      </c>
      <c r="S50" s="534">
        <f t="shared" si="27"/>
        <v>2</v>
      </c>
      <c r="T50" s="690"/>
      <c r="U50" s="573">
        <v>6</v>
      </c>
      <c r="V50" s="574">
        <v>1450.909090909091</v>
      </c>
      <c r="W50" s="574">
        <v>241.81818181818184</v>
      </c>
      <c r="X50" s="534">
        <f t="shared" si="28"/>
        <v>2</v>
      </c>
      <c r="Y50" s="690"/>
      <c r="Z50" s="573">
        <v>6</v>
      </c>
      <c r="AA50" s="574">
        <v>1472.9999999999993</v>
      </c>
      <c r="AB50" s="574">
        <v>245.49999999999989</v>
      </c>
      <c r="AC50" s="534">
        <f t="shared" si="29"/>
        <v>2</v>
      </c>
      <c r="AD50" s="690"/>
      <c r="AE50" s="573">
        <v>6</v>
      </c>
      <c r="AF50" s="574">
        <v>1473.7500000000018</v>
      </c>
      <c r="AG50" s="574">
        <v>245.62500000000031</v>
      </c>
      <c r="AH50" s="534">
        <f t="shared" si="30"/>
        <v>2</v>
      </c>
      <c r="AI50" s="690"/>
      <c r="AJ50" s="573">
        <v>6</v>
      </c>
      <c r="AK50" s="574">
        <v>1555.0000000000057</v>
      </c>
      <c r="AL50" s="574">
        <v>259.1666666666676</v>
      </c>
      <c r="AM50" s="534">
        <f t="shared" si="31"/>
        <v>2</v>
      </c>
      <c r="AN50" s="690"/>
      <c r="AO50" s="573">
        <v>6</v>
      </c>
      <c r="AP50" s="574">
        <v>1434.2857142857138</v>
      </c>
      <c r="AQ50" s="574">
        <v>239.04761904761895</v>
      </c>
      <c r="AR50" s="534">
        <f t="shared" si="32"/>
        <v>2</v>
      </c>
      <c r="AS50" s="690"/>
      <c r="AT50" s="573">
        <v>6</v>
      </c>
      <c r="AU50" s="574">
        <v>1446.315789473683</v>
      </c>
      <c r="AV50" s="574">
        <v>241.05263157894717</v>
      </c>
      <c r="AW50" s="534">
        <f t="shared" si="33"/>
        <v>2</v>
      </c>
      <c r="AX50" s="690"/>
    </row>
    <row r="51" spans="2:50">
      <c r="B51" s="676"/>
      <c r="C51" s="334">
        <v>5</v>
      </c>
      <c r="D51" s="569" t="s">
        <v>693</v>
      </c>
      <c r="E51" s="569">
        <v>5</v>
      </c>
      <c r="F51" s="569">
        <v>1500</v>
      </c>
      <c r="G51" s="182">
        <v>300</v>
      </c>
      <c r="H51" s="718"/>
      <c r="I51" s="199">
        <f t="shared" si="24"/>
        <v>5</v>
      </c>
      <c r="J51" s="199">
        <f t="shared" si="25"/>
        <v>1483.3200992555842</v>
      </c>
      <c r="K51" s="200">
        <f t="shared" si="26"/>
        <v>296.66401985111685</v>
      </c>
      <c r="L51" s="650"/>
      <c r="M51" s="201">
        <f>RANK(K51, K$47:$K$61)</f>
        <v>1</v>
      </c>
      <c r="N51" s="668"/>
      <c r="O51" s="668"/>
      <c r="P51" s="573">
        <v>5</v>
      </c>
      <c r="Q51" s="574">
        <v>1553.9999999999993</v>
      </c>
      <c r="R51" s="574">
        <v>310.79999999999984</v>
      </c>
      <c r="S51" s="534">
        <f t="shared" si="27"/>
        <v>1</v>
      </c>
      <c r="T51" s="690"/>
      <c r="U51" s="573">
        <v>5</v>
      </c>
      <c r="V51" s="574">
        <v>1492.2580645161304</v>
      </c>
      <c r="W51" s="574">
        <v>298.45161290322608</v>
      </c>
      <c r="X51" s="534">
        <f t="shared" si="28"/>
        <v>1</v>
      </c>
      <c r="Y51" s="690"/>
      <c r="Z51" s="573">
        <v>5</v>
      </c>
      <c r="AA51" s="574">
        <v>1476.7741935483884</v>
      </c>
      <c r="AB51" s="574">
        <v>295.35483870967767</v>
      </c>
      <c r="AC51" s="534">
        <f t="shared" si="29"/>
        <v>1</v>
      </c>
      <c r="AD51" s="690"/>
      <c r="AE51" s="573">
        <v>5</v>
      </c>
      <c r="AF51" s="574">
        <v>1347.6923076923104</v>
      </c>
      <c r="AG51" s="574">
        <v>269.53846153846206</v>
      </c>
      <c r="AH51" s="534">
        <f t="shared" si="30"/>
        <v>1</v>
      </c>
      <c r="AI51" s="690"/>
      <c r="AJ51" s="573">
        <v>5</v>
      </c>
      <c r="AK51" s="574">
        <v>1565.9999999999995</v>
      </c>
      <c r="AL51" s="574">
        <v>313.19999999999993</v>
      </c>
      <c r="AM51" s="534">
        <f t="shared" si="31"/>
        <v>1</v>
      </c>
      <c r="AN51" s="690"/>
      <c r="AO51" s="573">
        <v>5</v>
      </c>
      <c r="AP51" s="574">
        <v>1484.5161290322594</v>
      </c>
      <c r="AQ51" s="574">
        <v>296.90322580645187</v>
      </c>
      <c r="AR51" s="534">
        <f t="shared" si="32"/>
        <v>1</v>
      </c>
      <c r="AS51" s="690"/>
      <c r="AT51" s="573">
        <v>5</v>
      </c>
      <c r="AU51" s="574">
        <v>1462.0000000000014</v>
      </c>
      <c r="AV51" s="574">
        <v>292.40000000000026</v>
      </c>
      <c r="AW51" s="534">
        <f t="shared" si="33"/>
        <v>1</v>
      </c>
      <c r="AX51" s="690"/>
    </row>
    <row r="52" spans="2:50">
      <c r="B52" s="676"/>
      <c r="C52" s="334">
        <v>6</v>
      </c>
      <c r="D52" s="569" t="s">
        <v>924</v>
      </c>
      <c r="E52" s="569">
        <v>15</v>
      </c>
      <c r="F52" s="569">
        <v>1200</v>
      </c>
      <c r="G52" s="182">
        <v>80</v>
      </c>
      <c r="H52" s="718"/>
      <c r="I52" s="199">
        <f t="shared" si="24"/>
        <v>13</v>
      </c>
      <c r="J52" s="199">
        <f t="shared" si="25"/>
        <v>1188.6305694305695</v>
      </c>
      <c r="K52" s="200">
        <f t="shared" si="26"/>
        <v>91.433120725428438</v>
      </c>
      <c r="L52" s="650"/>
      <c r="M52" s="201">
        <f>RANK(K52, K$47:$K$61)</f>
        <v>7</v>
      </c>
      <c r="N52" s="668"/>
      <c r="O52" s="668"/>
      <c r="P52" s="573">
        <v>13</v>
      </c>
      <c r="Q52" s="574">
        <v>1220.2105263157887</v>
      </c>
      <c r="R52" s="574">
        <v>93.862348178137594</v>
      </c>
      <c r="S52" s="534">
        <f t="shared" si="27"/>
        <v>6</v>
      </c>
      <c r="T52" s="690"/>
      <c r="U52" s="573">
        <v>13</v>
      </c>
      <c r="V52" s="574">
        <v>1191.7894736842097</v>
      </c>
      <c r="W52" s="574">
        <v>91.676113360323825</v>
      </c>
      <c r="X52" s="534">
        <f t="shared" si="28"/>
        <v>7</v>
      </c>
      <c r="Y52" s="690"/>
      <c r="Z52" s="573">
        <v>13</v>
      </c>
      <c r="AA52" s="574">
        <v>1146.0000000000002</v>
      </c>
      <c r="AB52" s="574">
        <v>88.153846153846175</v>
      </c>
      <c r="AC52" s="534">
        <f t="shared" si="29"/>
        <v>7</v>
      </c>
      <c r="AD52" s="690"/>
      <c r="AE52" s="573">
        <v>13</v>
      </c>
      <c r="AF52" s="574">
        <v>1179.2727272727279</v>
      </c>
      <c r="AG52" s="574">
        <v>90.713286713286763</v>
      </c>
      <c r="AH52" s="534">
        <f t="shared" si="30"/>
        <v>7</v>
      </c>
      <c r="AI52" s="690"/>
      <c r="AJ52" s="573">
        <v>13</v>
      </c>
      <c r="AK52" s="574">
        <v>1172.3999999999985</v>
      </c>
      <c r="AL52" s="574">
        <v>90.18461538461527</v>
      </c>
      <c r="AM52" s="534">
        <f t="shared" si="31"/>
        <v>7</v>
      </c>
      <c r="AN52" s="690"/>
      <c r="AO52" s="573">
        <v>13</v>
      </c>
      <c r="AP52" s="574">
        <v>1188.9230769230783</v>
      </c>
      <c r="AQ52" s="574">
        <v>91.455621301775253</v>
      </c>
      <c r="AR52" s="534">
        <f t="shared" si="32"/>
        <v>7</v>
      </c>
      <c r="AS52" s="690"/>
      <c r="AT52" s="573">
        <v>13</v>
      </c>
      <c r="AU52" s="574">
        <v>1221.8181818181827</v>
      </c>
      <c r="AV52" s="574">
        <v>93.986013986014058</v>
      </c>
      <c r="AW52" s="534">
        <f t="shared" si="33"/>
        <v>6</v>
      </c>
      <c r="AX52" s="690"/>
    </row>
    <row r="53" spans="2:50">
      <c r="B53" s="676"/>
      <c r="C53" s="334">
        <v>7</v>
      </c>
      <c r="D53" s="569" t="s">
        <v>959</v>
      </c>
      <c r="E53" s="569">
        <v>15</v>
      </c>
      <c r="F53" s="569">
        <v>1200</v>
      </c>
      <c r="G53" s="182">
        <v>80</v>
      </c>
      <c r="H53" s="718"/>
      <c r="I53" s="582">
        <f t="shared" ref="I53" si="34">AVERAGE(P53,U53,Z53,AE53,AJ53,AO53,AT53)</f>
        <v>13</v>
      </c>
      <c r="J53" s="582">
        <f t="shared" ref="J53" si="35">AVERAGE(Q53,V53,AA53,AF53,AK53,AP53,AU53)</f>
        <v>1201.9643401643402</v>
      </c>
      <c r="K53" s="200">
        <f t="shared" ref="K53" si="36">AVERAGE(R53,W53,AB53,AG53,AL53,AQ53,AV53)</f>
        <v>92.458795397256935</v>
      </c>
      <c r="L53" s="650"/>
      <c r="M53" s="201">
        <f>RANK(K53, K$47:$K$61)</f>
        <v>6</v>
      </c>
      <c r="N53" s="668"/>
      <c r="O53" s="668"/>
      <c r="P53" s="573">
        <v>13</v>
      </c>
      <c r="Q53" s="574">
        <v>1196.4324324324321</v>
      </c>
      <c r="R53" s="574">
        <v>92.033264033264004</v>
      </c>
      <c r="S53" s="534">
        <f t="shared" si="27"/>
        <v>7</v>
      </c>
      <c r="T53" s="690"/>
      <c r="U53" s="573">
        <v>13</v>
      </c>
      <c r="V53" s="574">
        <v>1238.3999999999994</v>
      </c>
      <c r="W53" s="574">
        <v>95.261538461538422</v>
      </c>
      <c r="X53" s="534">
        <f t="shared" si="28"/>
        <v>6</v>
      </c>
      <c r="Y53" s="690"/>
      <c r="Z53" s="573">
        <v>13</v>
      </c>
      <c r="AA53" s="574">
        <v>1168.2000000000003</v>
      </c>
      <c r="AB53" s="574">
        <v>89.861538461538487</v>
      </c>
      <c r="AC53" s="534">
        <f t="shared" si="29"/>
        <v>6</v>
      </c>
      <c r="AD53" s="690"/>
      <c r="AE53" s="573">
        <v>13</v>
      </c>
      <c r="AF53" s="574">
        <v>1181.3333333333335</v>
      </c>
      <c r="AG53" s="574">
        <v>90.87179487179489</v>
      </c>
      <c r="AH53" s="534">
        <f t="shared" si="30"/>
        <v>6</v>
      </c>
      <c r="AI53" s="690"/>
      <c r="AJ53" s="573">
        <v>13</v>
      </c>
      <c r="AK53" s="574">
        <v>1206.4615384615381</v>
      </c>
      <c r="AL53" s="574">
        <v>92.804733727810628</v>
      </c>
      <c r="AM53" s="534">
        <f t="shared" si="31"/>
        <v>6</v>
      </c>
      <c r="AN53" s="690"/>
      <c r="AO53" s="573">
        <v>13</v>
      </c>
      <c r="AP53" s="574">
        <v>1251.9999999999998</v>
      </c>
      <c r="AQ53" s="574">
        <v>96.307692307692292</v>
      </c>
      <c r="AR53" s="534">
        <f t="shared" si="32"/>
        <v>6</v>
      </c>
      <c r="AS53" s="690"/>
      <c r="AT53" s="573">
        <v>13</v>
      </c>
      <c r="AU53" s="574">
        <v>1170.9230769230774</v>
      </c>
      <c r="AV53" s="574">
        <v>90.071005917159795</v>
      </c>
      <c r="AW53" s="534">
        <f t="shared" si="33"/>
        <v>7</v>
      </c>
      <c r="AX53" s="690"/>
    </row>
    <row r="54" spans="2:50">
      <c r="B54" s="676"/>
      <c r="C54" s="334">
        <v>8</v>
      </c>
      <c r="D54" s="569"/>
      <c r="E54" s="569"/>
      <c r="F54" s="569"/>
      <c r="G54" s="182"/>
      <c r="H54" s="718"/>
      <c r="I54" s="463"/>
      <c r="J54" s="463"/>
      <c r="K54" s="200"/>
      <c r="L54" s="650"/>
      <c r="M54" s="201" t="e">
        <f>RANK(K54, K$47:$K$61)</f>
        <v>#N/A</v>
      </c>
      <c r="N54" s="668"/>
      <c r="O54" s="668"/>
      <c r="P54" s="573"/>
      <c r="Q54" s="574"/>
      <c r="R54" s="574"/>
      <c r="S54" s="534"/>
      <c r="T54" s="690"/>
      <c r="U54" s="573"/>
      <c r="V54" s="574"/>
      <c r="W54" s="574"/>
      <c r="X54" s="534"/>
      <c r="Y54" s="690"/>
      <c r="Z54" s="573"/>
      <c r="AA54" s="574"/>
      <c r="AB54" s="574"/>
      <c r="AC54" s="534"/>
      <c r="AD54" s="690"/>
      <c r="AE54" s="573"/>
      <c r="AF54" s="574"/>
      <c r="AG54" s="574"/>
      <c r="AH54" s="534"/>
      <c r="AI54" s="690"/>
      <c r="AJ54" s="573"/>
      <c r="AK54" s="574"/>
      <c r="AL54" s="574"/>
      <c r="AM54" s="534"/>
      <c r="AN54" s="690"/>
      <c r="AO54" s="573"/>
      <c r="AP54" s="574"/>
      <c r="AQ54" s="574"/>
      <c r="AR54" s="534"/>
      <c r="AS54" s="690"/>
      <c r="AT54" s="573"/>
      <c r="AU54" s="574"/>
      <c r="AV54" s="574"/>
      <c r="AW54" s="534"/>
      <c r="AX54" s="690"/>
    </row>
    <row r="55" spans="2:50">
      <c r="B55" s="676"/>
      <c r="C55" s="334">
        <v>9</v>
      </c>
      <c r="D55" s="569"/>
      <c r="E55" s="569"/>
      <c r="F55" s="569"/>
      <c r="G55" s="182"/>
      <c r="H55" s="718"/>
      <c r="I55" s="199"/>
      <c r="J55" s="199"/>
      <c r="K55" s="200"/>
      <c r="L55" s="650"/>
      <c r="M55" s="201" t="e">
        <f>RANK(K55, K$47:$K$61)</f>
        <v>#N/A</v>
      </c>
      <c r="N55" s="668"/>
      <c r="O55" s="668"/>
      <c r="P55" s="573"/>
      <c r="Q55" s="574"/>
      <c r="R55" s="574"/>
      <c r="S55" s="534"/>
      <c r="T55" s="690"/>
      <c r="U55" s="573"/>
      <c r="V55" s="574"/>
      <c r="W55" s="574"/>
      <c r="X55" s="534"/>
      <c r="Y55" s="690"/>
      <c r="Z55" s="573"/>
      <c r="AA55" s="574"/>
      <c r="AB55" s="574"/>
      <c r="AC55" s="534"/>
      <c r="AD55" s="690"/>
      <c r="AE55" s="573"/>
      <c r="AF55" s="574"/>
      <c r="AG55" s="574"/>
      <c r="AH55" s="534"/>
      <c r="AI55" s="690"/>
      <c r="AJ55" s="573"/>
      <c r="AK55" s="574"/>
      <c r="AL55" s="574"/>
      <c r="AM55" s="534"/>
      <c r="AN55" s="690"/>
      <c r="AO55" s="573"/>
      <c r="AP55" s="574"/>
      <c r="AQ55" s="574"/>
      <c r="AR55" s="534"/>
      <c r="AS55" s="690"/>
      <c r="AT55" s="573"/>
      <c r="AU55" s="574"/>
      <c r="AV55" s="574"/>
      <c r="AW55" s="534"/>
      <c r="AX55" s="690"/>
    </row>
    <row r="56" spans="2:50">
      <c r="B56" s="676"/>
      <c r="C56" s="334">
        <v>10</v>
      </c>
      <c r="D56" s="569"/>
      <c r="E56" s="569"/>
      <c r="F56" s="569"/>
      <c r="G56" s="182"/>
      <c r="H56" s="718"/>
      <c r="I56" s="199"/>
      <c r="J56" s="199"/>
      <c r="K56" s="200"/>
      <c r="L56" s="650"/>
      <c r="M56" s="201" t="e">
        <f>RANK(K56, K$47:$K$61)</f>
        <v>#N/A</v>
      </c>
      <c r="N56" s="668"/>
      <c r="O56" s="668"/>
      <c r="P56" s="573"/>
      <c r="Q56" s="574"/>
      <c r="R56" s="574"/>
      <c r="S56" s="534"/>
      <c r="T56" s="690"/>
      <c r="U56" s="573"/>
      <c r="V56" s="574"/>
      <c r="W56" s="574"/>
      <c r="X56" s="534"/>
      <c r="Y56" s="690"/>
      <c r="Z56" s="573"/>
      <c r="AA56" s="574"/>
      <c r="AB56" s="574"/>
      <c r="AC56" s="534"/>
      <c r="AD56" s="690"/>
      <c r="AE56" s="573"/>
      <c r="AF56" s="574"/>
      <c r="AG56" s="574"/>
      <c r="AH56" s="534"/>
      <c r="AI56" s="690"/>
      <c r="AJ56" s="573"/>
      <c r="AK56" s="574"/>
      <c r="AL56" s="574"/>
      <c r="AM56" s="534"/>
      <c r="AN56" s="690"/>
      <c r="AO56" s="573"/>
      <c r="AP56" s="574"/>
      <c r="AQ56" s="574"/>
      <c r="AR56" s="534"/>
      <c r="AS56" s="690"/>
      <c r="AT56" s="573"/>
      <c r="AU56" s="574"/>
      <c r="AV56" s="574"/>
      <c r="AW56" s="534"/>
      <c r="AX56" s="690"/>
    </row>
    <row r="57" spans="2:50">
      <c r="B57" s="676"/>
      <c r="C57" s="334">
        <v>11</v>
      </c>
      <c r="D57" s="569"/>
      <c r="E57" s="569"/>
      <c r="F57" s="569"/>
      <c r="G57" s="182"/>
      <c r="H57" s="718"/>
      <c r="I57" s="202"/>
      <c r="J57" s="202"/>
      <c r="K57" s="202"/>
      <c r="L57" s="650"/>
      <c r="M57" s="201" t="e">
        <f>RANK(K57, K$47:$K$61)</f>
        <v>#N/A</v>
      </c>
      <c r="N57" s="668"/>
      <c r="O57" s="668"/>
      <c r="P57" s="573"/>
      <c r="Q57" s="574"/>
      <c r="R57" s="574"/>
      <c r="S57" s="534"/>
      <c r="T57" s="690"/>
      <c r="U57" s="573"/>
      <c r="V57" s="574"/>
      <c r="W57" s="574"/>
      <c r="X57" s="534"/>
      <c r="Y57" s="690"/>
      <c r="Z57" s="573"/>
      <c r="AA57" s="574"/>
      <c r="AB57" s="574"/>
      <c r="AC57" s="534"/>
      <c r="AD57" s="690"/>
      <c r="AE57" s="573"/>
      <c r="AF57" s="574"/>
      <c r="AG57" s="574"/>
      <c r="AH57" s="534"/>
      <c r="AI57" s="690"/>
      <c r="AJ57" s="573"/>
      <c r="AK57" s="574"/>
      <c r="AL57" s="574"/>
      <c r="AM57" s="534"/>
      <c r="AN57" s="690"/>
      <c r="AO57" s="573"/>
      <c r="AP57" s="574"/>
      <c r="AQ57" s="574"/>
      <c r="AR57" s="534"/>
      <c r="AS57" s="690"/>
      <c r="AT57" s="573"/>
      <c r="AU57" s="574"/>
      <c r="AV57" s="574"/>
      <c r="AW57" s="534"/>
      <c r="AX57" s="690"/>
    </row>
    <row r="58" spans="2:50">
      <c r="B58" s="676"/>
      <c r="C58" s="334">
        <v>12</v>
      </c>
      <c r="D58" s="569"/>
      <c r="E58" s="569"/>
      <c r="F58" s="569"/>
      <c r="G58" s="182"/>
      <c r="H58" s="718"/>
      <c r="I58" s="202"/>
      <c r="J58" s="202"/>
      <c r="K58" s="202"/>
      <c r="L58" s="650"/>
      <c r="M58" s="201" t="e">
        <f>RANK(K58, K$47:$K$61)</f>
        <v>#N/A</v>
      </c>
      <c r="N58" s="668"/>
      <c r="O58" s="668"/>
      <c r="P58" s="573"/>
      <c r="Q58" s="574"/>
      <c r="R58" s="574"/>
      <c r="S58" s="534"/>
      <c r="T58" s="690"/>
      <c r="U58" s="573"/>
      <c r="V58" s="574"/>
      <c r="W58" s="574"/>
      <c r="X58" s="534"/>
      <c r="Y58" s="690"/>
      <c r="Z58" s="573"/>
      <c r="AA58" s="574"/>
      <c r="AB58" s="574"/>
      <c r="AC58" s="534"/>
      <c r="AD58" s="690"/>
      <c r="AE58" s="573"/>
      <c r="AF58" s="574"/>
      <c r="AG58" s="574"/>
      <c r="AH58" s="534"/>
      <c r="AI58" s="690"/>
      <c r="AJ58" s="573"/>
      <c r="AK58" s="574"/>
      <c r="AL58" s="574"/>
      <c r="AM58" s="534"/>
      <c r="AN58" s="690"/>
      <c r="AO58" s="573"/>
      <c r="AP58" s="574"/>
      <c r="AQ58" s="574"/>
      <c r="AR58" s="534"/>
      <c r="AS58" s="690"/>
      <c r="AT58" s="573"/>
      <c r="AU58" s="574"/>
      <c r="AV58" s="574"/>
      <c r="AW58" s="534"/>
      <c r="AX58" s="690"/>
    </row>
    <row r="59" spans="2:50">
      <c r="B59" s="676"/>
      <c r="C59" s="334">
        <v>13</v>
      </c>
      <c r="D59" s="569"/>
      <c r="E59" s="569"/>
      <c r="F59" s="569"/>
      <c r="G59" s="182"/>
      <c r="H59" s="718"/>
      <c r="I59" s="202"/>
      <c r="J59" s="202"/>
      <c r="K59" s="202"/>
      <c r="L59" s="650"/>
      <c r="M59" s="201" t="e">
        <f>RANK(K59, K$47:$K$61)</f>
        <v>#N/A</v>
      </c>
      <c r="N59" s="668"/>
      <c r="O59" s="668"/>
      <c r="P59" s="573"/>
      <c r="Q59" s="574"/>
      <c r="R59" s="574"/>
      <c r="S59" s="534"/>
      <c r="T59" s="690"/>
      <c r="U59" s="573"/>
      <c r="V59" s="574"/>
      <c r="W59" s="574"/>
      <c r="X59" s="534"/>
      <c r="Y59" s="690"/>
      <c r="Z59" s="573"/>
      <c r="AA59" s="574"/>
      <c r="AB59" s="574"/>
      <c r="AC59" s="534"/>
      <c r="AD59" s="690"/>
      <c r="AE59" s="573"/>
      <c r="AF59" s="574"/>
      <c r="AG59" s="574"/>
      <c r="AH59" s="534"/>
      <c r="AI59" s="690"/>
      <c r="AJ59" s="573"/>
      <c r="AK59" s="574"/>
      <c r="AL59" s="574"/>
      <c r="AM59" s="534"/>
      <c r="AN59" s="690"/>
      <c r="AO59" s="573"/>
      <c r="AP59" s="574"/>
      <c r="AQ59" s="574"/>
      <c r="AR59" s="534"/>
      <c r="AS59" s="690"/>
      <c r="AT59" s="573"/>
      <c r="AU59" s="574"/>
      <c r="AV59" s="574"/>
      <c r="AW59" s="534"/>
      <c r="AX59" s="690"/>
    </row>
    <row r="60" spans="2:50">
      <c r="B60" s="676"/>
      <c r="C60" s="334">
        <v>14</v>
      </c>
      <c r="D60" s="569"/>
      <c r="E60" s="569"/>
      <c r="F60" s="569"/>
      <c r="G60" s="182"/>
      <c r="H60" s="718"/>
      <c r="I60" s="202"/>
      <c r="J60" s="202"/>
      <c r="K60" s="202"/>
      <c r="L60" s="650"/>
      <c r="M60" s="201" t="e">
        <f>RANK(K60, K$47:$K$61)</f>
        <v>#N/A</v>
      </c>
      <c r="N60" s="668"/>
      <c r="O60" s="668"/>
      <c r="P60" s="573"/>
      <c r="Q60" s="574"/>
      <c r="R60" s="574"/>
      <c r="S60" s="534"/>
      <c r="T60" s="690"/>
      <c r="U60" s="573"/>
      <c r="V60" s="574"/>
      <c r="W60" s="574"/>
      <c r="X60" s="534"/>
      <c r="Y60" s="690"/>
      <c r="Z60" s="573"/>
      <c r="AA60" s="574"/>
      <c r="AB60" s="574"/>
      <c r="AC60" s="534"/>
      <c r="AD60" s="690"/>
      <c r="AE60" s="573"/>
      <c r="AF60" s="574"/>
      <c r="AG60" s="574"/>
      <c r="AH60" s="534"/>
      <c r="AI60" s="690"/>
      <c r="AJ60" s="573"/>
      <c r="AK60" s="574"/>
      <c r="AL60" s="574"/>
      <c r="AM60" s="534"/>
      <c r="AN60" s="690"/>
      <c r="AO60" s="573"/>
      <c r="AP60" s="574"/>
      <c r="AQ60" s="574"/>
      <c r="AR60" s="534"/>
      <c r="AS60" s="690"/>
      <c r="AT60" s="573"/>
      <c r="AU60" s="574"/>
      <c r="AV60" s="574"/>
      <c r="AW60" s="534"/>
      <c r="AX60" s="690"/>
    </row>
    <row r="61" spans="2:50">
      <c r="B61" s="676"/>
      <c r="C61" s="334">
        <v>15</v>
      </c>
      <c r="D61" s="569"/>
      <c r="E61" s="569"/>
      <c r="F61" s="569"/>
      <c r="G61" s="569"/>
      <c r="H61" s="719"/>
      <c r="I61" s="202"/>
      <c r="J61" s="202"/>
      <c r="K61" s="202"/>
      <c r="L61" s="651"/>
      <c r="M61" s="201" t="e">
        <f>RANK(K61, K$47:$K$61)</f>
        <v>#N/A</v>
      </c>
      <c r="N61" s="668"/>
      <c r="O61" s="668"/>
      <c r="P61" s="573"/>
      <c r="Q61" s="574"/>
      <c r="R61" s="574"/>
      <c r="S61" s="534"/>
      <c r="T61" s="690"/>
      <c r="U61" s="573"/>
      <c r="V61" s="574"/>
      <c r="W61" s="574"/>
      <c r="X61" s="534"/>
      <c r="Y61" s="690"/>
      <c r="Z61" s="573"/>
      <c r="AA61" s="574"/>
      <c r="AB61" s="574"/>
      <c r="AC61" s="534"/>
      <c r="AD61" s="690"/>
      <c r="AE61" s="573"/>
      <c r="AF61" s="574"/>
      <c r="AG61" s="574"/>
      <c r="AH61" s="534"/>
      <c r="AI61" s="690"/>
      <c r="AJ61" s="573"/>
      <c r="AK61" s="574"/>
      <c r="AL61" s="574"/>
      <c r="AM61" s="534"/>
      <c r="AN61" s="690"/>
      <c r="AO61" s="573"/>
      <c r="AP61" s="574"/>
      <c r="AQ61" s="574"/>
      <c r="AR61" s="534"/>
      <c r="AS61" s="690"/>
      <c r="AT61" s="573"/>
      <c r="AU61" s="574"/>
      <c r="AV61" s="574"/>
      <c r="AW61" s="534"/>
      <c r="AX61" s="690"/>
    </row>
    <row r="62" spans="2:50" ht="15.75">
      <c r="B62" s="680" t="s">
        <v>163</v>
      </c>
      <c r="C62" s="681"/>
      <c r="D62" s="681"/>
      <c r="E62" s="681"/>
      <c r="F62" s="681"/>
      <c r="G62" s="681"/>
      <c r="H62" s="682"/>
      <c r="I62" s="208"/>
      <c r="J62" s="208"/>
      <c r="K62" s="208"/>
      <c r="L62" s="208"/>
      <c r="M62" s="207"/>
      <c r="N62" s="669" t="s">
        <v>156</v>
      </c>
      <c r="O62" s="669" t="s">
        <v>105</v>
      </c>
      <c r="P62" s="675">
        <f>P42+7</f>
        <v>46105</v>
      </c>
      <c r="Q62" s="676"/>
      <c r="R62" s="676"/>
      <c r="S62" s="676"/>
      <c r="T62" s="676"/>
      <c r="U62" s="672">
        <f>P62+1</f>
        <v>46106</v>
      </c>
      <c r="V62" s="673"/>
      <c r="W62" s="673"/>
      <c r="X62" s="673"/>
      <c r="Y62" s="674"/>
      <c r="Z62" s="672">
        <f>U62+1</f>
        <v>46107</v>
      </c>
      <c r="AA62" s="673"/>
      <c r="AB62" s="673"/>
      <c r="AC62" s="673"/>
      <c r="AD62" s="674"/>
      <c r="AE62" s="672">
        <f>Z62+1</f>
        <v>46108</v>
      </c>
      <c r="AF62" s="673"/>
      <c r="AG62" s="673"/>
      <c r="AH62" s="673"/>
      <c r="AI62" s="674"/>
      <c r="AJ62" s="672">
        <f>AE62+1</f>
        <v>46109</v>
      </c>
      <c r="AK62" s="673"/>
      <c r="AL62" s="673"/>
      <c r="AM62" s="673"/>
      <c r="AN62" s="674"/>
      <c r="AO62" s="672">
        <f>AJ62+1</f>
        <v>46110</v>
      </c>
      <c r="AP62" s="673"/>
      <c r="AQ62" s="673"/>
      <c r="AR62" s="673"/>
      <c r="AS62" s="674"/>
      <c r="AT62" s="672">
        <f>AO62+1</f>
        <v>46111</v>
      </c>
      <c r="AU62" s="673"/>
      <c r="AV62" s="673"/>
      <c r="AW62" s="673"/>
      <c r="AX62" s="674"/>
    </row>
    <row r="63" spans="2:50" ht="15.75">
      <c r="B63" s="683"/>
      <c r="C63" s="683"/>
      <c r="D63" s="683"/>
      <c r="E63" s="683"/>
      <c r="F63" s="683"/>
      <c r="G63" s="683"/>
      <c r="H63" s="683"/>
      <c r="I63" s="205"/>
      <c r="J63" s="205"/>
      <c r="K63" s="205"/>
      <c r="L63" s="205"/>
      <c r="M63" s="206"/>
      <c r="N63" s="671"/>
      <c r="O63" s="671"/>
      <c r="P63" s="675" t="s">
        <v>336</v>
      </c>
      <c r="Q63" s="676"/>
      <c r="R63" s="676"/>
      <c r="S63" s="676"/>
      <c r="T63" s="676"/>
      <c r="U63" s="675" t="s">
        <v>337</v>
      </c>
      <c r="V63" s="676"/>
      <c r="W63" s="676"/>
      <c r="X63" s="676"/>
      <c r="Y63" s="676"/>
      <c r="Z63" s="675" t="s">
        <v>338</v>
      </c>
      <c r="AA63" s="676"/>
      <c r="AB63" s="676"/>
      <c r="AC63" s="676"/>
      <c r="AD63" s="676"/>
      <c r="AE63" s="675" t="s">
        <v>339</v>
      </c>
      <c r="AF63" s="676"/>
      <c r="AG63" s="676"/>
      <c r="AH63" s="676"/>
      <c r="AI63" s="676"/>
      <c r="AJ63" s="675" t="s">
        <v>340</v>
      </c>
      <c r="AK63" s="676"/>
      <c r="AL63" s="676"/>
      <c r="AM63" s="676"/>
      <c r="AN63" s="676"/>
      <c r="AO63" s="675" t="s">
        <v>341</v>
      </c>
      <c r="AP63" s="676"/>
      <c r="AQ63" s="676"/>
      <c r="AR63" s="676"/>
      <c r="AS63" s="676"/>
      <c r="AT63" s="675" t="s">
        <v>342</v>
      </c>
      <c r="AU63" s="676"/>
      <c r="AV63" s="676"/>
      <c r="AW63" s="676"/>
      <c r="AX63" s="676"/>
    </row>
    <row r="64" spans="2:50">
      <c r="B64" s="668" t="s">
        <v>419</v>
      </c>
      <c r="C64" s="668" t="s">
        <v>429</v>
      </c>
      <c r="D64" s="668"/>
      <c r="E64" s="668" t="s">
        <v>420</v>
      </c>
      <c r="F64" s="668"/>
      <c r="G64" s="668"/>
      <c r="H64" s="684" t="s">
        <v>416</v>
      </c>
      <c r="I64" s="652" t="s">
        <v>421</v>
      </c>
      <c r="J64" s="652"/>
      <c r="K64" s="652"/>
      <c r="L64" s="653" t="s">
        <v>416</v>
      </c>
      <c r="M64" s="659" t="s">
        <v>417</v>
      </c>
      <c r="N64" s="668"/>
      <c r="O64" s="668" t="s">
        <v>422</v>
      </c>
      <c r="P64" s="665" t="s">
        <v>418</v>
      </c>
      <c r="Q64" s="666"/>
      <c r="R64" s="666"/>
      <c r="S64" s="667"/>
      <c r="T64" s="668" t="s">
        <v>416</v>
      </c>
      <c r="U64" s="665" t="s">
        <v>418</v>
      </c>
      <c r="V64" s="666"/>
      <c r="W64" s="666"/>
      <c r="X64" s="667"/>
      <c r="Y64" s="668" t="s">
        <v>416</v>
      </c>
      <c r="Z64" s="665" t="s">
        <v>418</v>
      </c>
      <c r="AA64" s="666"/>
      <c r="AB64" s="666"/>
      <c r="AC64" s="667"/>
      <c r="AD64" s="668" t="s">
        <v>416</v>
      </c>
      <c r="AE64" s="665" t="s">
        <v>418</v>
      </c>
      <c r="AF64" s="666"/>
      <c r="AG64" s="666"/>
      <c r="AH64" s="667"/>
      <c r="AI64" s="668" t="s">
        <v>416</v>
      </c>
      <c r="AJ64" s="665" t="s">
        <v>418</v>
      </c>
      <c r="AK64" s="666"/>
      <c r="AL64" s="666"/>
      <c r="AM64" s="667"/>
      <c r="AN64" s="668" t="s">
        <v>416</v>
      </c>
      <c r="AO64" s="665" t="s">
        <v>418</v>
      </c>
      <c r="AP64" s="666"/>
      <c r="AQ64" s="666"/>
      <c r="AR64" s="667"/>
      <c r="AS64" s="668" t="s">
        <v>416</v>
      </c>
      <c r="AT64" s="665" t="s">
        <v>418</v>
      </c>
      <c r="AU64" s="666"/>
      <c r="AV64" s="666"/>
      <c r="AW64" s="667"/>
      <c r="AX64" s="668" t="s">
        <v>416</v>
      </c>
    </row>
    <row r="65" spans="2:50">
      <c r="B65" s="668"/>
      <c r="C65" s="668"/>
      <c r="D65" s="668"/>
      <c r="E65" s="668" t="s">
        <v>423</v>
      </c>
      <c r="F65" s="668"/>
      <c r="G65" s="668"/>
      <c r="H65" s="685"/>
      <c r="I65" s="652" t="s">
        <v>423</v>
      </c>
      <c r="J65" s="652"/>
      <c r="K65" s="652"/>
      <c r="L65" s="654"/>
      <c r="M65" s="660"/>
      <c r="N65" s="668"/>
      <c r="O65" s="668"/>
      <c r="P65" s="665" t="s">
        <v>424</v>
      </c>
      <c r="Q65" s="666"/>
      <c r="R65" s="666"/>
      <c r="S65" s="667"/>
      <c r="T65" s="668"/>
      <c r="U65" s="665" t="s">
        <v>424</v>
      </c>
      <c r="V65" s="666"/>
      <c r="W65" s="666"/>
      <c r="X65" s="667"/>
      <c r="Y65" s="668"/>
      <c r="Z65" s="665" t="s">
        <v>424</v>
      </c>
      <c r="AA65" s="666"/>
      <c r="AB65" s="666"/>
      <c r="AC65" s="667"/>
      <c r="AD65" s="668"/>
      <c r="AE65" s="665" t="s">
        <v>424</v>
      </c>
      <c r="AF65" s="666"/>
      <c r="AG65" s="666"/>
      <c r="AH65" s="667"/>
      <c r="AI65" s="668"/>
      <c r="AJ65" s="665" t="s">
        <v>424</v>
      </c>
      <c r="AK65" s="666"/>
      <c r="AL65" s="666"/>
      <c r="AM65" s="667"/>
      <c r="AN65" s="668"/>
      <c r="AO65" s="665" t="s">
        <v>424</v>
      </c>
      <c r="AP65" s="666"/>
      <c r="AQ65" s="666"/>
      <c r="AR65" s="667"/>
      <c r="AS65" s="668"/>
      <c r="AT65" s="665" t="s">
        <v>424</v>
      </c>
      <c r="AU65" s="666"/>
      <c r="AV65" s="666"/>
      <c r="AW65" s="667"/>
      <c r="AX65" s="668"/>
    </row>
    <row r="66" spans="2:50">
      <c r="B66" s="668"/>
      <c r="C66" s="668"/>
      <c r="D66" s="668"/>
      <c r="E66" s="308" t="s">
        <v>425</v>
      </c>
      <c r="F66" s="308" t="s">
        <v>426</v>
      </c>
      <c r="G66" s="308" t="s">
        <v>427</v>
      </c>
      <c r="H66" s="686"/>
      <c r="I66" s="307" t="s">
        <v>425</v>
      </c>
      <c r="J66" s="307" t="s">
        <v>426</v>
      </c>
      <c r="K66" s="307" t="s">
        <v>427</v>
      </c>
      <c r="L66" s="655"/>
      <c r="M66" s="661"/>
      <c r="N66" s="668"/>
      <c r="O66" s="668"/>
      <c r="P66" s="308" t="s">
        <v>425</v>
      </c>
      <c r="Q66" s="308" t="s">
        <v>426</v>
      </c>
      <c r="R66" s="308" t="s">
        <v>427</v>
      </c>
      <c r="S66" s="308" t="s">
        <v>417</v>
      </c>
      <c r="T66" s="668"/>
      <c r="U66" s="308" t="s">
        <v>425</v>
      </c>
      <c r="V66" s="308" t="s">
        <v>426</v>
      </c>
      <c r="W66" s="308" t="s">
        <v>427</v>
      </c>
      <c r="X66" s="308" t="s">
        <v>417</v>
      </c>
      <c r="Y66" s="668"/>
      <c r="Z66" s="308" t="s">
        <v>425</v>
      </c>
      <c r="AA66" s="308" t="s">
        <v>426</v>
      </c>
      <c r="AB66" s="308" t="s">
        <v>427</v>
      </c>
      <c r="AC66" s="308" t="s">
        <v>417</v>
      </c>
      <c r="AD66" s="668"/>
      <c r="AE66" s="308" t="s">
        <v>425</v>
      </c>
      <c r="AF66" s="308" t="s">
        <v>426</v>
      </c>
      <c r="AG66" s="308" t="s">
        <v>427</v>
      </c>
      <c r="AH66" s="308" t="s">
        <v>417</v>
      </c>
      <c r="AI66" s="668"/>
      <c r="AJ66" s="308" t="s">
        <v>425</v>
      </c>
      <c r="AK66" s="308" t="s">
        <v>426</v>
      </c>
      <c r="AL66" s="308" t="s">
        <v>427</v>
      </c>
      <c r="AM66" s="308" t="s">
        <v>417</v>
      </c>
      <c r="AN66" s="668"/>
      <c r="AO66" s="308" t="s">
        <v>425</v>
      </c>
      <c r="AP66" s="308" t="s">
        <v>426</v>
      </c>
      <c r="AQ66" s="308" t="s">
        <v>427</v>
      </c>
      <c r="AR66" s="308" t="s">
        <v>417</v>
      </c>
      <c r="AS66" s="668"/>
      <c r="AT66" s="308" t="s">
        <v>425</v>
      </c>
      <c r="AU66" s="308" t="s">
        <v>426</v>
      </c>
      <c r="AV66" s="308" t="s">
        <v>427</v>
      </c>
      <c r="AW66" s="308" t="s">
        <v>417</v>
      </c>
      <c r="AX66" s="668"/>
    </row>
    <row r="67" spans="2:50">
      <c r="B67" s="716" t="s">
        <v>455</v>
      </c>
      <c r="C67" s="309">
        <v>1</v>
      </c>
      <c r="D67" s="569" t="s">
        <v>922</v>
      </c>
      <c r="E67" s="569">
        <v>10</v>
      </c>
      <c r="F67" s="569">
        <v>1500</v>
      </c>
      <c r="G67" s="182">
        <v>150</v>
      </c>
      <c r="H67" s="717">
        <f>AVERAGE(G67:G81)</f>
        <v>157.14285714285714</v>
      </c>
      <c r="I67" s="563">
        <f>AVERAGE(P67,U67,Z67,AE67,AJ67,AO67,AT67)</f>
        <v>10</v>
      </c>
      <c r="J67" s="563">
        <f>AVERAGE(Q67,V67,AA67,AF67,AK67,AP67,AU67)</f>
        <v>1542.6857142857154</v>
      </c>
      <c r="K67" s="200">
        <f>AVERAGE(R67,W67,AB67,AG67,AL67,AQ67,AV67)</f>
        <v>154.26857142857153</v>
      </c>
      <c r="L67" s="649">
        <f>IFERROR(AVERAGE(K67:K81),"-")</f>
        <v>169.75774657447468</v>
      </c>
      <c r="M67" s="591">
        <f>RANK(K67, K$67:$K$81)</f>
        <v>3</v>
      </c>
      <c r="N67" s="668"/>
      <c r="O67" s="668"/>
      <c r="P67" s="573">
        <v>10</v>
      </c>
      <c r="Q67" s="574">
        <v>1584.0000000000057</v>
      </c>
      <c r="R67" s="574">
        <v>158.40000000000057</v>
      </c>
      <c r="S67" s="590">
        <f>RANK(R67, R$67:R$81)</f>
        <v>4</v>
      </c>
      <c r="T67" s="690">
        <f>AVERAGE(R67:R81)</f>
        <v>169.27280735458882</v>
      </c>
      <c r="U67" s="573">
        <v>10</v>
      </c>
      <c r="V67" s="574">
        <v>1562.4000000000003</v>
      </c>
      <c r="W67" s="574">
        <v>156.24000000000004</v>
      </c>
      <c r="X67" s="590">
        <f>RANK(W67, W$67:W$81)</f>
        <v>4</v>
      </c>
      <c r="Y67" s="690">
        <f>AVERAGE(W67:W81)</f>
        <v>171.56100763120739</v>
      </c>
      <c r="Z67" s="573">
        <v>10</v>
      </c>
      <c r="AA67" s="574">
        <v>1392.0000000000048</v>
      </c>
      <c r="AB67" s="574">
        <v>139.20000000000047</v>
      </c>
      <c r="AC67" s="590">
        <f>RANK(AB67, AB$67:AB$81)</f>
        <v>5</v>
      </c>
      <c r="AD67" s="690">
        <f>AVERAGE(AB67:AB81)</f>
        <v>172.55092652445595</v>
      </c>
      <c r="AE67" s="573">
        <v>10</v>
      </c>
      <c r="AF67" s="574">
        <v>1619.9999999999927</v>
      </c>
      <c r="AG67" s="574">
        <v>161.99999999999926</v>
      </c>
      <c r="AH67" s="590">
        <f>RANK(AG67, AG$67:AG$81)</f>
        <v>3</v>
      </c>
      <c r="AI67" s="690">
        <f>AVERAGE(AG67:AG81)</f>
        <v>172.90088048597372</v>
      </c>
      <c r="AJ67" s="573">
        <v>10</v>
      </c>
      <c r="AK67" s="574">
        <v>1577.9999999999993</v>
      </c>
      <c r="AL67" s="574">
        <v>157.79999999999993</v>
      </c>
      <c r="AM67" s="590">
        <f>RANK(AL67, AL$67:AL$81)</f>
        <v>3</v>
      </c>
      <c r="AN67" s="690">
        <f>AVERAGE(AL67:AL81)</f>
        <v>163.02433189200113</v>
      </c>
      <c r="AO67" s="573">
        <v>10</v>
      </c>
      <c r="AP67" s="574">
        <v>1562.4000000000003</v>
      </c>
      <c r="AQ67" s="574">
        <v>156.24000000000004</v>
      </c>
      <c r="AR67" s="590">
        <f>RANK(AQ67, AQ$67:AQ$81)</f>
        <v>3</v>
      </c>
      <c r="AS67" s="690">
        <f>AVERAGE(AQ67:AQ81)</f>
        <v>166.34567628449986</v>
      </c>
      <c r="AT67" s="573">
        <v>10</v>
      </c>
      <c r="AU67" s="574">
        <v>1500.0000000000052</v>
      </c>
      <c r="AV67" s="574">
        <v>150.00000000000051</v>
      </c>
      <c r="AW67" s="590">
        <f>RANK(AV67, AV$67:AV$81)</f>
        <v>5</v>
      </c>
      <c r="AX67" s="690">
        <f>AVERAGE(AV67:AV81)</f>
        <v>172.64859584859605</v>
      </c>
    </row>
    <row r="68" spans="2:50">
      <c r="B68" s="676"/>
      <c r="C68" s="309">
        <v>2</v>
      </c>
      <c r="D68" s="569" t="s">
        <v>923</v>
      </c>
      <c r="E68" s="569">
        <v>15</v>
      </c>
      <c r="F68" s="569">
        <v>1800</v>
      </c>
      <c r="G68" s="182">
        <v>120</v>
      </c>
      <c r="H68" s="718"/>
      <c r="I68" s="563">
        <f t="shared" ref="I68:I71" si="37">AVERAGE(P68,U68,Z68,AE68,AJ68,AO68,AT68)</f>
        <v>12.142857142857142</v>
      </c>
      <c r="J68" s="563">
        <f t="shared" ref="J68:J71" si="38">AVERAGE(Q68,V68,AA68,AF68,AK68,AP68,AU68)</f>
        <v>1712.9013605442185</v>
      </c>
      <c r="K68" s="200">
        <f t="shared" ref="K68:K71" si="39">AVERAGE(R68,W68,AB68,AG68,AL68,AQ68,AV68)</f>
        <v>141.20331850688999</v>
      </c>
      <c r="L68" s="650"/>
      <c r="M68" s="591">
        <f>RANK(K68, K$67:$K$81)</f>
        <v>5</v>
      </c>
      <c r="N68" s="668"/>
      <c r="O68" s="668"/>
      <c r="P68" s="573">
        <v>12</v>
      </c>
      <c r="Q68" s="574">
        <v>1798.4999999999995</v>
      </c>
      <c r="R68" s="574">
        <v>149.87499999999997</v>
      </c>
      <c r="S68" s="590">
        <f t="shared" ref="S68:S81" si="40">RANK(R68, R$67:R$81)</f>
        <v>5</v>
      </c>
      <c r="T68" s="690"/>
      <c r="U68" s="573">
        <v>12</v>
      </c>
      <c r="V68" s="574">
        <v>1833.000000000003</v>
      </c>
      <c r="W68" s="574">
        <v>152.75000000000026</v>
      </c>
      <c r="X68" s="590">
        <f t="shared" ref="X68:X81" si="41">RANK(W68, W$67:W$81)</f>
        <v>5</v>
      </c>
      <c r="Y68" s="690"/>
      <c r="Z68" s="573">
        <v>12</v>
      </c>
      <c r="AA68" s="574">
        <v>1867.4999999999993</v>
      </c>
      <c r="AB68" s="574">
        <v>155.62499999999994</v>
      </c>
      <c r="AC68" s="590">
        <f t="shared" ref="AC68:AC81" si="42">RANK(AB68, AB$67:AB$81)</f>
        <v>4</v>
      </c>
      <c r="AD68" s="690"/>
      <c r="AE68" s="573">
        <v>12</v>
      </c>
      <c r="AF68" s="574">
        <v>1745.1428571428555</v>
      </c>
      <c r="AG68" s="574">
        <v>145.4285714285713</v>
      </c>
      <c r="AH68" s="590">
        <f t="shared" ref="AH68:AH81" si="43">RANK(AG68, AG$67:AG$81)</f>
        <v>5</v>
      </c>
      <c r="AI68" s="690"/>
      <c r="AJ68" s="573">
        <v>12</v>
      </c>
      <c r="AK68" s="574">
        <v>1246.6666666666667</v>
      </c>
      <c r="AL68" s="574">
        <v>103.8888888888889</v>
      </c>
      <c r="AM68" s="590">
        <f t="shared" ref="AM68:AM81" si="44">RANK(AL68, AL$67:AL$81)</f>
        <v>5</v>
      </c>
      <c r="AN68" s="690"/>
      <c r="AO68" s="573">
        <v>13</v>
      </c>
      <c r="AP68" s="574">
        <v>1680.000000000003</v>
      </c>
      <c r="AQ68" s="574">
        <v>129.23076923076945</v>
      </c>
      <c r="AR68" s="590">
        <f t="shared" ref="AR68:AR81" si="45">RANK(AQ68, AQ$67:AQ$81)</f>
        <v>5</v>
      </c>
      <c r="AS68" s="690"/>
      <c r="AT68" s="573">
        <v>12</v>
      </c>
      <c r="AU68" s="574">
        <v>1819.500000000003</v>
      </c>
      <c r="AV68" s="574">
        <v>151.62500000000026</v>
      </c>
      <c r="AW68" s="590">
        <f t="shared" ref="AW68:AW81" si="46">RANK(AV68, AV$67:AV$81)</f>
        <v>4</v>
      </c>
      <c r="AX68" s="690"/>
    </row>
    <row r="69" spans="2:50">
      <c r="B69" s="676"/>
      <c r="C69" s="309">
        <v>3</v>
      </c>
      <c r="D69" s="569" t="s">
        <v>366</v>
      </c>
      <c r="E69" s="569">
        <v>15</v>
      </c>
      <c r="F69" s="569">
        <v>1800</v>
      </c>
      <c r="G69" s="182">
        <v>120</v>
      </c>
      <c r="H69" s="718"/>
      <c r="I69" s="563">
        <f t="shared" si="37"/>
        <v>12.142857142857142</v>
      </c>
      <c r="J69" s="563">
        <f t="shared" si="38"/>
        <v>1812.0272108843558</v>
      </c>
      <c r="K69" s="200">
        <f t="shared" si="39"/>
        <v>149.37833594976468</v>
      </c>
      <c r="L69" s="650"/>
      <c r="M69" s="591">
        <f>RANK(K69, K$67:$K$81)</f>
        <v>4</v>
      </c>
      <c r="N69" s="668"/>
      <c r="O69" s="668"/>
      <c r="P69" s="573">
        <v>12</v>
      </c>
      <c r="Q69" s="574">
        <v>1909.4999999999993</v>
      </c>
      <c r="R69" s="574">
        <v>159.12499999999994</v>
      </c>
      <c r="S69" s="590">
        <f t="shared" si="40"/>
        <v>3</v>
      </c>
      <c r="T69" s="690"/>
      <c r="U69" s="573">
        <v>12</v>
      </c>
      <c r="V69" s="574">
        <v>1971.0000000000068</v>
      </c>
      <c r="W69" s="574">
        <v>164.25000000000057</v>
      </c>
      <c r="X69" s="590">
        <f t="shared" si="41"/>
        <v>3</v>
      </c>
      <c r="Y69" s="690"/>
      <c r="Z69" s="573">
        <v>12</v>
      </c>
      <c r="AA69" s="574">
        <v>1927.4999999999991</v>
      </c>
      <c r="AB69" s="574">
        <v>160.62499999999991</v>
      </c>
      <c r="AC69" s="590">
        <f t="shared" si="42"/>
        <v>3</v>
      </c>
      <c r="AD69" s="690"/>
      <c r="AE69" s="573">
        <v>12</v>
      </c>
      <c r="AF69" s="574">
        <v>1830.8571428571495</v>
      </c>
      <c r="AG69" s="574">
        <v>152.57142857142912</v>
      </c>
      <c r="AH69" s="590">
        <f t="shared" si="43"/>
        <v>4</v>
      </c>
      <c r="AI69" s="690"/>
      <c r="AJ69" s="573">
        <v>12</v>
      </c>
      <c r="AK69" s="574">
        <v>1376</v>
      </c>
      <c r="AL69" s="574">
        <v>114.66666666666667</v>
      </c>
      <c r="AM69" s="590">
        <f t="shared" si="44"/>
        <v>4</v>
      </c>
      <c r="AN69" s="690"/>
      <c r="AO69" s="573">
        <v>13</v>
      </c>
      <c r="AP69" s="574">
        <v>1773.3333333333335</v>
      </c>
      <c r="AQ69" s="574">
        <v>136.41025641025641</v>
      </c>
      <c r="AR69" s="590">
        <f t="shared" si="45"/>
        <v>4</v>
      </c>
      <c r="AS69" s="690"/>
      <c r="AT69" s="573">
        <v>12</v>
      </c>
      <c r="AU69" s="574">
        <v>1895.9999999999993</v>
      </c>
      <c r="AV69" s="574">
        <v>157.99999999999994</v>
      </c>
      <c r="AW69" s="590">
        <f t="shared" si="46"/>
        <v>3</v>
      </c>
      <c r="AX69" s="690"/>
    </row>
    <row r="70" spans="2:50">
      <c r="B70" s="676"/>
      <c r="C70" s="309">
        <v>4</v>
      </c>
      <c r="D70" s="569" t="s">
        <v>754</v>
      </c>
      <c r="E70" s="569">
        <v>6</v>
      </c>
      <c r="F70" s="569">
        <v>1500</v>
      </c>
      <c r="G70" s="182">
        <v>250</v>
      </c>
      <c r="H70" s="718"/>
      <c r="I70" s="563">
        <f t="shared" si="37"/>
        <v>6</v>
      </c>
      <c r="J70" s="563">
        <f t="shared" si="38"/>
        <v>1538.2960289378912</v>
      </c>
      <c r="K70" s="200">
        <f t="shared" si="39"/>
        <v>256.38267148964849</v>
      </c>
      <c r="L70" s="650"/>
      <c r="M70" s="591">
        <f>RANK(K70, K$67:$K$81)</f>
        <v>2</v>
      </c>
      <c r="N70" s="668"/>
      <c r="O70" s="668"/>
      <c r="P70" s="573">
        <v>6</v>
      </c>
      <c r="Q70" s="574">
        <v>1446.315789473683</v>
      </c>
      <c r="R70" s="574">
        <v>241.05263157894717</v>
      </c>
      <c r="S70" s="590">
        <f t="shared" si="40"/>
        <v>2</v>
      </c>
      <c r="T70" s="690"/>
      <c r="U70" s="573">
        <v>6</v>
      </c>
      <c r="V70" s="574">
        <v>1481.0526315789461</v>
      </c>
      <c r="W70" s="574">
        <v>246.84210526315769</v>
      </c>
      <c r="X70" s="590">
        <f t="shared" si="41"/>
        <v>2</v>
      </c>
      <c r="Y70" s="690"/>
      <c r="Z70" s="573">
        <v>6</v>
      </c>
      <c r="AA70" s="574">
        <v>1538.8235294117628</v>
      </c>
      <c r="AB70" s="574">
        <v>256.4705882352938</v>
      </c>
      <c r="AC70" s="590">
        <f t="shared" si="42"/>
        <v>2</v>
      </c>
      <c r="AD70" s="690"/>
      <c r="AE70" s="573">
        <v>6</v>
      </c>
      <c r="AF70" s="574">
        <v>1568.5714285714298</v>
      </c>
      <c r="AG70" s="574">
        <v>261.42857142857162</v>
      </c>
      <c r="AH70" s="590">
        <f t="shared" si="43"/>
        <v>2</v>
      </c>
      <c r="AI70" s="690"/>
      <c r="AJ70" s="573">
        <v>6</v>
      </c>
      <c r="AK70" s="574">
        <v>1610.0000000000005</v>
      </c>
      <c r="AL70" s="574">
        <v>268.33333333333343</v>
      </c>
      <c r="AM70" s="590">
        <f t="shared" si="44"/>
        <v>2</v>
      </c>
      <c r="AN70" s="690"/>
      <c r="AO70" s="573">
        <v>6</v>
      </c>
      <c r="AP70" s="574">
        <v>1567.0588235294138</v>
      </c>
      <c r="AQ70" s="574">
        <v>261.17647058823565</v>
      </c>
      <c r="AR70" s="590">
        <f t="shared" si="45"/>
        <v>2</v>
      </c>
      <c r="AS70" s="690"/>
      <c r="AT70" s="573">
        <v>6</v>
      </c>
      <c r="AU70" s="574">
        <v>1556.2500000000018</v>
      </c>
      <c r="AV70" s="574">
        <v>259.37500000000028</v>
      </c>
      <c r="AW70" s="590">
        <f t="shared" si="46"/>
        <v>2</v>
      </c>
      <c r="AX70" s="690"/>
    </row>
    <row r="71" spans="2:50">
      <c r="B71" s="676"/>
      <c r="C71" s="309">
        <v>5</v>
      </c>
      <c r="D71" s="569" t="s">
        <v>693</v>
      </c>
      <c r="E71" s="569">
        <v>5</v>
      </c>
      <c r="F71" s="569">
        <v>1500</v>
      </c>
      <c r="G71" s="182">
        <v>300</v>
      </c>
      <c r="H71" s="718"/>
      <c r="I71" s="563">
        <f t="shared" si="37"/>
        <v>5</v>
      </c>
      <c r="J71" s="563">
        <f t="shared" si="38"/>
        <v>1520.8196853953984</v>
      </c>
      <c r="K71" s="200">
        <f t="shared" si="39"/>
        <v>304.16393707907963</v>
      </c>
      <c r="L71" s="650"/>
      <c r="M71" s="591">
        <f>RANK(K71, K$67:$K$81)</f>
        <v>1</v>
      </c>
      <c r="N71" s="668"/>
      <c r="O71" s="668"/>
      <c r="P71" s="573">
        <v>5</v>
      </c>
      <c r="Q71" s="574">
        <v>1462.0000000000014</v>
      </c>
      <c r="R71" s="574">
        <v>292.40000000000026</v>
      </c>
      <c r="S71" s="590">
        <f t="shared" si="40"/>
        <v>1</v>
      </c>
      <c r="T71" s="690"/>
      <c r="U71" s="573">
        <v>5</v>
      </c>
      <c r="V71" s="574">
        <v>1497.9310344827597</v>
      </c>
      <c r="W71" s="574">
        <v>299.58620689655197</v>
      </c>
      <c r="X71" s="590">
        <f t="shared" si="41"/>
        <v>1</v>
      </c>
      <c r="Y71" s="690"/>
      <c r="Z71" s="573">
        <v>5</v>
      </c>
      <c r="AA71" s="574">
        <v>1533.3333333333342</v>
      </c>
      <c r="AB71" s="574">
        <v>306.66666666666686</v>
      </c>
      <c r="AC71" s="590">
        <f t="shared" si="42"/>
        <v>1</v>
      </c>
      <c r="AD71" s="690"/>
      <c r="AE71" s="573">
        <v>5</v>
      </c>
      <c r="AF71" s="574">
        <v>1528.695652173916</v>
      </c>
      <c r="AG71" s="574">
        <v>305.73913043478319</v>
      </c>
      <c r="AH71" s="590">
        <f t="shared" si="43"/>
        <v>1</v>
      </c>
      <c r="AI71" s="690"/>
      <c r="AJ71" s="573">
        <v>5</v>
      </c>
      <c r="AK71" s="574">
        <v>1578.0000000000025</v>
      </c>
      <c r="AL71" s="574">
        <v>315.60000000000048</v>
      </c>
      <c r="AM71" s="590">
        <f t="shared" si="44"/>
        <v>1</v>
      </c>
      <c r="AN71" s="690"/>
      <c r="AO71" s="573">
        <v>5</v>
      </c>
      <c r="AP71" s="574">
        <v>1507.9999999999975</v>
      </c>
      <c r="AQ71" s="574">
        <v>301.59999999999951</v>
      </c>
      <c r="AR71" s="590">
        <f t="shared" si="45"/>
        <v>1</v>
      </c>
      <c r="AS71" s="690"/>
      <c r="AT71" s="573">
        <v>5</v>
      </c>
      <c r="AU71" s="574">
        <v>1537.7777777777787</v>
      </c>
      <c r="AV71" s="574">
        <v>307.55555555555577</v>
      </c>
      <c r="AW71" s="590">
        <f t="shared" si="46"/>
        <v>1</v>
      </c>
      <c r="AX71" s="690"/>
    </row>
    <row r="72" spans="2:50">
      <c r="B72" s="676"/>
      <c r="C72" s="309">
        <v>6</v>
      </c>
      <c r="D72" s="569" t="s">
        <v>924</v>
      </c>
      <c r="E72" s="569">
        <v>15</v>
      </c>
      <c r="F72" s="569">
        <v>1200</v>
      </c>
      <c r="G72" s="182">
        <v>80</v>
      </c>
      <c r="H72" s="718"/>
      <c r="I72" s="589">
        <f t="shared" ref="I72:I73" si="47">AVERAGE(P72,U72,Z72,AE72,AJ72,AO72,AT72)</f>
        <v>13</v>
      </c>
      <c r="J72" s="589">
        <f t="shared" ref="J72:J73" si="48">AVERAGE(Q72,V72,AA72,AF72,AK72,AP72,AU72)</f>
        <v>1179.9944341372914</v>
      </c>
      <c r="K72" s="200">
        <f t="shared" ref="K72:K73" si="49">AVERAGE(R72,W72,AB72,AG72,AL72,AQ72,AV72)</f>
        <v>90.768802625945483</v>
      </c>
      <c r="L72" s="650"/>
      <c r="M72" s="591">
        <f>RANK(K72, K$67:$K$81)</f>
        <v>7</v>
      </c>
      <c r="N72" s="668"/>
      <c r="O72" s="668"/>
      <c r="P72" s="573">
        <v>13</v>
      </c>
      <c r="Q72" s="574">
        <v>1221.8181818181827</v>
      </c>
      <c r="R72" s="574">
        <v>93.986013986014058</v>
      </c>
      <c r="S72" s="590">
        <f t="shared" si="40"/>
        <v>6</v>
      </c>
      <c r="T72" s="690"/>
      <c r="U72" s="573">
        <v>13</v>
      </c>
      <c r="V72" s="574">
        <v>1188.0000000000007</v>
      </c>
      <c r="W72" s="574">
        <v>91.384615384615444</v>
      </c>
      <c r="X72" s="590">
        <f t="shared" si="41"/>
        <v>6</v>
      </c>
      <c r="Y72" s="690"/>
      <c r="Z72" s="573">
        <v>13</v>
      </c>
      <c r="AA72" s="574">
        <v>1265.9999999999984</v>
      </c>
      <c r="AB72" s="574">
        <v>97.384615384615259</v>
      </c>
      <c r="AC72" s="590">
        <f t="shared" si="42"/>
        <v>6</v>
      </c>
      <c r="AD72" s="690"/>
      <c r="AE72" s="573">
        <v>13</v>
      </c>
      <c r="AF72" s="574">
        <v>1145.9999999999995</v>
      </c>
      <c r="AG72" s="574">
        <v>88.153846153846118</v>
      </c>
      <c r="AH72" s="590">
        <f t="shared" si="43"/>
        <v>7</v>
      </c>
      <c r="AI72" s="690"/>
      <c r="AJ72" s="573">
        <v>13</v>
      </c>
      <c r="AK72" s="574">
        <v>1145.142857142856</v>
      </c>
      <c r="AL72" s="574">
        <v>88.087912087912002</v>
      </c>
      <c r="AM72" s="590">
        <f t="shared" si="44"/>
        <v>7</v>
      </c>
      <c r="AN72" s="690"/>
      <c r="AO72" s="573">
        <v>13</v>
      </c>
      <c r="AP72" s="574">
        <v>1156</v>
      </c>
      <c r="AQ72" s="574">
        <v>88.92307692307692</v>
      </c>
      <c r="AR72" s="590">
        <f t="shared" si="45"/>
        <v>7</v>
      </c>
      <c r="AS72" s="690"/>
      <c r="AT72" s="573">
        <v>13</v>
      </c>
      <c r="AU72" s="574">
        <v>1137.0000000000018</v>
      </c>
      <c r="AV72" s="574">
        <v>87.461538461538595</v>
      </c>
      <c r="AW72" s="590">
        <f t="shared" si="46"/>
        <v>7</v>
      </c>
      <c r="AX72" s="690"/>
    </row>
    <row r="73" spans="2:50">
      <c r="B73" s="676"/>
      <c r="C73" s="309">
        <v>7</v>
      </c>
      <c r="D73" s="569" t="s">
        <v>959</v>
      </c>
      <c r="E73" s="569">
        <v>15</v>
      </c>
      <c r="F73" s="569">
        <v>1200</v>
      </c>
      <c r="G73" s="182">
        <v>80</v>
      </c>
      <c r="H73" s="718"/>
      <c r="I73" s="589">
        <f t="shared" si="47"/>
        <v>13</v>
      </c>
      <c r="J73" s="589">
        <f t="shared" si="48"/>
        <v>1197.8016562384987</v>
      </c>
      <c r="K73" s="200">
        <f t="shared" si="49"/>
        <v>92.138588941422981</v>
      </c>
      <c r="L73" s="650"/>
      <c r="M73" s="591">
        <f>RANK(K73, K$67:$K$81)</f>
        <v>6</v>
      </c>
      <c r="N73" s="668"/>
      <c r="O73" s="668"/>
      <c r="P73" s="573">
        <v>13</v>
      </c>
      <c r="Q73" s="574">
        <v>1170.9230769230774</v>
      </c>
      <c r="R73" s="574">
        <v>90.071005917159795</v>
      </c>
      <c r="S73" s="590">
        <f t="shared" si="40"/>
        <v>7</v>
      </c>
      <c r="T73" s="690"/>
      <c r="U73" s="573">
        <v>13</v>
      </c>
      <c r="V73" s="574">
        <v>1168.3636363636372</v>
      </c>
      <c r="W73" s="574">
        <v>89.874125874125937</v>
      </c>
      <c r="X73" s="590">
        <f t="shared" si="41"/>
        <v>7</v>
      </c>
      <c r="Y73" s="690"/>
      <c r="Z73" s="573">
        <v>13</v>
      </c>
      <c r="AA73" s="574">
        <v>1194.5000000000002</v>
      </c>
      <c r="AB73" s="574">
        <v>91.884615384615401</v>
      </c>
      <c r="AC73" s="590">
        <f t="shared" si="42"/>
        <v>7</v>
      </c>
      <c r="AD73" s="690"/>
      <c r="AE73" s="573">
        <v>13</v>
      </c>
      <c r="AF73" s="574">
        <v>1234.8000000000004</v>
      </c>
      <c r="AG73" s="574">
        <v>94.98461538461541</v>
      </c>
      <c r="AH73" s="590">
        <f t="shared" si="43"/>
        <v>6</v>
      </c>
      <c r="AI73" s="690"/>
      <c r="AJ73" s="573">
        <v>13</v>
      </c>
      <c r="AK73" s="574">
        <v>1206.3157894736844</v>
      </c>
      <c r="AL73" s="574">
        <v>92.793522267206498</v>
      </c>
      <c r="AM73" s="590">
        <f t="shared" si="44"/>
        <v>6</v>
      </c>
      <c r="AN73" s="690"/>
      <c r="AO73" s="573">
        <v>13</v>
      </c>
      <c r="AP73" s="574">
        <v>1180.9090909090917</v>
      </c>
      <c r="AQ73" s="574">
        <v>90.839160839160897</v>
      </c>
      <c r="AR73" s="590">
        <f t="shared" si="45"/>
        <v>6</v>
      </c>
      <c r="AS73" s="690"/>
      <c r="AT73" s="573">
        <v>13</v>
      </c>
      <c r="AU73" s="574">
        <v>1228.8000000000004</v>
      </c>
      <c r="AV73" s="574">
        <v>94.523076923076957</v>
      </c>
      <c r="AW73" s="590">
        <f t="shared" si="46"/>
        <v>6</v>
      </c>
      <c r="AX73" s="690"/>
    </row>
    <row r="74" spans="2:50">
      <c r="B74" s="676"/>
      <c r="C74" s="309">
        <v>8</v>
      </c>
      <c r="D74" s="569"/>
      <c r="E74" s="569"/>
      <c r="F74" s="569"/>
      <c r="G74" s="182"/>
      <c r="H74" s="718"/>
      <c r="I74" s="563"/>
      <c r="J74" s="563"/>
      <c r="K74" s="200"/>
      <c r="L74" s="650"/>
      <c r="M74" s="591" t="e">
        <f>RANK(K74, K$67:$K$81)</f>
        <v>#N/A</v>
      </c>
      <c r="N74" s="668"/>
      <c r="O74" s="668"/>
      <c r="P74" s="573"/>
      <c r="Q74" s="574"/>
      <c r="R74" s="574"/>
      <c r="S74" s="590" t="e">
        <f t="shared" si="40"/>
        <v>#N/A</v>
      </c>
      <c r="T74" s="690"/>
      <c r="U74" s="573"/>
      <c r="V74" s="574"/>
      <c r="W74" s="574"/>
      <c r="X74" s="590" t="e">
        <f t="shared" si="41"/>
        <v>#N/A</v>
      </c>
      <c r="Y74" s="690"/>
      <c r="Z74" s="573"/>
      <c r="AA74" s="574"/>
      <c r="AB74" s="574"/>
      <c r="AC74" s="590" t="e">
        <f t="shared" si="42"/>
        <v>#N/A</v>
      </c>
      <c r="AD74" s="690"/>
      <c r="AE74" s="573"/>
      <c r="AF74" s="574"/>
      <c r="AG74" s="574"/>
      <c r="AH74" s="590" t="e">
        <f t="shared" si="43"/>
        <v>#N/A</v>
      </c>
      <c r="AI74" s="690"/>
      <c r="AJ74" s="573"/>
      <c r="AK74" s="574"/>
      <c r="AL74" s="574"/>
      <c r="AM74" s="590" t="e">
        <f t="shared" si="44"/>
        <v>#N/A</v>
      </c>
      <c r="AN74" s="690"/>
      <c r="AO74" s="573"/>
      <c r="AP74" s="574"/>
      <c r="AQ74" s="574"/>
      <c r="AR74" s="590" t="e">
        <f t="shared" si="45"/>
        <v>#N/A</v>
      </c>
      <c r="AS74" s="690"/>
      <c r="AT74" s="573"/>
      <c r="AU74" s="574"/>
      <c r="AV74" s="574"/>
      <c r="AW74" s="590" t="e">
        <f t="shared" si="46"/>
        <v>#N/A</v>
      </c>
      <c r="AX74" s="690"/>
    </row>
    <row r="75" spans="2:50">
      <c r="B75" s="676"/>
      <c r="C75" s="309">
        <v>9</v>
      </c>
      <c r="D75" s="569"/>
      <c r="E75" s="569"/>
      <c r="F75" s="569"/>
      <c r="G75" s="182"/>
      <c r="H75" s="718"/>
      <c r="I75" s="563"/>
      <c r="J75" s="563"/>
      <c r="K75" s="200"/>
      <c r="L75" s="650"/>
      <c r="M75" s="591" t="e">
        <f>RANK(K75, K$67:$K$81)</f>
        <v>#N/A</v>
      </c>
      <c r="N75" s="668"/>
      <c r="O75" s="668"/>
      <c r="P75" s="573"/>
      <c r="Q75" s="574"/>
      <c r="R75" s="574"/>
      <c r="S75" s="590" t="e">
        <f t="shared" si="40"/>
        <v>#N/A</v>
      </c>
      <c r="T75" s="690"/>
      <c r="U75" s="573"/>
      <c r="V75" s="574"/>
      <c r="W75" s="574"/>
      <c r="X75" s="590" t="e">
        <f t="shared" si="41"/>
        <v>#N/A</v>
      </c>
      <c r="Y75" s="690"/>
      <c r="Z75" s="573"/>
      <c r="AA75" s="574"/>
      <c r="AB75" s="574"/>
      <c r="AC75" s="590" t="e">
        <f t="shared" si="42"/>
        <v>#N/A</v>
      </c>
      <c r="AD75" s="690"/>
      <c r="AE75" s="573"/>
      <c r="AF75" s="574"/>
      <c r="AG75" s="574"/>
      <c r="AH75" s="590" t="e">
        <f t="shared" si="43"/>
        <v>#N/A</v>
      </c>
      <c r="AI75" s="690"/>
      <c r="AJ75" s="573"/>
      <c r="AK75" s="574"/>
      <c r="AL75" s="574"/>
      <c r="AM75" s="590" t="e">
        <f t="shared" si="44"/>
        <v>#N/A</v>
      </c>
      <c r="AN75" s="690"/>
      <c r="AO75" s="573"/>
      <c r="AP75" s="574"/>
      <c r="AQ75" s="574"/>
      <c r="AR75" s="590" t="e">
        <f t="shared" si="45"/>
        <v>#N/A</v>
      </c>
      <c r="AS75" s="690"/>
      <c r="AT75" s="573"/>
      <c r="AU75" s="574"/>
      <c r="AV75" s="574"/>
      <c r="AW75" s="590" t="e">
        <f t="shared" si="46"/>
        <v>#N/A</v>
      </c>
      <c r="AX75" s="690"/>
    </row>
    <row r="76" spans="2:50">
      <c r="B76" s="676"/>
      <c r="C76" s="309">
        <v>10</v>
      </c>
      <c r="D76" s="569"/>
      <c r="E76" s="569"/>
      <c r="F76" s="569"/>
      <c r="G76" s="182"/>
      <c r="H76" s="718"/>
      <c r="I76" s="563"/>
      <c r="J76" s="563"/>
      <c r="K76" s="200"/>
      <c r="L76" s="650"/>
      <c r="M76" s="591" t="e">
        <f>RANK(K76, K$67:$K$81)</f>
        <v>#N/A</v>
      </c>
      <c r="N76" s="668"/>
      <c r="O76" s="668"/>
      <c r="P76" s="573"/>
      <c r="Q76" s="574"/>
      <c r="R76" s="574"/>
      <c r="S76" s="590" t="e">
        <f t="shared" si="40"/>
        <v>#N/A</v>
      </c>
      <c r="T76" s="690"/>
      <c r="U76" s="573"/>
      <c r="V76" s="574"/>
      <c r="W76" s="574"/>
      <c r="X76" s="590" t="e">
        <f t="shared" si="41"/>
        <v>#N/A</v>
      </c>
      <c r="Y76" s="690"/>
      <c r="Z76" s="573"/>
      <c r="AA76" s="574"/>
      <c r="AB76" s="574"/>
      <c r="AC76" s="590" t="e">
        <f t="shared" si="42"/>
        <v>#N/A</v>
      </c>
      <c r="AD76" s="690"/>
      <c r="AE76" s="573"/>
      <c r="AF76" s="574"/>
      <c r="AG76" s="574"/>
      <c r="AH76" s="590" t="e">
        <f t="shared" si="43"/>
        <v>#N/A</v>
      </c>
      <c r="AI76" s="690"/>
      <c r="AJ76" s="573"/>
      <c r="AK76" s="574"/>
      <c r="AL76" s="574"/>
      <c r="AM76" s="590" t="e">
        <f t="shared" si="44"/>
        <v>#N/A</v>
      </c>
      <c r="AN76" s="690"/>
      <c r="AO76" s="573"/>
      <c r="AP76" s="574"/>
      <c r="AQ76" s="574"/>
      <c r="AR76" s="590" t="e">
        <f t="shared" si="45"/>
        <v>#N/A</v>
      </c>
      <c r="AS76" s="690"/>
      <c r="AT76" s="573"/>
      <c r="AU76" s="574"/>
      <c r="AV76" s="574"/>
      <c r="AW76" s="590" t="e">
        <f t="shared" si="46"/>
        <v>#N/A</v>
      </c>
      <c r="AX76" s="690"/>
    </row>
    <row r="77" spans="2:50">
      <c r="B77" s="676"/>
      <c r="C77" s="309">
        <v>11</v>
      </c>
      <c r="D77" s="569"/>
      <c r="E77" s="569"/>
      <c r="F77" s="569"/>
      <c r="G77" s="182"/>
      <c r="H77" s="718"/>
      <c r="I77" s="202"/>
      <c r="J77" s="202"/>
      <c r="K77" s="202"/>
      <c r="L77" s="650"/>
      <c r="M77" s="591" t="e">
        <f>RANK(K77, K$67:$K$81)</f>
        <v>#N/A</v>
      </c>
      <c r="N77" s="668"/>
      <c r="O77" s="668"/>
      <c r="P77" s="573"/>
      <c r="Q77" s="574"/>
      <c r="R77" s="574"/>
      <c r="S77" s="590" t="e">
        <f t="shared" si="40"/>
        <v>#N/A</v>
      </c>
      <c r="T77" s="690"/>
      <c r="U77" s="573"/>
      <c r="V77" s="574"/>
      <c r="W77" s="574"/>
      <c r="X77" s="590" t="e">
        <f t="shared" si="41"/>
        <v>#N/A</v>
      </c>
      <c r="Y77" s="690"/>
      <c r="Z77" s="573"/>
      <c r="AA77" s="574"/>
      <c r="AB77" s="574"/>
      <c r="AC77" s="590" t="e">
        <f t="shared" si="42"/>
        <v>#N/A</v>
      </c>
      <c r="AD77" s="690"/>
      <c r="AE77" s="573"/>
      <c r="AF77" s="574"/>
      <c r="AG77" s="574"/>
      <c r="AH77" s="590" t="e">
        <f t="shared" si="43"/>
        <v>#N/A</v>
      </c>
      <c r="AI77" s="690"/>
      <c r="AJ77" s="573"/>
      <c r="AK77" s="574"/>
      <c r="AL77" s="574"/>
      <c r="AM77" s="590" t="e">
        <f t="shared" si="44"/>
        <v>#N/A</v>
      </c>
      <c r="AN77" s="690"/>
      <c r="AO77" s="573"/>
      <c r="AP77" s="574"/>
      <c r="AQ77" s="574"/>
      <c r="AR77" s="590" t="e">
        <f t="shared" si="45"/>
        <v>#N/A</v>
      </c>
      <c r="AS77" s="690"/>
      <c r="AT77" s="573"/>
      <c r="AU77" s="574"/>
      <c r="AV77" s="574"/>
      <c r="AW77" s="590" t="e">
        <f t="shared" si="46"/>
        <v>#N/A</v>
      </c>
      <c r="AX77" s="690"/>
    </row>
    <row r="78" spans="2:50">
      <c r="B78" s="676"/>
      <c r="C78" s="309">
        <v>12</v>
      </c>
      <c r="D78" s="569"/>
      <c r="E78" s="569"/>
      <c r="F78" s="569"/>
      <c r="G78" s="182"/>
      <c r="H78" s="718"/>
      <c r="I78" s="202"/>
      <c r="J78" s="202"/>
      <c r="K78" s="202"/>
      <c r="L78" s="650"/>
      <c r="M78" s="591" t="e">
        <f>RANK(K78, K$67:$K$81)</f>
        <v>#N/A</v>
      </c>
      <c r="N78" s="668"/>
      <c r="O78" s="668"/>
      <c r="P78" s="573"/>
      <c r="Q78" s="574"/>
      <c r="R78" s="574"/>
      <c r="S78" s="590" t="e">
        <f t="shared" si="40"/>
        <v>#N/A</v>
      </c>
      <c r="T78" s="690"/>
      <c r="U78" s="573"/>
      <c r="V78" s="574"/>
      <c r="W78" s="574"/>
      <c r="X78" s="590" t="e">
        <f t="shared" si="41"/>
        <v>#N/A</v>
      </c>
      <c r="Y78" s="690"/>
      <c r="Z78" s="573"/>
      <c r="AA78" s="574"/>
      <c r="AB78" s="574"/>
      <c r="AC78" s="590" t="e">
        <f t="shared" si="42"/>
        <v>#N/A</v>
      </c>
      <c r="AD78" s="690"/>
      <c r="AE78" s="573"/>
      <c r="AF78" s="574"/>
      <c r="AG78" s="574"/>
      <c r="AH78" s="590" t="e">
        <f t="shared" si="43"/>
        <v>#N/A</v>
      </c>
      <c r="AI78" s="690"/>
      <c r="AJ78" s="573"/>
      <c r="AK78" s="574"/>
      <c r="AL78" s="574"/>
      <c r="AM78" s="590" t="e">
        <f t="shared" si="44"/>
        <v>#N/A</v>
      </c>
      <c r="AN78" s="690"/>
      <c r="AO78" s="573"/>
      <c r="AP78" s="574"/>
      <c r="AQ78" s="574"/>
      <c r="AR78" s="590" t="e">
        <f t="shared" si="45"/>
        <v>#N/A</v>
      </c>
      <c r="AS78" s="690"/>
      <c r="AT78" s="573"/>
      <c r="AU78" s="574"/>
      <c r="AV78" s="574"/>
      <c r="AW78" s="590" t="e">
        <f t="shared" si="46"/>
        <v>#N/A</v>
      </c>
      <c r="AX78" s="690"/>
    </row>
    <row r="79" spans="2:50">
      <c r="B79" s="676"/>
      <c r="C79" s="309">
        <v>13</v>
      </c>
      <c r="D79" s="569"/>
      <c r="E79" s="569"/>
      <c r="F79" s="569"/>
      <c r="G79" s="182"/>
      <c r="H79" s="718"/>
      <c r="I79" s="202"/>
      <c r="J79" s="202"/>
      <c r="K79" s="202"/>
      <c r="L79" s="650"/>
      <c r="M79" s="591" t="e">
        <f>RANK(K79, K$67:$K$81)</f>
        <v>#N/A</v>
      </c>
      <c r="N79" s="668"/>
      <c r="O79" s="668"/>
      <c r="P79" s="573"/>
      <c r="Q79" s="574"/>
      <c r="R79" s="574"/>
      <c r="S79" s="590" t="e">
        <f t="shared" si="40"/>
        <v>#N/A</v>
      </c>
      <c r="T79" s="690"/>
      <c r="U79" s="573"/>
      <c r="V79" s="574"/>
      <c r="W79" s="574"/>
      <c r="X79" s="590" t="e">
        <f t="shared" si="41"/>
        <v>#N/A</v>
      </c>
      <c r="Y79" s="690"/>
      <c r="Z79" s="573"/>
      <c r="AA79" s="574"/>
      <c r="AB79" s="574"/>
      <c r="AC79" s="590" t="e">
        <f t="shared" si="42"/>
        <v>#N/A</v>
      </c>
      <c r="AD79" s="690"/>
      <c r="AE79" s="573"/>
      <c r="AF79" s="574"/>
      <c r="AG79" s="574"/>
      <c r="AH79" s="590" t="e">
        <f t="shared" si="43"/>
        <v>#N/A</v>
      </c>
      <c r="AI79" s="690"/>
      <c r="AJ79" s="573"/>
      <c r="AK79" s="574"/>
      <c r="AL79" s="574"/>
      <c r="AM79" s="590" t="e">
        <f t="shared" si="44"/>
        <v>#N/A</v>
      </c>
      <c r="AN79" s="690"/>
      <c r="AO79" s="573"/>
      <c r="AP79" s="574"/>
      <c r="AQ79" s="574"/>
      <c r="AR79" s="590" t="e">
        <f t="shared" si="45"/>
        <v>#N/A</v>
      </c>
      <c r="AS79" s="690"/>
      <c r="AT79" s="573"/>
      <c r="AU79" s="574"/>
      <c r="AV79" s="574"/>
      <c r="AW79" s="590" t="e">
        <f t="shared" si="46"/>
        <v>#N/A</v>
      </c>
      <c r="AX79" s="690"/>
    </row>
    <row r="80" spans="2:50">
      <c r="B80" s="676"/>
      <c r="C80" s="309">
        <v>14</v>
      </c>
      <c r="D80" s="569"/>
      <c r="E80" s="569"/>
      <c r="F80" s="569"/>
      <c r="G80" s="182"/>
      <c r="H80" s="718"/>
      <c r="I80" s="202"/>
      <c r="J80" s="202"/>
      <c r="K80" s="202"/>
      <c r="L80" s="650"/>
      <c r="M80" s="591" t="e">
        <f>RANK(K80, K$67:$K$81)</f>
        <v>#N/A</v>
      </c>
      <c r="N80" s="668"/>
      <c r="O80" s="668"/>
      <c r="P80" s="573"/>
      <c r="Q80" s="574"/>
      <c r="R80" s="574"/>
      <c r="S80" s="590" t="e">
        <f t="shared" si="40"/>
        <v>#N/A</v>
      </c>
      <c r="T80" s="690"/>
      <c r="U80" s="573"/>
      <c r="V80" s="574"/>
      <c r="W80" s="574"/>
      <c r="X80" s="590" t="e">
        <f t="shared" si="41"/>
        <v>#N/A</v>
      </c>
      <c r="Y80" s="690"/>
      <c r="Z80" s="573"/>
      <c r="AA80" s="574"/>
      <c r="AB80" s="574"/>
      <c r="AC80" s="590" t="e">
        <f t="shared" si="42"/>
        <v>#N/A</v>
      </c>
      <c r="AD80" s="690"/>
      <c r="AE80" s="573"/>
      <c r="AF80" s="574"/>
      <c r="AG80" s="574"/>
      <c r="AH80" s="590" t="e">
        <f t="shared" si="43"/>
        <v>#N/A</v>
      </c>
      <c r="AI80" s="690"/>
      <c r="AJ80" s="573"/>
      <c r="AK80" s="574"/>
      <c r="AL80" s="574"/>
      <c r="AM80" s="590" t="e">
        <f t="shared" si="44"/>
        <v>#N/A</v>
      </c>
      <c r="AN80" s="690"/>
      <c r="AO80" s="573"/>
      <c r="AP80" s="574"/>
      <c r="AQ80" s="574"/>
      <c r="AR80" s="590" t="e">
        <f t="shared" si="45"/>
        <v>#N/A</v>
      </c>
      <c r="AS80" s="690"/>
      <c r="AT80" s="573"/>
      <c r="AU80" s="574"/>
      <c r="AV80" s="574"/>
      <c r="AW80" s="590" t="e">
        <f t="shared" si="46"/>
        <v>#N/A</v>
      </c>
      <c r="AX80" s="690"/>
    </row>
    <row r="81" spans="2:50">
      <c r="B81" s="676"/>
      <c r="C81" s="309">
        <v>15</v>
      </c>
      <c r="D81" s="569"/>
      <c r="E81" s="569"/>
      <c r="F81" s="569"/>
      <c r="G81" s="569"/>
      <c r="H81" s="719"/>
      <c r="I81" s="202"/>
      <c r="J81" s="202"/>
      <c r="K81" s="202"/>
      <c r="L81" s="651"/>
      <c r="M81" s="591" t="e">
        <f>RANK(K81, K$67:$K$81)</f>
        <v>#N/A</v>
      </c>
      <c r="N81" s="668"/>
      <c r="O81" s="668"/>
      <c r="P81" s="573"/>
      <c r="Q81" s="574"/>
      <c r="R81" s="574"/>
      <c r="S81" s="590" t="e">
        <f t="shared" si="40"/>
        <v>#N/A</v>
      </c>
      <c r="T81" s="690"/>
      <c r="U81" s="573"/>
      <c r="V81" s="574"/>
      <c r="W81" s="574"/>
      <c r="X81" s="590" t="e">
        <f t="shared" si="41"/>
        <v>#N/A</v>
      </c>
      <c r="Y81" s="690"/>
      <c r="Z81" s="573"/>
      <c r="AA81" s="574"/>
      <c r="AB81" s="574"/>
      <c r="AC81" s="590" t="e">
        <f t="shared" si="42"/>
        <v>#N/A</v>
      </c>
      <c r="AD81" s="690"/>
      <c r="AE81" s="573"/>
      <c r="AF81" s="574"/>
      <c r="AG81" s="574"/>
      <c r="AH81" s="590" t="e">
        <f t="shared" si="43"/>
        <v>#N/A</v>
      </c>
      <c r="AI81" s="690"/>
      <c r="AJ81" s="573"/>
      <c r="AK81" s="574"/>
      <c r="AL81" s="574"/>
      <c r="AM81" s="590" t="e">
        <f t="shared" si="44"/>
        <v>#N/A</v>
      </c>
      <c r="AN81" s="690"/>
      <c r="AO81" s="573"/>
      <c r="AP81" s="574"/>
      <c r="AQ81" s="574"/>
      <c r="AR81" s="590" t="e">
        <f t="shared" si="45"/>
        <v>#N/A</v>
      </c>
      <c r="AS81" s="690"/>
      <c r="AT81" s="573"/>
      <c r="AU81" s="574"/>
      <c r="AV81" s="574"/>
      <c r="AW81" s="590" t="e">
        <f t="shared" si="46"/>
        <v>#N/A</v>
      </c>
      <c r="AX81" s="690"/>
    </row>
    <row r="82" spans="2:50" ht="15.75">
      <c r="B82" s="680" t="s">
        <v>163</v>
      </c>
      <c r="C82" s="681"/>
      <c r="D82" s="681"/>
      <c r="E82" s="681"/>
      <c r="F82" s="681"/>
      <c r="G82" s="681"/>
      <c r="H82" s="682"/>
      <c r="I82" s="208"/>
      <c r="J82" s="208"/>
      <c r="K82" s="208"/>
      <c r="L82" s="208"/>
      <c r="M82" s="207"/>
      <c r="N82" s="669" t="s">
        <v>156</v>
      </c>
      <c r="O82" s="669" t="s">
        <v>105</v>
      </c>
      <c r="P82" s="675">
        <f>P62+7</f>
        <v>46112</v>
      </c>
      <c r="Q82" s="676"/>
      <c r="R82" s="676"/>
      <c r="S82" s="676"/>
      <c r="T82" s="676"/>
      <c r="U82" s="672">
        <f>P82+1</f>
        <v>46113</v>
      </c>
      <c r="V82" s="673"/>
      <c r="W82" s="673"/>
      <c r="X82" s="673"/>
      <c r="Y82" s="674"/>
      <c r="Z82" s="672">
        <f>U82+1</f>
        <v>46114</v>
      </c>
      <c r="AA82" s="673"/>
      <c r="AB82" s="673"/>
      <c r="AC82" s="673"/>
      <c r="AD82" s="674"/>
      <c r="AE82" s="672">
        <f>Z82+1</f>
        <v>46115</v>
      </c>
      <c r="AF82" s="673"/>
      <c r="AG82" s="673"/>
      <c r="AH82" s="673"/>
      <c r="AI82" s="674"/>
      <c r="AJ82" s="672">
        <f>AE82+1</f>
        <v>46116</v>
      </c>
      <c r="AK82" s="673"/>
      <c r="AL82" s="673"/>
      <c r="AM82" s="673"/>
      <c r="AN82" s="674"/>
      <c r="AO82" s="672">
        <f>AJ82+1</f>
        <v>46117</v>
      </c>
      <c r="AP82" s="673"/>
      <c r="AQ82" s="673"/>
      <c r="AR82" s="673"/>
      <c r="AS82" s="674"/>
      <c r="AT82" s="672">
        <f>AO82+1</f>
        <v>46118</v>
      </c>
      <c r="AU82" s="673"/>
      <c r="AV82" s="673"/>
      <c r="AW82" s="673"/>
      <c r="AX82" s="674"/>
    </row>
    <row r="83" spans="2:50" ht="15.75">
      <c r="B83" s="683"/>
      <c r="C83" s="683"/>
      <c r="D83" s="683"/>
      <c r="E83" s="683"/>
      <c r="F83" s="683"/>
      <c r="G83" s="683"/>
      <c r="H83" s="683"/>
      <c r="I83" s="205"/>
      <c r="J83" s="205"/>
      <c r="K83" s="205"/>
      <c r="L83" s="205"/>
      <c r="M83" s="206"/>
      <c r="N83" s="671"/>
      <c r="O83" s="671"/>
      <c r="P83" s="675" t="s">
        <v>336</v>
      </c>
      <c r="Q83" s="676"/>
      <c r="R83" s="676"/>
      <c r="S83" s="676"/>
      <c r="T83" s="676"/>
      <c r="U83" s="675" t="s">
        <v>337</v>
      </c>
      <c r="V83" s="676"/>
      <c r="W83" s="676"/>
      <c r="X83" s="676"/>
      <c r="Y83" s="676"/>
      <c r="Z83" s="675" t="s">
        <v>338</v>
      </c>
      <c r="AA83" s="676"/>
      <c r="AB83" s="676"/>
      <c r="AC83" s="676"/>
      <c r="AD83" s="676"/>
      <c r="AE83" s="675" t="s">
        <v>339</v>
      </c>
      <c r="AF83" s="676"/>
      <c r="AG83" s="676"/>
      <c r="AH83" s="676"/>
      <c r="AI83" s="676"/>
      <c r="AJ83" s="675" t="s">
        <v>340</v>
      </c>
      <c r="AK83" s="676"/>
      <c r="AL83" s="676"/>
      <c r="AM83" s="676"/>
      <c r="AN83" s="676"/>
      <c r="AO83" s="675" t="s">
        <v>341</v>
      </c>
      <c r="AP83" s="676"/>
      <c r="AQ83" s="676"/>
      <c r="AR83" s="676"/>
      <c r="AS83" s="676"/>
      <c r="AT83" s="675" t="s">
        <v>342</v>
      </c>
      <c r="AU83" s="676"/>
      <c r="AV83" s="676"/>
      <c r="AW83" s="676"/>
      <c r="AX83" s="676"/>
    </row>
    <row r="84" spans="2:50">
      <c r="B84" s="668" t="s">
        <v>459</v>
      </c>
      <c r="C84" s="668" t="s">
        <v>460</v>
      </c>
      <c r="D84" s="668"/>
      <c r="E84" s="668" t="s">
        <v>461</v>
      </c>
      <c r="F84" s="668"/>
      <c r="G84" s="668"/>
      <c r="H84" s="684" t="s">
        <v>462</v>
      </c>
      <c r="I84" s="652" t="s">
        <v>463</v>
      </c>
      <c r="J84" s="652"/>
      <c r="K84" s="652"/>
      <c r="L84" s="653" t="s">
        <v>462</v>
      </c>
      <c r="M84" s="659" t="s">
        <v>464</v>
      </c>
      <c r="N84" s="668"/>
      <c r="O84" s="668" t="s">
        <v>465</v>
      </c>
      <c r="P84" s="665" t="s">
        <v>466</v>
      </c>
      <c r="Q84" s="666"/>
      <c r="R84" s="666"/>
      <c r="S84" s="667"/>
      <c r="T84" s="668" t="s">
        <v>462</v>
      </c>
      <c r="U84" s="665" t="s">
        <v>466</v>
      </c>
      <c r="V84" s="666"/>
      <c r="W84" s="666"/>
      <c r="X84" s="667"/>
      <c r="Y84" s="668" t="s">
        <v>462</v>
      </c>
      <c r="Z84" s="665" t="s">
        <v>466</v>
      </c>
      <c r="AA84" s="666"/>
      <c r="AB84" s="666"/>
      <c r="AC84" s="667"/>
      <c r="AD84" s="668" t="s">
        <v>462</v>
      </c>
      <c r="AE84" s="665" t="s">
        <v>466</v>
      </c>
      <c r="AF84" s="666"/>
      <c r="AG84" s="666"/>
      <c r="AH84" s="667"/>
      <c r="AI84" s="668" t="s">
        <v>462</v>
      </c>
      <c r="AJ84" s="665" t="s">
        <v>466</v>
      </c>
      <c r="AK84" s="666"/>
      <c r="AL84" s="666"/>
      <c r="AM84" s="667"/>
      <c r="AN84" s="668" t="s">
        <v>462</v>
      </c>
      <c r="AO84" s="665" t="s">
        <v>466</v>
      </c>
      <c r="AP84" s="666"/>
      <c r="AQ84" s="666"/>
      <c r="AR84" s="667"/>
      <c r="AS84" s="668" t="s">
        <v>462</v>
      </c>
      <c r="AT84" s="665" t="s">
        <v>466</v>
      </c>
      <c r="AU84" s="666"/>
      <c r="AV84" s="666"/>
      <c r="AW84" s="667"/>
      <c r="AX84" s="668" t="s">
        <v>462</v>
      </c>
    </row>
    <row r="85" spans="2:50">
      <c r="B85" s="668"/>
      <c r="C85" s="668"/>
      <c r="D85" s="668"/>
      <c r="E85" s="668" t="s">
        <v>467</v>
      </c>
      <c r="F85" s="668"/>
      <c r="G85" s="668"/>
      <c r="H85" s="685"/>
      <c r="I85" s="652" t="s">
        <v>467</v>
      </c>
      <c r="J85" s="652"/>
      <c r="K85" s="652"/>
      <c r="L85" s="654"/>
      <c r="M85" s="660"/>
      <c r="N85" s="668"/>
      <c r="O85" s="668"/>
      <c r="P85" s="665" t="s">
        <v>468</v>
      </c>
      <c r="Q85" s="666"/>
      <c r="R85" s="666"/>
      <c r="S85" s="667"/>
      <c r="T85" s="668"/>
      <c r="U85" s="665" t="s">
        <v>468</v>
      </c>
      <c r="V85" s="666"/>
      <c r="W85" s="666"/>
      <c r="X85" s="667"/>
      <c r="Y85" s="668"/>
      <c r="Z85" s="665" t="s">
        <v>468</v>
      </c>
      <c r="AA85" s="666"/>
      <c r="AB85" s="666"/>
      <c r="AC85" s="667"/>
      <c r="AD85" s="668"/>
      <c r="AE85" s="665" t="s">
        <v>468</v>
      </c>
      <c r="AF85" s="666"/>
      <c r="AG85" s="666"/>
      <c r="AH85" s="667"/>
      <c r="AI85" s="668"/>
      <c r="AJ85" s="665" t="s">
        <v>468</v>
      </c>
      <c r="AK85" s="666"/>
      <c r="AL85" s="666"/>
      <c r="AM85" s="667"/>
      <c r="AN85" s="668"/>
      <c r="AO85" s="665" t="s">
        <v>468</v>
      </c>
      <c r="AP85" s="666"/>
      <c r="AQ85" s="666"/>
      <c r="AR85" s="667"/>
      <c r="AS85" s="668"/>
      <c r="AT85" s="665" t="s">
        <v>468</v>
      </c>
      <c r="AU85" s="666"/>
      <c r="AV85" s="666"/>
      <c r="AW85" s="667"/>
      <c r="AX85" s="668"/>
    </row>
    <row r="86" spans="2:50">
      <c r="B86" s="668"/>
      <c r="C86" s="668"/>
      <c r="D86" s="668"/>
      <c r="E86" s="302" t="s">
        <v>469</v>
      </c>
      <c r="F86" s="302" t="s">
        <v>470</v>
      </c>
      <c r="G86" s="302" t="s">
        <v>471</v>
      </c>
      <c r="H86" s="686"/>
      <c r="I86" s="303" t="s">
        <v>469</v>
      </c>
      <c r="J86" s="303" t="s">
        <v>470</v>
      </c>
      <c r="K86" s="303" t="s">
        <v>471</v>
      </c>
      <c r="L86" s="655"/>
      <c r="M86" s="661"/>
      <c r="N86" s="668"/>
      <c r="O86" s="668"/>
      <c r="P86" s="302" t="s">
        <v>469</v>
      </c>
      <c r="Q86" s="302" t="s">
        <v>470</v>
      </c>
      <c r="R86" s="302" t="s">
        <v>471</v>
      </c>
      <c r="S86" s="302" t="s">
        <v>464</v>
      </c>
      <c r="T86" s="668"/>
      <c r="U86" s="302" t="s">
        <v>469</v>
      </c>
      <c r="V86" s="302" t="s">
        <v>470</v>
      </c>
      <c r="W86" s="302" t="s">
        <v>471</v>
      </c>
      <c r="X86" s="302" t="s">
        <v>464</v>
      </c>
      <c r="Y86" s="668"/>
      <c r="Z86" s="302" t="s">
        <v>469</v>
      </c>
      <c r="AA86" s="302" t="s">
        <v>470</v>
      </c>
      <c r="AB86" s="302" t="s">
        <v>471</v>
      </c>
      <c r="AC86" s="302" t="s">
        <v>464</v>
      </c>
      <c r="AD86" s="668"/>
      <c r="AE86" s="302" t="s">
        <v>469</v>
      </c>
      <c r="AF86" s="302" t="s">
        <v>470</v>
      </c>
      <c r="AG86" s="302" t="s">
        <v>471</v>
      </c>
      <c r="AH86" s="302" t="s">
        <v>464</v>
      </c>
      <c r="AI86" s="668"/>
      <c r="AJ86" s="302" t="s">
        <v>469</v>
      </c>
      <c r="AK86" s="302" t="s">
        <v>470</v>
      </c>
      <c r="AL86" s="302" t="s">
        <v>471</v>
      </c>
      <c r="AM86" s="302" t="s">
        <v>464</v>
      </c>
      <c r="AN86" s="668"/>
      <c r="AO86" s="302" t="s">
        <v>469</v>
      </c>
      <c r="AP86" s="302" t="s">
        <v>470</v>
      </c>
      <c r="AQ86" s="302" t="s">
        <v>471</v>
      </c>
      <c r="AR86" s="302" t="s">
        <v>464</v>
      </c>
      <c r="AS86" s="668"/>
      <c r="AT86" s="302" t="s">
        <v>469</v>
      </c>
      <c r="AU86" s="302" t="s">
        <v>470</v>
      </c>
      <c r="AV86" s="302" t="s">
        <v>471</v>
      </c>
      <c r="AW86" s="302" t="s">
        <v>464</v>
      </c>
      <c r="AX86" s="668"/>
    </row>
    <row r="87" spans="2:50">
      <c r="B87" s="716" t="s">
        <v>472</v>
      </c>
      <c r="C87" s="301">
        <v>1</v>
      </c>
      <c r="D87" s="541"/>
      <c r="E87" s="541"/>
      <c r="F87" s="541"/>
      <c r="G87" s="182"/>
      <c r="H87" s="717" t="e">
        <f>AVERAGE(G87:G101)</f>
        <v>#DIV/0!</v>
      </c>
      <c r="I87" s="563" t="e">
        <f>AVERAGE(P87,U87,Z87,AE87,AJ87,AO87,AT87)</f>
        <v>#DIV/0!</v>
      </c>
      <c r="J87" s="563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68"/>
      <c r="O87" s="668"/>
      <c r="P87" s="573"/>
      <c r="Q87" s="574"/>
      <c r="R87" s="574"/>
      <c r="S87" s="301" t="e">
        <f>RANK(R87, R$87:R$101)</f>
        <v>#N/A</v>
      </c>
      <c r="T87" s="690" t="e">
        <f>AVERAGE(R87:R101)</f>
        <v>#DIV/0!</v>
      </c>
      <c r="U87" s="573"/>
      <c r="V87" s="574"/>
      <c r="W87" s="574"/>
      <c r="X87" s="475" t="e">
        <f t="shared" ref="X87:X101" si="50">RANK(W87, W$87:W$101)</f>
        <v>#N/A</v>
      </c>
      <c r="Y87" s="690" t="e">
        <f t="shared" ref="Y87" si="51">AVERAGE(W87:W101)</f>
        <v>#DIV/0!</v>
      </c>
      <c r="Z87" s="573"/>
      <c r="AA87" s="574"/>
      <c r="AB87" s="574"/>
      <c r="AC87" s="475" t="e">
        <f t="shared" ref="AC87:AC101" si="52">RANK(AB87, AB$87:AB$101)</f>
        <v>#N/A</v>
      </c>
      <c r="AD87" s="690" t="e">
        <f t="shared" ref="AD87" si="53">AVERAGE(AB87:AB101)</f>
        <v>#DIV/0!</v>
      </c>
      <c r="AE87" s="573"/>
      <c r="AF87" s="574"/>
      <c r="AG87" s="574"/>
      <c r="AH87" s="475" t="e">
        <f t="shared" ref="AH87:AH101" si="54">RANK(AG87, AG$87:AG$101)</f>
        <v>#N/A</v>
      </c>
      <c r="AI87" s="690" t="e">
        <f t="shared" ref="AI87" si="55">AVERAGE(AG87:AG101)</f>
        <v>#DIV/0!</v>
      </c>
      <c r="AJ87" s="573"/>
      <c r="AK87" s="574"/>
      <c r="AL87" s="574"/>
      <c r="AM87" s="475" t="e">
        <f t="shared" ref="AM87:AM101" si="56">RANK(AL87, AL$87:AL$101)</f>
        <v>#N/A</v>
      </c>
      <c r="AN87" s="690" t="e">
        <f t="shared" ref="AN87" si="57">AVERAGE(AL87:AL101)</f>
        <v>#DIV/0!</v>
      </c>
      <c r="AO87" s="573"/>
      <c r="AP87" s="574"/>
      <c r="AQ87" s="574"/>
      <c r="AR87" s="475" t="e">
        <f t="shared" ref="AR87:AR101" si="58">RANK(AQ87, AQ$87:AQ$101)</f>
        <v>#N/A</v>
      </c>
      <c r="AS87" s="690" t="e">
        <f t="shared" ref="AS87" si="59">AVERAGE(AQ87:AQ101)</f>
        <v>#DIV/0!</v>
      </c>
      <c r="AT87" s="573"/>
      <c r="AU87" s="574"/>
      <c r="AV87" s="574"/>
      <c r="AW87" s="475" t="e">
        <f t="shared" ref="AW87:AW101" si="60">RANK(AV87, AV$87:AV$101)</f>
        <v>#N/A</v>
      </c>
      <c r="AX87" s="690" t="e">
        <f t="shared" ref="AX87" si="61">AVERAGE(AV87:AV101)</f>
        <v>#DIV/0!</v>
      </c>
    </row>
    <row r="88" spans="2:50">
      <c r="B88" s="676"/>
      <c r="C88" s="301">
        <v>2</v>
      </c>
      <c r="D88" s="541"/>
      <c r="E88" s="541"/>
      <c r="F88" s="541"/>
      <c r="G88" s="182"/>
      <c r="H88" s="718"/>
      <c r="I88" s="563" t="e">
        <f t="shared" ref="I88:I91" si="62">AVERAGE(P88,U88,Z88,AE88,AJ88,AO88,AT88)</f>
        <v>#DIV/0!</v>
      </c>
      <c r="J88" s="563" t="e">
        <f t="shared" ref="J88:J91" si="63">AVERAGE(Q88,V88,AA88,AF88,AK88,AP88,AU88)</f>
        <v>#DIV/0!</v>
      </c>
      <c r="K88" s="200" t="e">
        <f t="shared" ref="K88:K91" si="64">AVERAGE(R88,W88,AB88,AG88,AL88,AQ88,AV88)</f>
        <v>#DIV/0!</v>
      </c>
      <c r="L88" s="650"/>
      <c r="M88" s="201" t="e">
        <f>RANK(K88, K$87:$K$101)</f>
        <v>#DIV/0!</v>
      </c>
      <c r="N88" s="668"/>
      <c r="O88" s="668"/>
      <c r="P88" s="573"/>
      <c r="Q88" s="574"/>
      <c r="R88" s="574"/>
      <c r="S88" s="301" t="e">
        <f t="shared" ref="S88:S101" si="65">RANK(R88, R$87:R$101)</f>
        <v>#N/A</v>
      </c>
      <c r="T88" s="690"/>
      <c r="U88" s="573"/>
      <c r="V88" s="574"/>
      <c r="W88" s="574"/>
      <c r="X88" s="475" t="e">
        <f t="shared" si="50"/>
        <v>#N/A</v>
      </c>
      <c r="Y88" s="690"/>
      <c r="Z88" s="573"/>
      <c r="AA88" s="574"/>
      <c r="AB88" s="574"/>
      <c r="AC88" s="475" t="e">
        <f t="shared" si="52"/>
        <v>#N/A</v>
      </c>
      <c r="AD88" s="690"/>
      <c r="AE88" s="573"/>
      <c r="AF88" s="574"/>
      <c r="AG88" s="574"/>
      <c r="AH88" s="475" t="e">
        <f t="shared" si="54"/>
        <v>#N/A</v>
      </c>
      <c r="AI88" s="690"/>
      <c r="AJ88" s="573"/>
      <c r="AK88" s="574"/>
      <c r="AL88" s="574"/>
      <c r="AM88" s="475" t="e">
        <f t="shared" si="56"/>
        <v>#N/A</v>
      </c>
      <c r="AN88" s="690"/>
      <c r="AO88" s="573"/>
      <c r="AP88" s="574"/>
      <c r="AQ88" s="574"/>
      <c r="AR88" s="475" t="e">
        <f t="shared" si="58"/>
        <v>#N/A</v>
      </c>
      <c r="AS88" s="690"/>
      <c r="AT88" s="573"/>
      <c r="AU88" s="574"/>
      <c r="AV88" s="574"/>
      <c r="AW88" s="475" t="e">
        <f t="shared" si="60"/>
        <v>#N/A</v>
      </c>
      <c r="AX88" s="690"/>
    </row>
    <row r="89" spans="2:50">
      <c r="B89" s="676"/>
      <c r="C89" s="301">
        <v>3</v>
      </c>
      <c r="D89" s="541"/>
      <c r="E89" s="541"/>
      <c r="F89" s="541"/>
      <c r="G89" s="182"/>
      <c r="H89" s="718"/>
      <c r="I89" s="563" t="e">
        <f t="shared" si="62"/>
        <v>#DIV/0!</v>
      </c>
      <c r="J89" s="563" t="e">
        <f t="shared" si="63"/>
        <v>#DIV/0!</v>
      </c>
      <c r="K89" s="200" t="e">
        <f t="shared" si="64"/>
        <v>#DIV/0!</v>
      </c>
      <c r="L89" s="650"/>
      <c r="M89" s="201" t="e">
        <f>RANK(K89, K$87:$K$101)</f>
        <v>#DIV/0!</v>
      </c>
      <c r="N89" s="668"/>
      <c r="O89" s="668"/>
      <c r="P89" s="573"/>
      <c r="Q89" s="574"/>
      <c r="R89" s="574"/>
      <c r="S89" s="301" t="e">
        <f t="shared" si="65"/>
        <v>#N/A</v>
      </c>
      <c r="T89" s="690"/>
      <c r="U89" s="573"/>
      <c r="V89" s="574"/>
      <c r="W89" s="574"/>
      <c r="X89" s="475" t="e">
        <f t="shared" si="50"/>
        <v>#N/A</v>
      </c>
      <c r="Y89" s="690"/>
      <c r="Z89" s="573"/>
      <c r="AA89" s="574"/>
      <c r="AB89" s="574"/>
      <c r="AC89" s="475" t="e">
        <f t="shared" si="52"/>
        <v>#N/A</v>
      </c>
      <c r="AD89" s="690"/>
      <c r="AE89" s="573"/>
      <c r="AF89" s="574"/>
      <c r="AG89" s="574"/>
      <c r="AH89" s="475" t="e">
        <f t="shared" si="54"/>
        <v>#N/A</v>
      </c>
      <c r="AI89" s="690"/>
      <c r="AJ89" s="573"/>
      <c r="AK89" s="574"/>
      <c r="AL89" s="574"/>
      <c r="AM89" s="475" t="e">
        <f t="shared" si="56"/>
        <v>#N/A</v>
      </c>
      <c r="AN89" s="690"/>
      <c r="AO89" s="573"/>
      <c r="AP89" s="574"/>
      <c r="AQ89" s="574"/>
      <c r="AR89" s="475" t="e">
        <f t="shared" si="58"/>
        <v>#N/A</v>
      </c>
      <c r="AS89" s="690"/>
      <c r="AT89" s="573"/>
      <c r="AU89" s="574"/>
      <c r="AV89" s="574"/>
      <c r="AW89" s="475" t="e">
        <f t="shared" si="60"/>
        <v>#N/A</v>
      </c>
      <c r="AX89" s="690"/>
    </row>
    <row r="90" spans="2:50">
      <c r="B90" s="676"/>
      <c r="C90" s="301">
        <v>4</v>
      </c>
      <c r="D90" s="541"/>
      <c r="E90" s="541"/>
      <c r="F90" s="541"/>
      <c r="G90" s="182"/>
      <c r="H90" s="718"/>
      <c r="I90" s="563" t="e">
        <f t="shared" si="62"/>
        <v>#DIV/0!</v>
      </c>
      <c r="J90" s="563" t="e">
        <f t="shared" si="63"/>
        <v>#DIV/0!</v>
      </c>
      <c r="K90" s="200" t="e">
        <f t="shared" si="64"/>
        <v>#DIV/0!</v>
      </c>
      <c r="L90" s="650"/>
      <c r="M90" s="201" t="e">
        <f>RANK(K90, K$87:$K$101)</f>
        <v>#DIV/0!</v>
      </c>
      <c r="N90" s="668"/>
      <c r="O90" s="668"/>
      <c r="P90" s="573"/>
      <c r="Q90" s="574"/>
      <c r="R90" s="574"/>
      <c r="S90" s="301" t="e">
        <f t="shared" si="65"/>
        <v>#N/A</v>
      </c>
      <c r="T90" s="690"/>
      <c r="U90" s="573"/>
      <c r="V90" s="574"/>
      <c r="W90" s="574"/>
      <c r="X90" s="475" t="e">
        <f t="shared" si="50"/>
        <v>#N/A</v>
      </c>
      <c r="Y90" s="690"/>
      <c r="Z90" s="573"/>
      <c r="AA90" s="574"/>
      <c r="AB90" s="574"/>
      <c r="AC90" s="475" t="e">
        <f t="shared" si="52"/>
        <v>#N/A</v>
      </c>
      <c r="AD90" s="690"/>
      <c r="AE90" s="573"/>
      <c r="AF90" s="574"/>
      <c r="AG90" s="574"/>
      <c r="AH90" s="475" t="e">
        <f t="shared" si="54"/>
        <v>#N/A</v>
      </c>
      <c r="AI90" s="690"/>
      <c r="AJ90" s="573"/>
      <c r="AK90" s="574"/>
      <c r="AL90" s="574"/>
      <c r="AM90" s="475" t="e">
        <f t="shared" si="56"/>
        <v>#N/A</v>
      </c>
      <c r="AN90" s="690"/>
      <c r="AO90" s="573"/>
      <c r="AP90" s="574"/>
      <c r="AQ90" s="574"/>
      <c r="AR90" s="475" t="e">
        <f t="shared" si="58"/>
        <v>#N/A</v>
      </c>
      <c r="AS90" s="690"/>
      <c r="AT90" s="573"/>
      <c r="AU90" s="574"/>
      <c r="AV90" s="574"/>
      <c r="AW90" s="475" t="e">
        <f t="shared" si="60"/>
        <v>#N/A</v>
      </c>
      <c r="AX90" s="690"/>
    </row>
    <row r="91" spans="2:50">
      <c r="B91" s="676"/>
      <c r="C91" s="301">
        <v>5</v>
      </c>
      <c r="D91" s="541"/>
      <c r="E91" s="541"/>
      <c r="F91" s="541"/>
      <c r="G91" s="182"/>
      <c r="H91" s="718"/>
      <c r="I91" s="563" t="e">
        <f t="shared" si="62"/>
        <v>#DIV/0!</v>
      </c>
      <c r="J91" s="563" t="e">
        <f t="shared" si="63"/>
        <v>#DIV/0!</v>
      </c>
      <c r="K91" s="200" t="e">
        <f t="shared" si="64"/>
        <v>#DIV/0!</v>
      </c>
      <c r="L91" s="650"/>
      <c r="M91" s="201" t="e">
        <f>RANK(K91, K$87:$K$101)</f>
        <v>#DIV/0!</v>
      </c>
      <c r="N91" s="668"/>
      <c r="O91" s="668"/>
      <c r="P91" s="573"/>
      <c r="Q91" s="574"/>
      <c r="R91" s="574"/>
      <c r="S91" s="301" t="e">
        <f t="shared" si="65"/>
        <v>#N/A</v>
      </c>
      <c r="T91" s="690"/>
      <c r="U91" s="573"/>
      <c r="V91" s="574"/>
      <c r="W91" s="574"/>
      <c r="X91" s="475" t="e">
        <f t="shared" si="50"/>
        <v>#N/A</v>
      </c>
      <c r="Y91" s="690"/>
      <c r="Z91" s="573"/>
      <c r="AA91" s="574"/>
      <c r="AB91" s="574"/>
      <c r="AC91" s="475" t="e">
        <f t="shared" si="52"/>
        <v>#N/A</v>
      </c>
      <c r="AD91" s="690"/>
      <c r="AE91" s="573"/>
      <c r="AF91" s="574"/>
      <c r="AG91" s="574"/>
      <c r="AH91" s="475" t="e">
        <f t="shared" si="54"/>
        <v>#N/A</v>
      </c>
      <c r="AI91" s="690"/>
      <c r="AJ91" s="573"/>
      <c r="AK91" s="574"/>
      <c r="AL91" s="574"/>
      <c r="AM91" s="475" t="e">
        <f t="shared" si="56"/>
        <v>#N/A</v>
      </c>
      <c r="AN91" s="690"/>
      <c r="AO91" s="573"/>
      <c r="AP91" s="574"/>
      <c r="AQ91" s="574"/>
      <c r="AR91" s="475" t="e">
        <f t="shared" si="58"/>
        <v>#N/A</v>
      </c>
      <c r="AS91" s="690"/>
      <c r="AT91" s="573"/>
      <c r="AU91" s="574"/>
      <c r="AV91" s="574"/>
      <c r="AW91" s="475" t="e">
        <f t="shared" si="60"/>
        <v>#N/A</v>
      </c>
      <c r="AX91" s="690"/>
    </row>
    <row r="92" spans="2:50">
      <c r="B92" s="676"/>
      <c r="C92" s="301">
        <v>6</v>
      </c>
      <c r="D92" s="541"/>
      <c r="E92" s="541"/>
      <c r="F92" s="541"/>
      <c r="G92" s="182"/>
      <c r="H92" s="718"/>
      <c r="I92" s="563"/>
      <c r="J92" s="563"/>
      <c r="K92" s="200"/>
      <c r="L92" s="650"/>
      <c r="M92" s="201" t="e">
        <f>RANK(K92, K$87:$K$101)</f>
        <v>#DIV/0!</v>
      </c>
      <c r="N92" s="668"/>
      <c r="O92" s="668"/>
      <c r="P92" s="573"/>
      <c r="Q92" s="574"/>
      <c r="R92" s="574"/>
      <c r="S92" s="301" t="e">
        <f t="shared" si="65"/>
        <v>#N/A</v>
      </c>
      <c r="T92" s="690"/>
      <c r="U92" s="573"/>
      <c r="V92" s="574"/>
      <c r="W92" s="574"/>
      <c r="X92" s="475" t="e">
        <f t="shared" si="50"/>
        <v>#N/A</v>
      </c>
      <c r="Y92" s="690"/>
      <c r="Z92" s="573"/>
      <c r="AA92" s="574"/>
      <c r="AB92" s="574"/>
      <c r="AC92" s="475" t="e">
        <f t="shared" si="52"/>
        <v>#N/A</v>
      </c>
      <c r="AD92" s="690"/>
      <c r="AE92" s="573"/>
      <c r="AF92" s="574"/>
      <c r="AG92" s="574"/>
      <c r="AH92" s="475" t="e">
        <f t="shared" si="54"/>
        <v>#N/A</v>
      </c>
      <c r="AI92" s="690"/>
      <c r="AJ92" s="573"/>
      <c r="AK92" s="574"/>
      <c r="AL92" s="574"/>
      <c r="AM92" s="475" t="e">
        <f t="shared" si="56"/>
        <v>#N/A</v>
      </c>
      <c r="AN92" s="690"/>
      <c r="AO92" s="573"/>
      <c r="AP92" s="574"/>
      <c r="AQ92" s="574"/>
      <c r="AR92" s="475" t="e">
        <f t="shared" si="58"/>
        <v>#N/A</v>
      </c>
      <c r="AS92" s="690"/>
      <c r="AT92" s="573"/>
      <c r="AU92" s="574"/>
      <c r="AV92" s="574"/>
      <c r="AW92" s="475" t="e">
        <f t="shared" si="60"/>
        <v>#N/A</v>
      </c>
      <c r="AX92" s="690"/>
    </row>
    <row r="93" spans="2:50">
      <c r="B93" s="676"/>
      <c r="C93" s="301">
        <v>7</v>
      </c>
      <c r="D93" s="504"/>
      <c r="E93" s="504"/>
      <c r="F93" s="504"/>
      <c r="G93" s="182"/>
      <c r="H93" s="718"/>
      <c r="I93" s="563"/>
      <c r="J93" s="563"/>
      <c r="K93" s="200"/>
      <c r="L93" s="650"/>
      <c r="M93" s="201" t="e">
        <f>RANK(K93, K$87:$K$101)</f>
        <v>#DIV/0!</v>
      </c>
      <c r="N93" s="668"/>
      <c r="O93" s="668"/>
      <c r="P93" s="573"/>
      <c r="Q93" s="574"/>
      <c r="R93" s="574"/>
      <c r="S93" s="301" t="e">
        <f t="shared" si="65"/>
        <v>#N/A</v>
      </c>
      <c r="T93" s="690"/>
      <c r="U93" s="573"/>
      <c r="V93" s="574"/>
      <c r="W93" s="574"/>
      <c r="X93" s="475" t="e">
        <f t="shared" si="50"/>
        <v>#N/A</v>
      </c>
      <c r="Y93" s="690"/>
      <c r="Z93" s="573"/>
      <c r="AA93" s="574"/>
      <c r="AB93" s="574"/>
      <c r="AC93" s="475" t="e">
        <f t="shared" si="52"/>
        <v>#N/A</v>
      </c>
      <c r="AD93" s="690"/>
      <c r="AE93" s="573"/>
      <c r="AF93" s="574"/>
      <c r="AG93" s="574"/>
      <c r="AH93" s="475" t="e">
        <f t="shared" si="54"/>
        <v>#N/A</v>
      </c>
      <c r="AI93" s="690"/>
      <c r="AJ93" s="573"/>
      <c r="AK93" s="574"/>
      <c r="AL93" s="574"/>
      <c r="AM93" s="475" t="e">
        <f t="shared" si="56"/>
        <v>#N/A</v>
      </c>
      <c r="AN93" s="690"/>
      <c r="AO93" s="573"/>
      <c r="AP93" s="574"/>
      <c r="AQ93" s="574"/>
      <c r="AR93" s="475" t="e">
        <f t="shared" si="58"/>
        <v>#N/A</v>
      </c>
      <c r="AS93" s="690"/>
      <c r="AT93" s="573"/>
      <c r="AU93" s="574"/>
      <c r="AV93" s="574"/>
      <c r="AW93" s="475" t="e">
        <f t="shared" si="60"/>
        <v>#N/A</v>
      </c>
      <c r="AX93" s="690"/>
    </row>
    <row r="94" spans="2:50">
      <c r="B94" s="676"/>
      <c r="C94" s="301">
        <v>8</v>
      </c>
      <c r="D94" s="504"/>
      <c r="E94" s="504"/>
      <c r="F94" s="504"/>
      <c r="G94" s="182"/>
      <c r="H94" s="718"/>
      <c r="I94" s="563"/>
      <c r="J94" s="563"/>
      <c r="K94" s="200"/>
      <c r="L94" s="650"/>
      <c r="M94" s="201" t="e">
        <f>RANK(K94, K$87:$K$101)</f>
        <v>#DIV/0!</v>
      </c>
      <c r="N94" s="668"/>
      <c r="O94" s="668"/>
      <c r="P94" s="573"/>
      <c r="Q94" s="574"/>
      <c r="R94" s="574"/>
      <c r="S94" s="301" t="e">
        <f t="shared" si="65"/>
        <v>#N/A</v>
      </c>
      <c r="T94" s="690"/>
      <c r="U94" s="573"/>
      <c r="V94" s="574"/>
      <c r="W94" s="574"/>
      <c r="X94" s="475" t="e">
        <f t="shared" si="50"/>
        <v>#N/A</v>
      </c>
      <c r="Y94" s="690"/>
      <c r="Z94" s="573"/>
      <c r="AA94" s="574"/>
      <c r="AB94" s="574"/>
      <c r="AC94" s="475" t="e">
        <f t="shared" si="52"/>
        <v>#N/A</v>
      </c>
      <c r="AD94" s="690"/>
      <c r="AE94" s="573"/>
      <c r="AF94" s="574"/>
      <c r="AG94" s="574"/>
      <c r="AH94" s="475" t="e">
        <f t="shared" si="54"/>
        <v>#N/A</v>
      </c>
      <c r="AI94" s="690"/>
      <c r="AJ94" s="573"/>
      <c r="AK94" s="574"/>
      <c r="AL94" s="574"/>
      <c r="AM94" s="475" t="e">
        <f t="shared" si="56"/>
        <v>#N/A</v>
      </c>
      <c r="AN94" s="690"/>
      <c r="AO94" s="573"/>
      <c r="AP94" s="574"/>
      <c r="AQ94" s="574"/>
      <c r="AR94" s="475" t="e">
        <f t="shared" si="58"/>
        <v>#N/A</v>
      </c>
      <c r="AS94" s="690"/>
      <c r="AT94" s="573"/>
      <c r="AU94" s="574"/>
      <c r="AV94" s="574"/>
      <c r="AW94" s="475" t="e">
        <f t="shared" si="60"/>
        <v>#N/A</v>
      </c>
      <c r="AX94" s="690"/>
    </row>
    <row r="95" spans="2:50">
      <c r="B95" s="676"/>
      <c r="C95" s="301">
        <v>9</v>
      </c>
      <c r="D95" s="504"/>
      <c r="E95" s="504"/>
      <c r="F95" s="504"/>
      <c r="G95" s="182"/>
      <c r="H95" s="718"/>
      <c r="I95" s="563"/>
      <c r="J95" s="563"/>
      <c r="K95" s="200"/>
      <c r="L95" s="650"/>
      <c r="M95" s="201" t="e">
        <f>RANK(K95, K$87:$K$101)</f>
        <v>#DIV/0!</v>
      </c>
      <c r="N95" s="668"/>
      <c r="O95" s="668"/>
      <c r="P95" s="573"/>
      <c r="Q95" s="574"/>
      <c r="R95" s="574"/>
      <c r="S95" s="301" t="e">
        <f t="shared" si="65"/>
        <v>#N/A</v>
      </c>
      <c r="T95" s="690"/>
      <c r="U95" s="573"/>
      <c r="V95" s="574"/>
      <c r="W95" s="574"/>
      <c r="X95" s="475" t="e">
        <f t="shared" si="50"/>
        <v>#N/A</v>
      </c>
      <c r="Y95" s="690"/>
      <c r="Z95" s="573"/>
      <c r="AA95" s="574"/>
      <c r="AB95" s="574"/>
      <c r="AC95" s="475" t="e">
        <f t="shared" si="52"/>
        <v>#N/A</v>
      </c>
      <c r="AD95" s="690"/>
      <c r="AE95" s="573"/>
      <c r="AF95" s="574"/>
      <c r="AG95" s="574"/>
      <c r="AH95" s="475" t="e">
        <f t="shared" si="54"/>
        <v>#N/A</v>
      </c>
      <c r="AI95" s="690"/>
      <c r="AJ95" s="573"/>
      <c r="AK95" s="574"/>
      <c r="AL95" s="574"/>
      <c r="AM95" s="475" t="e">
        <f t="shared" si="56"/>
        <v>#N/A</v>
      </c>
      <c r="AN95" s="690"/>
      <c r="AO95" s="573"/>
      <c r="AP95" s="574"/>
      <c r="AQ95" s="574"/>
      <c r="AR95" s="475" t="e">
        <f t="shared" si="58"/>
        <v>#N/A</v>
      </c>
      <c r="AS95" s="690"/>
      <c r="AT95" s="573"/>
      <c r="AU95" s="574"/>
      <c r="AV95" s="574"/>
      <c r="AW95" s="475" t="e">
        <f t="shared" si="60"/>
        <v>#N/A</v>
      </c>
      <c r="AX95" s="690"/>
    </row>
    <row r="96" spans="2:50">
      <c r="B96" s="676"/>
      <c r="C96" s="301">
        <v>10</v>
      </c>
      <c r="D96" s="504"/>
      <c r="E96" s="504"/>
      <c r="F96" s="504"/>
      <c r="G96" s="182"/>
      <c r="H96" s="718"/>
      <c r="I96" s="563"/>
      <c r="J96" s="563"/>
      <c r="K96" s="200"/>
      <c r="L96" s="650"/>
      <c r="M96" s="201" t="e">
        <f>RANK(K96, K$87:$K$101)</f>
        <v>#DIV/0!</v>
      </c>
      <c r="N96" s="668"/>
      <c r="O96" s="668"/>
      <c r="P96" s="573"/>
      <c r="Q96" s="574"/>
      <c r="R96" s="574"/>
      <c r="S96" s="301" t="e">
        <f t="shared" si="65"/>
        <v>#N/A</v>
      </c>
      <c r="T96" s="690"/>
      <c r="U96" s="573"/>
      <c r="V96" s="574"/>
      <c r="W96" s="574"/>
      <c r="X96" s="475" t="e">
        <f t="shared" si="50"/>
        <v>#N/A</v>
      </c>
      <c r="Y96" s="690"/>
      <c r="Z96" s="573"/>
      <c r="AA96" s="574"/>
      <c r="AB96" s="574"/>
      <c r="AC96" s="475" t="e">
        <f t="shared" si="52"/>
        <v>#N/A</v>
      </c>
      <c r="AD96" s="690"/>
      <c r="AE96" s="573"/>
      <c r="AF96" s="574"/>
      <c r="AG96" s="574"/>
      <c r="AH96" s="475" t="e">
        <f t="shared" si="54"/>
        <v>#N/A</v>
      </c>
      <c r="AI96" s="690"/>
      <c r="AJ96" s="573"/>
      <c r="AK96" s="574"/>
      <c r="AL96" s="574"/>
      <c r="AM96" s="475" t="e">
        <f t="shared" si="56"/>
        <v>#N/A</v>
      </c>
      <c r="AN96" s="690"/>
      <c r="AO96" s="573"/>
      <c r="AP96" s="574"/>
      <c r="AQ96" s="574"/>
      <c r="AR96" s="475" t="e">
        <f t="shared" si="58"/>
        <v>#N/A</v>
      </c>
      <c r="AS96" s="690"/>
      <c r="AT96" s="573"/>
      <c r="AU96" s="574"/>
      <c r="AV96" s="574"/>
      <c r="AW96" s="475" t="e">
        <f t="shared" si="60"/>
        <v>#N/A</v>
      </c>
      <c r="AX96" s="690"/>
    </row>
    <row r="97" spans="2:50">
      <c r="B97" s="676"/>
      <c r="C97" s="301">
        <v>11</v>
      </c>
      <c r="D97" s="504"/>
      <c r="E97" s="504"/>
      <c r="F97" s="504"/>
      <c r="G97" s="182"/>
      <c r="H97" s="718"/>
      <c r="I97" s="202"/>
      <c r="J97" s="202"/>
      <c r="K97" s="202"/>
      <c r="L97" s="650"/>
      <c r="M97" s="201" t="e">
        <f>RANK(K97, K$87:$K$101)</f>
        <v>#DIV/0!</v>
      </c>
      <c r="N97" s="668"/>
      <c r="O97" s="668"/>
      <c r="P97" s="573"/>
      <c r="Q97" s="574"/>
      <c r="R97" s="574"/>
      <c r="S97" s="301" t="e">
        <f t="shared" si="65"/>
        <v>#N/A</v>
      </c>
      <c r="T97" s="690"/>
      <c r="U97" s="573"/>
      <c r="V97" s="574"/>
      <c r="W97" s="574"/>
      <c r="X97" s="475" t="e">
        <f t="shared" si="50"/>
        <v>#N/A</v>
      </c>
      <c r="Y97" s="690"/>
      <c r="Z97" s="573"/>
      <c r="AA97" s="574"/>
      <c r="AB97" s="574"/>
      <c r="AC97" s="475" t="e">
        <f t="shared" si="52"/>
        <v>#N/A</v>
      </c>
      <c r="AD97" s="690"/>
      <c r="AE97" s="573"/>
      <c r="AF97" s="574"/>
      <c r="AG97" s="574"/>
      <c r="AH97" s="475" t="e">
        <f t="shared" si="54"/>
        <v>#N/A</v>
      </c>
      <c r="AI97" s="690"/>
      <c r="AJ97" s="573"/>
      <c r="AK97" s="574"/>
      <c r="AL97" s="574"/>
      <c r="AM97" s="475" t="e">
        <f t="shared" si="56"/>
        <v>#N/A</v>
      </c>
      <c r="AN97" s="690"/>
      <c r="AO97" s="573"/>
      <c r="AP97" s="574"/>
      <c r="AQ97" s="574"/>
      <c r="AR97" s="475" t="e">
        <f t="shared" si="58"/>
        <v>#N/A</v>
      </c>
      <c r="AS97" s="690"/>
      <c r="AT97" s="573"/>
      <c r="AU97" s="574"/>
      <c r="AV97" s="574"/>
      <c r="AW97" s="475" t="e">
        <f t="shared" si="60"/>
        <v>#N/A</v>
      </c>
      <c r="AX97" s="690"/>
    </row>
    <row r="98" spans="2:50">
      <c r="B98" s="676"/>
      <c r="C98" s="301">
        <v>12</v>
      </c>
      <c r="D98" s="504"/>
      <c r="E98" s="504"/>
      <c r="F98" s="504"/>
      <c r="G98" s="182"/>
      <c r="H98" s="718"/>
      <c r="I98" s="202"/>
      <c r="J98" s="202"/>
      <c r="K98" s="202"/>
      <c r="L98" s="650"/>
      <c r="M98" s="201" t="e">
        <f>RANK(K98, K$87:$K$101)</f>
        <v>#DIV/0!</v>
      </c>
      <c r="N98" s="668"/>
      <c r="O98" s="668"/>
      <c r="P98" s="573"/>
      <c r="Q98" s="574"/>
      <c r="R98" s="574"/>
      <c r="S98" s="301" t="e">
        <f t="shared" si="65"/>
        <v>#N/A</v>
      </c>
      <c r="T98" s="690"/>
      <c r="U98" s="573"/>
      <c r="V98" s="574"/>
      <c r="W98" s="574"/>
      <c r="X98" s="475" t="e">
        <f t="shared" si="50"/>
        <v>#N/A</v>
      </c>
      <c r="Y98" s="690"/>
      <c r="Z98" s="573"/>
      <c r="AA98" s="574"/>
      <c r="AB98" s="574"/>
      <c r="AC98" s="475" t="e">
        <f t="shared" si="52"/>
        <v>#N/A</v>
      </c>
      <c r="AD98" s="690"/>
      <c r="AE98" s="573"/>
      <c r="AF98" s="574"/>
      <c r="AG98" s="574"/>
      <c r="AH98" s="475" t="e">
        <f t="shared" si="54"/>
        <v>#N/A</v>
      </c>
      <c r="AI98" s="690"/>
      <c r="AJ98" s="573"/>
      <c r="AK98" s="574"/>
      <c r="AL98" s="574"/>
      <c r="AM98" s="475" t="e">
        <f t="shared" si="56"/>
        <v>#N/A</v>
      </c>
      <c r="AN98" s="690"/>
      <c r="AO98" s="573"/>
      <c r="AP98" s="574"/>
      <c r="AQ98" s="574"/>
      <c r="AR98" s="475" t="e">
        <f t="shared" si="58"/>
        <v>#N/A</v>
      </c>
      <c r="AS98" s="690"/>
      <c r="AT98" s="573"/>
      <c r="AU98" s="574"/>
      <c r="AV98" s="574"/>
      <c r="AW98" s="475" t="e">
        <f t="shared" si="60"/>
        <v>#N/A</v>
      </c>
      <c r="AX98" s="690"/>
    </row>
    <row r="99" spans="2:50">
      <c r="B99" s="676"/>
      <c r="C99" s="301">
        <v>13</v>
      </c>
      <c r="D99" s="504"/>
      <c r="E99" s="504"/>
      <c r="F99" s="504"/>
      <c r="G99" s="182"/>
      <c r="H99" s="718"/>
      <c r="I99" s="202"/>
      <c r="J99" s="202"/>
      <c r="K99" s="202"/>
      <c r="L99" s="650"/>
      <c r="M99" s="201" t="e">
        <f>RANK(K99, K$87:$K$101)</f>
        <v>#DIV/0!</v>
      </c>
      <c r="N99" s="668"/>
      <c r="O99" s="668"/>
      <c r="P99" s="573"/>
      <c r="Q99" s="574"/>
      <c r="R99" s="574"/>
      <c r="S99" s="301" t="e">
        <f t="shared" si="65"/>
        <v>#N/A</v>
      </c>
      <c r="T99" s="690"/>
      <c r="U99" s="573"/>
      <c r="V99" s="574"/>
      <c r="W99" s="574"/>
      <c r="X99" s="475" t="e">
        <f t="shared" si="50"/>
        <v>#N/A</v>
      </c>
      <c r="Y99" s="690"/>
      <c r="Z99" s="573"/>
      <c r="AA99" s="574"/>
      <c r="AB99" s="574"/>
      <c r="AC99" s="475" t="e">
        <f t="shared" si="52"/>
        <v>#N/A</v>
      </c>
      <c r="AD99" s="690"/>
      <c r="AE99" s="573"/>
      <c r="AF99" s="574"/>
      <c r="AG99" s="574"/>
      <c r="AH99" s="475" t="e">
        <f t="shared" si="54"/>
        <v>#N/A</v>
      </c>
      <c r="AI99" s="690"/>
      <c r="AJ99" s="573"/>
      <c r="AK99" s="574"/>
      <c r="AL99" s="574"/>
      <c r="AM99" s="475" t="e">
        <f t="shared" si="56"/>
        <v>#N/A</v>
      </c>
      <c r="AN99" s="690"/>
      <c r="AO99" s="573"/>
      <c r="AP99" s="574"/>
      <c r="AQ99" s="574"/>
      <c r="AR99" s="475" t="e">
        <f t="shared" si="58"/>
        <v>#N/A</v>
      </c>
      <c r="AS99" s="690"/>
      <c r="AT99" s="573"/>
      <c r="AU99" s="574"/>
      <c r="AV99" s="574"/>
      <c r="AW99" s="475" t="e">
        <f t="shared" si="60"/>
        <v>#N/A</v>
      </c>
      <c r="AX99" s="690"/>
    </row>
    <row r="100" spans="2:50">
      <c r="B100" s="676"/>
      <c r="C100" s="301">
        <v>14</v>
      </c>
      <c r="D100" s="504"/>
      <c r="E100" s="504"/>
      <c r="F100" s="504"/>
      <c r="G100" s="182"/>
      <c r="H100" s="718"/>
      <c r="I100" s="202"/>
      <c r="J100" s="202"/>
      <c r="K100" s="202"/>
      <c r="L100" s="650"/>
      <c r="M100" s="201" t="e">
        <f>RANK(K100, K$87:$K$101)</f>
        <v>#DIV/0!</v>
      </c>
      <c r="N100" s="668"/>
      <c r="O100" s="668"/>
      <c r="P100" s="573"/>
      <c r="Q100" s="574"/>
      <c r="R100" s="574"/>
      <c r="S100" s="301" t="e">
        <f t="shared" si="65"/>
        <v>#N/A</v>
      </c>
      <c r="T100" s="690"/>
      <c r="U100" s="573"/>
      <c r="V100" s="574"/>
      <c r="W100" s="574"/>
      <c r="X100" s="475" t="e">
        <f t="shared" si="50"/>
        <v>#N/A</v>
      </c>
      <c r="Y100" s="690"/>
      <c r="Z100" s="573"/>
      <c r="AA100" s="574"/>
      <c r="AB100" s="574"/>
      <c r="AC100" s="475" t="e">
        <f t="shared" si="52"/>
        <v>#N/A</v>
      </c>
      <c r="AD100" s="690"/>
      <c r="AE100" s="573"/>
      <c r="AF100" s="574"/>
      <c r="AG100" s="574"/>
      <c r="AH100" s="475" t="e">
        <f t="shared" si="54"/>
        <v>#N/A</v>
      </c>
      <c r="AI100" s="690"/>
      <c r="AJ100" s="573"/>
      <c r="AK100" s="574"/>
      <c r="AL100" s="574"/>
      <c r="AM100" s="475" t="e">
        <f t="shared" si="56"/>
        <v>#N/A</v>
      </c>
      <c r="AN100" s="690"/>
      <c r="AO100" s="573"/>
      <c r="AP100" s="574"/>
      <c r="AQ100" s="574"/>
      <c r="AR100" s="475" t="e">
        <f t="shared" si="58"/>
        <v>#N/A</v>
      </c>
      <c r="AS100" s="690"/>
      <c r="AT100" s="573"/>
      <c r="AU100" s="574"/>
      <c r="AV100" s="574"/>
      <c r="AW100" s="475" t="e">
        <f t="shared" si="60"/>
        <v>#N/A</v>
      </c>
      <c r="AX100" s="690"/>
    </row>
    <row r="101" spans="2:50">
      <c r="B101" s="676"/>
      <c r="C101" s="301">
        <v>15</v>
      </c>
      <c r="D101" s="504"/>
      <c r="E101" s="504"/>
      <c r="F101" s="504"/>
      <c r="G101" s="504"/>
      <c r="H101" s="719"/>
      <c r="I101" s="202"/>
      <c r="J101" s="202"/>
      <c r="K101" s="202"/>
      <c r="L101" s="651"/>
      <c r="M101" s="199" t="e">
        <f>RANK(K101, K$87:$K$101)</f>
        <v>#DIV/0!</v>
      </c>
      <c r="N101" s="668"/>
      <c r="O101" s="668"/>
      <c r="P101" s="573"/>
      <c r="Q101" s="574"/>
      <c r="R101" s="574"/>
      <c r="S101" s="301" t="e">
        <f t="shared" si="65"/>
        <v>#N/A</v>
      </c>
      <c r="T101" s="690"/>
      <c r="U101" s="573"/>
      <c r="V101" s="574"/>
      <c r="W101" s="574"/>
      <c r="X101" s="475" t="e">
        <f t="shared" si="50"/>
        <v>#N/A</v>
      </c>
      <c r="Y101" s="690"/>
      <c r="Z101" s="573"/>
      <c r="AA101" s="574"/>
      <c r="AB101" s="574"/>
      <c r="AC101" s="475" t="e">
        <f t="shared" si="52"/>
        <v>#N/A</v>
      </c>
      <c r="AD101" s="690"/>
      <c r="AE101" s="573"/>
      <c r="AF101" s="574"/>
      <c r="AG101" s="574"/>
      <c r="AH101" s="475" t="e">
        <f t="shared" si="54"/>
        <v>#N/A</v>
      </c>
      <c r="AI101" s="690"/>
      <c r="AJ101" s="573"/>
      <c r="AK101" s="574"/>
      <c r="AL101" s="574"/>
      <c r="AM101" s="475" t="e">
        <f t="shared" si="56"/>
        <v>#N/A</v>
      </c>
      <c r="AN101" s="690"/>
      <c r="AO101" s="573"/>
      <c r="AP101" s="574"/>
      <c r="AQ101" s="574"/>
      <c r="AR101" s="475" t="e">
        <f t="shared" si="58"/>
        <v>#N/A</v>
      </c>
      <c r="AS101" s="690"/>
      <c r="AT101" s="573"/>
      <c r="AU101" s="574"/>
      <c r="AV101" s="574"/>
      <c r="AW101" s="475" t="e">
        <f t="shared" si="60"/>
        <v>#N/A</v>
      </c>
      <c r="AX101" s="690"/>
    </row>
    <row r="102" spans="2:50" ht="15.75">
      <c r="B102" s="680" t="s">
        <v>163</v>
      </c>
      <c r="C102" s="681"/>
      <c r="D102" s="681"/>
      <c r="E102" s="681"/>
      <c r="F102" s="681"/>
      <c r="G102" s="681"/>
      <c r="H102" s="682"/>
      <c r="I102" s="208"/>
      <c r="J102" s="208"/>
      <c r="K102" s="208"/>
      <c r="L102" s="208"/>
      <c r="M102" s="207"/>
      <c r="N102" s="669" t="s">
        <v>156</v>
      </c>
      <c r="O102" s="669" t="s">
        <v>105</v>
      </c>
      <c r="P102" s="675">
        <f>P82+7</f>
        <v>46119</v>
      </c>
      <c r="Q102" s="676"/>
      <c r="R102" s="676"/>
      <c r="S102" s="676"/>
      <c r="T102" s="676"/>
      <c r="U102" s="672">
        <f>P102+1</f>
        <v>46120</v>
      </c>
      <c r="V102" s="673"/>
      <c r="W102" s="673"/>
      <c r="X102" s="673"/>
      <c r="Y102" s="674"/>
      <c r="Z102" s="672">
        <f>U102+1</f>
        <v>46121</v>
      </c>
      <c r="AA102" s="673"/>
      <c r="AB102" s="673"/>
      <c r="AC102" s="673"/>
      <c r="AD102" s="674"/>
      <c r="AE102" s="672">
        <f>Z102+1</f>
        <v>46122</v>
      </c>
      <c r="AF102" s="673"/>
      <c r="AG102" s="673"/>
      <c r="AH102" s="673"/>
      <c r="AI102" s="674"/>
      <c r="AJ102" s="672">
        <f>AE102+1</f>
        <v>46123</v>
      </c>
      <c r="AK102" s="673"/>
      <c r="AL102" s="673"/>
      <c r="AM102" s="673"/>
      <c r="AN102" s="674"/>
      <c r="AO102" s="672">
        <f>AJ102+1</f>
        <v>46124</v>
      </c>
      <c r="AP102" s="673"/>
      <c r="AQ102" s="673"/>
      <c r="AR102" s="673"/>
      <c r="AS102" s="674"/>
      <c r="AT102" s="672">
        <f>AO102+1</f>
        <v>46125</v>
      </c>
      <c r="AU102" s="673"/>
      <c r="AV102" s="673"/>
      <c r="AW102" s="673"/>
      <c r="AX102" s="674"/>
    </row>
    <row r="103" spans="2:50" ht="15.75">
      <c r="B103" s="683"/>
      <c r="C103" s="683"/>
      <c r="D103" s="683"/>
      <c r="E103" s="683"/>
      <c r="F103" s="683"/>
      <c r="G103" s="683"/>
      <c r="H103" s="683"/>
      <c r="I103" s="205"/>
      <c r="J103" s="205"/>
      <c r="K103" s="205"/>
      <c r="L103" s="205"/>
      <c r="M103" s="206"/>
      <c r="N103" s="671"/>
      <c r="O103" s="671"/>
      <c r="P103" s="675" t="s">
        <v>158</v>
      </c>
      <c r="Q103" s="676"/>
      <c r="R103" s="676"/>
      <c r="S103" s="676"/>
      <c r="T103" s="676"/>
      <c r="U103" s="675" t="s">
        <v>114</v>
      </c>
      <c r="V103" s="676"/>
      <c r="W103" s="676"/>
      <c r="X103" s="676"/>
      <c r="Y103" s="676"/>
      <c r="Z103" s="675" t="s">
        <v>159</v>
      </c>
      <c r="AA103" s="676"/>
      <c r="AB103" s="676"/>
      <c r="AC103" s="676"/>
      <c r="AD103" s="676"/>
      <c r="AE103" s="675" t="s">
        <v>157</v>
      </c>
      <c r="AF103" s="676"/>
      <c r="AG103" s="676"/>
      <c r="AH103" s="676"/>
      <c r="AI103" s="676"/>
      <c r="AJ103" s="675" t="s">
        <v>160</v>
      </c>
      <c r="AK103" s="676"/>
      <c r="AL103" s="676"/>
      <c r="AM103" s="676"/>
      <c r="AN103" s="676"/>
      <c r="AO103" s="675" t="s">
        <v>115</v>
      </c>
      <c r="AP103" s="676"/>
      <c r="AQ103" s="676"/>
      <c r="AR103" s="676"/>
      <c r="AS103" s="676"/>
      <c r="AT103" s="675" t="s">
        <v>162</v>
      </c>
      <c r="AU103" s="676"/>
      <c r="AV103" s="676"/>
      <c r="AW103" s="676"/>
      <c r="AX103" s="676"/>
    </row>
    <row r="104" spans="2:50">
      <c r="B104" s="668" t="s">
        <v>807</v>
      </c>
      <c r="C104" s="668" t="s">
        <v>808</v>
      </c>
      <c r="D104" s="668"/>
      <c r="E104" s="668" t="s">
        <v>809</v>
      </c>
      <c r="F104" s="668"/>
      <c r="G104" s="668"/>
      <c r="H104" s="684" t="s">
        <v>810</v>
      </c>
      <c r="I104" s="668" t="s">
        <v>811</v>
      </c>
      <c r="J104" s="668"/>
      <c r="K104" s="668"/>
      <c r="L104" s="684" t="s">
        <v>810</v>
      </c>
      <c r="M104" s="669" t="s">
        <v>812</v>
      </c>
      <c r="N104" s="668"/>
      <c r="O104" s="668" t="s">
        <v>813</v>
      </c>
      <c r="P104" s="665" t="s">
        <v>814</v>
      </c>
      <c r="Q104" s="666"/>
      <c r="R104" s="666"/>
      <c r="S104" s="667"/>
      <c r="T104" s="668" t="s">
        <v>810</v>
      </c>
      <c r="U104" s="665" t="s">
        <v>814</v>
      </c>
      <c r="V104" s="666"/>
      <c r="W104" s="666"/>
      <c r="X104" s="667"/>
      <c r="Y104" s="668" t="s">
        <v>810</v>
      </c>
      <c r="Z104" s="665" t="s">
        <v>814</v>
      </c>
      <c r="AA104" s="666"/>
      <c r="AB104" s="666"/>
      <c r="AC104" s="667"/>
      <c r="AD104" s="668" t="s">
        <v>810</v>
      </c>
      <c r="AE104" s="665" t="s">
        <v>814</v>
      </c>
      <c r="AF104" s="666"/>
      <c r="AG104" s="666"/>
      <c r="AH104" s="667"/>
      <c r="AI104" s="668" t="s">
        <v>810</v>
      </c>
      <c r="AJ104" s="665" t="s">
        <v>814</v>
      </c>
      <c r="AK104" s="666"/>
      <c r="AL104" s="666"/>
      <c r="AM104" s="667"/>
      <c r="AN104" s="668" t="s">
        <v>810</v>
      </c>
      <c r="AO104" s="665" t="s">
        <v>814</v>
      </c>
      <c r="AP104" s="666"/>
      <c r="AQ104" s="666"/>
      <c r="AR104" s="667"/>
      <c r="AS104" s="668" t="s">
        <v>810</v>
      </c>
      <c r="AT104" s="665" t="s">
        <v>814</v>
      </c>
      <c r="AU104" s="666"/>
      <c r="AV104" s="666"/>
      <c r="AW104" s="667"/>
      <c r="AX104" s="668" t="s">
        <v>810</v>
      </c>
    </row>
    <row r="105" spans="2:50">
      <c r="B105" s="668"/>
      <c r="C105" s="668"/>
      <c r="D105" s="668"/>
      <c r="E105" s="668" t="s">
        <v>815</v>
      </c>
      <c r="F105" s="668"/>
      <c r="G105" s="668"/>
      <c r="H105" s="685"/>
      <c r="I105" s="668" t="s">
        <v>815</v>
      </c>
      <c r="J105" s="668"/>
      <c r="K105" s="668"/>
      <c r="L105" s="685"/>
      <c r="M105" s="670"/>
      <c r="N105" s="668"/>
      <c r="O105" s="668"/>
      <c r="P105" s="665" t="s">
        <v>816</v>
      </c>
      <c r="Q105" s="666"/>
      <c r="R105" s="666"/>
      <c r="S105" s="667"/>
      <c r="T105" s="668"/>
      <c r="U105" s="665" t="s">
        <v>816</v>
      </c>
      <c r="V105" s="666"/>
      <c r="W105" s="666"/>
      <c r="X105" s="667"/>
      <c r="Y105" s="668"/>
      <c r="Z105" s="665" t="s">
        <v>816</v>
      </c>
      <c r="AA105" s="666"/>
      <c r="AB105" s="666"/>
      <c r="AC105" s="667"/>
      <c r="AD105" s="668"/>
      <c r="AE105" s="665" t="s">
        <v>816</v>
      </c>
      <c r="AF105" s="666"/>
      <c r="AG105" s="666"/>
      <c r="AH105" s="667"/>
      <c r="AI105" s="668"/>
      <c r="AJ105" s="665" t="s">
        <v>816</v>
      </c>
      <c r="AK105" s="666"/>
      <c r="AL105" s="666"/>
      <c r="AM105" s="667"/>
      <c r="AN105" s="668"/>
      <c r="AO105" s="665" t="s">
        <v>816</v>
      </c>
      <c r="AP105" s="666"/>
      <c r="AQ105" s="666"/>
      <c r="AR105" s="667"/>
      <c r="AS105" s="668"/>
      <c r="AT105" s="665" t="s">
        <v>816</v>
      </c>
      <c r="AU105" s="666"/>
      <c r="AV105" s="666"/>
      <c r="AW105" s="667"/>
      <c r="AX105" s="668"/>
    </row>
    <row r="106" spans="2:50">
      <c r="B106" s="668"/>
      <c r="C106" s="668"/>
      <c r="D106" s="668"/>
      <c r="E106" s="488" t="s">
        <v>817</v>
      </c>
      <c r="F106" s="488" t="s">
        <v>818</v>
      </c>
      <c r="G106" s="488" t="s">
        <v>819</v>
      </c>
      <c r="H106" s="686"/>
      <c r="I106" s="488" t="s">
        <v>817</v>
      </c>
      <c r="J106" s="488" t="s">
        <v>818</v>
      </c>
      <c r="K106" s="488" t="s">
        <v>819</v>
      </c>
      <c r="L106" s="686"/>
      <c r="M106" s="671"/>
      <c r="N106" s="668"/>
      <c r="O106" s="668"/>
      <c r="P106" s="488" t="s">
        <v>817</v>
      </c>
      <c r="Q106" s="488" t="s">
        <v>818</v>
      </c>
      <c r="R106" s="488" t="s">
        <v>819</v>
      </c>
      <c r="S106" s="488" t="s">
        <v>812</v>
      </c>
      <c r="T106" s="668"/>
      <c r="U106" s="488" t="s">
        <v>817</v>
      </c>
      <c r="V106" s="488" t="s">
        <v>818</v>
      </c>
      <c r="W106" s="488" t="s">
        <v>819</v>
      </c>
      <c r="X106" s="488" t="s">
        <v>812</v>
      </c>
      <c r="Y106" s="668"/>
      <c r="Z106" s="488" t="s">
        <v>817</v>
      </c>
      <c r="AA106" s="488" t="s">
        <v>818</v>
      </c>
      <c r="AB106" s="488" t="s">
        <v>819</v>
      </c>
      <c r="AC106" s="488" t="s">
        <v>812</v>
      </c>
      <c r="AD106" s="668"/>
      <c r="AE106" s="488" t="s">
        <v>817</v>
      </c>
      <c r="AF106" s="488" t="s">
        <v>818</v>
      </c>
      <c r="AG106" s="488" t="s">
        <v>819</v>
      </c>
      <c r="AH106" s="488" t="s">
        <v>812</v>
      </c>
      <c r="AI106" s="668"/>
      <c r="AJ106" s="488" t="s">
        <v>817</v>
      </c>
      <c r="AK106" s="488" t="s">
        <v>818</v>
      </c>
      <c r="AL106" s="488" t="s">
        <v>819</v>
      </c>
      <c r="AM106" s="488" t="s">
        <v>812</v>
      </c>
      <c r="AN106" s="668"/>
      <c r="AO106" s="488" t="s">
        <v>817</v>
      </c>
      <c r="AP106" s="488" t="s">
        <v>818</v>
      </c>
      <c r="AQ106" s="488" t="s">
        <v>819</v>
      </c>
      <c r="AR106" s="488" t="s">
        <v>812</v>
      </c>
      <c r="AS106" s="668"/>
      <c r="AT106" s="488" t="s">
        <v>817</v>
      </c>
      <c r="AU106" s="488" t="s">
        <v>818</v>
      </c>
      <c r="AV106" s="488" t="s">
        <v>819</v>
      </c>
      <c r="AW106" s="488" t="s">
        <v>812</v>
      </c>
      <c r="AX106" s="668"/>
    </row>
    <row r="107" spans="2:50">
      <c r="B107" s="716" t="s">
        <v>820</v>
      </c>
      <c r="C107" s="493">
        <v>1</v>
      </c>
      <c r="D107" s="504"/>
      <c r="E107" s="504"/>
      <c r="F107" s="504"/>
      <c r="G107" s="182"/>
      <c r="H107" s="712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9" t="str">
        <f>IFERROR(AVERAGE(K107:K121),"-")</f>
        <v>-</v>
      </c>
      <c r="M107" s="494" t="e">
        <f>RANK(K107, K$107:$K$121)</f>
        <v>#DIV/0!</v>
      </c>
      <c r="N107" s="668"/>
      <c r="O107" s="668"/>
      <c r="P107" s="182"/>
      <c r="Q107" s="182"/>
      <c r="R107" s="506"/>
      <c r="S107" s="493" t="e">
        <f t="shared" ref="S107:S121" si="66">RANK(R107, R$81:R$87)</f>
        <v>#N/A</v>
      </c>
      <c r="T107" s="715" t="e">
        <f>AVERAGE(R107:R121)</f>
        <v>#DIV/0!</v>
      </c>
      <c r="U107" s="182"/>
      <c r="V107" s="182"/>
      <c r="W107" s="506"/>
      <c r="X107" s="493" t="e">
        <f t="shared" ref="X107:X121" si="67">RANK(W107, W$81:W$87)</f>
        <v>#N/A</v>
      </c>
      <c r="Y107" s="715" t="e">
        <f t="shared" ref="Y107" si="68">AVERAGE(W107:W121)</f>
        <v>#DIV/0!</v>
      </c>
      <c r="Z107" s="182"/>
      <c r="AA107" s="182"/>
      <c r="AB107" s="506"/>
      <c r="AC107" s="493" t="e">
        <f t="shared" ref="AC107:AC121" si="69">RANK(AB107, AB$81:AB$87)</f>
        <v>#N/A</v>
      </c>
      <c r="AD107" s="715" t="e">
        <f t="shared" ref="AD107" si="70">AVERAGE(AB107:AB121)</f>
        <v>#DIV/0!</v>
      </c>
      <c r="AE107" s="182"/>
      <c r="AF107" s="182"/>
      <c r="AG107" s="506"/>
      <c r="AH107" s="493" t="e">
        <f t="shared" ref="AH107:AH121" si="71">RANK(AG107, AG$81:AG$87)</f>
        <v>#N/A</v>
      </c>
      <c r="AI107" s="715" t="e">
        <f t="shared" ref="AI107" si="72">AVERAGE(AG107:AG121)</f>
        <v>#DIV/0!</v>
      </c>
      <c r="AJ107" s="182"/>
      <c r="AK107" s="182"/>
      <c r="AL107" s="506"/>
      <c r="AM107" s="493" t="e">
        <f t="shared" ref="AM107:AM121" si="73">RANK(AL107, AL$81:AL$87)</f>
        <v>#N/A</v>
      </c>
      <c r="AN107" s="715" t="e">
        <f t="shared" ref="AN107" si="74">AVERAGE(AL107:AL121)</f>
        <v>#DIV/0!</v>
      </c>
      <c r="AO107" s="182"/>
      <c r="AP107" s="182"/>
      <c r="AQ107" s="506"/>
      <c r="AR107" s="493" t="e">
        <f t="shared" ref="AR107:AR121" si="75">RANK(AQ107, AQ$81:AQ$87)</f>
        <v>#N/A</v>
      </c>
      <c r="AS107" s="715" t="e">
        <f t="shared" ref="AS107" si="76">AVERAGE(AQ107:AQ121)</f>
        <v>#DIV/0!</v>
      </c>
      <c r="AT107" s="182"/>
      <c r="AU107" s="182"/>
      <c r="AV107" s="506"/>
      <c r="AW107" s="493" t="e">
        <f t="shared" ref="AW107:AW121" si="77">RANK(AV107, AV$81:AV$87)</f>
        <v>#N/A</v>
      </c>
      <c r="AX107" s="715" t="e">
        <f t="shared" ref="AX107" si="78">AVERAGE(AV107:AV121)</f>
        <v>#DIV/0!</v>
      </c>
    </row>
    <row r="108" spans="2:50">
      <c r="B108" s="701"/>
      <c r="C108" s="493">
        <v>2</v>
      </c>
      <c r="D108" s="504"/>
      <c r="E108" s="504"/>
      <c r="F108" s="504"/>
      <c r="G108" s="182"/>
      <c r="H108" s="713"/>
      <c r="I108" s="494" t="e">
        <f t="shared" ref="I108:K110" si="79">AVERAGE(P108,U108,Z108,AE108,AJ108,AO108,AT108)</f>
        <v>#DIV/0!</v>
      </c>
      <c r="J108" s="494" t="e">
        <f t="shared" si="79"/>
        <v>#DIV/0!</v>
      </c>
      <c r="K108" s="495" t="e">
        <f t="shared" si="79"/>
        <v>#DIV/0!</v>
      </c>
      <c r="L108" s="650"/>
      <c r="M108" s="494" t="e">
        <f>RANK(K108, K$107:$K$121)</f>
        <v>#DIV/0!</v>
      </c>
      <c r="N108" s="668"/>
      <c r="O108" s="668"/>
      <c r="P108" s="504"/>
      <c r="Q108" s="182"/>
      <c r="R108" s="506"/>
      <c r="S108" s="493" t="e">
        <f t="shared" si="66"/>
        <v>#N/A</v>
      </c>
      <c r="T108" s="715"/>
      <c r="U108" s="504"/>
      <c r="V108" s="182"/>
      <c r="W108" s="506"/>
      <c r="X108" s="493" t="e">
        <f t="shared" si="67"/>
        <v>#N/A</v>
      </c>
      <c r="Y108" s="715"/>
      <c r="Z108" s="504"/>
      <c r="AA108" s="182"/>
      <c r="AB108" s="506"/>
      <c r="AC108" s="493" t="e">
        <f t="shared" si="69"/>
        <v>#N/A</v>
      </c>
      <c r="AD108" s="715"/>
      <c r="AE108" s="504"/>
      <c r="AF108" s="182"/>
      <c r="AG108" s="506"/>
      <c r="AH108" s="493" t="e">
        <f t="shared" si="71"/>
        <v>#N/A</v>
      </c>
      <c r="AI108" s="715"/>
      <c r="AJ108" s="504"/>
      <c r="AK108" s="182"/>
      <c r="AL108" s="506"/>
      <c r="AM108" s="493" t="e">
        <f t="shared" si="73"/>
        <v>#N/A</v>
      </c>
      <c r="AN108" s="715"/>
      <c r="AO108" s="504"/>
      <c r="AP108" s="182"/>
      <c r="AQ108" s="506"/>
      <c r="AR108" s="493" t="e">
        <f t="shared" si="75"/>
        <v>#N/A</v>
      </c>
      <c r="AS108" s="715"/>
      <c r="AT108" s="504"/>
      <c r="AU108" s="182"/>
      <c r="AV108" s="506"/>
      <c r="AW108" s="493" t="e">
        <f t="shared" si="77"/>
        <v>#N/A</v>
      </c>
      <c r="AX108" s="715"/>
    </row>
    <row r="109" spans="2:50">
      <c r="B109" s="701"/>
      <c r="C109" s="493">
        <v>3</v>
      </c>
      <c r="D109" s="504"/>
      <c r="E109" s="504"/>
      <c r="F109" s="504"/>
      <c r="G109" s="182"/>
      <c r="H109" s="713"/>
      <c r="I109" s="494" t="e">
        <f t="shared" si="79"/>
        <v>#DIV/0!</v>
      </c>
      <c r="J109" s="494" t="e">
        <f t="shared" si="79"/>
        <v>#DIV/0!</v>
      </c>
      <c r="K109" s="495" t="e">
        <f t="shared" si="79"/>
        <v>#DIV/0!</v>
      </c>
      <c r="L109" s="650"/>
      <c r="M109" s="494" t="e">
        <f>RANK(K109, K$107:$K$121)</f>
        <v>#DIV/0!</v>
      </c>
      <c r="N109" s="668"/>
      <c r="O109" s="668"/>
      <c r="P109" s="504"/>
      <c r="Q109" s="182"/>
      <c r="R109" s="506"/>
      <c r="S109" s="493" t="e">
        <f t="shared" si="66"/>
        <v>#N/A</v>
      </c>
      <c r="T109" s="715"/>
      <c r="U109" s="504"/>
      <c r="V109" s="182"/>
      <c r="W109" s="506"/>
      <c r="X109" s="493" t="e">
        <f t="shared" si="67"/>
        <v>#N/A</v>
      </c>
      <c r="Y109" s="715"/>
      <c r="Z109" s="504"/>
      <c r="AA109" s="182"/>
      <c r="AB109" s="506"/>
      <c r="AC109" s="493" t="e">
        <f t="shared" si="69"/>
        <v>#N/A</v>
      </c>
      <c r="AD109" s="715"/>
      <c r="AE109" s="504"/>
      <c r="AF109" s="182"/>
      <c r="AG109" s="506"/>
      <c r="AH109" s="493" t="e">
        <f t="shared" si="71"/>
        <v>#N/A</v>
      </c>
      <c r="AI109" s="715"/>
      <c r="AJ109" s="504"/>
      <c r="AK109" s="182"/>
      <c r="AL109" s="506"/>
      <c r="AM109" s="493" t="e">
        <f t="shared" si="73"/>
        <v>#N/A</v>
      </c>
      <c r="AN109" s="715"/>
      <c r="AO109" s="504"/>
      <c r="AP109" s="182"/>
      <c r="AQ109" s="506"/>
      <c r="AR109" s="493" t="e">
        <f t="shared" si="75"/>
        <v>#N/A</v>
      </c>
      <c r="AS109" s="715"/>
      <c r="AT109" s="504"/>
      <c r="AU109" s="182"/>
      <c r="AV109" s="506"/>
      <c r="AW109" s="493" t="e">
        <f t="shared" si="77"/>
        <v>#N/A</v>
      </c>
      <c r="AX109" s="715"/>
    </row>
    <row r="110" spans="2:50">
      <c r="B110" s="701"/>
      <c r="C110" s="493">
        <v>4</v>
      </c>
      <c r="D110" s="504"/>
      <c r="E110" s="504"/>
      <c r="F110" s="504"/>
      <c r="G110" s="182"/>
      <c r="H110" s="713"/>
      <c r="I110" s="494" t="e">
        <f t="shared" si="79"/>
        <v>#DIV/0!</v>
      </c>
      <c r="J110" s="494" t="e">
        <f t="shared" si="79"/>
        <v>#DIV/0!</v>
      </c>
      <c r="K110" s="495" t="e">
        <f t="shared" si="79"/>
        <v>#DIV/0!</v>
      </c>
      <c r="L110" s="650"/>
      <c r="M110" s="494" t="e">
        <f>RANK(K110, K$107:$K$121)</f>
        <v>#DIV/0!</v>
      </c>
      <c r="N110" s="668"/>
      <c r="O110" s="668"/>
      <c r="P110" s="504"/>
      <c r="Q110" s="182"/>
      <c r="R110" s="506"/>
      <c r="S110" s="493" t="e">
        <f t="shared" si="66"/>
        <v>#N/A</v>
      </c>
      <c r="T110" s="715"/>
      <c r="U110" s="504"/>
      <c r="V110" s="182"/>
      <c r="W110" s="506"/>
      <c r="X110" s="493" t="e">
        <f t="shared" si="67"/>
        <v>#N/A</v>
      </c>
      <c r="Y110" s="715"/>
      <c r="Z110" s="504"/>
      <c r="AA110" s="182"/>
      <c r="AB110" s="506"/>
      <c r="AC110" s="493" t="e">
        <f t="shared" si="69"/>
        <v>#N/A</v>
      </c>
      <c r="AD110" s="715"/>
      <c r="AE110" s="504"/>
      <c r="AF110" s="182"/>
      <c r="AG110" s="506"/>
      <c r="AH110" s="493" t="e">
        <f t="shared" si="71"/>
        <v>#N/A</v>
      </c>
      <c r="AI110" s="715"/>
      <c r="AJ110" s="504"/>
      <c r="AK110" s="182"/>
      <c r="AL110" s="506"/>
      <c r="AM110" s="493" t="e">
        <f t="shared" si="73"/>
        <v>#N/A</v>
      </c>
      <c r="AN110" s="715"/>
      <c r="AO110" s="504"/>
      <c r="AP110" s="182"/>
      <c r="AQ110" s="506"/>
      <c r="AR110" s="493" t="e">
        <f t="shared" si="75"/>
        <v>#N/A</v>
      </c>
      <c r="AS110" s="715"/>
      <c r="AT110" s="504"/>
      <c r="AU110" s="182"/>
      <c r="AV110" s="506"/>
      <c r="AW110" s="493" t="e">
        <f t="shared" si="77"/>
        <v>#N/A</v>
      </c>
      <c r="AX110" s="715"/>
    </row>
    <row r="111" spans="2:50">
      <c r="B111" s="701"/>
      <c r="C111" s="493">
        <v>5</v>
      </c>
      <c r="D111" s="504"/>
      <c r="E111" s="504"/>
      <c r="F111" s="504"/>
      <c r="G111" s="182"/>
      <c r="H111" s="713"/>
      <c r="I111" s="494" t="e">
        <f>AVERAGE(P111,U111,Z111,AE111,AJ111,AO111,AT111)</f>
        <v>#DIV/0!</v>
      </c>
      <c r="J111" s="494" t="e">
        <f>AVERAGE(Q111,V111,AA111,AF111,AK111,AP111,AU111)</f>
        <v>#DIV/0!</v>
      </c>
      <c r="K111" s="495" t="e">
        <f>AVERAGE(R111,W111,AB111,AG111,AL111,AQ111,AV111)</f>
        <v>#DIV/0!</v>
      </c>
      <c r="L111" s="650"/>
      <c r="M111" s="494" t="e">
        <f>RANK(K111, K$107:$K$121)</f>
        <v>#DIV/0!</v>
      </c>
      <c r="N111" s="668"/>
      <c r="O111" s="668"/>
      <c r="P111" s="504"/>
      <c r="Q111" s="182"/>
      <c r="R111" s="506"/>
      <c r="S111" s="493" t="e">
        <f t="shared" si="66"/>
        <v>#N/A</v>
      </c>
      <c r="T111" s="715"/>
      <c r="U111" s="504"/>
      <c r="V111" s="182"/>
      <c r="W111" s="506"/>
      <c r="X111" s="493" t="e">
        <f t="shared" si="67"/>
        <v>#N/A</v>
      </c>
      <c r="Y111" s="715"/>
      <c r="Z111" s="504"/>
      <c r="AA111" s="182"/>
      <c r="AB111" s="506"/>
      <c r="AC111" s="493" t="e">
        <f t="shared" si="69"/>
        <v>#N/A</v>
      </c>
      <c r="AD111" s="715"/>
      <c r="AE111" s="504"/>
      <c r="AF111" s="182"/>
      <c r="AG111" s="506"/>
      <c r="AH111" s="493" t="e">
        <f t="shared" si="71"/>
        <v>#N/A</v>
      </c>
      <c r="AI111" s="715"/>
      <c r="AJ111" s="504"/>
      <c r="AK111" s="182"/>
      <c r="AL111" s="506"/>
      <c r="AM111" s="493" t="e">
        <f t="shared" si="73"/>
        <v>#N/A</v>
      </c>
      <c r="AN111" s="715"/>
      <c r="AO111" s="504"/>
      <c r="AP111" s="182"/>
      <c r="AQ111" s="506"/>
      <c r="AR111" s="493" t="e">
        <f t="shared" si="75"/>
        <v>#N/A</v>
      </c>
      <c r="AS111" s="715"/>
      <c r="AT111" s="504"/>
      <c r="AU111" s="182"/>
      <c r="AV111" s="506"/>
      <c r="AW111" s="493" t="e">
        <f t="shared" si="77"/>
        <v>#N/A</v>
      </c>
      <c r="AX111" s="715"/>
    </row>
    <row r="112" spans="2:50">
      <c r="B112" s="701"/>
      <c r="C112" s="493">
        <v>6</v>
      </c>
      <c r="D112" s="504"/>
      <c r="E112" s="504"/>
      <c r="F112" s="504"/>
      <c r="G112" s="182"/>
      <c r="H112" s="713"/>
      <c r="I112" s="494" t="e">
        <f t="shared" ref="I112:K113" si="80">AVERAGE(P112,U112,Z112,AE112,AJ112,AO112,AT112)</f>
        <v>#DIV/0!</v>
      </c>
      <c r="J112" s="494" t="e">
        <f t="shared" si="80"/>
        <v>#DIV/0!</v>
      </c>
      <c r="K112" s="495" t="e">
        <f t="shared" si="80"/>
        <v>#DIV/0!</v>
      </c>
      <c r="L112" s="650"/>
      <c r="M112" s="494" t="e">
        <f>RANK(K112, K$107:$K$121)</f>
        <v>#DIV/0!</v>
      </c>
      <c r="N112" s="668"/>
      <c r="O112" s="668"/>
      <c r="P112" s="504"/>
      <c r="Q112" s="182"/>
      <c r="R112" s="506"/>
      <c r="S112" s="493" t="e">
        <f t="shared" si="66"/>
        <v>#N/A</v>
      </c>
      <c r="T112" s="715"/>
      <c r="U112" s="504"/>
      <c r="V112" s="182"/>
      <c r="W112" s="506"/>
      <c r="X112" s="493" t="e">
        <f t="shared" si="67"/>
        <v>#N/A</v>
      </c>
      <c r="Y112" s="715"/>
      <c r="Z112" s="504"/>
      <c r="AA112" s="182"/>
      <c r="AB112" s="506"/>
      <c r="AC112" s="493" t="e">
        <f t="shared" si="69"/>
        <v>#N/A</v>
      </c>
      <c r="AD112" s="715"/>
      <c r="AE112" s="504"/>
      <c r="AF112" s="182"/>
      <c r="AG112" s="506"/>
      <c r="AH112" s="493" t="e">
        <f t="shared" si="71"/>
        <v>#N/A</v>
      </c>
      <c r="AI112" s="715"/>
      <c r="AJ112" s="504"/>
      <c r="AK112" s="182"/>
      <c r="AL112" s="506"/>
      <c r="AM112" s="493" t="e">
        <f t="shared" si="73"/>
        <v>#N/A</v>
      </c>
      <c r="AN112" s="715"/>
      <c r="AO112" s="504"/>
      <c r="AP112" s="182"/>
      <c r="AQ112" s="506"/>
      <c r="AR112" s="493" t="e">
        <f t="shared" si="75"/>
        <v>#N/A</v>
      </c>
      <c r="AS112" s="715"/>
      <c r="AT112" s="504"/>
      <c r="AU112" s="182"/>
      <c r="AV112" s="506"/>
      <c r="AW112" s="493" t="e">
        <f t="shared" si="77"/>
        <v>#N/A</v>
      </c>
      <c r="AX112" s="715"/>
    </row>
    <row r="113" spans="2:50">
      <c r="B113" s="701"/>
      <c r="C113" s="493">
        <v>7</v>
      </c>
      <c r="D113" s="504"/>
      <c r="E113" s="504"/>
      <c r="F113" s="504"/>
      <c r="G113" s="182"/>
      <c r="H113" s="713"/>
      <c r="I113" s="494" t="e">
        <f t="shared" si="80"/>
        <v>#DIV/0!</v>
      </c>
      <c r="J113" s="494" t="e">
        <f t="shared" si="80"/>
        <v>#DIV/0!</v>
      </c>
      <c r="K113" s="495" t="e">
        <f t="shared" si="80"/>
        <v>#DIV/0!</v>
      </c>
      <c r="L113" s="650"/>
      <c r="M113" s="494" t="e">
        <f>RANK(K113, K$107:$K$121)</f>
        <v>#DIV/0!</v>
      </c>
      <c r="N113" s="668"/>
      <c r="O113" s="668"/>
      <c r="P113" s="504"/>
      <c r="Q113" s="182"/>
      <c r="R113" s="506"/>
      <c r="S113" s="493" t="e">
        <f t="shared" si="66"/>
        <v>#N/A</v>
      </c>
      <c r="T113" s="715"/>
      <c r="U113" s="504"/>
      <c r="V113" s="182"/>
      <c r="W113" s="506"/>
      <c r="X113" s="493" t="e">
        <f t="shared" si="67"/>
        <v>#N/A</v>
      </c>
      <c r="Y113" s="715"/>
      <c r="Z113" s="504"/>
      <c r="AA113" s="182"/>
      <c r="AB113" s="506"/>
      <c r="AC113" s="493" t="e">
        <f t="shared" si="69"/>
        <v>#N/A</v>
      </c>
      <c r="AD113" s="715"/>
      <c r="AE113" s="504"/>
      <c r="AF113" s="182"/>
      <c r="AG113" s="506"/>
      <c r="AH113" s="493" t="e">
        <f t="shared" si="71"/>
        <v>#N/A</v>
      </c>
      <c r="AI113" s="715"/>
      <c r="AJ113" s="504"/>
      <c r="AK113" s="182"/>
      <c r="AL113" s="506"/>
      <c r="AM113" s="493" t="e">
        <f t="shared" si="73"/>
        <v>#N/A</v>
      </c>
      <c r="AN113" s="715"/>
      <c r="AO113" s="504"/>
      <c r="AP113" s="182"/>
      <c r="AQ113" s="506"/>
      <c r="AR113" s="493" t="e">
        <f t="shared" si="75"/>
        <v>#N/A</v>
      </c>
      <c r="AS113" s="715"/>
      <c r="AT113" s="504"/>
      <c r="AU113" s="182"/>
      <c r="AV113" s="506"/>
      <c r="AW113" s="493" t="e">
        <f t="shared" si="77"/>
        <v>#N/A</v>
      </c>
      <c r="AX113" s="715"/>
    </row>
    <row r="114" spans="2:50">
      <c r="B114" s="701"/>
      <c r="C114" s="493">
        <v>8</v>
      </c>
      <c r="D114" s="504"/>
      <c r="E114" s="504"/>
      <c r="F114" s="504"/>
      <c r="G114" s="182"/>
      <c r="H114" s="713"/>
      <c r="I114" s="494"/>
      <c r="J114" s="494"/>
      <c r="K114" s="495"/>
      <c r="L114" s="650"/>
      <c r="M114" s="494" t="e">
        <f>RANK(K114, K$107:$K$121)</f>
        <v>#DIV/0!</v>
      </c>
      <c r="N114" s="668"/>
      <c r="O114" s="668"/>
      <c r="P114" s="504"/>
      <c r="Q114" s="182"/>
      <c r="R114" s="506"/>
      <c r="S114" s="493" t="e">
        <f t="shared" si="66"/>
        <v>#N/A</v>
      </c>
      <c r="T114" s="715"/>
      <c r="U114" s="504"/>
      <c r="V114" s="182"/>
      <c r="W114" s="506"/>
      <c r="X114" s="493" t="e">
        <f t="shared" si="67"/>
        <v>#N/A</v>
      </c>
      <c r="Y114" s="715"/>
      <c r="Z114" s="504"/>
      <c r="AA114" s="182"/>
      <c r="AB114" s="506"/>
      <c r="AC114" s="493" t="e">
        <f t="shared" si="69"/>
        <v>#N/A</v>
      </c>
      <c r="AD114" s="715"/>
      <c r="AE114" s="504"/>
      <c r="AF114" s="182"/>
      <c r="AG114" s="506"/>
      <c r="AH114" s="493" t="e">
        <f t="shared" si="71"/>
        <v>#N/A</v>
      </c>
      <c r="AI114" s="715"/>
      <c r="AJ114" s="504"/>
      <c r="AK114" s="182"/>
      <c r="AL114" s="506"/>
      <c r="AM114" s="493" t="e">
        <f t="shared" si="73"/>
        <v>#N/A</v>
      </c>
      <c r="AN114" s="715"/>
      <c r="AO114" s="504"/>
      <c r="AP114" s="182"/>
      <c r="AQ114" s="506"/>
      <c r="AR114" s="493" t="e">
        <f t="shared" si="75"/>
        <v>#N/A</v>
      </c>
      <c r="AS114" s="715"/>
      <c r="AT114" s="504"/>
      <c r="AU114" s="182"/>
      <c r="AV114" s="506"/>
      <c r="AW114" s="493" t="e">
        <f t="shared" si="77"/>
        <v>#N/A</v>
      </c>
      <c r="AX114" s="715"/>
    </row>
    <row r="115" spans="2:50">
      <c r="B115" s="701"/>
      <c r="C115" s="493">
        <v>9</v>
      </c>
      <c r="D115" s="504"/>
      <c r="E115" s="504"/>
      <c r="F115" s="504"/>
      <c r="G115" s="182"/>
      <c r="H115" s="713"/>
      <c r="I115" s="494"/>
      <c r="J115" s="494"/>
      <c r="K115" s="495"/>
      <c r="L115" s="650"/>
      <c r="M115" s="494" t="e">
        <f>RANK(K115, K$107:$K$121)</f>
        <v>#DIV/0!</v>
      </c>
      <c r="N115" s="668"/>
      <c r="O115" s="668"/>
      <c r="P115" s="504"/>
      <c r="Q115" s="182"/>
      <c r="R115" s="506"/>
      <c r="S115" s="493" t="e">
        <f t="shared" si="66"/>
        <v>#N/A</v>
      </c>
      <c r="T115" s="715"/>
      <c r="U115" s="504"/>
      <c r="V115" s="182"/>
      <c r="W115" s="506"/>
      <c r="X115" s="493" t="e">
        <f t="shared" si="67"/>
        <v>#N/A</v>
      </c>
      <c r="Y115" s="715"/>
      <c r="Z115" s="504"/>
      <c r="AA115" s="182"/>
      <c r="AB115" s="506"/>
      <c r="AC115" s="493" t="e">
        <f t="shared" si="69"/>
        <v>#N/A</v>
      </c>
      <c r="AD115" s="715"/>
      <c r="AE115" s="504"/>
      <c r="AF115" s="182"/>
      <c r="AG115" s="506"/>
      <c r="AH115" s="493" t="e">
        <f t="shared" si="71"/>
        <v>#N/A</v>
      </c>
      <c r="AI115" s="715"/>
      <c r="AJ115" s="504"/>
      <c r="AK115" s="182"/>
      <c r="AL115" s="506"/>
      <c r="AM115" s="493" t="e">
        <f t="shared" si="73"/>
        <v>#N/A</v>
      </c>
      <c r="AN115" s="715"/>
      <c r="AO115" s="504"/>
      <c r="AP115" s="182"/>
      <c r="AQ115" s="506"/>
      <c r="AR115" s="493" t="e">
        <f t="shared" si="75"/>
        <v>#N/A</v>
      </c>
      <c r="AS115" s="715"/>
      <c r="AT115" s="504"/>
      <c r="AU115" s="182"/>
      <c r="AV115" s="506"/>
      <c r="AW115" s="493" t="e">
        <f t="shared" si="77"/>
        <v>#N/A</v>
      </c>
      <c r="AX115" s="715"/>
    </row>
    <row r="116" spans="2:50">
      <c r="B116" s="701"/>
      <c r="C116" s="493">
        <v>10</v>
      </c>
      <c r="D116" s="504"/>
      <c r="E116" s="504"/>
      <c r="F116" s="504"/>
      <c r="G116" s="182"/>
      <c r="H116" s="713"/>
      <c r="I116" s="494"/>
      <c r="J116" s="494"/>
      <c r="K116" s="495"/>
      <c r="L116" s="650"/>
      <c r="M116" s="494" t="e">
        <f>RANK(K116, K$107:$K$121)</f>
        <v>#DIV/0!</v>
      </c>
      <c r="N116" s="668"/>
      <c r="O116" s="668"/>
      <c r="P116" s="504"/>
      <c r="Q116" s="182"/>
      <c r="R116" s="506"/>
      <c r="S116" s="493" t="e">
        <f t="shared" si="66"/>
        <v>#N/A</v>
      </c>
      <c r="T116" s="715"/>
      <c r="U116" s="504"/>
      <c r="V116" s="182"/>
      <c r="W116" s="506"/>
      <c r="X116" s="493" t="e">
        <f t="shared" si="67"/>
        <v>#N/A</v>
      </c>
      <c r="Y116" s="715"/>
      <c r="Z116" s="504"/>
      <c r="AA116" s="182"/>
      <c r="AB116" s="506"/>
      <c r="AC116" s="493" t="e">
        <f t="shared" si="69"/>
        <v>#N/A</v>
      </c>
      <c r="AD116" s="715"/>
      <c r="AE116" s="504"/>
      <c r="AF116" s="182"/>
      <c r="AG116" s="506"/>
      <c r="AH116" s="493" t="e">
        <f t="shared" si="71"/>
        <v>#N/A</v>
      </c>
      <c r="AI116" s="715"/>
      <c r="AJ116" s="504"/>
      <c r="AK116" s="182"/>
      <c r="AL116" s="506"/>
      <c r="AM116" s="493" t="e">
        <f t="shared" si="73"/>
        <v>#N/A</v>
      </c>
      <c r="AN116" s="715"/>
      <c r="AO116" s="504"/>
      <c r="AP116" s="182"/>
      <c r="AQ116" s="506"/>
      <c r="AR116" s="493" t="e">
        <f t="shared" si="75"/>
        <v>#N/A</v>
      </c>
      <c r="AS116" s="715"/>
      <c r="AT116" s="504"/>
      <c r="AU116" s="182"/>
      <c r="AV116" s="506"/>
      <c r="AW116" s="493" t="e">
        <f t="shared" si="77"/>
        <v>#N/A</v>
      </c>
      <c r="AX116" s="715"/>
    </row>
    <row r="117" spans="2:50">
      <c r="B117" s="701"/>
      <c r="C117" s="493">
        <v>11</v>
      </c>
      <c r="D117" s="504"/>
      <c r="E117" s="504"/>
      <c r="F117" s="504"/>
      <c r="G117" s="182"/>
      <c r="H117" s="713"/>
      <c r="I117" s="493"/>
      <c r="J117" s="493"/>
      <c r="K117" s="493"/>
      <c r="L117" s="650"/>
      <c r="M117" s="494" t="e">
        <f>RANK(K117, K$107:$K$121)</f>
        <v>#DIV/0!</v>
      </c>
      <c r="N117" s="668"/>
      <c r="O117" s="668"/>
      <c r="P117" s="504"/>
      <c r="Q117" s="504"/>
      <c r="R117" s="504"/>
      <c r="S117" s="493" t="e">
        <f t="shared" si="66"/>
        <v>#N/A</v>
      </c>
      <c r="T117" s="715"/>
      <c r="U117" s="504"/>
      <c r="V117" s="504"/>
      <c r="W117" s="504"/>
      <c r="X117" s="493" t="e">
        <f t="shared" si="67"/>
        <v>#N/A</v>
      </c>
      <c r="Y117" s="715"/>
      <c r="Z117" s="504"/>
      <c r="AA117" s="504"/>
      <c r="AB117" s="504"/>
      <c r="AC117" s="493" t="e">
        <f t="shared" si="69"/>
        <v>#N/A</v>
      </c>
      <c r="AD117" s="715"/>
      <c r="AE117" s="504"/>
      <c r="AF117" s="504"/>
      <c r="AG117" s="504"/>
      <c r="AH117" s="493" t="e">
        <f t="shared" si="71"/>
        <v>#N/A</v>
      </c>
      <c r="AI117" s="715"/>
      <c r="AJ117" s="504"/>
      <c r="AK117" s="504"/>
      <c r="AL117" s="504"/>
      <c r="AM117" s="493" t="e">
        <f t="shared" si="73"/>
        <v>#N/A</v>
      </c>
      <c r="AN117" s="715"/>
      <c r="AO117" s="504"/>
      <c r="AP117" s="504"/>
      <c r="AQ117" s="504"/>
      <c r="AR117" s="493" t="e">
        <f t="shared" si="75"/>
        <v>#N/A</v>
      </c>
      <c r="AS117" s="715"/>
      <c r="AT117" s="504"/>
      <c r="AU117" s="504"/>
      <c r="AV117" s="504"/>
      <c r="AW117" s="493" t="e">
        <f t="shared" si="77"/>
        <v>#N/A</v>
      </c>
      <c r="AX117" s="715"/>
    </row>
    <row r="118" spans="2:50">
      <c r="B118" s="701"/>
      <c r="C118" s="493">
        <v>12</v>
      </c>
      <c r="D118" s="504"/>
      <c r="E118" s="504"/>
      <c r="F118" s="504"/>
      <c r="G118" s="182"/>
      <c r="H118" s="713"/>
      <c r="I118" s="493"/>
      <c r="J118" s="493"/>
      <c r="K118" s="493"/>
      <c r="L118" s="650"/>
      <c r="M118" s="494" t="e">
        <f>RANK(K118, K$107:$K$121)</f>
        <v>#DIV/0!</v>
      </c>
      <c r="N118" s="668"/>
      <c r="O118" s="668"/>
      <c r="P118" s="504"/>
      <c r="Q118" s="504"/>
      <c r="R118" s="504"/>
      <c r="S118" s="493" t="e">
        <f t="shared" si="66"/>
        <v>#N/A</v>
      </c>
      <c r="T118" s="715"/>
      <c r="U118" s="504"/>
      <c r="V118" s="504"/>
      <c r="W118" s="504"/>
      <c r="X118" s="493" t="e">
        <f t="shared" si="67"/>
        <v>#N/A</v>
      </c>
      <c r="Y118" s="715"/>
      <c r="Z118" s="504"/>
      <c r="AA118" s="504"/>
      <c r="AB118" s="504"/>
      <c r="AC118" s="493" t="e">
        <f t="shared" si="69"/>
        <v>#N/A</v>
      </c>
      <c r="AD118" s="715"/>
      <c r="AE118" s="504"/>
      <c r="AF118" s="504"/>
      <c r="AG118" s="504"/>
      <c r="AH118" s="493" t="e">
        <f t="shared" si="71"/>
        <v>#N/A</v>
      </c>
      <c r="AI118" s="715"/>
      <c r="AJ118" s="504"/>
      <c r="AK118" s="504"/>
      <c r="AL118" s="504"/>
      <c r="AM118" s="493" t="e">
        <f t="shared" si="73"/>
        <v>#N/A</v>
      </c>
      <c r="AN118" s="715"/>
      <c r="AO118" s="504"/>
      <c r="AP118" s="504"/>
      <c r="AQ118" s="504"/>
      <c r="AR118" s="493" t="e">
        <f t="shared" si="75"/>
        <v>#N/A</v>
      </c>
      <c r="AS118" s="715"/>
      <c r="AT118" s="504"/>
      <c r="AU118" s="504"/>
      <c r="AV118" s="504"/>
      <c r="AW118" s="493" t="e">
        <f t="shared" si="77"/>
        <v>#N/A</v>
      </c>
      <c r="AX118" s="715"/>
    </row>
    <row r="119" spans="2:50">
      <c r="B119" s="701"/>
      <c r="C119" s="493">
        <v>13</v>
      </c>
      <c r="D119" s="504"/>
      <c r="E119" s="504"/>
      <c r="F119" s="504"/>
      <c r="G119" s="182"/>
      <c r="H119" s="713"/>
      <c r="I119" s="493"/>
      <c r="J119" s="493"/>
      <c r="K119" s="493"/>
      <c r="L119" s="650"/>
      <c r="M119" s="494" t="e">
        <f>RANK(K119, K$107:$K$121)</f>
        <v>#DIV/0!</v>
      </c>
      <c r="N119" s="668"/>
      <c r="O119" s="668"/>
      <c r="P119" s="504"/>
      <c r="Q119" s="504"/>
      <c r="R119" s="504"/>
      <c r="S119" s="493" t="e">
        <f t="shared" si="66"/>
        <v>#N/A</v>
      </c>
      <c r="T119" s="715"/>
      <c r="U119" s="504"/>
      <c r="V119" s="504"/>
      <c r="W119" s="504"/>
      <c r="X119" s="493" t="e">
        <f t="shared" si="67"/>
        <v>#N/A</v>
      </c>
      <c r="Y119" s="715"/>
      <c r="Z119" s="504"/>
      <c r="AA119" s="504"/>
      <c r="AB119" s="504"/>
      <c r="AC119" s="493" t="e">
        <f t="shared" si="69"/>
        <v>#N/A</v>
      </c>
      <c r="AD119" s="715"/>
      <c r="AE119" s="504"/>
      <c r="AF119" s="504"/>
      <c r="AG119" s="504"/>
      <c r="AH119" s="493" t="e">
        <f t="shared" si="71"/>
        <v>#N/A</v>
      </c>
      <c r="AI119" s="715"/>
      <c r="AJ119" s="504"/>
      <c r="AK119" s="504"/>
      <c r="AL119" s="504"/>
      <c r="AM119" s="493" t="e">
        <f t="shared" si="73"/>
        <v>#N/A</v>
      </c>
      <c r="AN119" s="715"/>
      <c r="AO119" s="504"/>
      <c r="AP119" s="504"/>
      <c r="AQ119" s="504"/>
      <c r="AR119" s="493" t="e">
        <f t="shared" si="75"/>
        <v>#N/A</v>
      </c>
      <c r="AS119" s="715"/>
      <c r="AT119" s="504"/>
      <c r="AU119" s="504"/>
      <c r="AV119" s="504"/>
      <c r="AW119" s="493" t="e">
        <f t="shared" si="77"/>
        <v>#N/A</v>
      </c>
      <c r="AX119" s="715"/>
    </row>
    <row r="120" spans="2:50">
      <c r="B120" s="701"/>
      <c r="C120" s="493">
        <v>14</v>
      </c>
      <c r="D120" s="504"/>
      <c r="E120" s="504"/>
      <c r="F120" s="504"/>
      <c r="G120" s="182"/>
      <c r="H120" s="713"/>
      <c r="I120" s="493"/>
      <c r="J120" s="493"/>
      <c r="K120" s="493"/>
      <c r="L120" s="650"/>
      <c r="M120" s="494" t="e">
        <f>RANK(K120, K$107:$K$121)</f>
        <v>#DIV/0!</v>
      </c>
      <c r="N120" s="668"/>
      <c r="O120" s="668"/>
      <c r="P120" s="504"/>
      <c r="Q120" s="504"/>
      <c r="R120" s="504"/>
      <c r="S120" s="493" t="e">
        <f t="shared" si="66"/>
        <v>#N/A</v>
      </c>
      <c r="T120" s="715"/>
      <c r="U120" s="504"/>
      <c r="V120" s="504"/>
      <c r="W120" s="504"/>
      <c r="X120" s="493" t="e">
        <f t="shared" si="67"/>
        <v>#N/A</v>
      </c>
      <c r="Y120" s="715"/>
      <c r="Z120" s="504"/>
      <c r="AA120" s="504"/>
      <c r="AB120" s="504"/>
      <c r="AC120" s="493" t="e">
        <f t="shared" si="69"/>
        <v>#N/A</v>
      </c>
      <c r="AD120" s="715"/>
      <c r="AE120" s="504"/>
      <c r="AF120" s="504"/>
      <c r="AG120" s="504"/>
      <c r="AH120" s="493" t="e">
        <f t="shared" si="71"/>
        <v>#N/A</v>
      </c>
      <c r="AI120" s="715"/>
      <c r="AJ120" s="504"/>
      <c r="AK120" s="504"/>
      <c r="AL120" s="504"/>
      <c r="AM120" s="493" t="e">
        <f t="shared" si="73"/>
        <v>#N/A</v>
      </c>
      <c r="AN120" s="715"/>
      <c r="AO120" s="504"/>
      <c r="AP120" s="504"/>
      <c r="AQ120" s="504"/>
      <c r="AR120" s="493" t="e">
        <f t="shared" si="75"/>
        <v>#N/A</v>
      </c>
      <c r="AS120" s="715"/>
      <c r="AT120" s="504"/>
      <c r="AU120" s="504"/>
      <c r="AV120" s="504"/>
      <c r="AW120" s="493" t="e">
        <f t="shared" si="77"/>
        <v>#N/A</v>
      </c>
      <c r="AX120" s="715"/>
    </row>
    <row r="121" spans="2:50">
      <c r="B121" s="701"/>
      <c r="C121" s="493">
        <v>15</v>
      </c>
      <c r="D121" s="504"/>
      <c r="E121" s="504"/>
      <c r="F121" s="504"/>
      <c r="G121" s="504"/>
      <c r="H121" s="723"/>
      <c r="I121" s="493"/>
      <c r="J121" s="493"/>
      <c r="K121" s="493"/>
      <c r="L121" s="651"/>
      <c r="M121" s="494" t="e">
        <f>RANK(K121, K$107:$K$121)</f>
        <v>#DIV/0!</v>
      </c>
      <c r="N121" s="668"/>
      <c r="O121" s="668"/>
      <c r="P121" s="493"/>
      <c r="Q121" s="494"/>
      <c r="R121" s="494"/>
      <c r="S121" s="493" t="e">
        <f t="shared" si="66"/>
        <v>#N/A</v>
      </c>
      <c r="T121" s="715"/>
      <c r="U121" s="493"/>
      <c r="V121" s="494"/>
      <c r="W121" s="494"/>
      <c r="X121" s="493" t="e">
        <f t="shared" si="67"/>
        <v>#N/A</v>
      </c>
      <c r="Y121" s="715"/>
      <c r="Z121" s="493"/>
      <c r="AA121" s="494"/>
      <c r="AB121" s="494"/>
      <c r="AC121" s="493" t="e">
        <f t="shared" si="69"/>
        <v>#N/A</v>
      </c>
      <c r="AD121" s="715"/>
      <c r="AE121" s="493"/>
      <c r="AF121" s="494"/>
      <c r="AG121" s="494"/>
      <c r="AH121" s="493" t="e">
        <f t="shared" si="71"/>
        <v>#N/A</v>
      </c>
      <c r="AI121" s="715"/>
      <c r="AJ121" s="493"/>
      <c r="AK121" s="494"/>
      <c r="AL121" s="494"/>
      <c r="AM121" s="493" t="e">
        <f t="shared" si="73"/>
        <v>#N/A</v>
      </c>
      <c r="AN121" s="715"/>
      <c r="AO121" s="493"/>
      <c r="AP121" s="494"/>
      <c r="AQ121" s="494"/>
      <c r="AR121" s="493" t="e">
        <f t="shared" si="75"/>
        <v>#N/A</v>
      </c>
      <c r="AS121" s="715"/>
      <c r="AT121" s="493"/>
      <c r="AU121" s="494"/>
      <c r="AV121" s="494"/>
      <c r="AW121" s="493" t="e">
        <f t="shared" si="77"/>
        <v>#N/A</v>
      </c>
      <c r="AX121" s="715"/>
    </row>
    <row r="123" spans="2:50" ht="15.75">
      <c r="B123" s="707" t="s">
        <v>660</v>
      </c>
      <c r="C123" s="708"/>
      <c r="D123" s="708"/>
      <c r="E123" s="708"/>
      <c r="F123" s="708"/>
      <c r="G123" s="708"/>
      <c r="H123" s="709"/>
      <c r="I123" s="347"/>
      <c r="J123" s="347"/>
      <c r="K123" s="347"/>
      <c r="L123" s="347"/>
      <c r="M123" s="348"/>
    </row>
    <row r="124" spans="2:50" ht="15.75">
      <c r="B124" s="710"/>
      <c r="C124" s="710"/>
      <c r="D124" s="710"/>
      <c r="E124" s="710"/>
      <c r="F124" s="710"/>
      <c r="G124" s="710"/>
      <c r="H124" s="710"/>
      <c r="I124" s="349"/>
      <c r="J124" s="349"/>
      <c r="K124" s="349"/>
      <c r="L124" s="349"/>
      <c r="M124" s="350"/>
    </row>
    <row r="125" spans="2:50">
      <c r="B125" s="668" t="s">
        <v>661</v>
      </c>
      <c r="C125" s="668" t="s">
        <v>662</v>
      </c>
      <c r="D125" s="668"/>
      <c r="E125" s="668" t="s">
        <v>663</v>
      </c>
      <c r="F125" s="668"/>
      <c r="G125" s="668"/>
      <c r="H125" s="684" t="s">
        <v>664</v>
      </c>
      <c r="I125" s="711" t="s">
        <v>665</v>
      </c>
      <c r="J125" s="711"/>
      <c r="K125" s="711"/>
      <c r="L125" s="727" t="s">
        <v>664</v>
      </c>
      <c r="M125" s="730" t="s">
        <v>666</v>
      </c>
    </row>
    <row r="126" spans="2:50">
      <c r="B126" s="668"/>
      <c r="C126" s="668"/>
      <c r="D126" s="668"/>
      <c r="E126" s="668" t="s">
        <v>667</v>
      </c>
      <c r="F126" s="668"/>
      <c r="G126" s="668"/>
      <c r="H126" s="685"/>
      <c r="I126" s="711" t="s">
        <v>667</v>
      </c>
      <c r="J126" s="711"/>
      <c r="K126" s="711"/>
      <c r="L126" s="728"/>
      <c r="M126" s="731"/>
    </row>
    <row r="127" spans="2:50">
      <c r="B127" s="668"/>
      <c r="C127" s="668"/>
      <c r="D127" s="668"/>
      <c r="E127" s="344" t="s">
        <v>668</v>
      </c>
      <c r="F127" s="344" t="s">
        <v>669</v>
      </c>
      <c r="G127" s="344" t="s">
        <v>670</v>
      </c>
      <c r="H127" s="686"/>
      <c r="I127" s="351" t="s">
        <v>668</v>
      </c>
      <c r="J127" s="351" t="s">
        <v>669</v>
      </c>
      <c r="K127" s="351" t="s">
        <v>670</v>
      </c>
      <c r="L127" s="729"/>
      <c r="M127" s="732"/>
    </row>
    <row r="128" spans="2:50">
      <c r="B128" s="716" t="s">
        <v>672</v>
      </c>
      <c r="C128" s="343">
        <v>1</v>
      </c>
      <c r="D128" s="227"/>
      <c r="E128" s="182"/>
      <c r="F128" s="343"/>
      <c r="G128" s="346"/>
      <c r="H128" s="717" t="e">
        <f>AVERAGE(G128:G142)</f>
        <v>#DIV/0!</v>
      </c>
      <c r="I128" s="199" t="e">
        <f t="shared" ref="I128:K134" si="81">AVERAGEIF($D$7:$D$121,$D128,I$7:I$121)</f>
        <v>#DIV/0!</v>
      </c>
      <c r="J128" s="199" t="e">
        <f t="shared" si="81"/>
        <v>#DIV/0!</v>
      </c>
      <c r="K128" s="199" t="e">
        <f>AVERAGEIF($D$7:$D$121,$D128,K$7:K$121)</f>
        <v>#DIV/0!</v>
      </c>
      <c r="L128" s="724" t="e">
        <f>AVERAGE(K128:K142)</f>
        <v>#DIV/0!</v>
      </c>
      <c r="M128" s="199" t="e">
        <f>RANK(K128, K$128:$K$142)</f>
        <v>#DIV/0!</v>
      </c>
    </row>
    <row r="129" spans="2:13" s="108" customFormat="1">
      <c r="B129" s="676"/>
      <c r="C129" s="343">
        <v>2</v>
      </c>
      <c r="D129" s="227"/>
      <c r="E129" s="182"/>
      <c r="F129" s="343"/>
      <c r="G129" s="346"/>
      <c r="H129" s="718"/>
      <c r="I129" s="199" t="e">
        <f t="shared" si="81"/>
        <v>#DIV/0!</v>
      </c>
      <c r="J129" s="199" t="e">
        <f t="shared" si="81"/>
        <v>#DIV/0!</v>
      </c>
      <c r="K129" s="199" t="e">
        <f t="shared" si="81"/>
        <v>#DIV/0!</v>
      </c>
      <c r="L129" s="725"/>
      <c r="M129" s="199" t="e">
        <f>RANK(K129, K$128:$K$142)</f>
        <v>#DIV/0!</v>
      </c>
    </row>
    <row r="130" spans="2:13" s="108" customFormat="1">
      <c r="B130" s="676"/>
      <c r="C130" s="343">
        <v>3</v>
      </c>
      <c r="D130" s="227"/>
      <c r="E130" s="182"/>
      <c r="F130" s="343"/>
      <c r="G130" s="346"/>
      <c r="H130" s="718"/>
      <c r="I130" s="199" t="e">
        <f t="shared" si="81"/>
        <v>#DIV/0!</v>
      </c>
      <c r="J130" s="199" t="e">
        <f t="shared" si="81"/>
        <v>#DIV/0!</v>
      </c>
      <c r="K130" s="199" t="e">
        <f t="shared" si="81"/>
        <v>#DIV/0!</v>
      </c>
      <c r="L130" s="725"/>
      <c r="M130" s="199" t="e">
        <f>RANK(K130, K$128:$K$142)</f>
        <v>#DIV/0!</v>
      </c>
    </row>
    <row r="131" spans="2:13" s="108" customFormat="1">
      <c r="B131" s="676"/>
      <c r="C131" s="343">
        <v>4</v>
      </c>
      <c r="D131" s="227"/>
      <c r="E131" s="182"/>
      <c r="F131" s="343"/>
      <c r="G131" s="346"/>
      <c r="H131" s="718"/>
      <c r="I131" s="199" t="e">
        <f t="shared" si="81"/>
        <v>#DIV/0!</v>
      </c>
      <c r="J131" s="199" t="e">
        <f t="shared" si="81"/>
        <v>#DIV/0!</v>
      </c>
      <c r="K131" s="199" t="e">
        <f t="shared" si="81"/>
        <v>#DIV/0!</v>
      </c>
      <c r="L131" s="725"/>
      <c r="M131" s="199" t="e">
        <f>RANK(K131, K$128:$K$142)</f>
        <v>#DIV/0!</v>
      </c>
    </row>
    <row r="132" spans="2:13" s="108" customFormat="1">
      <c r="B132" s="676"/>
      <c r="C132" s="343">
        <v>5</v>
      </c>
      <c r="D132" s="227"/>
      <c r="E132" s="182"/>
      <c r="F132" s="343"/>
      <c r="G132" s="346"/>
      <c r="H132" s="718"/>
      <c r="I132" s="199" t="e">
        <f t="shared" si="81"/>
        <v>#DIV/0!</v>
      </c>
      <c r="J132" s="199" t="e">
        <f t="shared" si="81"/>
        <v>#DIV/0!</v>
      </c>
      <c r="K132" s="199" t="e">
        <f t="shared" si="81"/>
        <v>#DIV/0!</v>
      </c>
      <c r="L132" s="725"/>
      <c r="M132" s="199" t="e">
        <f>RANK(K132, K$128:$K$142)</f>
        <v>#DIV/0!</v>
      </c>
    </row>
    <row r="133" spans="2:13" s="108" customFormat="1">
      <c r="B133" s="676"/>
      <c r="C133" s="343">
        <v>6</v>
      </c>
      <c r="D133" s="352"/>
      <c r="E133" s="182"/>
      <c r="F133" s="343"/>
      <c r="G133" s="346"/>
      <c r="H133" s="718"/>
      <c r="I133" s="199" t="e">
        <f t="shared" si="81"/>
        <v>#DIV/0!</v>
      </c>
      <c r="J133" s="199" t="e">
        <f t="shared" si="81"/>
        <v>#DIV/0!</v>
      </c>
      <c r="K133" s="199" t="e">
        <f t="shared" si="81"/>
        <v>#DIV/0!</v>
      </c>
      <c r="L133" s="725"/>
      <c r="M133" s="199" t="e">
        <f>RANK(K133, K$128:$K$142)</f>
        <v>#DIV/0!</v>
      </c>
    </row>
    <row r="134" spans="2:13" s="108" customFormat="1">
      <c r="B134" s="676"/>
      <c r="C134" s="343">
        <v>7</v>
      </c>
      <c r="D134" s="227"/>
      <c r="E134" s="182"/>
      <c r="F134" s="343"/>
      <c r="G134" s="346"/>
      <c r="H134" s="718"/>
      <c r="I134" s="199" t="e">
        <f t="shared" si="81"/>
        <v>#DIV/0!</v>
      </c>
      <c r="J134" s="199" t="e">
        <f t="shared" si="81"/>
        <v>#DIV/0!</v>
      </c>
      <c r="K134" s="199" t="e">
        <f t="shared" si="81"/>
        <v>#DIV/0!</v>
      </c>
      <c r="L134" s="725"/>
      <c r="M134" s="199" t="e">
        <f>RANK(K134, K$128:$K$142)</f>
        <v>#DIV/0!</v>
      </c>
    </row>
    <row r="135" spans="2:13" s="108" customFormat="1">
      <c r="B135" s="676"/>
      <c r="C135" s="343">
        <v>8</v>
      </c>
      <c r="D135" s="227"/>
      <c r="E135" s="182"/>
      <c r="F135" s="343"/>
      <c r="G135" s="346"/>
      <c r="H135" s="718"/>
      <c r="I135" s="199"/>
      <c r="J135" s="199"/>
      <c r="K135" s="199"/>
      <c r="L135" s="725"/>
      <c r="M135" s="199" t="e">
        <f>RANK(K135, K$128:$K$142)</f>
        <v>#DIV/0!</v>
      </c>
    </row>
    <row r="136" spans="2:13" s="108" customFormat="1">
      <c r="B136" s="676"/>
      <c r="C136" s="343">
        <v>9</v>
      </c>
      <c r="D136" s="227"/>
      <c r="E136" s="343"/>
      <c r="F136" s="343"/>
      <c r="G136" s="343"/>
      <c r="H136" s="718"/>
      <c r="I136" s="199"/>
      <c r="J136" s="199"/>
      <c r="K136" s="199"/>
      <c r="L136" s="725"/>
      <c r="M136" s="199" t="e">
        <f>RANK(K136, K$128:$K$142)</f>
        <v>#DIV/0!</v>
      </c>
    </row>
    <row r="137" spans="2:13" s="108" customFormat="1">
      <c r="B137" s="676"/>
      <c r="C137" s="343">
        <v>10</v>
      </c>
      <c r="D137" s="227"/>
      <c r="E137" s="343"/>
      <c r="F137" s="343"/>
      <c r="G137" s="343"/>
      <c r="H137" s="718"/>
      <c r="I137" s="199"/>
      <c r="J137" s="199"/>
      <c r="K137" s="199"/>
      <c r="L137" s="725"/>
      <c r="M137" s="199" t="e">
        <f>RANK(K137, K$128:$K$142)</f>
        <v>#DIV/0!</v>
      </c>
    </row>
    <row r="138" spans="2:13" s="108" customFormat="1">
      <c r="B138" s="676"/>
      <c r="C138" s="343">
        <v>11</v>
      </c>
      <c r="D138" s="227"/>
      <c r="E138" s="343"/>
      <c r="F138" s="343"/>
      <c r="G138" s="343"/>
      <c r="H138" s="718"/>
      <c r="I138" s="199"/>
      <c r="J138" s="199"/>
      <c r="K138" s="199"/>
      <c r="L138" s="725"/>
      <c r="M138" s="199" t="e">
        <f>RANK(K138, K$128:$K$142)</f>
        <v>#DIV/0!</v>
      </c>
    </row>
    <row r="139" spans="2:13" s="108" customFormat="1">
      <c r="B139" s="676"/>
      <c r="C139" s="343">
        <v>12</v>
      </c>
      <c r="D139" s="227"/>
      <c r="E139" s="343"/>
      <c r="F139" s="343"/>
      <c r="G139" s="343"/>
      <c r="H139" s="718"/>
      <c r="I139" s="199"/>
      <c r="J139" s="199"/>
      <c r="K139" s="199"/>
      <c r="L139" s="725"/>
      <c r="M139" s="199" t="e">
        <f>RANK(K139, K$128:$K$142)</f>
        <v>#DIV/0!</v>
      </c>
    </row>
    <row r="140" spans="2:13" s="108" customFormat="1">
      <c r="B140" s="676"/>
      <c r="C140" s="343">
        <v>13</v>
      </c>
      <c r="D140" s="227"/>
      <c r="E140" s="343"/>
      <c r="F140" s="343"/>
      <c r="G140" s="343"/>
      <c r="H140" s="718"/>
      <c r="I140" s="199"/>
      <c r="J140" s="199"/>
      <c r="K140" s="199"/>
      <c r="L140" s="725"/>
      <c r="M140" s="199" t="e">
        <f>RANK(K140, K$128:$K$142)</f>
        <v>#DIV/0!</v>
      </c>
    </row>
    <row r="141" spans="2:13" s="108" customFormat="1">
      <c r="B141" s="676"/>
      <c r="C141" s="343">
        <v>14</v>
      </c>
      <c r="D141" s="227"/>
      <c r="E141" s="343"/>
      <c r="F141" s="343"/>
      <c r="G141" s="343"/>
      <c r="H141" s="718"/>
      <c r="I141" s="199"/>
      <c r="J141" s="199"/>
      <c r="K141" s="199"/>
      <c r="L141" s="725"/>
      <c r="M141" s="199" t="e">
        <f>RANK(K141, K$128:$K$142)</f>
        <v>#DIV/0!</v>
      </c>
    </row>
    <row r="142" spans="2:13" s="108" customFormat="1">
      <c r="B142" s="676"/>
      <c r="C142" s="343">
        <v>15</v>
      </c>
      <c r="D142" s="227"/>
      <c r="E142" s="343"/>
      <c r="F142" s="343"/>
      <c r="G142" s="343"/>
      <c r="H142" s="719"/>
      <c r="I142" s="199"/>
      <c r="J142" s="199"/>
      <c r="K142" s="199"/>
      <c r="L142" s="726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40" zoomScaleNormal="40" workbookViewId="0">
      <pane xSplit="15" topLeftCell="P1" activePane="topRight" state="frozen"/>
      <selection activeCell="P2" sqref="P2:AX2"/>
      <selection pane="topRight" activeCell="AB139" sqref="AB13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258.60114576474365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2" t="s">
        <v>158</v>
      </c>
      <c r="Q3" s="673"/>
      <c r="R3" s="673"/>
      <c r="S3" s="673"/>
      <c r="T3" s="674"/>
      <c r="U3" s="672" t="s">
        <v>114</v>
      </c>
      <c r="V3" s="673"/>
      <c r="W3" s="673"/>
      <c r="X3" s="673"/>
      <c r="Y3" s="674"/>
      <c r="Z3" s="672" t="s">
        <v>159</v>
      </c>
      <c r="AA3" s="673"/>
      <c r="AB3" s="673"/>
      <c r="AC3" s="673"/>
      <c r="AD3" s="674"/>
      <c r="AE3" s="672" t="s">
        <v>157</v>
      </c>
      <c r="AF3" s="673"/>
      <c r="AG3" s="673"/>
      <c r="AH3" s="673"/>
      <c r="AI3" s="674"/>
      <c r="AJ3" s="672" t="s">
        <v>160</v>
      </c>
      <c r="AK3" s="673"/>
      <c r="AL3" s="673"/>
      <c r="AM3" s="673"/>
      <c r="AN3" s="674"/>
      <c r="AO3" s="672" t="s">
        <v>161</v>
      </c>
      <c r="AP3" s="673"/>
      <c r="AQ3" s="673"/>
      <c r="AR3" s="673"/>
      <c r="AS3" s="674"/>
      <c r="AT3" s="672" t="s">
        <v>162</v>
      </c>
      <c r="AU3" s="673"/>
      <c r="AV3" s="673"/>
      <c r="AW3" s="673"/>
      <c r="AX3" s="674"/>
    </row>
    <row r="4" spans="1:54" ht="14.25">
      <c r="A4" s="81"/>
      <c r="B4" s="668" t="s">
        <v>154</v>
      </c>
      <c r="C4" s="668" t="s">
        <v>429</v>
      </c>
      <c r="D4" s="668"/>
      <c r="E4" s="668" t="s">
        <v>461</v>
      </c>
      <c r="F4" s="668"/>
      <c r="G4" s="668"/>
      <c r="H4" s="684" t="s">
        <v>416</v>
      </c>
      <c r="I4" s="668" t="s">
        <v>463</v>
      </c>
      <c r="J4" s="668"/>
      <c r="K4" s="668"/>
      <c r="L4" s="684" t="s">
        <v>416</v>
      </c>
      <c r="M4" s="669" t="s">
        <v>417</v>
      </c>
      <c r="N4" s="668"/>
      <c r="O4" s="668" t="s">
        <v>465</v>
      </c>
      <c r="P4" s="665" t="s">
        <v>418</v>
      </c>
      <c r="Q4" s="666"/>
      <c r="R4" s="666"/>
      <c r="S4" s="667"/>
      <c r="T4" s="668" t="s">
        <v>416</v>
      </c>
      <c r="U4" s="665" t="s">
        <v>418</v>
      </c>
      <c r="V4" s="666"/>
      <c r="W4" s="666"/>
      <c r="X4" s="667"/>
      <c r="Y4" s="668" t="s">
        <v>416</v>
      </c>
      <c r="Z4" s="665" t="s">
        <v>418</v>
      </c>
      <c r="AA4" s="666"/>
      <c r="AB4" s="666"/>
      <c r="AC4" s="667"/>
      <c r="AD4" s="668" t="s">
        <v>416</v>
      </c>
      <c r="AE4" s="665" t="s">
        <v>418</v>
      </c>
      <c r="AF4" s="666"/>
      <c r="AG4" s="666"/>
      <c r="AH4" s="667"/>
      <c r="AI4" s="668" t="s">
        <v>416</v>
      </c>
      <c r="AJ4" s="665" t="s">
        <v>418</v>
      </c>
      <c r="AK4" s="666"/>
      <c r="AL4" s="666"/>
      <c r="AM4" s="667"/>
      <c r="AN4" s="668" t="s">
        <v>416</v>
      </c>
      <c r="AO4" s="665" t="s">
        <v>418</v>
      </c>
      <c r="AP4" s="666"/>
      <c r="AQ4" s="666"/>
      <c r="AR4" s="667"/>
      <c r="AS4" s="668" t="s">
        <v>416</v>
      </c>
      <c r="AT4" s="665" t="s">
        <v>418</v>
      </c>
      <c r="AU4" s="666"/>
      <c r="AV4" s="666"/>
      <c r="AW4" s="667"/>
      <c r="AX4" s="668" t="s">
        <v>416</v>
      </c>
    </row>
    <row r="5" spans="1:54" ht="14.25">
      <c r="A5" s="81"/>
      <c r="B5" s="668"/>
      <c r="C5" s="668"/>
      <c r="D5" s="668"/>
      <c r="E5" s="668" t="s">
        <v>423</v>
      </c>
      <c r="F5" s="668"/>
      <c r="G5" s="668"/>
      <c r="H5" s="685"/>
      <c r="I5" s="668" t="s">
        <v>423</v>
      </c>
      <c r="J5" s="668"/>
      <c r="K5" s="668"/>
      <c r="L5" s="685"/>
      <c r="M5" s="670"/>
      <c r="N5" s="668"/>
      <c r="O5" s="668"/>
      <c r="P5" s="665" t="s">
        <v>816</v>
      </c>
      <c r="Q5" s="666"/>
      <c r="R5" s="666"/>
      <c r="S5" s="667"/>
      <c r="T5" s="668"/>
      <c r="U5" s="665" t="s">
        <v>816</v>
      </c>
      <c r="V5" s="666"/>
      <c r="W5" s="666"/>
      <c r="X5" s="667"/>
      <c r="Y5" s="668"/>
      <c r="Z5" s="665" t="s">
        <v>816</v>
      </c>
      <c r="AA5" s="666"/>
      <c r="AB5" s="666"/>
      <c r="AC5" s="667"/>
      <c r="AD5" s="668"/>
      <c r="AE5" s="665" t="s">
        <v>816</v>
      </c>
      <c r="AF5" s="666"/>
      <c r="AG5" s="666"/>
      <c r="AH5" s="667"/>
      <c r="AI5" s="668"/>
      <c r="AJ5" s="665" t="s">
        <v>816</v>
      </c>
      <c r="AK5" s="666"/>
      <c r="AL5" s="666"/>
      <c r="AM5" s="667"/>
      <c r="AN5" s="668"/>
      <c r="AO5" s="665" t="s">
        <v>816</v>
      </c>
      <c r="AP5" s="666"/>
      <c r="AQ5" s="666"/>
      <c r="AR5" s="667"/>
      <c r="AS5" s="668"/>
      <c r="AT5" s="665" t="s">
        <v>816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14" t="s">
        <v>425</v>
      </c>
      <c r="F6" s="514" t="s">
        <v>818</v>
      </c>
      <c r="G6" s="514" t="s">
        <v>819</v>
      </c>
      <c r="H6" s="686"/>
      <c r="I6" s="514" t="s">
        <v>425</v>
      </c>
      <c r="J6" s="514" t="s">
        <v>818</v>
      </c>
      <c r="K6" s="514" t="s">
        <v>819</v>
      </c>
      <c r="L6" s="686"/>
      <c r="M6" s="671"/>
      <c r="N6" s="668"/>
      <c r="O6" s="668"/>
      <c r="P6" s="514" t="s">
        <v>425</v>
      </c>
      <c r="Q6" s="514" t="s">
        <v>818</v>
      </c>
      <c r="R6" s="514" t="s">
        <v>819</v>
      </c>
      <c r="S6" s="514" t="s">
        <v>417</v>
      </c>
      <c r="T6" s="668"/>
      <c r="U6" s="514" t="s">
        <v>425</v>
      </c>
      <c r="V6" s="514" t="s">
        <v>818</v>
      </c>
      <c r="W6" s="514" t="s">
        <v>819</v>
      </c>
      <c r="X6" s="514" t="s">
        <v>417</v>
      </c>
      <c r="Y6" s="668"/>
      <c r="Z6" s="514" t="s">
        <v>425</v>
      </c>
      <c r="AA6" s="514" t="s">
        <v>818</v>
      </c>
      <c r="AB6" s="514" t="s">
        <v>819</v>
      </c>
      <c r="AC6" s="514" t="s">
        <v>417</v>
      </c>
      <c r="AD6" s="668"/>
      <c r="AE6" s="514" t="s">
        <v>425</v>
      </c>
      <c r="AF6" s="514" t="s">
        <v>818</v>
      </c>
      <c r="AG6" s="514" t="s">
        <v>819</v>
      </c>
      <c r="AH6" s="514" t="s">
        <v>417</v>
      </c>
      <c r="AI6" s="668"/>
      <c r="AJ6" s="514" t="s">
        <v>425</v>
      </c>
      <c r="AK6" s="514" t="s">
        <v>818</v>
      </c>
      <c r="AL6" s="514" t="s">
        <v>819</v>
      </c>
      <c r="AM6" s="514" t="s">
        <v>417</v>
      </c>
      <c r="AN6" s="668"/>
      <c r="AO6" s="514" t="s">
        <v>425</v>
      </c>
      <c r="AP6" s="514" t="s">
        <v>818</v>
      </c>
      <c r="AQ6" s="514" t="s">
        <v>819</v>
      </c>
      <c r="AR6" s="514" t="s">
        <v>417</v>
      </c>
      <c r="AS6" s="668"/>
      <c r="AT6" s="514" t="s">
        <v>425</v>
      </c>
      <c r="AU6" s="514" t="s">
        <v>818</v>
      </c>
      <c r="AV6" s="514" t="s">
        <v>819</v>
      </c>
      <c r="AW6" s="514" t="s">
        <v>417</v>
      </c>
      <c r="AX6" s="668"/>
    </row>
    <row r="7" spans="1:54" ht="14.25">
      <c r="A7" s="81"/>
      <c r="B7" s="716" t="s">
        <v>821</v>
      </c>
      <c r="C7" s="515">
        <v>1</v>
      </c>
      <c r="D7" s="498" t="s">
        <v>387</v>
      </c>
      <c r="E7" s="518">
        <v>4</v>
      </c>
      <c r="F7" s="518">
        <v>2000</v>
      </c>
      <c r="G7" s="518">
        <v>500</v>
      </c>
      <c r="H7" s="712">
        <f>AVERAGE(G7:G21)</f>
        <v>293.66060606060603</v>
      </c>
      <c r="I7" s="518">
        <f>AVERAGE(P7,U7,Z7,AE7,AJ7,AO7,AT7)</f>
        <v>5</v>
      </c>
      <c r="J7" s="518">
        <f>AVERAGE(Q7,V7,AA7,AF7,AK7,AP7,AU7)</f>
        <v>2132.2916662794237</v>
      </c>
      <c r="K7" s="513">
        <f>AVERAGE(R7,W7,AB7,AG7,AL7,AQ7,AV7)</f>
        <v>426.45833325588472</v>
      </c>
      <c r="L7" s="712">
        <f>AVERAGE(K7:K21)</f>
        <v>257.59116520932349</v>
      </c>
      <c r="M7" s="518">
        <f>RANK(K7, K$7:$K$21)</f>
        <v>2</v>
      </c>
      <c r="N7" s="668"/>
      <c r="O7" s="668"/>
      <c r="P7" s="515">
        <v>5</v>
      </c>
      <c r="Q7" s="518">
        <v>2133.0434782608695</v>
      </c>
      <c r="R7" s="518">
        <v>426.60869565217388</v>
      </c>
      <c r="S7" s="515">
        <f>RANK(R7, R$7:R$21)</f>
        <v>3</v>
      </c>
      <c r="T7" s="715">
        <f>AVERAGE(R7:R21)</f>
        <v>261.50566097626825</v>
      </c>
      <c r="U7" s="573">
        <v>5</v>
      </c>
      <c r="V7" s="574">
        <v>2131.3846153846148</v>
      </c>
      <c r="W7" s="574">
        <v>426.27692307692297</v>
      </c>
      <c r="X7" s="515">
        <f>RANK(W7, W$7:W$21)</f>
        <v>3</v>
      </c>
      <c r="Y7" s="715">
        <f t="shared" ref="Y7" si="0">AVERAGE(W7:W21)</f>
        <v>260.98730389632811</v>
      </c>
      <c r="Z7" s="573">
        <v>5</v>
      </c>
      <c r="AA7" s="574">
        <v>2139.0000000000005</v>
      </c>
      <c r="AB7" s="574">
        <v>427.80000000000007</v>
      </c>
      <c r="AC7" s="515">
        <f>RANK(AB7, AB$7:AB$21)</f>
        <v>1</v>
      </c>
      <c r="AD7" s="715">
        <f t="shared" ref="AD7" si="1">AVERAGE(AB7:AB21)</f>
        <v>254.07571663676106</v>
      </c>
      <c r="AE7" s="573">
        <v>5</v>
      </c>
      <c r="AF7" s="574">
        <v>2136.4705882352951</v>
      </c>
      <c r="AG7" s="574">
        <v>427.29411764705901</v>
      </c>
      <c r="AH7" s="515">
        <f>RANK(AG7, AG$7:AG$21)</f>
        <v>2</v>
      </c>
      <c r="AI7" s="715">
        <f t="shared" ref="AI7" si="2">AVERAGE(AG7:AG21)</f>
        <v>254.59777542165378</v>
      </c>
      <c r="AJ7" s="573">
        <v>5</v>
      </c>
      <c r="AK7" s="574">
        <v>2129.4915254237289</v>
      </c>
      <c r="AL7" s="574">
        <v>425.8983050847458</v>
      </c>
      <c r="AM7" s="515">
        <f>RANK(AL7, AL$7:AL$21)</f>
        <v>3</v>
      </c>
      <c r="AN7" s="715">
        <f t="shared" ref="AN7" si="3">AVERAGE(AL7:AL21)</f>
        <v>259.6408190239917</v>
      </c>
      <c r="AO7" s="573">
        <v>5</v>
      </c>
      <c r="AP7" s="574">
        <v>2122.5974025974028</v>
      </c>
      <c r="AQ7" s="574">
        <v>424.51948051948057</v>
      </c>
      <c r="AR7" s="515">
        <f>RANK(AQ7, AQ$7:AQ$21)</f>
        <v>3</v>
      </c>
      <c r="AS7" s="715">
        <f t="shared" ref="AS7" si="4">AVERAGE(AQ7:AQ21)</f>
        <v>254.03431628220505</v>
      </c>
      <c r="AT7" s="573">
        <v>5</v>
      </c>
      <c r="AU7" s="574">
        <v>2134.0540540540533</v>
      </c>
      <c r="AV7" s="574">
        <v>426.81081081081066</v>
      </c>
      <c r="AW7" s="515">
        <f>RANK(AV7, AV$7:AV$21)</f>
        <v>2</v>
      </c>
      <c r="AX7" s="715">
        <f t="shared" ref="AX7" si="5">AVERAGE(AV7:AV21)</f>
        <v>258.29656422805641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701"/>
      <c r="C8" s="515">
        <v>2</v>
      </c>
      <c r="D8" s="498" t="s">
        <v>500</v>
      </c>
      <c r="E8" s="518">
        <v>4</v>
      </c>
      <c r="F8" s="518">
        <v>2000</v>
      </c>
      <c r="G8" s="518">
        <v>500</v>
      </c>
      <c r="H8" s="713"/>
      <c r="I8" s="518">
        <f t="shared" ref="I8:I17" si="6">AVERAGE(P8,U8,Z8,AE8,AJ8,AO8,AT8)</f>
        <v>5</v>
      </c>
      <c r="J8" s="518">
        <f t="shared" ref="J8:J17" si="7">AVERAGE(Q8,V8,AA8,AF8,AK8,AP8,AU8)</f>
        <v>2137.0082918295107</v>
      </c>
      <c r="K8" s="513">
        <f t="shared" ref="K8:K17" si="8">AVERAGE(R8,W8,AB8,AG8,AL8,AQ8,AV8)</f>
        <v>427.40165836590211</v>
      </c>
      <c r="L8" s="713"/>
      <c r="M8" s="518">
        <f>RANK(K8, K$7:$K$21)</f>
        <v>1</v>
      </c>
      <c r="N8" s="668"/>
      <c r="O8" s="668"/>
      <c r="P8" s="515">
        <v>5</v>
      </c>
      <c r="Q8" s="518">
        <v>2134.2857142857151</v>
      </c>
      <c r="R8" s="518">
        <v>426.857142857143</v>
      </c>
      <c r="S8" s="515">
        <f t="shared" ref="S8:S21" si="9">RANK(R8, R$7:R$21)</f>
        <v>2</v>
      </c>
      <c r="T8" s="715"/>
      <c r="U8" s="573">
        <v>5</v>
      </c>
      <c r="V8" s="574">
        <v>2151.1475409836071</v>
      </c>
      <c r="W8" s="574">
        <v>430.22950819672144</v>
      </c>
      <c r="X8" s="515">
        <f t="shared" ref="X8:X21" si="10">RANK(W8, W$7:W$21)</f>
        <v>1</v>
      </c>
      <c r="Y8" s="715"/>
      <c r="Z8" s="573">
        <v>5</v>
      </c>
      <c r="AA8" s="574">
        <v>2131.0344827586209</v>
      </c>
      <c r="AB8" s="574">
        <v>426.20689655172418</v>
      </c>
      <c r="AC8" s="515">
        <f t="shared" ref="AC8:AC21" si="11">RANK(AB8, AB$7:AB$21)</f>
        <v>2</v>
      </c>
      <c r="AD8" s="715"/>
      <c r="AE8" s="573">
        <v>5</v>
      </c>
      <c r="AF8" s="574">
        <v>2145.0000000000005</v>
      </c>
      <c r="AG8" s="574">
        <v>429.00000000000011</v>
      </c>
      <c r="AH8" s="515">
        <f t="shared" ref="AH8:AH21" si="12">RANK(AG8, AG$7:AG$21)</f>
        <v>1</v>
      </c>
      <c r="AI8" s="715"/>
      <c r="AJ8" s="573">
        <v>5</v>
      </c>
      <c r="AK8" s="574">
        <v>2146.0714285714303</v>
      </c>
      <c r="AL8" s="574">
        <v>429.21428571428606</v>
      </c>
      <c r="AM8" s="515">
        <f t="shared" ref="AM8:AM21" si="13">RANK(AL8, AL$7:AL$21)</f>
        <v>1</v>
      </c>
      <c r="AN8" s="715"/>
      <c r="AO8" s="573">
        <v>5</v>
      </c>
      <c r="AP8" s="574">
        <v>2128.2352941176468</v>
      </c>
      <c r="AQ8" s="574">
        <v>425.64705882352939</v>
      </c>
      <c r="AR8" s="515">
        <f t="shared" ref="AR8:AR21" si="14">RANK(AQ8, AQ$7:AQ$21)</f>
        <v>2</v>
      </c>
      <c r="AS8" s="715"/>
      <c r="AT8" s="573">
        <v>5</v>
      </c>
      <c r="AU8" s="574">
        <v>2123.2835820895521</v>
      </c>
      <c r="AV8" s="574">
        <v>424.65671641791039</v>
      </c>
      <c r="AW8" s="515">
        <f t="shared" ref="AW8:AW21" si="15">RANK(AV8, AV$7:AV$21)</f>
        <v>3</v>
      </c>
      <c r="AX8" s="715"/>
      <c r="AZ8" s="362" t="e">
        <f>RANK(AX8, $K$7:AX$21)</f>
        <v>#N/A</v>
      </c>
      <c r="BB8" s="359" t="e">
        <f t="shared" ref="BB8:BB21" si="16">RANK(BA8, BA$7:BA$21)</f>
        <v>#N/A</v>
      </c>
    </row>
    <row r="9" spans="1:54" ht="14.25">
      <c r="A9" s="81"/>
      <c r="B9" s="701"/>
      <c r="C9" s="515">
        <v>3</v>
      </c>
      <c r="D9" s="498" t="s">
        <v>388</v>
      </c>
      <c r="E9" s="518">
        <v>13</v>
      </c>
      <c r="F9" s="518">
        <v>2250</v>
      </c>
      <c r="G9" s="518">
        <v>173.1</v>
      </c>
      <c r="H9" s="713"/>
      <c r="I9" s="518">
        <f t="shared" si="6"/>
        <v>13</v>
      </c>
      <c r="J9" s="518">
        <f t="shared" si="7"/>
        <v>2085.8897100499171</v>
      </c>
      <c r="K9" s="513">
        <f t="shared" si="8"/>
        <v>160.45305461922439</v>
      </c>
      <c r="L9" s="713"/>
      <c r="M9" s="518">
        <f>RANK(K9, K$7:$K$21)</f>
        <v>10</v>
      </c>
      <c r="N9" s="668"/>
      <c r="O9" s="668"/>
      <c r="P9" s="515">
        <v>13</v>
      </c>
      <c r="Q9" s="518">
        <v>2096.1290322580649</v>
      </c>
      <c r="R9" s="518">
        <v>161.24069478908191</v>
      </c>
      <c r="S9" s="515">
        <f t="shared" si="9"/>
        <v>10</v>
      </c>
      <c r="T9" s="715"/>
      <c r="U9" s="573">
        <v>13</v>
      </c>
      <c r="V9" s="574">
        <v>2067.0967741935488</v>
      </c>
      <c r="W9" s="574">
        <v>159.00744416873451</v>
      </c>
      <c r="X9" s="515">
        <f t="shared" si="10"/>
        <v>10</v>
      </c>
      <c r="Y9" s="715"/>
      <c r="Z9" s="573">
        <v>13</v>
      </c>
      <c r="AA9" s="574">
        <v>2072.0689655172414</v>
      </c>
      <c r="AB9" s="574">
        <v>159.38992042440319</v>
      </c>
      <c r="AC9" s="515">
        <f t="shared" si="11"/>
        <v>10</v>
      </c>
      <c r="AD9" s="715"/>
      <c r="AE9" s="573">
        <v>13</v>
      </c>
      <c r="AF9" s="574">
        <v>2112.5000000000005</v>
      </c>
      <c r="AG9" s="574">
        <v>162.50000000000003</v>
      </c>
      <c r="AH9" s="515">
        <f t="shared" si="12"/>
        <v>10</v>
      </c>
      <c r="AI9" s="715"/>
      <c r="AJ9" s="573">
        <v>13</v>
      </c>
      <c r="AK9" s="574">
        <v>2077.894736842105</v>
      </c>
      <c r="AL9" s="574">
        <v>159.83805668016191</v>
      </c>
      <c r="AM9" s="515">
        <f t="shared" si="13"/>
        <v>10</v>
      </c>
      <c r="AN9" s="715"/>
      <c r="AO9" s="573">
        <v>13</v>
      </c>
      <c r="AP9" s="574">
        <v>2070</v>
      </c>
      <c r="AQ9" s="574">
        <v>159.23076923076923</v>
      </c>
      <c r="AR9" s="515">
        <f t="shared" si="14"/>
        <v>10</v>
      </c>
      <c r="AS9" s="715"/>
      <c r="AT9" s="573">
        <v>13</v>
      </c>
      <c r="AU9" s="574">
        <v>2105.538461538461</v>
      </c>
      <c r="AV9" s="574">
        <v>161.96449704142009</v>
      </c>
      <c r="AW9" s="515">
        <f t="shared" si="15"/>
        <v>10</v>
      </c>
      <c r="AX9" s="715"/>
      <c r="AZ9" s="362" t="e">
        <f>RANK(AX9, $K$7:AX$21)</f>
        <v>#N/A</v>
      </c>
      <c r="BB9" s="359" t="e">
        <f t="shared" si="16"/>
        <v>#N/A</v>
      </c>
    </row>
    <row r="10" spans="1:54" ht="14.25">
      <c r="A10" s="81"/>
      <c r="B10" s="701"/>
      <c r="C10" s="515">
        <v>4</v>
      </c>
      <c r="D10" s="498" t="s">
        <v>389</v>
      </c>
      <c r="E10" s="518">
        <v>12</v>
      </c>
      <c r="F10" s="518">
        <v>2118</v>
      </c>
      <c r="G10" s="518">
        <v>176.5</v>
      </c>
      <c r="H10" s="713"/>
      <c r="I10" s="518">
        <f t="shared" si="6"/>
        <v>12</v>
      </c>
      <c r="J10" s="518">
        <f t="shared" si="7"/>
        <v>2031.2045867120009</v>
      </c>
      <c r="K10" s="513">
        <f t="shared" si="8"/>
        <v>169.26704889266674</v>
      </c>
      <c r="L10" s="713"/>
      <c r="M10" s="518">
        <f>RANK(K10, K$7:$K$21)</f>
        <v>7</v>
      </c>
      <c r="N10" s="668"/>
      <c r="O10" s="668"/>
      <c r="P10" s="515">
        <v>12</v>
      </c>
      <c r="Q10" s="518">
        <v>2101.8749999999982</v>
      </c>
      <c r="R10" s="518">
        <v>175.15624999999986</v>
      </c>
      <c r="S10" s="515">
        <f t="shared" si="9"/>
        <v>6</v>
      </c>
      <c r="T10" s="715"/>
      <c r="U10" s="573">
        <v>12</v>
      </c>
      <c r="V10" s="574">
        <v>2070.4615384615372</v>
      </c>
      <c r="W10" s="574">
        <v>172.53846153846143</v>
      </c>
      <c r="X10" s="515">
        <f t="shared" si="10"/>
        <v>6</v>
      </c>
      <c r="Y10" s="715"/>
      <c r="Z10" s="573">
        <v>12</v>
      </c>
      <c r="AA10" s="574">
        <v>2089.1803278688531</v>
      </c>
      <c r="AB10" s="574">
        <v>174.09836065573776</v>
      </c>
      <c r="AC10" s="515">
        <f t="shared" si="11"/>
        <v>6</v>
      </c>
      <c r="AD10" s="715"/>
      <c r="AE10" s="573">
        <v>12</v>
      </c>
      <c r="AF10" s="574">
        <v>2086.1538461538457</v>
      </c>
      <c r="AG10" s="574">
        <v>173.84615384615381</v>
      </c>
      <c r="AH10" s="515">
        <f t="shared" si="12"/>
        <v>6</v>
      </c>
      <c r="AI10" s="715"/>
      <c r="AJ10" s="573">
        <v>12</v>
      </c>
      <c r="AK10" s="574">
        <v>1944.9230769230778</v>
      </c>
      <c r="AL10" s="574">
        <v>162.07692307692315</v>
      </c>
      <c r="AM10" s="515">
        <f t="shared" si="13"/>
        <v>9</v>
      </c>
      <c r="AN10" s="715"/>
      <c r="AO10" s="573">
        <v>12</v>
      </c>
      <c r="AP10" s="574">
        <v>1963.0985915492961</v>
      </c>
      <c r="AQ10" s="574">
        <v>163.59154929577468</v>
      </c>
      <c r="AR10" s="515">
        <f t="shared" si="14"/>
        <v>9</v>
      </c>
      <c r="AS10" s="715"/>
      <c r="AT10" s="573">
        <v>12</v>
      </c>
      <c r="AU10" s="574">
        <v>1962.7397260273979</v>
      </c>
      <c r="AV10" s="574">
        <v>163.56164383561648</v>
      </c>
      <c r="AW10" s="515">
        <f t="shared" si="15"/>
        <v>9</v>
      </c>
      <c r="AX10" s="715"/>
      <c r="AZ10" s="362" t="e">
        <f>RANK(AX10, $K$7:AX$21)</f>
        <v>#N/A</v>
      </c>
      <c r="BB10" s="359" t="e">
        <f t="shared" si="16"/>
        <v>#N/A</v>
      </c>
    </row>
    <row r="11" spans="1:54" ht="14.25">
      <c r="A11" s="81"/>
      <c r="B11" s="701"/>
      <c r="C11" s="515">
        <v>5</v>
      </c>
      <c r="D11" s="498" t="s">
        <v>925</v>
      </c>
      <c r="E11" s="518">
        <v>13</v>
      </c>
      <c r="F11" s="518">
        <v>2250</v>
      </c>
      <c r="G11" s="518">
        <v>187.5</v>
      </c>
      <c r="H11" s="713"/>
      <c r="I11" s="518">
        <f t="shared" si="6"/>
        <v>13</v>
      </c>
      <c r="J11" s="518">
        <f t="shared" si="7"/>
        <v>2176.4748805618028</v>
      </c>
      <c r="K11" s="513">
        <f t="shared" si="8"/>
        <v>167.42114465860021</v>
      </c>
      <c r="L11" s="713"/>
      <c r="M11" s="518">
        <f>RANK(K11, K$7:$K$21)</f>
        <v>9</v>
      </c>
      <c r="N11" s="668"/>
      <c r="O11" s="668"/>
      <c r="P11" s="515">
        <v>13</v>
      </c>
      <c r="Q11" s="518">
        <v>2184.5783132530128</v>
      </c>
      <c r="R11" s="518">
        <v>168.04448563484715</v>
      </c>
      <c r="S11" s="515">
        <f t="shared" si="9"/>
        <v>9</v>
      </c>
      <c r="T11" s="715"/>
      <c r="U11" s="573">
        <v>13</v>
      </c>
      <c r="V11" s="574">
        <v>2177.3493975903616</v>
      </c>
      <c r="W11" s="574">
        <v>167.48841519925858</v>
      </c>
      <c r="X11" s="515">
        <f t="shared" si="10"/>
        <v>9</v>
      </c>
      <c r="Y11" s="715"/>
      <c r="Z11" s="573">
        <v>13</v>
      </c>
      <c r="AA11" s="574">
        <v>2168.25</v>
      </c>
      <c r="AB11" s="574">
        <v>166.78846153846155</v>
      </c>
      <c r="AC11" s="515">
        <f t="shared" si="11"/>
        <v>9</v>
      </c>
      <c r="AD11" s="715"/>
      <c r="AE11" s="573">
        <v>13</v>
      </c>
      <c r="AF11" s="574">
        <v>2210</v>
      </c>
      <c r="AG11" s="574">
        <v>170</v>
      </c>
      <c r="AH11" s="515">
        <f t="shared" si="12"/>
        <v>8</v>
      </c>
      <c r="AI11" s="715"/>
      <c r="AJ11" s="573">
        <v>13</v>
      </c>
      <c r="AK11" s="574">
        <v>2186.8421052631575</v>
      </c>
      <c r="AL11" s="574">
        <v>168.21862348178135</v>
      </c>
      <c r="AM11" s="515">
        <f t="shared" si="13"/>
        <v>7</v>
      </c>
      <c r="AN11" s="715"/>
      <c r="AO11" s="573">
        <v>13</v>
      </c>
      <c r="AP11" s="574">
        <v>2162</v>
      </c>
      <c r="AQ11" s="574">
        <v>166.30769230769232</v>
      </c>
      <c r="AR11" s="515">
        <f t="shared" si="14"/>
        <v>8</v>
      </c>
      <c r="AS11" s="715"/>
      <c r="AT11" s="573">
        <v>13</v>
      </c>
      <c r="AU11" s="574">
        <v>2146.304347826087</v>
      </c>
      <c r="AV11" s="574">
        <v>165.10033444816054</v>
      </c>
      <c r="AW11" s="515">
        <f t="shared" si="15"/>
        <v>7</v>
      </c>
      <c r="AX11" s="715"/>
      <c r="AZ11" s="362" t="e">
        <f>RANK(AX11, $K$7:AX$21)</f>
        <v>#N/A</v>
      </c>
      <c r="BB11" s="359" t="e">
        <f t="shared" si="16"/>
        <v>#N/A</v>
      </c>
    </row>
    <row r="12" spans="1:54" ht="14.25">
      <c r="A12" s="81"/>
      <c r="B12" s="701"/>
      <c r="C12" s="515">
        <v>6</v>
      </c>
      <c r="D12" s="498" t="s">
        <v>390</v>
      </c>
      <c r="E12" s="518">
        <v>13</v>
      </c>
      <c r="F12" s="518">
        <v>2250</v>
      </c>
      <c r="G12" s="518">
        <v>173.1</v>
      </c>
      <c r="H12" s="713"/>
      <c r="I12" s="518">
        <f t="shared" si="6"/>
        <v>13</v>
      </c>
      <c r="J12" s="518">
        <f t="shared" si="7"/>
        <v>2180.228807973212</v>
      </c>
      <c r="K12" s="513">
        <f t="shared" si="8"/>
        <v>167.70990830563164</v>
      </c>
      <c r="L12" s="713"/>
      <c r="M12" s="518">
        <f>RANK(K12, K$7:$K$21)</f>
        <v>8</v>
      </c>
      <c r="N12" s="668"/>
      <c r="O12" s="668"/>
      <c r="P12" s="515">
        <v>13</v>
      </c>
      <c r="Q12" s="518">
        <v>2208.0000000000005</v>
      </c>
      <c r="R12" s="518">
        <v>169.84615384615387</v>
      </c>
      <c r="S12" s="515">
        <f t="shared" si="9"/>
        <v>8</v>
      </c>
      <c r="T12" s="715"/>
      <c r="U12" s="573">
        <v>13</v>
      </c>
      <c r="V12" s="574">
        <v>2213.1958762886597</v>
      </c>
      <c r="W12" s="574">
        <v>170.24583663758921</v>
      </c>
      <c r="X12" s="515">
        <f t="shared" si="10"/>
        <v>8</v>
      </c>
      <c r="Y12" s="715"/>
      <c r="Z12" s="573">
        <v>13</v>
      </c>
      <c r="AA12" s="574">
        <v>2170</v>
      </c>
      <c r="AB12" s="574">
        <v>166.92307692307693</v>
      </c>
      <c r="AC12" s="515">
        <f t="shared" si="11"/>
        <v>8</v>
      </c>
      <c r="AD12" s="715"/>
      <c r="AE12" s="573">
        <v>13</v>
      </c>
      <c r="AF12" s="574">
        <v>2186.823529411764</v>
      </c>
      <c r="AG12" s="574">
        <v>168.21719457013569</v>
      </c>
      <c r="AH12" s="515">
        <f t="shared" si="12"/>
        <v>9</v>
      </c>
      <c r="AI12" s="715"/>
      <c r="AJ12" s="573">
        <v>13</v>
      </c>
      <c r="AK12" s="574">
        <v>2182.886597938144</v>
      </c>
      <c r="AL12" s="574">
        <v>167.91435368754952</v>
      </c>
      <c r="AM12" s="515">
        <f t="shared" si="13"/>
        <v>8</v>
      </c>
      <c r="AN12" s="715"/>
      <c r="AO12" s="573">
        <v>13</v>
      </c>
      <c r="AP12" s="574">
        <v>2164.1739130434785</v>
      </c>
      <c r="AQ12" s="574">
        <v>166.47491638795989</v>
      </c>
      <c r="AR12" s="515">
        <f t="shared" si="14"/>
        <v>7</v>
      </c>
      <c r="AS12" s="715"/>
      <c r="AT12" s="573">
        <v>13</v>
      </c>
      <c r="AU12" s="574">
        <v>2136.521739130435</v>
      </c>
      <c r="AV12" s="574">
        <v>164.34782608695653</v>
      </c>
      <c r="AW12" s="515">
        <f t="shared" si="15"/>
        <v>8</v>
      </c>
      <c r="AX12" s="715"/>
      <c r="AZ12" s="362" t="e">
        <f>RANK(AX12, $K$7:AX$21)</f>
        <v>#N/A</v>
      </c>
      <c r="BB12" s="359" t="e">
        <f t="shared" si="16"/>
        <v>#N/A</v>
      </c>
    </row>
    <row r="13" spans="1:54" ht="14.25">
      <c r="A13" s="81"/>
      <c r="B13" s="701"/>
      <c r="C13" s="515">
        <v>7</v>
      </c>
      <c r="D13" s="498" t="s">
        <v>391</v>
      </c>
      <c r="E13" s="518">
        <v>10</v>
      </c>
      <c r="F13" s="518">
        <v>2769</v>
      </c>
      <c r="G13" s="518">
        <v>276.89999999999998</v>
      </c>
      <c r="H13" s="713"/>
      <c r="I13" s="518">
        <f t="shared" si="6"/>
        <v>10</v>
      </c>
      <c r="J13" s="518">
        <f t="shared" si="7"/>
        <v>2278.751427876025</v>
      </c>
      <c r="K13" s="513">
        <f t="shared" si="8"/>
        <v>227.87514278760244</v>
      </c>
      <c r="L13" s="713"/>
      <c r="M13" s="518">
        <f>RANK(K13, K$7:$K$21)</f>
        <v>5</v>
      </c>
      <c r="N13" s="668"/>
      <c r="O13" s="668"/>
      <c r="P13" s="515">
        <v>10</v>
      </c>
      <c r="Q13" s="518">
        <v>2274.3333333333298</v>
      </c>
      <c r="R13" s="518">
        <v>227.433333333333</v>
      </c>
      <c r="S13" s="515">
        <f t="shared" si="9"/>
        <v>5</v>
      </c>
      <c r="T13" s="715"/>
      <c r="U13" s="573">
        <v>10</v>
      </c>
      <c r="V13" s="574">
        <v>2292.2812499999995</v>
      </c>
      <c r="W13" s="574">
        <v>229.22812499999995</v>
      </c>
      <c r="X13" s="515">
        <f t="shared" si="10"/>
        <v>5</v>
      </c>
      <c r="Y13" s="715"/>
      <c r="Z13" s="573">
        <v>10</v>
      </c>
      <c r="AA13" s="574">
        <v>2324.349999999999</v>
      </c>
      <c r="AB13" s="574">
        <v>232.43499999999989</v>
      </c>
      <c r="AC13" s="515">
        <f t="shared" si="11"/>
        <v>5</v>
      </c>
      <c r="AD13" s="715"/>
      <c r="AE13" s="573">
        <v>10</v>
      </c>
      <c r="AF13" s="574">
        <v>2307.5084745762697</v>
      </c>
      <c r="AG13" s="574">
        <v>230.75084745762697</v>
      </c>
      <c r="AH13" s="515">
        <f t="shared" si="12"/>
        <v>5</v>
      </c>
      <c r="AI13" s="715"/>
      <c r="AJ13" s="573">
        <v>10</v>
      </c>
      <c r="AK13" s="574">
        <v>2279.9999999999995</v>
      </c>
      <c r="AL13" s="574">
        <v>227.99999999999994</v>
      </c>
      <c r="AM13" s="515">
        <f t="shared" si="13"/>
        <v>5</v>
      </c>
      <c r="AN13" s="715"/>
      <c r="AO13" s="573">
        <v>10</v>
      </c>
      <c r="AP13" s="574">
        <v>2231.313253012047</v>
      </c>
      <c r="AQ13" s="574">
        <v>223.1313253012047</v>
      </c>
      <c r="AR13" s="515">
        <f t="shared" si="14"/>
        <v>5</v>
      </c>
      <c r="AS13" s="715"/>
      <c r="AT13" s="573">
        <v>10</v>
      </c>
      <c r="AU13" s="574">
        <v>2241.4736842105272</v>
      </c>
      <c r="AV13" s="574">
        <v>224.1473684210527</v>
      </c>
      <c r="AW13" s="515">
        <f t="shared" si="15"/>
        <v>5</v>
      </c>
      <c r="AX13" s="715"/>
      <c r="AZ13" s="362" t="e">
        <f>RANK(AX13, $K$7:AX$21)</f>
        <v>#N/A</v>
      </c>
      <c r="BB13" s="359" t="e">
        <f t="shared" si="16"/>
        <v>#N/A</v>
      </c>
    </row>
    <row r="14" spans="1:54" ht="14.25">
      <c r="A14" s="81"/>
      <c r="B14" s="701"/>
      <c r="C14" s="515">
        <v>8</v>
      </c>
      <c r="D14" s="498" t="s">
        <v>386</v>
      </c>
      <c r="E14" s="518">
        <v>18</v>
      </c>
      <c r="F14" s="518">
        <v>1200</v>
      </c>
      <c r="G14" s="518">
        <v>66.666666666666671</v>
      </c>
      <c r="H14" s="713"/>
      <c r="I14" s="518">
        <f t="shared" si="6"/>
        <v>13</v>
      </c>
      <c r="J14" s="518">
        <f t="shared" si="7"/>
        <v>1253.6971988795524</v>
      </c>
      <c r="K14" s="513">
        <f t="shared" si="8"/>
        <v>96.438246067657857</v>
      </c>
      <c r="L14" s="713"/>
      <c r="M14" s="518">
        <f>RANK(K14, K$7:$K$21)</f>
        <v>11</v>
      </c>
      <c r="N14" s="668"/>
      <c r="O14" s="668"/>
      <c r="P14" s="515">
        <v>13</v>
      </c>
      <c r="Q14" s="518">
        <v>1340</v>
      </c>
      <c r="R14" s="518">
        <v>103.07692307692308</v>
      </c>
      <c r="S14" s="515">
        <f t="shared" si="9"/>
        <v>11</v>
      </c>
      <c r="T14" s="715"/>
      <c r="U14" s="573">
        <v>13</v>
      </c>
      <c r="V14" s="574">
        <v>1289.6470588235304</v>
      </c>
      <c r="W14" s="574">
        <v>99.203619909502336</v>
      </c>
      <c r="X14" s="515">
        <f t="shared" si="10"/>
        <v>11</v>
      </c>
      <c r="Y14" s="715"/>
      <c r="Z14" s="573">
        <v>13</v>
      </c>
      <c r="AA14" s="574">
        <v>1232.8000000000004</v>
      </c>
      <c r="AB14" s="574">
        <v>94.830769230769263</v>
      </c>
      <c r="AC14" s="515">
        <f t="shared" si="11"/>
        <v>11</v>
      </c>
      <c r="AD14" s="715"/>
      <c r="AE14" s="573">
        <v>13</v>
      </c>
      <c r="AF14" s="574">
        <v>1200.0000000000007</v>
      </c>
      <c r="AG14" s="574">
        <v>92.307692307692363</v>
      </c>
      <c r="AH14" s="515">
        <f t="shared" si="12"/>
        <v>11</v>
      </c>
      <c r="AI14" s="715"/>
      <c r="AJ14" s="573">
        <v>13</v>
      </c>
      <c r="AK14" s="574">
        <v>1276.5000000000007</v>
      </c>
      <c r="AL14" s="574">
        <v>98.19230769230775</v>
      </c>
      <c r="AM14" s="515">
        <f t="shared" si="13"/>
        <v>11</v>
      </c>
      <c r="AN14" s="715"/>
      <c r="AO14" s="573">
        <v>13</v>
      </c>
      <c r="AP14" s="574">
        <v>1233.3333333333335</v>
      </c>
      <c r="AQ14" s="574">
        <v>94.87179487179489</v>
      </c>
      <c r="AR14" s="515">
        <f t="shared" si="14"/>
        <v>11</v>
      </c>
      <c r="AS14" s="715"/>
      <c r="AT14" s="573">
        <v>13</v>
      </c>
      <c r="AU14" s="574">
        <v>1203.6000000000004</v>
      </c>
      <c r="AV14" s="574">
        <v>92.584615384615418</v>
      </c>
      <c r="AW14" s="515">
        <f t="shared" si="15"/>
        <v>11</v>
      </c>
      <c r="AX14" s="715"/>
      <c r="AZ14" s="362" t="e">
        <f>RANK(AX14, $K$7:AX$21)</f>
        <v>#N/A</v>
      </c>
      <c r="BB14" s="359" t="e">
        <f t="shared" si="16"/>
        <v>#N/A</v>
      </c>
    </row>
    <row r="15" spans="1:54" ht="14.25">
      <c r="A15" s="81"/>
      <c r="B15" s="701"/>
      <c r="C15" s="515">
        <v>9</v>
      </c>
      <c r="D15" s="498" t="s">
        <v>798</v>
      </c>
      <c r="E15" s="518">
        <v>12</v>
      </c>
      <c r="F15" s="518">
        <v>2118</v>
      </c>
      <c r="G15" s="518">
        <v>176.5</v>
      </c>
      <c r="H15" s="713"/>
      <c r="I15" s="518">
        <f t="shared" si="6"/>
        <v>12</v>
      </c>
      <c r="J15" s="518">
        <f t="shared" si="7"/>
        <v>2060.1726753308849</v>
      </c>
      <c r="K15" s="513">
        <f t="shared" si="8"/>
        <v>171.68105627757373</v>
      </c>
      <c r="L15" s="713"/>
      <c r="M15" s="518">
        <f>RANK(K15, K$7:$K$21)</f>
        <v>6</v>
      </c>
      <c r="N15" s="668"/>
      <c r="O15" s="668"/>
      <c r="P15" s="515">
        <v>12</v>
      </c>
      <c r="Q15" s="518">
        <v>2077.1830985915494</v>
      </c>
      <c r="R15" s="518">
        <v>173.09859154929578</v>
      </c>
      <c r="S15" s="515">
        <f t="shared" si="9"/>
        <v>7</v>
      </c>
      <c r="T15" s="715"/>
      <c r="U15" s="573">
        <v>12</v>
      </c>
      <c r="V15" s="574">
        <v>2058.9041095890416</v>
      </c>
      <c r="W15" s="574">
        <v>171.57534246575347</v>
      </c>
      <c r="X15" s="515">
        <f t="shared" si="10"/>
        <v>7</v>
      </c>
      <c r="Y15" s="715"/>
      <c r="Z15" s="573">
        <v>12</v>
      </c>
      <c r="AA15" s="574">
        <v>2061.9718309859159</v>
      </c>
      <c r="AB15" s="574">
        <v>171.83098591549299</v>
      </c>
      <c r="AC15" s="515">
        <f t="shared" si="11"/>
        <v>7</v>
      </c>
      <c r="AD15" s="715"/>
      <c r="AE15" s="573">
        <v>12</v>
      </c>
      <c r="AF15" s="574">
        <v>2074.9999999999991</v>
      </c>
      <c r="AG15" s="574">
        <v>172.9166666666666</v>
      </c>
      <c r="AH15" s="515">
        <f t="shared" si="12"/>
        <v>7</v>
      </c>
      <c r="AI15" s="715"/>
      <c r="AJ15" s="573">
        <v>12</v>
      </c>
      <c r="AK15" s="574">
        <v>2086.1538461538457</v>
      </c>
      <c r="AL15" s="574">
        <v>173.84615384615381</v>
      </c>
      <c r="AM15" s="515">
        <f t="shared" si="13"/>
        <v>6</v>
      </c>
      <c r="AN15" s="715"/>
      <c r="AO15" s="573">
        <v>12</v>
      </c>
      <c r="AP15" s="574">
        <v>2048.9189189189196</v>
      </c>
      <c r="AQ15" s="574">
        <v>170.74324324324331</v>
      </c>
      <c r="AR15" s="515">
        <f t="shared" si="14"/>
        <v>6</v>
      </c>
      <c r="AS15" s="715"/>
      <c r="AT15" s="573">
        <v>12</v>
      </c>
      <c r="AU15" s="574">
        <v>2013.0769230769217</v>
      </c>
      <c r="AV15" s="574">
        <v>167.75641025641013</v>
      </c>
      <c r="AW15" s="515">
        <f t="shared" si="15"/>
        <v>6</v>
      </c>
      <c r="AX15" s="715"/>
      <c r="AZ15" s="362" t="e">
        <f>RANK(AX15, $K$7:AX$21)</f>
        <v>#N/A</v>
      </c>
      <c r="BB15" s="359" t="e">
        <f t="shared" si="16"/>
        <v>#N/A</v>
      </c>
    </row>
    <row r="16" spans="1:54" ht="14.25">
      <c r="A16" s="81"/>
      <c r="B16" s="701"/>
      <c r="C16" s="515">
        <v>10</v>
      </c>
      <c r="D16" s="498" t="s">
        <v>869</v>
      </c>
      <c r="E16" s="518">
        <v>4</v>
      </c>
      <c r="F16" s="518">
        <v>2000</v>
      </c>
      <c r="G16" s="518">
        <v>500</v>
      </c>
      <c r="H16" s="713"/>
      <c r="I16" s="518">
        <f t="shared" si="6"/>
        <v>5</v>
      </c>
      <c r="J16" s="518">
        <f t="shared" si="7"/>
        <v>1963.0140266632966</v>
      </c>
      <c r="K16" s="513">
        <f t="shared" si="8"/>
        <v>392.60280533265939</v>
      </c>
      <c r="L16" s="713"/>
      <c r="M16" s="518">
        <f>RANK(K16, K$7:$K$21)</f>
        <v>4</v>
      </c>
      <c r="N16" s="668"/>
      <c r="O16" s="668"/>
      <c r="P16" s="515">
        <v>5</v>
      </c>
      <c r="Q16" s="518">
        <v>2069.9999999999991</v>
      </c>
      <c r="R16" s="518">
        <v>413.99999999999983</v>
      </c>
      <c r="S16" s="515">
        <f t="shared" si="9"/>
        <v>4</v>
      </c>
      <c r="T16" s="715"/>
      <c r="U16" s="573">
        <v>5</v>
      </c>
      <c r="V16" s="574">
        <v>2143.3333333333317</v>
      </c>
      <c r="W16" s="574">
        <v>428.66666666666634</v>
      </c>
      <c r="X16" s="515">
        <f t="shared" si="10"/>
        <v>2</v>
      </c>
      <c r="Y16" s="715"/>
      <c r="Z16" s="573">
        <v>5</v>
      </c>
      <c r="AA16" s="574">
        <v>1757.6470588235318</v>
      </c>
      <c r="AB16" s="574">
        <v>351.52941176470637</v>
      </c>
      <c r="AC16" s="515">
        <f t="shared" si="11"/>
        <v>4</v>
      </c>
      <c r="AD16" s="715"/>
      <c r="AE16" s="573">
        <v>5</v>
      </c>
      <c r="AF16" s="574">
        <v>1735.7142857142871</v>
      </c>
      <c r="AG16" s="574">
        <v>347.14285714285745</v>
      </c>
      <c r="AH16" s="515">
        <f t="shared" si="12"/>
        <v>4</v>
      </c>
      <c r="AI16" s="715"/>
      <c r="AJ16" s="573">
        <v>5</v>
      </c>
      <c r="AK16" s="574">
        <v>2072.9999999999995</v>
      </c>
      <c r="AL16" s="574">
        <v>414.59999999999991</v>
      </c>
      <c r="AM16" s="515">
        <f t="shared" si="13"/>
        <v>4</v>
      </c>
      <c r="AN16" s="715"/>
      <c r="AO16" s="573">
        <v>5</v>
      </c>
      <c r="AP16" s="574">
        <v>1826.6666666666654</v>
      </c>
      <c r="AQ16" s="574">
        <v>365.33333333333309</v>
      </c>
      <c r="AR16" s="515">
        <f t="shared" si="14"/>
        <v>4</v>
      </c>
      <c r="AS16" s="715"/>
      <c r="AT16" s="573">
        <v>5</v>
      </c>
      <c r="AU16" s="574">
        <v>2134.7368421052615</v>
      </c>
      <c r="AV16" s="574">
        <v>426.94736842105232</v>
      </c>
      <c r="AW16" s="515">
        <f t="shared" si="15"/>
        <v>1</v>
      </c>
      <c r="AX16" s="715"/>
      <c r="AZ16" s="362" t="e">
        <f>RANK(AX16, $K$7:AX$21)</f>
        <v>#N/A</v>
      </c>
      <c r="BB16" s="359" t="e">
        <f t="shared" si="16"/>
        <v>#N/A</v>
      </c>
    </row>
    <row r="17" spans="2:54">
      <c r="B17" s="701"/>
      <c r="C17" s="515">
        <v>11</v>
      </c>
      <c r="D17" s="498" t="s">
        <v>907</v>
      </c>
      <c r="E17" s="518">
        <v>4</v>
      </c>
      <c r="F17" s="518">
        <v>2000</v>
      </c>
      <c r="G17" s="518">
        <v>500</v>
      </c>
      <c r="H17" s="713"/>
      <c r="I17" s="518">
        <f t="shared" si="6"/>
        <v>5</v>
      </c>
      <c r="J17" s="518">
        <f t="shared" si="7"/>
        <v>2130.9720936957756</v>
      </c>
      <c r="K17" s="513">
        <f t="shared" si="8"/>
        <v>426.19441873915508</v>
      </c>
      <c r="L17" s="713"/>
      <c r="M17" s="518">
        <f>RANK(K17, K$7:$K$21)</f>
        <v>3</v>
      </c>
      <c r="N17" s="668"/>
      <c r="O17" s="668"/>
      <c r="P17" s="515">
        <v>5</v>
      </c>
      <c r="Q17" s="518">
        <v>2155.9999999999959</v>
      </c>
      <c r="R17" s="518">
        <v>431.19999999999919</v>
      </c>
      <c r="S17" s="515">
        <f t="shared" si="9"/>
        <v>1</v>
      </c>
      <c r="T17" s="715"/>
      <c r="U17" s="573">
        <v>5</v>
      </c>
      <c r="V17" s="574">
        <v>2081.9999999999964</v>
      </c>
      <c r="W17" s="574">
        <v>416.3999999999993</v>
      </c>
      <c r="X17" s="515">
        <f t="shared" si="10"/>
        <v>4</v>
      </c>
      <c r="Y17" s="715"/>
      <c r="Z17" s="573">
        <v>5</v>
      </c>
      <c r="AA17" s="574">
        <v>2114.9999999999968</v>
      </c>
      <c r="AB17" s="574">
        <v>422.99999999999937</v>
      </c>
      <c r="AC17" s="515">
        <f t="shared" si="11"/>
        <v>3</v>
      </c>
      <c r="AD17" s="715"/>
      <c r="AE17" s="573">
        <v>5</v>
      </c>
      <c r="AF17" s="574">
        <v>2132.9999999999995</v>
      </c>
      <c r="AG17" s="574">
        <v>426.59999999999991</v>
      </c>
      <c r="AH17" s="515">
        <f t="shared" si="12"/>
        <v>3</v>
      </c>
      <c r="AI17" s="715"/>
      <c r="AJ17" s="573">
        <v>5</v>
      </c>
      <c r="AK17" s="574">
        <v>2141.2499999999968</v>
      </c>
      <c r="AL17" s="574">
        <v>428.24999999999937</v>
      </c>
      <c r="AM17" s="515">
        <f t="shared" si="13"/>
        <v>2</v>
      </c>
      <c r="AN17" s="715"/>
      <c r="AO17" s="573">
        <v>5</v>
      </c>
      <c r="AP17" s="574">
        <v>2172.6315789473665</v>
      </c>
      <c r="AQ17" s="574">
        <v>434.5263157894733</v>
      </c>
      <c r="AR17" s="515">
        <f t="shared" si="14"/>
        <v>1</v>
      </c>
      <c r="AS17" s="715"/>
      <c r="AT17" s="573">
        <v>5</v>
      </c>
      <c r="AU17" s="574">
        <v>2116.9230769230758</v>
      </c>
      <c r="AV17" s="574">
        <v>423.38461538461513</v>
      </c>
      <c r="AW17" s="515">
        <f t="shared" si="15"/>
        <v>4</v>
      </c>
      <c r="AX17" s="715"/>
      <c r="AZ17" s="362" t="e">
        <f>RANK(AX17, $K$7:AX$21)</f>
        <v>#N/A</v>
      </c>
      <c r="BB17" s="359" t="e">
        <f t="shared" si="16"/>
        <v>#N/A</v>
      </c>
    </row>
    <row r="18" spans="2:54">
      <c r="B18" s="701"/>
      <c r="C18" s="515">
        <v>12</v>
      </c>
      <c r="D18" s="498"/>
      <c r="E18" s="518"/>
      <c r="F18" s="518"/>
      <c r="G18" s="518"/>
      <c r="H18" s="713"/>
      <c r="I18" s="551"/>
      <c r="J18" s="551"/>
      <c r="K18" s="548"/>
      <c r="L18" s="713"/>
      <c r="M18" s="518" t="e">
        <f>RANK(K18, K$7:$K$21)</f>
        <v>#N/A</v>
      </c>
      <c r="N18" s="668"/>
      <c r="O18" s="668"/>
      <c r="P18" s="515"/>
      <c r="Q18" s="518"/>
      <c r="R18" s="518"/>
      <c r="S18" s="515" t="e">
        <f t="shared" si="9"/>
        <v>#N/A</v>
      </c>
      <c r="T18" s="715"/>
      <c r="U18" s="573"/>
      <c r="V18" s="574"/>
      <c r="W18" s="574"/>
      <c r="X18" s="515" t="e">
        <f t="shared" si="10"/>
        <v>#N/A</v>
      </c>
      <c r="Y18" s="715"/>
      <c r="Z18" s="573"/>
      <c r="AA18" s="574"/>
      <c r="AB18" s="574"/>
      <c r="AC18" s="515" t="e">
        <f t="shared" si="11"/>
        <v>#N/A</v>
      </c>
      <c r="AD18" s="715"/>
      <c r="AE18" s="573"/>
      <c r="AF18" s="574"/>
      <c r="AG18" s="574"/>
      <c r="AH18" s="515" t="e">
        <f t="shared" si="12"/>
        <v>#N/A</v>
      </c>
      <c r="AI18" s="715"/>
      <c r="AJ18" s="573"/>
      <c r="AK18" s="574"/>
      <c r="AL18" s="574"/>
      <c r="AM18" s="515" t="e">
        <f t="shared" si="13"/>
        <v>#N/A</v>
      </c>
      <c r="AN18" s="715"/>
      <c r="AO18" s="573"/>
      <c r="AP18" s="574"/>
      <c r="AQ18" s="574"/>
      <c r="AR18" s="515" t="e">
        <f t="shared" si="14"/>
        <v>#N/A</v>
      </c>
      <c r="AS18" s="715"/>
      <c r="AT18" s="573"/>
      <c r="AU18" s="574"/>
      <c r="AV18" s="574"/>
      <c r="AW18" s="515" t="e">
        <f t="shared" si="15"/>
        <v>#N/A</v>
      </c>
      <c r="AX18" s="715"/>
      <c r="AZ18" s="362" t="e">
        <f>RANK(AX18, $K$7:AX$21)</f>
        <v>#N/A</v>
      </c>
      <c r="BB18" s="359" t="e">
        <f t="shared" si="16"/>
        <v>#N/A</v>
      </c>
    </row>
    <row r="19" spans="2:54">
      <c r="B19" s="701"/>
      <c r="C19" s="515">
        <v>13</v>
      </c>
      <c r="D19" s="498"/>
      <c r="E19" s="518"/>
      <c r="F19" s="518"/>
      <c r="G19" s="518"/>
      <c r="H19" s="713"/>
      <c r="I19" s="518"/>
      <c r="J19" s="518"/>
      <c r="K19" s="513"/>
      <c r="L19" s="713"/>
      <c r="M19" s="518" t="e">
        <f>RANK(K19, K$7:$K$21)</f>
        <v>#N/A</v>
      </c>
      <c r="N19" s="668"/>
      <c r="O19" s="668"/>
      <c r="P19" s="515"/>
      <c r="Q19" s="518"/>
      <c r="R19" s="518"/>
      <c r="S19" s="515" t="e">
        <f t="shared" si="9"/>
        <v>#N/A</v>
      </c>
      <c r="T19" s="715"/>
      <c r="U19" s="573"/>
      <c r="V19" s="574"/>
      <c r="W19" s="574"/>
      <c r="X19" s="515" t="e">
        <f t="shared" si="10"/>
        <v>#N/A</v>
      </c>
      <c r="Y19" s="715"/>
      <c r="Z19" s="573"/>
      <c r="AA19" s="574"/>
      <c r="AB19" s="574"/>
      <c r="AC19" s="515" t="e">
        <f t="shared" si="11"/>
        <v>#N/A</v>
      </c>
      <c r="AD19" s="715"/>
      <c r="AE19" s="573"/>
      <c r="AF19" s="574"/>
      <c r="AG19" s="574"/>
      <c r="AH19" s="515" t="e">
        <f t="shared" si="12"/>
        <v>#N/A</v>
      </c>
      <c r="AI19" s="715"/>
      <c r="AJ19" s="573"/>
      <c r="AK19" s="574"/>
      <c r="AL19" s="574"/>
      <c r="AM19" s="515" t="e">
        <f t="shared" si="13"/>
        <v>#N/A</v>
      </c>
      <c r="AN19" s="715"/>
      <c r="AO19" s="573"/>
      <c r="AP19" s="574"/>
      <c r="AQ19" s="574"/>
      <c r="AR19" s="515" t="e">
        <f t="shared" si="14"/>
        <v>#N/A</v>
      </c>
      <c r="AS19" s="715"/>
      <c r="AT19" s="573"/>
      <c r="AU19" s="574"/>
      <c r="AV19" s="574"/>
      <c r="AW19" s="515" t="e">
        <f t="shared" si="15"/>
        <v>#N/A</v>
      </c>
      <c r="AX19" s="715"/>
      <c r="AZ19" s="362" t="e">
        <f>RANK(AX19, $K$7:AX$21)</f>
        <v>#N/A</v>
      </c>
      <c r="BB19" s="359" t="e">
        <f t="shared" si="16"/>
        <v>#N/A</v>
      </c>
    </row>
    <row r="20" spans="2:54">
      <c r="B20" s="701"/>
      <c r="C20" s="515">
        <v>14</v>
      </c>
      <c r="D20" s="498"/>
      <c r="E20" s="518"/>
      <c r="F20" s="518"/>
      <c r="G20" s="518"/>
      <c r="H20" s="713"/>
      <c r="I20" s="518"/>
      <c r="J20" s="518"/>
      <c r="K20" s="513"/>
      <c r="L20" s="713"/>
      <c r="M20" s="518" t="e">
        <f>RANK(K20, K$7:$K$21)</f>
        <v>#N/A</v>
      </c>
      <c r="N20" s="668"/>
      <c r="O20" s="668"/>
      <c r="P20" s="515"/>
      <c r="Q20" s="518"/>
      <c r="R20" s="518"/>
      <c r="S20" s="515" t="e">
        <f t="shared" si="9"/>
        <v>#N/A</v>
      </c>
      <c r="T20" s="715"/>
      <c r="U20" s="573"/>
      <c r="V20" s="574"/>
      <c r="W20" s="574"/>
      <c r="X20" s="515" t="e">
        <f t="shared" si="10"/>
        <v>#N/A</v>
      </c>
      <c r="Y20" s="715"/>
      <c r="Z20" s="573"/>
      <c r="AA20" s="574"/>
      <c r="AB20" s="574"/>
      <c r="AC20" s="515" t="e">
        <f t="shared" si="11"/>
        <v>#N/A</v>
      </c>
      <c r="AD20" s="715"/>
      <c r="AE20" s="573"/>
      <c r="AF20" s="574"/>
      <c r="AG20" s="574"/>
      <c r="AH20" s="515" t="e">
        <f t="shared" si="12"/>
        <v>#N/A</v>
      </c>
      <c r="AI20" s="715"/>
      <c r="AJ20" s="573"/>
      <c r="AK20" s="574"/>
      <c r="AL20" s="574"/>
      <c r="AM20" s="515" t="e">
        <f t="shared" si="13"/>
        <v>#N/A</v>
      </c>
      <c r="AN20" s="715"/>
      <c r="AO20" s="573"/>
      <c r="AP20" s="574"/>
      <c r="AQ20" s="574"/>
      <c r="AR20" s="515" t="e">
        <f t="shared" si="14"/>
        <v>#N/A</v>
      </c>
      <c r="AS20" s="715"/>
      <c r="AT20" s="573"/>
      <c r="AU20" s="574"/>
      <c r="AV20" s="574"/>
      <c r="AW20" s="515" t="e">
        <f t="shared" si="15"/>
        <v>#N/A</v>
      </c>
      <c r="AX20" s="715"/>
      <c r="AZ20" s="362" t="e">
        <f>RANK(AX20, $K$7:AX$21)</f>
        <v>#N/A</v>
      </c>
      <c r="BB20" s="359" t="e">
        <f t="shared" si="16"/>
        <v>#N/A</v>
      </c>
    </row>
    <row r="21" spans="2:54">
      <c r="B21" s="701"/>
      <c r="C21" s="515">
        <v>15</v>
      </c>
      <c r="D21" s="498"/>
      <c r="E21" s="518"/>
      <c r="F21" s="518"/>
      <c r="G21" s="518"/>
      <c r="H21" s="723"/>
      <c r="I21" s="518"/>
      <c r="J21" s="518"/>
      <c r="K21" s="513"/>
      <c r="L21" s="723"/>
      <c r="M21" s="518" t="e">
        <f>RANK(K21, K$7:$K$21)</f>
        <v>#N/A</v>
      </c>
      <c r="N21" s="668"/>
      <c r="O21" s="668"/>
      <c r="P21" s="515"/>
      <c r="Q21" s="518"/>
      <c r="R21" s="518"/>
      <c r="S21" s="515" t="e">
        <f t="shared" si="9"/>
        <v>#N/A</v>
      </c>
      <c r="T21" s="715"/>
      <c r="U21" s="573"/>
      <c r="V21" s="574"/>
      <c r="W21" s="574"/>
      <c r="X21" s="515" t="e">
        <f t="shared" si="10"/>
        <v>#N/A</v>
      </c>
      <c r="Y21" s="715"/>
      <c r="Z21" s="573"/>
      <c r="AA21" s="574"/>
      <c r="AB21" s="574"/>
      <c r="AC21" s="515" t="e">
        <f t="shared" si="11"/>
        <v>#N/A</v>
      </c>
      <c r="AD21" s="715"/>
      <c r="AE21" s="573"/>
      <c r="AF21" s="574"/>
      <c r="AG21" s="574"/>
      <c r="AH21" s="515" t="e">
        <f t="shared" si="12"/>
        <v>#N/A</v>
      </c>
      <c r="AI21" s="715"/>
      <c r="AJ21" s="573"/>
      <c r="AK21" s="574"/>
      <c r="AL21" s="574"/>
      <c r="AM21" s="515" t="e">
        <f t="shared" si="13"/>
        <v>#N/A</v>
      </c>
      <c r="AN21" s="715"/>
      <c r="AO21" s="573"/>
      <c r="AP21" s="574"/>
      <c r="AQ21" s="574"/>
      <c r="AR21" s="515" t="e">
        <f t="shared" si="14"/>
        <v>#N/A</v>
      </c>
      <c r="AS21" s="715"/>
      <c r="AT21" s="573"/>
      <c r="AU21" s="574"/>
      <c r="AV21" s="574"/>
      <c r="AW21" s="515" t="e">
        <f t="shared" si="15"/>
        <v>#N/A</v>
      </c>
      <c r="AX21" s="715"/>
      <c r="AZ21" s="361" t="e">
        <f>RANK(AX21, $K$7:AX$21)</f>
        <v>#N/A</v>
      </c>
      <c r="BB21" s="359" t="e">
        <f t="shared" si="16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69" t="s">
        <v>156</v>
      </c>
      <c r="O22" s="669" t="s">
        <v>105</v>
      </c>
      <c r="P22" s="675">
        <f>P2+7</f>
        <v>46091</v>
      </c>
      <c r="Q22" s="676"/>
      <c r="R22" s="676"/>
      <c r="S22" s="676"/>
      <c r="T22" s="676"/>
      <c r="U22" s="672">
        <f>P22+1</f>
        <v>46092</v>
      </c>
      <c r="V22" s="673"/>
      <c r="W22" s="673"/>
      <c r="X22" s="673"/>
      <c r="Y22" s="674"/>
      <c r="Z22" s="672">
        <f>U22+1</f>
        <v>46093</v>
      </c>
      <c r="AA22" s="673"/>
      <c r="AB22" s="673"/>
      <c r="AC22" s="673"/>
      <c r="AD22" s="674"/>
      <c r="AE22" s="672">
        <f>Z22+1</f>
        <v>46094</v>
      </c>
      <c r="AF22" s="673"/>
      <c r="AG22" s="673"/>
      <c r="AH22" s="673"/>
      <c r="AI22" s="674"/>
      <c r="AJ22" s="672">
        <f>AE22+1</f>
        <v>46095</v>
      </c>
      <c r="AK22" s="673"/>
      <c r="AL22" s="673"/>
      <c r="AM22" s="673"/>
      <c r="AN22" s="674"/>
      <c r="AO22" s="672">
        <f>AJ22+1</f>
        <v>46096</v>
      </c>
      <c r="AP22" s="673"/>
      <c r="AQ22" s="673"/>
      <c r="AR22" s="673"/>
      <c r="AS22" s="674"/>
      <c r="AT22" s="672">
        <f>AO22+1</f>
        <v>46097</v>
      </c>
      <c r="AU22" s="673"/>
      <c r="AV22" s="673"/>
      <c r="AW22" s="673"/>
      <c r="AX22" s="674"/>
    </row>
    <row r="23" spans="2:54" ht="15.75">
      <c r="B23" s="683"/>
      <c r="C23" s="683"/>
      <c r="D23" s="683"/>
      <c r="E23" s="683"/>
      <c r="F23" s="683"/>
      <c r="G23" s="683"/>
      <c r="H23" s="683"/>
      <c r="I23" s="205"/>
      <c r="J23" s="205"/>
      <c r="K23" s="205"/>
      <c r="L23" s="205"/>
      <c r="M23" s="206"/>
      <c r="N23" s="671"/>
      <c r="O23" s="671"/>
      <c r="P23" s="675" t="s">
        <v>336</v>
      </c>
      <c r="Q23" s="676"/>
      <c r="R23" s="676"/>
      <c r="S23" s="676"/>
      <c r="T23" s="676"/>
      <c r="U23" s="675" t="s">
        <v>337</v>
      </c>
      <c r="V23" s="676"/>
      <c r="W23" s="676"/>
      <c r="X23" s="676"/>
      <c r="Y23" s="676"/>
      <c r="Z23" s="675" t="s">
        <v>338</v>
      </c>
      <c r="AA23" s="676"/>
      <c r="AB23" s="676"/>
      <c r="AC23" s="676"/>
      <c r="AD23" s="676"/>
      <c r="AE23" s="675" t="s">
        <v>339</v>
      </c>
      <c r="AF23" s="676"/>
      <c r="AG23" s="676"/>
      <c r="AH23" s="676"/>
      <c r="AI23" s="676"/>
      <c r="AJ23" s="675" t="s">
        <v>340</v>
      </c>
      <c r="AK23" s="676"/>
      <c r="AL23" s="676"/>
      <c r="AM23" s="676"/>
      <c r="AN23" s="676"/>
      <c r="AO23" s="675" t="s">
        <v>341</v>
      </c>
      <c r="AP23" s="676"/>
      <c r="AQ23" s="676"/>
      <c r="AR23" s="676"/>
      <c r="AS23" s="676"/>
      <c r="AT23" s="675" t="s">
        <v>342</v>
      </c>
      <c r="AU23" s="676"/>
      <c r="AV23" s="676"/>
      <c r="AW23" s="676"/>
      <c r="AX23" s="676"/>
    </row>
    <row r="24" spans="2:54">
      <c r="B24" s="668" t="s">
        <v>419</v>
      </c>
      <c r="C24" s="668" t="s">
        <v>429</v>
      </c>
      <c r="D24" s="668"/>
      <c r="E24" s="668" t="s">
        <v>420</v>
      </c>
      <c r="F24" s="668"/>
      <c r="G24" s="668"/>
      <c r="H24" s="684" t="s">
        <v>416</v>
      </c>
      <c r="I24" s="652" t="s">
        <v>421</v>
      </c>
      <c r="J24" s="652"/>
      <c r="K24" s="652"/>
      <c r="L24" s="653" t="s">
        <v>416</v>
      </c>
      <c r="M24" s="659" t="s">
        <v>417</v>
      </c>
      <c r="N24" s="668"/>
      <c r="O24" s="668" t="s">
        <v>422</v>
      </c>
      <c r="P24" s="665" t="s">
        <v>862</v>
      </c>
      <c r="Q24" s="666"/>
      <c r="R24" s="666"/>
      <c r="S24" s="667"/>
      <c r="T24" s="668" t="s">
        <v>858</v>
      </c>
      <c r="U24" s="665" t="s">
        <v>862</v>
      </c>
      <c r="V24" s="666"/>
      <c r="W24" s="666"/>
      <c r="X24" s="667"/>
      <c r="Y24" s="668" t="s">
        <v>858</v>
      </c>
      <c r="Z24" s="665" t="s">
        <v>862</v>
      </c>
      <c r="AA24" s="666"/>
      <c r="AB24" s="666"/>
      <c r="AC24" s="667"/>
      <c r="AD24" s="668" t="s">
        <v>858</v>
      </c>
      <c r="AE24" s="665" t="s">
        <v>862</v>
      </c>
      <c r="AF24" s="666"/>
      <c r="AG24" s="666"/>
      <c r="AH24" s="667"/>
      <c r="AI24" s="668" t="s">
        <v>858</v>
      </c>
      <c r="AJ24" s="665" t="s">
        <v>862</v>
      </c>
      <c r="AK24" s="666"/>
      <c r="AL24" s="666"/>
      <c r="AM24" s="667"/>
      <c r="AN24" s="668" t="s">
        <v>858</v>
      </c>
      <c r="AO24" s="665" t="s">
        <v>862</v>
      </c>
      <c r="AP24" s="666"/>
      <c r="AQ24" s="666"/>
      <c r="AR24" s="667"/>
      <c r="AS24" s="668" t="s">
        <v>858</v>
      </c>
      <c r="AT24" s="665" t="s">
        <v>862</v>
      </c>
      <c r="AU24" s="666"/>
      <c r="AV24" s="666"/>
      <c r="AW24" s="667"/>
      <c r="AX24" s="668" t="s">
        <v>858</v>
      </c>
    </row>
    <row r="25" spans="2:54">
      <c r="B25" s="668"/>
      <c r="C25" s="668"/>
      <c r="D25" s="668"/>
      <c r="E25" s="668" t="s">
        <v>423</v>
      </c>
      <c r="F25" s="668"/>
      <c r="G25" s="668"/>
      <c r="H25" s="685"/>
      <c r="I25" s="652" t="s">
        <v>423</v>
      </c>
      <c r="J25" s="652"/>
      <c r="K25" s="652"/>
      <c r="L25" s="654"/>
      <c r="M25" s="660"/>
      <c r="N25" s="668"/>
      <c r="O25" s="668"/>
      <c r="P25" s="665" t="s">
        <v>864</v>
      </c>
      <c r="Q25" s="666"/>
      <c r="R25" s="666"/>
      <c r="S25" s="667"/>
      <c r="T25" s="668"/>
      <c r="U25" s="665" t="s">
        <v>864</v>
      </c>
      <c r="V25" s="666"/>
      <c r="W25" s="666"/>
      <c r="X25" s="667"/>
      <c r="Y25" s="668"/>
      <c r="Z25" s="665" t="s">
        <v>864</v>
      </c>
      <c r="AA25" s="666"/>
      <c r="AB25" s="666"/>
      <c r="AC25" s="667"/>
      <c r="AD25" s="668"/>
      <c r="AE25" s="665" t="s">
        <v>864</v>
      </c>
      <c r="AF25" s="666"/>
      <c r="AG25" s="666"/>
      <c r="AH25" s="667"/>
      <c r="AI25" s="668"/>
      <c r="AJ25" s="665" t="s">
        <v>864</v>
      </c>
      <c r="AK25" s="666"/>
      <c r="AL25" s="666"/>
      <c r="AM25" s="667"/>
      <c r="AN25" s="668"/>
      <c r="AO25" s="665" t="s">
        <v>864</v>
      </c>
      <c r="AP25" s="666"/>
      <c r="AQ25" s="666"/>
      <c r="AR25" s="667"/>
      <c r="AS25" s="668"/>
      <c r="AT25" s="665" t="s">
        <v>864</v>
      </c>
      <c r="AU25" s="666"/>
      <c r="AV25" s="666"/>
      <c r="AW25" s="667"/>
      <c r="AX25" s="668"/>
    </row>
    <row r="26" spans="2:54">
      <c r="B26" s="668"/>
      <c r="C26" s="668"/>
      <c r="D26" s="668"/>
      <c r="E26" s="308" t="s">
        <v>425</v>
      </c>
      <c r="F26" s="308" t="s">
        <v>426</v>
      </c>
      <c r="G26" s="308" t="s">
        <v>427</v>
      </c>
      <c r="H26" s="686"/>
      <c r="I26" s="307" t="s">
        <v>425</v>
      </c>
      <c r="J26" s="307" t="s">
        <v>426</v>
      </c>
      <c r="K26" s="307" t="s">
        <v>427</v>
      </c>
      <c r="L26" s="655"/>
      <c r="M26" s="661"/>
      <c r="N26" s="668"/>
      <c r="O26" s="668"/>
      <c r="P26" s="521" t="s">
        <v>865</v>
      </c>
      <c r="Q26" s="521" t="s">
        <v>866</v>
      </c>
      <c r="R26" s="521" t="s">
        <v>867</v>
      </c>
      <c r="S26" s="521" t="s">
        <v>860</v>
      </c>
      <c r="T26" s="668"/>
      <c r="U26" s="521" t="s">
        <v>865</v>
      </c>
      <c r="V26" s="521" t="s">
        <v>866</v>
      </c>
      <c r="W26" s="521" t="s">
        <v>867</v>
      </c>
      <c r="X26" s="521" t="s">
        <v>860</v>
      </c>
      <c r="Y26" s="668"/>
      <c r="Z26" s="521" t="s">
        <v>865</v>
      </c>
      <c r="AA26" s="521" t="s">
        <v>866</v>
      </c>
      <c r="AB26" s="521" t="s">
        <v>867</v>
      </c>
      <c r="AC26" s="521" t="s">
        <v>860</v>
      </c>
      <c r="AD26" s="668"/>
      <c r="AE26" s="521" t="s">
        <v>865</v>
      </c>
      <c r="AF26" s="521" t="s">
        <v>866</v>
      </c>
      <c r="AG26" s="521" t="s">
        <v>867</v>
      </c>
      <c r="AH26" s="521" t="s">
        <v>860</v>
      </c>
      <c r="AI26" s="668"/>
      <c r="AJ26" s="521" t="s">
        <v>865</v>
      </c>
      <c r="AK26" s="521" t="s">
        <v>866</v>
      </c>
      <c r="AL26" s="521" t="s">
        <v>867</v>
      </c>
      <c r="AM26" s="521" t="s">
        <v>860</v>
      </c>
      <c r="AN26" s="668"/>
      <c r="AO26" s="521" t="s">
        <v>865</v>
      </c>
      <c r="AP26" s="521" t="s">
        <v>866</v>
      </c>
      <c r="AQ26" s="521" t="s">
        <v>867</v>
      </c>
      <c r="AR26" s="521" t="s">
        <v>860</v>
      </c>
      <c r="AS26" s="668"/>
      <c r="AT26" s="521" t="s">
        <v>865</v>
      </c>
      <c r="AU26" s="521" t="s">
        <v>866</v>
      </c>
      <c r="AV26" s="521" t="s">
        <v>867</v>
      </c>
      <c r="AW26" s="521" t="s">
        <v>860</v>
      </c>
      <c r="AX26" s="668"/>
    </row>
    <row r="27" spans="2:54">
      <c r="B27" s="716" t="s">
        <v>428</v>
      </c>
      <c r="C27" s="309">
        <v>1</v>
      </c>
      <c r="D27" s="227" t="s">
        <v>387</v>
      </c>
      <c r="E27" s="182">
        <v>4</v>
      </c>
      <c r="F27" s="569">
        <v>2000</v>
      </c>
      <c r="G27" s="570">
        <v>500</v>
      </c>
      <c r="H27" s="717">
        <f>AVERAGE(G27:G41)</f>
        <v>293.66060606060603</v>
      </c>
      <c r="I27" s="199">
        <f>AVERAGE(P27,U27,Z27,AE27,AJ27,AO27,AT27)</f>
        <v>5</v>
      </c>
      <c r="J27" s="199">
        <f>AVERAGE(Q27,V27,AA27,AF27,AK27,AP27,AU27)</f>
        <v>2143.3134134691463</v>
      </c>
      <c r="K27" s="200">
        <f>AVERAGE(R27,W27,AB27,AG27,AL27,AQ27,AV27)</f>
        <v>428.66268269382925</v>
      </c>
      <c r="L27" s="649">
        <f>IFERROR(AVERAGE(K27:K41),"-")</f>
        <v>257.13547105609547</v>
      </c>
      <c r="M27" s="201">
        <f>RANK(K27, K$27:$K$41)</f>
        <v>1</v>
      </c>
      <c r="N27" s="668"/>
      <c r="O27" s="668"/>
      <c r="P27" s="573">
        <v>5</v>
      </c>
      <c r="Q27" s="574">
        <v>2129.1428571428578</v>
      </c>
      <c r="R27" s="574">
        <v>425.82857142857154</v>
      </c>
      <c r="S27" s="522">
        <f>RANK(R27, R$27:R$41)</f>
        <v>2</v>
      </c>
      <c r="T27" s="690">
        <f>AVERAGE(R27:R41)</f>
        <v>258.09108584762453</v>
      </c>
      <c r="U27" s="573">
        <v>5</v>
      </c>
      <c r="V27" s="574">
        <v>2147.8124999999995</v>
      </c>
      <c r="W27" s="574">
        <v>429.56249999999989</v>
      </c>
      <c r="X27" s="522">
        <f>RANK(W27, W$27:W$41)</f>
        <v>1</v>
      </c>
      <c r="Y27" s="690">
        <f>AVERAGE(W27:W41)</f>
        <v>252.15197439556698</v>
      </c>
      <c r="Z27" s="573">
        <v>5</v>
      </c>
      <c r="AA27" s="574">
        <v>2125.3124999999995</v>
      </c>
      <c r="AB27" s="574">
        <v>425.06249999999989</v>
      </c>
      <c r="AC27" s="522">
        <f>RANK(AB27, AB$27:AB$41)</f>
        <v>2</v>
      </c>
      <c r="AD27" s="690">
        <f>AVERAGE(AB27:AB41)</f>
        <v>266.22365911989084</v>
      </c>
      <c r="AE27" s="573">
        <v>5</v>
      </c>
      <c r="AF27" s="574">
        <v>2143.0188679245293</v>
      </c>
      <c r="AG27" s="574">
        <v>428.60377358490587</v>
      </c>
      <c r="AH27" s="522">
        <f>RANK(AG27, AG$27:AG$41)</f>
        <v>1</v>
      </c>
      <c r="AI27" s="690">
        <f>AVERAGE(AG27:AG41)</f>
        <v>265.79410458692359</v>
      </c>
      <c r="AJ27" s="573">
        <v>5</v>
      </c>
      <c r="AK27" s="574">
        <v>2167.2413793103433</v>
      </c>
      <c r="AL27" s="574">
        <v>433.44827586206867</v>
      </c>
      <c r="AM27" s="522">
        <f>RANK(AL27, AL$27:AL$41)</f>
        <v>1</v>
      </c>
      <c r="AN27" s="690">
        <f>AVERAGE(AL27:AL41)</f>
        <v>267.95064496976056</v>
      </c>
      <c r="AO27" s="573">
        <v>5</v>
      </c>
      <c r="AP27" s="574">
        <v>2149.3670886075938</v>
      </c>
      <c r="AQ27" s="574">
        <v>429.87341772151876</v>
      </c>
      <c r="AR27" s="579">
        <f>RANK(AQ27, AQ$27:AQ$41)</f>
        <v>1</v>
      </c>
      <c r="AS27" s="690">
        <f>AVERAGE(AQ27:AQ41)</f>
        <v>266.07195878870567</v>
      </c>
      <c r="AT27" s="573">
        <v>5</v>
      </c>
      <c r="AU27" s="574">
        <v>2141.2987012987019</v>
      </c>
      <c r="AV27" s="574">
        <v>428.2597402597404</v>
      </c>
      <c r="AW27" s="579">
        <f>RANK(AV27, AV$27:AV$41)</f>
        <v>3</v>
      </c>
      <c r="AX27" s="690">
        <f>AVERAGE(AV27:AV41)</f>
        <v>272.75949343703712</v>
      </c>
    </row>
    <row r="28" spans="2:54">
      <c r="B28" s="676"/>
      <c r="C28" s="309">
        <v>2</v>
      </c>
      <c r="D28" s="227" t="s">
        <v>500</v>
      </c>
      <c r="E28" s="182">
        <v>4</v>
      </c>
      <c r="F28" s="569">
        <v>2000</v>
      </c>
      <c r="G28" s="570">
        <v>500</v>
      </c>
      <c r="H28" s="718"/>
      <c r="I28" s="199">
        <f t="shared" ref="I28:I36" si="17">AVERAGE(P28,U28,Z28,AE28,AJ28,AO28,AT28)</f>
        <v>5</v>
      </c>
      <c r="J28" s="199">
        <f t="shared" ref="J28:J36" si="18">AVERAGE(Q28,V28,AA28,AF28,AK28,AP28,AU28)</f>
        <v>2137.0758582483459</v>
      </c>
      <c r="K28" s="200">
        <f t="shared" ref="K28:K36" si="19">AVERAGE(R28,W28,AB28,AG28,AL28,AQ28,AV28)</f>
        <v>427.41517164966916</v>
      </c>
      <c r="L28" s="650"/>
      <c r="M28" s="201">
        <f>RANK(K28, K$27:$K$41)</f>
        <v>2</v>
      </c>
      <c r="N28" s="668"/>
      <c r="O28" s="668"/>
      <c r="P28" s="573">
        <v>5</v>
      </c>
      <c r="Q28" s="574">
        <v>2162.8125000000009</v>
      </c>
      <c r="R28" s="574">
        <v>432.56250000000017</v>
      </c>
      <c r="S28" s="522">
        <f t="shared" ref="S28:S41" si="20">RANK(R28, R$27:R$41)</f>
        <v>1</v>
      </c>
      <c r="T28" s="690"/>
      <c r="U28" s="573">
        <v>5</v>
      </c>
      <c r="V28" s="574">
        <v>2123.4374999999995</v>
      </c>
      <c r="W28" s="574">
        <v>424.68749999999989</v>
      </c>
      <c r="X28" s="522">
        <f t="shared" ref="X28:X40" si="21">RANK(W28, W$27:W$41)</f>
        <v>3</v>
      </c>
      <c r="Y28" s="690"/>
      <c r="Z28" s="573">
        <v>5</v>
      </c>
      <c r="AA28" s="574">
        <v>2138.3606557377043</v>
      </c>
      <c r="AB28" s="574">
        <v>427.67213114754088</v>
      </c>
      <c r="AC28" s="522">
        <f t="shared" ref="AC28:AC40" si="22">RANK(AB28, AB$27:AB$41)</f>
        <v>1</v>
      </c>
      <c r="AD28" s="690"/>
      <c r="AE28" s="573">
        <v>5</v>
      </c>
      <c r="AF28" s="574">
        <v>2123.5294117647068</v>
      </c>
      <c r="AG28" s="574">
        <v>424.70588235294133</v>
      </c>
      <c r="AH28" s="522">
        <f t="shared" ref="AH28:AH40" si="23">RANK(AG28, AG$27:AG$41)</f>
        <v>3</v>
      </c>
      <c r="AI28" s="690"/>
      <c r="AJ28" s="573">
        <v>5</v>
      </c>
      <c r="AK28" s="574">
        <v>2131.9999999999991</v>
      </c>
      <c r="AL28" s="574">
        <v>426.39999999999981</v>
      </c>
      <c r="AM28" s="522">
        <f t="shared" ref="AM28:AM40" si="24">RANK(AL28, AL$27:AL$41)</f>
        <v>3</v>
      </c>
      <c r="AN28" s="690"/>
      <c r="AO28" s="573">
        <v>5</v>
      </c>
      <c r="AP28" s="574">
        <v>2121.0810810810817</v>
      </c>
      <c r="AQ28" s="574">
        <v>424.21621621621637</v>
      </c>
      <c r="AR28" s="579">
        <f t="shared" ref="AR28:AR40" si="25">RANK(AQ28, AQ$27:AQ$41)</f>
        <v>2</v>
      </c>
      <c r="AS28" s="690"/>
      <c r="AT28" s="573">
        <v>5</v>
      </c>
      <c r="AU28" s="574">
        <v>2158.3098591549301</v>
      </c>
      <c r="AV28" s="574">
        <v>431.66197183098603</v>
      </c>
      <c r="AW28" s="579">
        <f t="shared" ref="AW28:AW40" si="26">RANK(AV28, AV$27:AV$41)</f>
        <v>2</v>
      </c>
      <c r="AX28" s="690"/>
    </row>
    <row r="29" spans="2:54">
      <c r="B29" s="676"/>
      <c r="C29" s="309">
        <v>3</v>
      </c>
      <c r="D29" s="227" t="s">
        <v>388</v>
      </c>
      <c r="E29" s="182">
        <v>13</v>
      </c>
      <c r="F29" s="569">
        <v>2250</v>
      </c>
      <c r="G29" s="570">
        <v>173.1</v>
      </c>
      <c r="H29" s="718"/>
      <c r="I29" s="199">
        <f t="shared" si="17"/>
        <v>13</v>
      </c>
      <c r="J29" s="199">
        <f t="shared" si="18"/>
        <v>2076.773399014779</v>
      </c>
      <c r="K29" s="200">
        <f t="shared" si="19"/>
        <v>159.75179992421377</v>
      </c>
      <c r="L29" s="650"/>
      <c r="M29" s="201">
        <f>RANK(K29, K$27:$K$41)</f>
        <v>10</v>
      </c>
      <c r="N29" s="668"/>
      <c r="O29" s="668"/>
      <c r="P29" s="573">
        <v>13</v>
      </c>
      <c r="Q29" s="574">
        <v>2062.8571428571436</v>
      </c>
      <c r="R29" s="574">
        <v>158.68131868131874</v>
      </c>
      <c r="S29" s="522">
        <f t="shared" si="20"/>
        <v>10</v>
      </c>
      <c r="T29" s="690"/>
      <c r="U29" s="573">
        <v>13</v>
      </c>
      <c r="V29" s="574">
        <v>2090.6896551724144</v>
      </c>
      <c r="W29" s="574">
        <v>160.8222811671088</v>
      </c>
      <c r="X29" s="522">
        <f t="shared" si="21"/>
        <v>10</v>
      </c>
      <c r="Y29" s="690"/>
      <c r="Z29" s="573" t="s">
        <v>760</v>
      </c>
      <c r="AA29" s="574" t="s">
        <v>760</v>
      </c>
      <c r="AB29" s="574" t="s">
        <v>760</v>
      </c>
      <c r="AC29" s="522" t="e">
        <f t="shared" si="22"/>
        <v>#VALUE!</v>
      </c>
      <c r="AD29" s="690"/>
      <c r="AE29" s="573" t="s">
        <v>760</v>
      </c>
      <c r="AF29" s="574" t="s">
        <v>760</v>
      </c>
      <c r="AG29" s="574" t="s">
        <v>760</v>
      </c>
      <c r="AH29" s="522" t="e">
        <f t="shared" si="23"/>
        <v>#VALUE!</v>
      </c>
      <c r="AI29" s="690"/>
      <c r="AJ29" s="573" t="s">
        <v>760</v>
      </c>
      <c r="AK29" s="574" t="s">
        <v>760</v>
      </c>
      <c r="AL29" s="574" t="s">
        <v>760</v>
      </c>
      <c r="AM29" s="522" t="e">
        <f t="shared" si="24"/>
        <v>#VALUE!</v>
      </c>
      <c r="AN29" s="690"/>
      <c r="AO29" s="573" t="s">
        <v>760</v>
      </c>
      <c r="AP29" s="574" t="s">
        <v>760</v>
      </c>
      <c r="AQ29" s="574" t="s">
        <v>760</v>
      </c>
      <c r="AR29" s="579" t="e">
        <f t="shared" si="25"/>
        <v>#VALUE!</v>
      </c>
      <c r="AS29" s="690"/>
      <c r="AT29" s="573" t="s">
        <v>760</v>
      </c>
      <c r="AU29" s="574" t="s">
        <v>760</v>
      </c>
      <c r="AV29" s="574" t="s">
        <v>760</v>
      </c>
      <c r="AW29" s="579" t="e">
        <f t="shared" si="26"/>
        <v>#VALUE!</v>
      </c>
      <c r="AX29" s="690"/>
    </row>
    <row r="30" spans="2:54">
      <c r="B30" s="676"/>
      <c r="C30" s="309">
        <v>4</v>
      </c>
      <c r="D30" s="227" t="s">
        <v>389</v>
      </c>
      <c r="E30" s="182">
        <v>12</v>
      </c>
      <c r="F30" s="569">
        <v>2118</v>
      </c>
      <c r="G30" s="570">
        <v>176.5</v>
      </c>
      <c r="H30" s="718"/>
      <c r="I30" s="199">
        <f t="shared" si="17"/>
        <v>12</v>
      </c>
      <c r="J30" s="199">
        <f t="shared" si="18"/>
        <v>1957.0271795512733</v>
      </c>
      <c r="K30" s="200">
        <f t="shared" si="19"/>
        <v>163.08559829593943</v>
      </c>
      <c r="L30" s="650"/>
      <c r="M30" s="201">
        <f>RANK(K30, K$27:$K$41)</f>
        <v>9</v>
      </c>
      <c r="N30" s="668"/>
      <c r="O30" s="668"/>
      <c r="P30" s="573">
        <v>12</v>
      </c>
      <c r="Q30" s="574">
        <v>1971.4285714285709</v>
      </c>
      <c r="R30" s="574">
        <v>164.28571428571425</v>
      </c>
      <c r="S30" s="522">
        <f t="shared" si="20"/>
        <v>7</v>
      </c>
      <c r="T30" s="690"/>
      <c r="U30" s="573">
        <v>12</v>
      </c>
      <c r="V30" s="574">
        <v>1967.4626865671653</v>
      </c>
      <c r="W30" s="574">
        <v>163.95522388059712</v>
      </c>
      <c r="X30" s="522">
        <f t="shared" si="21"/>
        <v>9</v>
      </c>
      <c r="Y30" s="690"/>
      <c r="Z30" s="573">
        <v>12</v>
      </c>
      <c r="AA30" s="574">
        <v>1960.2985074626868</v>
      </c>
      <c r="AB30" s="574">
        <v>163.35820895522389</v>
      </c>
      <c r="AC30" s="522">
        <f t="shared" si="22"/>
        <v>9</v>
      </c>
      <c r="AD30" s="690"/>
      <c r="AE30" s="573">
        <v>12</v>
      </c>
      <c r="AF30" s="574">
        <v>1949.0000000000005</v>
      </c>
      <c r="AG30" s="574">
        <v>162.41666666666671</v>
      </c>
      <c r="AH30" s="522">
        <f t="shared" si="23"/>
        <v>9</v>
      </c>
      <c r="AI30" s="690"/>
      <c r="AJ30" s="573">
        <v>12</v>
      </c>
      <c r="AK30" s="574">
        <v>1935.4545454545455</v>
      </c>
      <c r="AL30" s="574">
        <v>161.28787878787878</v>
      </c>
      <c r="AM30" s="522">
        <f t="shared" si="24"/>
        <v>9</v>
      </c>
      <c r="AN30" s="690"/>
      <c r="AO30" s="573">
        <v>12</v>
      </c>
      <c r="AP30" s="574">
        <v>1945.9459459459456</v>
      </c>
      <c r="AQ30" s="574">
        <v>162.16216216216213</v>
      </c>
      <c r="AR30" s="579">
        <f t="shared" si="25"/>
        <v>9</v>
      </c>
      <c r="AS30" s="690"/>
      <c r="AT30" s="573">
        <v>12</v>
      </c>
      <c r="AU30" s="574">
        <v>1969.5999999999997</v>
      </c>
      <c r="AV30" s="574">
        <v>164.1333333333333</v>
      </c>
      <c r="AW30" s="579">
        <f t="shared" si="26"/>
        <v>9</v>
      </c>
      <c r="AX30" s="690"/>
    </row>
    <row r="31" spans="2:54">
      <c r="B31" s="676"/>
      <c r="C31" s="309">
        <v>5</v>
      </c>
      <c r="D31" s="227" t="s">
        <v>925</v>
      </c>
      <c r="E31" s="182">
        <v>13</v>
      </c>
      <c r="F31" s="569">
        <v>2250</v>
      </c>
      <c r="G31" s="570">
        <v>187.5</v>
      </c>
      <c r="H31" s="718"/>
      <c r="I31" s="199">
        <f t="shared" si="17"/>
        <v>13</v>
      </c>
      <c r="J31" s="199">
        <f t="shared" si="18"/>
        <v>2150.2361463689517</v>
      </c>
      <c r="K31" s="200">
        <f t="shared" si="19"/>
        <v>165.40278048991937</v>
      </c>
      <c r="L31" s="650"/>
      <c r="M31" s="201">
        <f>RANK(K31, K$27:$K$41)</f>
        <v>7</v>
      </c>
      <c r="N31" s="668"/>
      <c r="O31" s="668"/>
      <c r="P31" s="573">
        <v>13</v>
      </c>
      <c r="Q31" s="574">
        <v>2128.6363636363635</v>
      </c>
      <c r="R31" s="574">
        <v>163.74125874125872</v>
      </c>
      <c r="S31" s="522">
        <f t="shared" si="20"/>
        <v>8</v>
      </c>
      <c r="T31" s="690"/>
      <c r="U31" s="573">
        <v>13</v>
      </c>
      <c r="V31" s="574">
        <v>2152.9411764705892</v>
      </c>
      <c r="W31" s="574">
        <v>165.61085972850685</v>
      </c>
      <c r="X31" s="522">
        <f t="shared" si="21"/>
        <v>7</v>
      </c>
      <c r="Y31" s="690"/>
      <c r="Z31" s="573">
        <v>13</v>
      </c>
      <c r="AA31" s="574">
        <v>2133.4883720930229</v>
      </c>
      <c r="AB31" s="574">
        <v>164.11449016100175</v>
      </c>
      <c r="AC31" s="522">
        <f t="shared" si="22"/>
        <v>8</v>
      </c>
      <c r="AD31" s="690"/>
      <c r="AE31" s="573">
        <v>13</v>
      </c>
      <c r="AF31" s="574">
        <v>2138.1081081081079</v>
      </c>
      <c r="AG31" s="574">
        <v>164.46985446985445</v>
      </c>
      <c r="AH31" s="522">
        <f t="shared" si="23"/>
        <v>8</v>
      </c>
      <c r="AI31" s="690"/>
      <c r="AJ31" s="573">
        <v>13</v>
      </c>
      <c r="AK31" s="574">
        <v>2176.0975609756101</v>
      </c>
      <c r="AL31" s="574">
        <v>167.39212007504693</v>
      </c>
      <c r="AM31" s="522">
        <f t="shared" si="24"/>
        <v>7</v>
      </c>
      <c r="AN31" s="690"/>
      <c r="AO31" s="573">
        <v>13</v>
      </c>
      <c r="AP31" s="574">
        <v>2163</v>
      </c>
      <c r="AQ31" s="574">
        <v>166.38461538461539</v>
      </c>
      <c r="AR31" s="579">
        <f t="shared" si="25"/>
        <v>7</v>
      </c>
      <c r="AS31" s="690"/>
      <c r="AT31" s="573">
        <v>13</v>
      </c>
      <c r="AU31" s="574">
        <v>2159.3814432989689</v>
      </c>
      <c r="AV31" s="574">
        <v>166.10626486915146</v>
      </c>
      <c r="AW31" s="579">
        <f t="shared" si="26"/>
        <v>7</v>
      </c>
      <c r="AX31" s="690"/>
    </row>
    <row r="32" spans="2:54">
      <c r="B32" s="676"/>
      <c r="C32" s="309">
        <v>6</v>
      </c>
      <c r="D32" s="227" t="s">
        <v>390</v>
      </c>
      <c r="E32" s="182">
        <v>13</v>
      </c>
      <c r="F32" s="569">
        <v>2250</v>
      </c>
      <c r="G32" s="570">
        <v>173.1</v>
      </c>
      <c r="H32" s="718"/>
      <c r="I32" s="199">
        <f t="shared" si="17"/>
        <v>13</v>
      </c>
      <c r="J32" s="199">
        <f t="shared" si="18"/>
        <v>2143.6647573224209</v>
      </c>
      <c r="K32" s="200">
        <f t="shared" si="19"/>
        <v>164.89728902480164</v>
      </c>
      <c r="L32" s="650"/>
      <c r="M32" s="201">
        <f>RANK(K32, K$27:$K$41)</f>
        <v>8</v>
      </c>
      <c r="N32" s="668"/>
      <c r="O32" s="668"/>
      <c r="P32" s="573">
        <v>13</v>
      </c>
      <c r="Q32" s="574">
        <v>2122.3008849557523</v>
      </c>
      <c r="R32" s="574">
        <v>163.25391422736556</v>
      </c>
      <c r="S32" s="522">
        <f t="shared" si="20"/>
        <v>9</v>
      </c>
      <c r="T32" s="690"/>
      <c r="U32" s="573">
        <v>13</v>
      </c>
      <c r="V32" s="574">
        <v>2152.0754716981137</v>
      </c>
      <c r="W32" s="574">
        <v>165.54426705370105</v>
      </c>
      <c r="X32" s="522">
        <f t="shared" si="21"/>
        <v>8</v>
      </c>
      <c r="Y32" s="690"/>
      <c r="Z32" s="573">
        <v>13</v>
      </c>
      <c r="AA32" s="574">
        <v>2138.2352941176459</v>
      </c>
      <c r="AB32" s="574">
        <v>164.47963800904969</v>
      </c>
      <c r="AC32" s="522">
        <f t="shared" si="22"/>
        <v>7</v>
      </c>
      <c r="AD32" s="690"/>
      <c r="AE32" s="573">
        <v>13</v>
      </c>
      <c r="AF32" s="574">
        <v>2141.2499999999995</v>
      </c>
      <c r="AG32" s="574">
        <v>164.71153846153842</v>
      </c>
      <c r="AH32" s="522">
        <f t="shared" si="23"/>
        <v>7</v>
      </c>
      <c r="AI32" s="690"/>
      <c r="AJ32" s="573">
        <v>13</v>
      </c>
      <c r="AK32" s="574">
        <v>2139.6116504854367</v>
      </c>
      <c r="AL32" s="574">
        <v>164.58551157580283</v>
      </c>
      <c r="AM32" s="522">
        <f t="shared" si="24"/>
        <v>8</v>
      </c>
      <c r="AN32" s="690"/>
      <c r="AO32" s="573">
        <v>13</v>
      </c>
      <c r="AP32" s="574">
        <v>2155.6800000000003</v>
      </c>
      <c r="AQ32" s="574">
        <v>165.82153846153849</v>
      </c>
      <c r="AR32" s="579">
        <f t="shared" si="25"/>
        <v>8</v>
      </c>
      <c r="AS32" s="690"/>
      <c r="AT32" s="573">
        <v>13</v>
      </c>
      <c r="AU32" s="574">
        <v>2156.5</v>
      </c>
      <c r="AV32" s="574">
        <v>165.88461538461539</v>
      </c>
      <c r="AW32" s="579">
        <f t="shared" si="26"/>
        <v>8</v>
      </c>
      <c r="AX32" s="690"/>
    </row>
    <row r="33" spans="2:50">
      <c r="B33" s="676"/>
      <c r="C33" s="309">
        <v>7</v>
      </c>
      <c r="D33" s="227" t="s">
        <v>391</v>
      </c>
      <c r="E33" s="182">
        <v>10</v>
      </c>
      <c r="F33" s="569">
        <v>2769</v>
      </c>
      <c r="G33" s="570">
        <v>276.89999999999998</v>
      </c>
      <c r="H33" s="718"/>
      <c r="I33" s="199">
        <f t="shared" si="17"/>
        <v>10</v>
      </c>
      <c r="J33" s="199">
        <f t="shared" si="18"/>
        <v>2294.2611084850805</v>
      </c>
      <c r="K33" s="200">
        <f t="shared" si="19"/>
        <v>229.42611084850799</v>
      </c>
      <c r="L33" s="650"/>
      <c r="M33" s="201">
        <f>RANK(K33, K$27:$K$41)</f>
        <v>5</v>
      </c>
      <c r="N33" s="668"/>
      <c r="O33" s="668"/>
      <c r="P33" s="573">
        <v>10</v>
      </c>
      <c r="Q33" s="574">
        <v>2237.0121951219503</v>
      </c>
      <c r="R33" s="574">
        <v>223.70121951219502</v>
      </c>
      <c r="S33" s="522">
        <f t="shared" si="20"/>
        <v>5</v>
      </c>
      <c r="T33" s="690"/>
      <c r="U33" s="573">
        <v>10</v>
      </c>
      <c r="V33" s="574">
        <v>2233.5600000000009</v>
      </c>
      <c r="W33" s="574">
        <v>223.35600000000008</v>
      </c>
      <c r="X33" s="522">
        <f t="shared" si="21"/>
        <v>5</v>
      </c>
      <c r="Y33" s="690"/>
      <c r="Z33" s="573">
        <v>10</v>
      </c>
      <c r="AA33" s="574">
        <v>2323.3846153846148</v>
      </c>
      <c r="AB33" s="574">
        <v>232.33846153846147</v>
      </c>
      <c r="AC33" s="522">
        <f t="shared" si="22"/>
        <v>5</v>
      </c>
      <c r="AD33" s="690"/>
      <c r="AE33" s="573">
        <v>10</v>
      </c>
      <c r="AF33" s="574">
        <v>2332.5405405405404</v>
      </c>
      <c r="AG33" s="574">
        <v>233.25405405405405</v>
      </c>
      <c r="AH33" s="522">
        <f t="shared" si="23"/>
        <v>5</v>
      </c>
      <c r="AI33" s="690"/>
      <c r="AJ33" s="573">
        <v>10</v>
      </c>
      <c r="AK33" s="574">
        <v>2296.5517241379307</v>
      </c>
      <c r="AL33" s="574">
        <v>229.65517241379308</v>
      </c>
      <c r="AM33" s="522">
        <f t="shared" si="24"/>
        <v>5</v>
      </c>
      <c r="AN33" s="690"/>
      <c r="AO33" s="573">
        <v>10</v>
      </c>
      <c r="AP33" s="574">
        <v>2341.6799999999994</v>
      </c>
      <c r="AQ33" s="574">
        <v>234.16799999999995</v>
      </c>
      <c r="AR33" s="579">
        <f t="shared" si="25"/>
        <v>5</v>
      </c>
      <c r="AS33" s="690"/>
      <c r="AT33" s="573">
        <v>10</v>
      </c>
      <c r="AU33" s="574">
        <v>2295.0986842105258</v>
      </c>
      <c r="AV33" s="574">
        <v>229.50986842105257</v>
      </c>
      <c r="AW33" s="579">
        <f t="shared" si="26"/>
        <v>5</v>
      </c>
      <c r="AX33" s="690"/>
    </row>
    <row r="34" spans="2:50">
      <c r="B34" s="676"/>
      <c r="C34" s="309">
        <v>8</v>
      </c>
      <c r="D34" s="227" t="s">
        <v>386</v>
      </c>
      <c r="E34" s="182">
        <v>18</v>
      </c>
      <c r="F34" s="569">
        <v>1200</v>
      </c>
      <c r="G34" s="570">
        <v>66.666666666666671</v>
      </c>
      <c r="H34" s="718"/>
      <c r="I34" s="199">
        <f t="shared" si="17"/>
        <v>13</v>
      </c>
      <c r="J34" s="199">
        <f t="shared" si="18"/>
        <v>1258.4797519007607</v>
      </c>
      <c r="K34" s="200">
        <f t="shared" si="19"/>
        <v>96.806134761596965</v>
      </c>
      <c r="L34" s="650"/>
      <c r="M34" s="201">
        <f>RANK(K34, K$27:$K$41)</f>
        <v>11</v>
      </c>
      <c r="N34" s="668"/>
      <c r="O34" s="668"/>
      <c r="P34" s="573">
        <v>13</v>
      </c>
      <c r="Q34" s="574">
        <v>1282.6666666666665</v>
      </c>
      <c r="R34" s="574">
        <v>98.666666666666657</v>
      </c>
      <c r="S34" s="522">
        <f t="shared" si="20"/>
        <v>11</v>
      </c>
      <c r="T34" s="690"/>
      <c r="U34" s="573">
        <v>13</v>
      </c>
      <c r="V34" s="574">
        <v>1238</v>
      </c>
      <c r="W34" s="574">
        <v>95.230769230769226</v>
      </c>
      <c r="X34" s="522">
        <f t="shared" si="21"/>
        <v>11</v>
      </c>
      <c r="Y34" s="690"/>
      <c r="Z34" s="573">
        <v>13</v>
      </c>
      <c r="AA34" s="574">
        <v>1248.7058823529421</v>
      </c>
      <c r="AB34" s="574">
        <v>96.054298642534008</v>
      </c>
      <c r="AC34" s="522">
        <f t="shared" si="22"/>
        <v>10</v>
      </c>
      <c r="AD34" s="690"/>
      <c r="AE34" s="573">
        <v>13</v>
      </c>
      <c r="AF34" s="574">
        <v>1285.5000000000007</v>
      </c>
      <c r="AG34" s="574">
        <v>98.884615384615444</v>
      </c>
      <c r="AH34" s="522">
        <f t="shared" si="23"/>
        <v>10</v>
      </c>
      <c r="AI34" s="690"/>
      <c r="AJ34" s="573">
        <v>13</v>
      </c>
      <c r="AK34" s="574">
        <v>1296.0000000000007</v>
      </c>
      <c r="AL34" s="574">
        <v>99.69230769230775</v>
      </c>
      <c r="AM34" s="522">
        <f t="shared" si="24"/>
        <v>10</v>
      </c>
      <c r="AN34" s="690"/>
      <c r="AO34" s="573">
        <v>13</v>
      </c>
      <c r="AP34" s="574">
        <v>1242.2857142857144</v>
      </c>
      <c r="AQ34" s="574">
        <v>95.560439560439576</v>
      </c>
      <c r="AR34" s="579">
        <f t="shared" si="25"/>
        <v>10</v>
      </c>
      <c r="AS34" s="690"/>
      <c r="AT34" s="573">
        <v>13</v>
      </c>
      <c r="AU34" s="574">
        <v>1216.2000000000005</v>
      </c>
      <c r="AV34" s="574">
        <v>93.553846153846195</v>
      </c>
      <c r="AW34" s="579">
        <f t="shared" si="26"/>
        <v>10</v>
      </c>
      <c r="AX34" s="690"/>
    </row>
    <row r="35" spans="2:50">
      <c r="B35" s="676"/>
      <c r="C35" s="309">
        <v>9</v>
      </c>
      <c r="D35" s="227" t="s">
        <v>798</v>
      </c>
      <c r="E35" s="182">
        <v>12</v>
      </c>
      <c r="F35" s="569">
        <v>2118</v>
      </c>
      <c r="G35" s="570">
        <v>176.5</v>
      </c>
      <c r="H35" s="718"/>
      <c r="I35" s="199">
        <f t="shared" si="17"/>
        <v>12</v>
      </c>
      <c r="J35" s="199">
        <f t="shared" si="18"/>
        <v>2021.6810721540726</v>
      </c>
      <c r="K35" s="200">
        <f t="shared" si="19"/>
        <v>168.47342267950603</v>
      </c>
      <c r="L35" s="650"/>
      <c r="M35" s="201">
        <f>RANK(K35, K$27:$K$41)</f>
        <v>6</v>
      </c>
      <c r="N35" s="668"/>
      <c r="O35" s="668"/>
      <c r="P35" s="573">
        <v>12</v>
      </c>
      <c r="Q35" s="574">
        <v>2032.7027027027036</v>
      </c>
      <c r="R35" s="574">
        <v>169.39189189189196</v>
      </c>
      <c r="S35" s="522">
        <f t="shared" si="20"/>
        <v>6</v>
      </c>
      <c r="T35" s="690"/>
      <c r="U35" s="573">
        <v>12</v>
      </c>
      <c r="V35" s="574">
        <v>2010.400000000001</v>
      </c>
      <c r="W35" s="574">
        <v>167.53333333333342</v>
      </c>
      <c r="X35" s="522">
        <f t="shared" si="21"/>
        <v>6</v>
      </c>
      <c r="Y35" s="690"/>
      <c r="Z35" s="573">
        <v>12</v>
      </c>
      <c r="AA35" s="574">
        <v>2025.8823529411766</v>
      </c>
      <c r="AB35" s="574">
        <v>168.82352941176472</v>
      </c>
      <c r="AC35" s="522">
        <f t="shared" si="22"/>
        <v>6</v>
      </c>
      <c r="AD35" s="690"/>
      <c r="AE35" s="573">
        <v>12</v>
      </c>
      <c r="AF35" s="574">
        <v>1996.1904761904759</v>
      </c>
      <c r="AG35" s="574">
        <v>166.34920634920633</v>
      </c>
      <c r="AH35" s="522">
        <f t="shared" si="23"/>
        <v>6</v>
      </c>
      <c r="AI35" s="690"/>
      <c r="AJ35" s="573">
        <v>12</v>
      </c>
      <c r="AK35" s="574">
        <v>2039.1304347826087</v>
      </c>
      <c r="AL35" s="574">
        <v>169.92753623188406</v>
      </c>
      <c r="AM35" s="522">
        <f t="shared" si="24"/>
        <v>6</v>
      </c>
      <c r="AN35" s="690"/>
      <c r="AO35" s="573">
        <v>12</v>
      </c>
      <c r="AP35" s="574">
        <v>2028.4615384615397</v>
      </c>
      <c r="AQ35" s="574">
        <v>169.03846153846163</v>
      </c>
      <c r="AR35" s="579">
        <f t="shared" si="25"/>
        <v>6</v>
      </c>
      <c r="AS35" s="690"/>
      <c r="AT35" s="573">
        <v>12</v>
      </c>
      <c r="AU35" s="574">
        <v>2019.0000000000011</v>
      </c>
      <c r="AV35" s="574">
        <v>168.25000000000009</v>
      </c>
      <c r="AW35" s="579">
        <f t="shared" si="26"/>
        <v>6</v>
      </c>
      <c r="AX35" s="690"/>
    </row>
    <row r="36" spans="2:50">
      <c r="B36" s="676"/>
      <c r="C36" s="309">
        <v>10</v>
      </c>
      <c r="D36" s="227" t="s">
        <v>869</v>
      </c>
      <c r="E36" s="182">
        <v>4</v>
      </c>
      <c r="F36" s="569">
        <v>2000</v>
      </c>
      <c r="G36" s="570">
        <v>500</v>
      </c>
      <c r="H36" s="718"/>
      <c r="I36" s="199">
        <f t="shared" si="17"/>
        <v>5</v>
      </c>
      <c r="J36" s="199">
        <f t="shared" si="18"/>
        <v>2004.6722689075602</v>
      </c>
      <c r="K36" s="200">
        <f t="shared" si="19"/>
        <v>400.93445378151216</v>
      </c>
      <c r="L36" s="650"/>
      <c r="M36" s="201">
        <f>RANK(K36, K$27:$K$41)</f>
        <v>4</v>
      </c>
      <c r="N36" s="668"/>
      <c r="O36" s="668"/>
      <c r="P36" s="573">
        <v>5</v>
      </c>
      <c r="Q36" s="574">
        <v>2069.9999999999982</v>
      </c>
      <c r="R36" s="574">
        <v>413.99999999999966</v>
      </c>
      <c r="S36" s="522">
        <f t="shared" si="20"/>
        <v>4</v>
      </c>
      <c r="T36" s="690"/>
      <c r="U36" s="573">
        <v>5</v>
      </c>
      <c r="V36" s="574">
        <v>1754.1176470588259</v>
      </c>
      <c r="W36" s="574">
        <v>350.82352941176521</v>
      </c>
      <c r="X36" s="522">
        <f t="shared" si="21"/>
        <v>4</v>
      </c>
      <c r="Y36" s="690"/>
      <c r="Z36" s="573">
        <v>5</v>
      </c>
      <c r="AA36" s="574">
        <v>2009.9999999999957</v>
      </c>
      <c r="AB36" s="574">
        <v>401.99999999999915</v>
      </c>
      <c r="AC36" s="522">
        <f t="shared" si="22"/>
        <v>4</v>
      </c>
      <c r="AD36" s="690"/>
      <c r="AE36" s="573">
        <v>5</v>
      </c>
      <c r="AF36" s="574">
        <v>1939.9999999999941</v>
      </c>
      <c r="AG36" s="574">
        <v>387.99999999999881</v>
      </c>
      <c r="AH36" s="522">
        <f t="shared" si="23"/>
        <v>4</v>
      </c>
      <c r="AI36" s="690"/>
      <c r="AJ36" s="573">
        <v>5</v>
      </c>
      <c r="AK36" s="574">
        <v>1990.5882352941153</v>
      </c>
      <c r="AL36" s="574">
        <v>398.11764705882308</v>
      </c>
      <c r="AM36" s="522">
        <f t="shared" si="24"/>
        <v>4</v>
      </c>
      <c r="AN36" s="690"/>
      <c r="AO36" s="573">
        <v>5</v>
      </c>
      <c r="AP36" s="574">
        <v>1987.9999999999966</v>
      </c>
      <c r="AQ36" s="574">
        <v>397.59999999999934</v>
      </c>
      <c r="AR36" s="579">
        <f t="shared" si="25"/>
        <v>4</v>
      </c>
      <c r="AS36" s="690"/>
      <c r="AT36" s="573">
        <v>5</v>
      </c>
      <c r="AU36" s="574">
        <v>2279.9999999999968</v>
      </c>
      <c r="AV36" s="574">
        <v>455.99999999999937</v>
      </c>
      <c r="AW36" s="579">
        <f t="shared" si="26"/>
        <v>1</v>
      </c>
      <c r="AX36" s="690"/>
    </row>
    <row r="37" spans="2:50">
      <c r="B37" s="676"/>
      <c r="C37" s="309">
        <v>11</v>
      </c>
      <c r="D37" s="227" t="s">
        <v>907</v>
      </c>
      <c r="E37" s="182">
        <v>4</v>
      </c>
      <c r="F37" s="569">
        <v>2000</v>
      </c>
      <c r="G37" s="570">
        <v>500</v>
      </c>
      <c r="H37" s="718"/>
      <c r="I37" s="523">
        <f t="shared" ref="I37" si="27">AVERAGE(P37,U37,Z37,AE37,AJ37,AO37,AT37)</f>
        <v>5</v>
      </c>
      <c r="J37" s="523">
        <f t="shared" ref="J37" si="28">AVERAGE(Q37,V37,AA37,AF37,AK37,AP37,AU37)</f>
        <v>2118.1736873377731</v>
      </c>
      <c r="K37" s="200">
        <f t="shared" ref="K37" si="29">AVERAGE(R37,W37,AB37,AG37,AL37,AQ37,AV37)</f>
        <v>423.63473746755466</v>
      </c>
      <c r="L37" s="650"/>
      <c r="M37" s="201">
        <f>RANK(K37, K$27:$K$41)</f>
        <v>3</v>
      </c>
      <c r="N37" s="668"/>
      <c r="O37" s="668"/>
      <c r="P37" s="573">
        <v>5</v>
      </c>
      <c r="Q37" s="574">
        <v>2124.4444444444398</v>
      </c>
      <c r="R37" s="574">
        <v>424.88888888888795</v>
      </c>
      <c r="S37" s="522">
        <f t="shared" si="20"/>
        <v>3</v>
      </c>
      <c r="T37" s="690"/>
      <c r="U37" s="573">
        <v>5</v>
      </c>
      <c r="V37" s="574">
        <v>2132.7272727272748</v>
      </c>
      <c r="W37" s="574">
        <v>426.54545454545496</v>
      </c>
      <c r="X37" s="522">
        <f t="shared" si="21"/>
        <v>2</v>
      </c>
      <c r="Y37" s="690"/>
      <c r="Z37" s="573">
        <v>5</v>
      </c>
      <c r="AA37" s="574">
        <v>2091.6666666666652</v>
      </c>
      <c r="AB37" s="574">
        <v>418.33333333333303</v>
      </c>
      <c r="AC37" s="522">
        <f t="shared" si="22"/>
        <v>3</v>
      </c>
      <c r="AD37" s="690"/>
      <c r="AE37" s="573">
        <v>5</v>
      </c>
      <c r="AF37" s="574">
        <v>2132.7272727272748</v>
      </c>
      <c r="AG37" s="574">
        <v>426.54545454545496</v>
      </c>
      <c r="AH37" s="522">
        <f t="shared" si="23"/>
        <v>2</v>
      </c>
      <c r="AI37" s="690"/>
      <c r="AJ37" s="573">
        <v>5</v>
      </c>
      <c r="AK37" s="574">
        <v>2145.0000000000018</v>
      </c>
      <c r="AL37" s="574">
        <v>429.00000000000034</v>
      </c>
      <c r="AM37" s="522">
        <f t="shared" si="24"/>
        <v>2</v>
      </c>
      <c r="AN37" s="690"/>
      <c r="AO37" s="573">
        <v>5</v>
      </c>
      <c r="AP37" s="574">
        <v>2079.4736842105249</v>
      </c>
      <c r="AQ37" s="574">
        <v>415.89473684210498</v>
      </c>
      <c r="AR37" s="579">
        <f t="shared" si="25"/>
        <v>3</v>
      </c>
      <c r="AS37" s="690"/>
      <c r="AT37" s="573">
        <v>5</v>
      </c>
      <c r="AU37" s="574">
        <v>2121.1764705882329</v>
      </c>
      <c r="AV37" s="574">
        <v>424.23529411764656</v>
      </c>
      <c r="AW37" s="579">
        <f t="shared" si="26"/>
        <v>4</v>
      </c>
      <c r="AX37" s="690"/>
    </row>
    <row r="38" spans="2:50">
      <c r="B38" s="676"/>
      <c r="C38" s="309">
        <v>12</v>
      </c>
      <c r="D38" s="227"/>
      <c r="E38" s="182"/>
      <c r="F38" s="569"/>
      <c r="G38" s="570"/>
      <c r="H38" s="718"/>
      <c r="I38" s="523"/>
      <c r="J38" s="523"/>
      <c r="K38" s="200"/>
      <c r="L38" s="650"/>
      <c r="M38" s="201" t="e">
        <f>RANK(K38, K$27:$K$41)</f>
        <v>#N/A</v>
      </c>
      <c r="N38" s="668"/>
      <c r="O38" s="668"/>
      <c r="P38" s="573"/>
      <c r="Q38" s="574"/>
      <c r="R38" s="574"/>
      <c r="S38" s="522" t="e">
        <f t="shared" si="20"/>
        <v>#N/A</v>
      </c>
      <c r="T38" s="690"/>
      <c r="U38" s="573"/>
      <c r="V38" s="574"/>
      <c r="W38" s="574"/>
      <c r="X38" s="522" t="e">
        <f t="shared" si="21"/>
        <v>#N/A</v>
      </c>
      <c r="Y38" s="690"/>
      <c r="Z38" s="573"/>
      <c r="AA38" s="574"/>
      <c r="AB38" s="574"/>
      <c r="AC38" s="522" t="e">
        <f t="shared" si="22"/>
        <v>#N/A</v>
      </c>
      <c r="AD38" s="690"/>
      <c r="AE38" s="573"/>
      <c r="AF38" s="574"/>
      <c r="AG38" s="574"/>
      <c r="AH38" s="522" t="e">
        <f t="shared" si="23"/>
        <v>#N/A</v>
      </c>
      <c r="AI38" s="690"/>
      <c r="AJ38" s="573"/>
      <c r="AK38" s="574"/>
      <c r="AL38" s="574"/>
      <c r="AM38" s="522" t="e">
        <f t="shared" si="24"/>
        <v>#N/A</v>
      </c>
      <c r="AN38" s="690"/>
      <c r="AO38" s="573"/>
      <c r="AP38" s="574"/>
      <c r="AQ38" s="574"/>
      <c r="AR38" s="579" t="e">
        <f t="shared" si="25"/>
        <v>#N/A</v>
      </c>
      <c r="AS38" s="690"/>
      <c r="AT38" s="573"/>
      <c r="AU38" s="574"/>
      <c r="AV38" s="574"/>
      <c r="AW38" s="579" t="e">
        <f t="shared" si="26"/>
        <v>#N/A</v>
      </c>
      <c r="AX38" s="690"/>
    </row>
    <row r="39" spans="2:50">
      <c r="B39" s="676"/>
      <c r="C39" s="309">
        <v>13</v>
      </c>
      <c r="D39" s="227"/>
      <c r="E39" s="182"/>
      <c r="F39" s="569"/>
      <c r="G39" s="570"/>
      <c r="H39" s="718"/>
      <c r="I39" s="202"/>
      <c r="J39" s="202"/>
      <c r="K39" s="202"/>
      <c r="L39" s="650"/>
      <c r="M39" s="201" t="e">
        <f>RANK(K39, K$27:$K$41)</f>
        <v>#N/A</v>
      </c>
      <c r="N39" s="668"/>
      <c r="O39" s="668"/>
      <c r="P39" s="573"/>
      <c r="Q39" s="574"/>
      <c r="R39" s="574"/>
      <c r="S39" s="522" t="e">
        <f t="shared" si="20"/>
        <v>#N/A</v>
      </c>
      <c r="T39" s="690"/>
      <c r="U39" s="573"/>
      <c r="V39" s="574"/>
      <c r="W39" s="574"/>
      <c r="X39" s="522" t="e">
        <f t="shared" si="21"/>
        <v>#N/A</v>
      </c>
      <c r="Y39" s="690"/>
      <c r="Z39" s="573"/>
      <c r="AA39" s="574"/>
      <c r="AB39" s="574"/>
      <c r="AC39" s="522" t="e">
        <f t="shared" si="22"/>
        <v>#N/A</v>
      </c>
      <c r="AD39" s="690"/>
      <c r="AE39" s="573"/>
      <c r="AF39" s="574"/>
      <c r="AG39" s="574"/>
      <c r="AH39" s="522" t="e">
        <f t="shared" si="23"/>
        <v>#N/A</v>
      </c>
      <c r="AI39" s="690"/>
      <c r="AJ39" s="573"/>
      <c r="AK39" s="574"/>
      <c r="AL39" s="574"/>
      <c r="AM39" s="522" t="e">
        <f t="shared" si="24"/>
        <v>#N/A</v>
      </c>
      <c r="AN39" s="690"/>
      <c r="AO39" s="573"/>
      <c r="AP39" s="574"/>
      <c r="AQ39" s="574"/>
      <c r="AR39" s="579" t="e">
        <f t="shared" si="25"/>
        <v>#N/A</v>
      </c>
      <c r="AS39" s="690"/>
      <c r="AT39" s="573"/>
      <c r="AU39" s="574"/>
      <c r="AV39" s="574"/>
      <c r="AW39" s="579" t="e">
        <f t="shared" si="26"/>
        <v>#N/A</v>
      </c>
      <c r="AX39" s="690"/>
    </row>
    <row r="40" spans="2:50">
      <c r="B40" s="676"/>
      <c r="C40" s="309">
        <v>14</v>
      </c>
      <c r="D40" s="227"/>
      <c r="E40" s="182"/>
      <c r="F40" s="569"/>
      <c r="G40" s="570"/>
      <c r="H40" s="718"/>
      <c r="I40" s="202"/>
      <c r="J40" s="202"/>
      <c r="K40" s="202"/>
      <c r="L40" s="650"/>
      <c r="M40" s="201" t="e">
        <f>RANK(K40, K$27:$K$41)</f>
        <v>#N/A</v>
      </c>
      <c r="N40" s="668"/>
      <c r="O40" s="668"/>
      <c r="P40" s="573"/>
      <c r="Q40" s="574"/>
      <c r="R40" s="574"/>
      <c r="S40" s="522" t="e">
        <f t="shared" si="20"/>
        <v>#N/A</v>
      </c>
      <c r="T40" s="690"/>
      <c r="U40" s="573"/>
      <c r="V40" s="574"/>
      <c r="W40" s="574"/>
      <c r="X40" s="522" t="e">
        <f t="shared" si="21"/>
        <v>#N/A</v>
      </c>
      <c r="Y40" s="690"/>
      <c r="Z40" s="573"/>
      <c r="AA40" s="574"/>
      <c r="AB40" s="574"/>
      <c r="AC40" s="522" t="e">
        <f t="shared" si="22"/>
        <v>#N/A</v>
      </c>
      <c r="AD40" s="690"/>
      <c r="AE40" s="573"/>
      <c r="AF40" s="574"/>
      <c r="AG40" s="574"/>
      <c r="AH40" s="522" t="e">
        <f t="shared" si="23"/>
        <v>#N/A</v>
      </c>
      <c r="AI40" s="690"/>
      <c r="AJ40" s="573"/>
      <c r="AK40" s="574"/>
      <c r="AL40" s="574"/>
      <c r="AM40" s="522" t="e">
        <f t="shared" si="24"/>
        <v>#N/A</v>
      </c>
      <c r="AN40" s="690"/>
      <c r="AO40" s="573"/>
      <c r="AP40" s="574"/>
      <c r="AQ40" s="574"/>
      <c r="AR40" s="579" t="e">
        <f t="shared" si="25"/>
        <v>#N/A</v>
      </c>
      <c r="AS40" s="690"/>
      <c r="AT40" s="573"/>
      <c r="AU40" s="574"/>
      <c r="AV40" s="574"/>
      <c r="AW40" s="579" t="e">
        <f t="shared" si="26"/>
        <v>#N/A</v>
      </c>
      <c r="AX40" s="690"/>
    </row>
    <row r="41" spans="2:50">
      <c r="B41" s="676"/>
      <c r="C41" s="309">
        <v>15</v>
      </c>
      <c r="D41" s="227"/>
      <c r="E41" s="182"/>
      <c r="F41" s="569"/>
      <c r="G41" s="570"/>
      <c r="H41" s="719"/>
      <c r="I41" s="202"/>
      <c r="J41" s="202"/>
      <c r="K41" s="202"/>
      <c r="L41" s="651"/>
      <c r="M41" s="199" t="e">
        <f>RANK(K41, K$27:$K$41)</f>
        <v>#N/A</v>
      </c>
      <c r="N41" s="668"/>
      <c r="O41" s="668"/>
      <c r="P41" s="573"/>
      <c r="Q41" s="574"/>
      <c r="R41" s="574"/>
      <c r="S41" s="522" t="e">
        <f t="shared" si="20"/>
        <v>#N/A</v>
      </c>
      <c r="T41" s="690"/>
      <c r="U41" s="573"/>
      <c r="V41" s="574"/>
      <c r="W41" s="574"/>
      <c r="X41" s="522"/>
      <c r="Y41" s="690"/>
      <c r="Z41" s="573"/>
      <c r="AA41" s="574"/>
      <c r="AB41" s="574"/>
      <c r="AC41" s="522"/>
      <c r="AD41" s="690"/>
      <c r="AE41" s="573"/>
      <c r="AF41" s="574"/>
      <c r="AG41" s="574"/>
      <c r="AH41" s="522"/>
      <c r="AI41" s="690"/>
      <c r="AJ41" s="573"/>
      <c r="AK41" s="574"/>
      <c r="AL41" s="574"/>
      <c r="AM41" s="522"/>
      <c r="AN41" s="690"/>
      <c r="AO41" s="573"/>
      <c r="AP41" s="574"/>
      <c r="AQ41" s="574"/>
      <c r="AR41" s="579"/>
      <c r="AS41" s="690"/>
      <c r="AT41" s="573"/>
      <c r="AU41" s="574"/>
      <c r="AV41" s="574"/>
      <c r="AW41" s="579"/>
      <c r="AX41" s="690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69" t="s">
        <v>156</v>
      </c>
      <c r="O42" s="669" t="s">
        <v>105</v>
      </c>
      <c r="P42" s="675">
        <f>P22+7</f>
        <v>46098</v>
      </c>
      <c r="Q42" s="676"/>
      <c r="R42" s="676"/>
      <c r="S42" s="676"/>
      <c r="T42" s="676"/>
      <c r="U42" s="672">
        <f>P42+1</f>
        <v>46099</v>
      </c>
      <c r="V42" s="673"/>
      <c r="W42" s="673"/>
      <c r="X42" s="673"/>
      <c r="Y42" s="674"/>
      <c r="Z42" s="672">
        <f>U42+1</f>
        <v>46100</v>
      </c>
      <c r="AA42" s="673"/>
      <c r="AB42" s="673"/>
      <c r="AC42" s="673"/>
      <c r="AD42" s="674"/>
      <c r="AE42" s="672">
        <f>Z42+1</f>
        <v>46101</v>
      </c>
      <c r="AF42" s="673"/>
      <c r="AG42" s="673"/>
      <c r="AH42" s="673"/>
      <c r="AI42" s="674"/>
      <c r="AJ42" s="672">
        <f>AE42+1</f>
        <v>46102</v>
      </c>
      <c r="AK42" s="673"/>
      <c r="AL42" s="673"/>
      <c r="AM42" s="673"/>
      <c r="AN42" s="674"/>
      <c r="AO42" s="672">
        <f>AJ42+1</f>
        <v>46103</v>
      </c>
      <c r="AP42" s="673"/>
      <c r="AQ42" s="673"/>
      <c r="AR42" s="673"/>
      <c r="AS42" s="674"/>
      <c r="AT42" s="672">
        <f>AO42+1</f>
        <v>46104</v>
      </c>
      <c r="AU42" s="673"/>
      <c r="AV42" s="673"/>
      <c r="AW42" s="673"/>
      <c r="AX42" s="674"/>
    </row>
    <row r="43" spans="2:50" ht="15.75">
      <c r="B43" s="683"/>
      <c r="C43" s="683"/>
      <c r="D43" s="683"/>
      <c r="E43" s="683"/>
      <c r="F43" s="683"/>
      <c r="G43" s="683"/>
      <c r="H43" s="683"/>
      <c r="I43" s="205"/>
      <c r="J43" s="205"/>
      <c r="K43" s="205"/>
      <c r="L43" s="205"/>
      <c r="M43" s="206"/>
      <c r="N43" s="671"/>
      <c r="O43" s="671"/>
      <c r="P43" s="675" t="s">
        <v>336</v>
      </c>
      <c r="Q43" s="676"/>
      <c r="R43" s="676"/>
      <c r="S43" s="676"/>
      <c r="T43" s="676"/>
      <c r="U43" s="675" t="s">
        <v>337</v>
      </c>
      <c r="V43" s="676"/>
      <c r="W43" s="676"/>
      <c r="X43" s="676"/>
      <c r="Y43" s="676"/>
      <c r="Z43" s="675" t="s">
        <v>338</v>
      </c>
      <c r="AA43" s="676"/>
      <c r="AB43" s="676"/>
      <c r="AC43" s="676"/>
      <c r="AD43" s="676"/>
      <c r="AE43" s="675" t="s">
        <v>339</v>
      </c>
      <c r="AF43" s="676"/>
      <c r="AG43" s="676"/>
      <c r="AH43" s="676"/>
      <c r="AI43" s="676"/>
      <c r="AJ43" s="675" t="s">
        <v>340</v>
      </c>
      <c r="AK43" s="676"/>
      <c r="AL43" s="676"/>
      <c r="AM43" s="676"/>
      <c r="AN43" s="676"/>
      <c r="AO43" s="675" t="s">
        <v>341</v>
      </c>
      <c r="AP43" s="676"/>
      <c r="AQ43" s="676"/>
      <c r="AR43" s="676"/>
      <c r="AS43" s="676"/>
      <c r="AT43" s="675" t="s">
        <v>342</v>
      </c>
      <c r="AU43" s="676"/>
      <c r="AV43" s="676"/>
      <c r="AW43" s="676"/>
      <c r="AX43" s="676"/>
    </row>
    <row r="44" spans="2:50">
      <c r="B44" s="668" t="s">
        <v>419</v>
      </c>
      <c r="C44" s="668" t="s">
        <v>429</v>
      </c>
      <c r="D44" s="668"/>
      <c r="E44" s="668" t="s">
        <v>420</v>
      </c>
      <c r="F44" s="668"/>
      <c r="G44" s="668"/>
      <c r="H44" s="684" t="s">
        <v>416</v>
      </c>
      <c r="I44" s="652" t="s">
        <v>421</v>
      </c>
      <c r="J44" s="652"/>
      <c r="K44" s="652"/>
      <c r="L44" s="653" t="s">
        <v>416</v>
      </c>
      <c r="M44" s="659" t="s">
        <v>417</v>
      </c>
      <c r="N44" s="668"/>
      <c r="O44" s="668" t="s">
        <v>422</v>
      </c>
      <c r="P44" s="665" t="s">
        <v>889</v>
      </c>
      <c r="Q44" s="666"/>
      <c r="R44" s="666"/>
      <c r="S44" s="667"/>
      <c r="T44" s="668" t="s">
        <v>890</v>
      </c>
      <c r="U44" s="665" t="s">
        <v>889</v>
      </c>
      <c r="V44" s="666"/>
      <c r="W44" s="666"/>
      <c r="X44" s="667"/>
      <c r="Y44" s="668" t="s">
        <v>890</v>
      </c>
      <c r="Z44" s="665" t="s">
        <v>889</v>
      </c>
      <c r="AA44" s="666"/>
      <c r="AB44" s="666"/>
      <c r="AC44" s="667"/>
      <c r="AD44" s="668" t="s">
        <v>890</v>
      </c>
      <c r="AE44" s="665" t="s">
        <v>889</v>
      </c>
      <c r="AF44" s="666"/>
      <c r="AG44" s="666"/>
      <c r="AH44" s="667"/>
      <c r="AI44" s="668" t="s">
        <v>890</v>
      </c>
      <c r="AJ44" s="665" t="s">
        <v>889</v>
      </c>
      <c r="AK44" s="666"/>
      <c r="AL44" s="666"/>
      <c r="AM44" s="667"/>
      <c r="AN44" s="668" t="s">
        <v>890</v>
      </c>
      <c r="AO44" s="665" t="s">
        <v>889</v>
      </c>
      <c r="AP44" s="666"/>
      <c r="AQ44" s="666"/>
      <c r="AR44" s="667"/>
      <c r="AS44" s="668" t="s">
        <v>890</v>
      </c>
      <c r="AT44" s="665" t="s">
        <v>889</v>
      </c>
      <c r="AU44" s="666"/>
      <c r="AV44" s="666"/>
      <c r="AW44" s="667"/>
      <c r="AX44" s="668" t="s">
        <v>890</v>
      </c>
    </row>
    <row r="45" spans="2:50">
      <c r="B45" s="668"/>
      <c r="C45" s="668"/>
      <c r="D45" s="668"/>
      <c r="E45" s="668" t="s">
        <v>423</v>
      </c>
      <c r="F45" s="668"/>
      <c r="G45" s="668"/>
      <c r="H45" s="685"/>
      <c r="I45" s="652" t="s">
        <v>423</v>
      </c>
      <c r="J45" s="652"/>
      <c r="K45" s="652"/>
      <c r="L45" s="654"/>
      <c r="M45" s="660"/>
      <c r="N45" s="668"/>
      <c r="O45" s="668"/>
      <c r="P45" s="665" t="s">
        <v>891</v>
      </c>
      <c r="Q45" s="666"/>
      <c r="R45" s="666"/>
      <c r="S45" s="667"/>
      <c r="T45" s="668"/>
      <c r="U45" s="665" t="s">
        <v>891</v>
      </c>
      <c r="V45" s="666"/>
      <c r="W45" s="666"/>
      <c r="X45" s="667"/>
      <c r="Y45" s="668"/>
      <c r="Z45" s="665" t="s">
        <v>891</v>
      </c>
      <c r="AA45" s="666"/>
      <c r="AB45" s="666"/>
      <c r="AC45" s="667"/>
      <c r="AD45" s="668"/>
      <c r="AE45" s="665" t="s">
        <v>891</v>
      </c>
      <c r="AF45" s="666"/>
      <c r="AG45" s="666"/>
      <c r="AH45" s="667"/>
      <c r="AI45" s="668"/>
      <c r="AJ45" s="665" t="s">
        <v>891</v>
      </c>
      <c r="AK45" s="666"/>
      <c r="AL45" s="666"/>
      <c r="AM45" s="667"/>
      <c r="AN45" s="668"/>
      <c r="AO45" s="665" t="s">
        <v>891</v>
      </c>
      <c r="AP45" s="666"/>
      <c r="AQ45" s="666"/>
      <c r="AR45" s="667"/>
      <c r="AS45" s="668"/>
      <c r="AT45" s="665" t="s">
        <v>891</v>
      </c>
      <c r="AU45" s="666"/>
      <c r="AV45" s="666"/>
      <c r="AW45" s="667"/>
      <c r="AX45" s="668"/>
    </row>
    <row r="46" spans="2:50">
      <c r="B46" s="668"/>
      <c r="C46" s="668"/>
      <c r="D46" s="668"/>
      <c r="E46" s="308" t="s">
        <v>425</v>
      </c>
      <c r="F46" s="308" t="s">
        <v>426</v>
      </c>
      <c r="G46" s="308" t="s">
        <v>427</v>
      </c>
      <c r="H46" s="686"/>
      <c r="I46" s="307" t="s">
        <v>425</v>
      </c>
      <c r="J46" s="307" t="s">
        <v>426</v>
      </c>
      <c r="K46" s="307" t="s">
        <v>427</v>
      </c>
      <c r="L46" s="655"/>
      <c r="M46" s="661"/>
      <c r="N46" s="668"/>
      <c r="O46" s="668"/>
      <c r="P46" s="532" t="s">
        <v>892</v>
      </c>
      <c r="Q46" s="532" t="s">
        <v>893</v>
      </c>
      <c r="R46" s="532" t="s">
        <v>894</v>
      </c>
      <c r="S46" s="532" t="s">
        <v>895</v>
      </c>
      <c r="T46" s="668"/>
      <c r="U46" s="532" t="s">
        <v>892</v>
      </c>
      <c r="V46" s="532" t="s">
        <v>893</v>
      </c>
      <c r="W46" s="532" t="s">
        <v>894</v>
      </c>
      <c r="X46" s="532" t="s">
        <v>895</v>
      </c>
      <c r="Y46" s="668"/>
      <c r="Z46" s="532" t="s">
        <v>892</v>
      </c>
      <c r="AA46" s="532" t="s">
        <v>893</v>
      </c>
      <c r="AB46" s="532" t="s">
        <v>894</v>
      </c>
      <c r="AC46" s="532" t="s">
        <v>895</v>
      </c>
      <c r="AD46" s="668"/>
      <c r="AE46" s="532" t="s">
        <v>892</v>
      </c>
      <c r="AF46" s="532" t="s">
        <v>893</v>
      </c>
      <c r="AG46" s="532" t="s">
        <v>894</v>
      </c>
      <c r="AH46" s="532" t="s">
        <v>895</v>
      </c>
      <c r="AI46" s="668"/>
      <c r="AJ46" s="532" t="s">
        <v>892</v>
      </c>
      <c r="AK46" s="532" t="s">
        <v>893</v>
      </c>
      <c r="AL46" s="532" t="s">
        <v>894</v>
      </c>
      <c r="AM46" s="532" t="s">
        <v>895</v>
      </c>
      <c r="AN46" s="668"/>
      <c r="AO46" s="532" t="s">
        <v>892</v>
      </c>
      <c r="AP46" s="532" t="s">
        <v>893</v>
      </c>
      <c r="AQ46" s="532" t="s">
        <v>894</v>
      </c>
      <c r="AR46" s="532" t="s">
        <v>895</v>
      </c>
      <c r="AS46" s="668"/>
      <c r="AT46" s="532" t="s">
        <v>892</v>
      </c>
      <c r="AU46" s="532" t="s">
        <v>893</v>
      </c>
      <c r="AV46" s="532" t="s">
        <v>894</v>
      </c>
      <c r="AW46" s="532" t="s">
        <v>895</v>
      </c>
      <c r="AX46" s="668"/>
    </row>
    <row r="47" spans="2:50">
      <c r="B47" s="716" t="s">
        <v>428</v>
      </c>
      <c r="C47" s="309">
        <v>1</v>
      </c>
      <c r="D47" s="227" t="s">
        <v>387</v>
      </c>
      <c r="E47" s="182">
        <v>4</v>
      </c>
      <c r="F47" s="569">
        <v>2000</v>
      </c>
      <c r="G47" s="570">
        <v>500</v>
      </c>
      <c r="H47" s="717">
        <f>AVERAGE(G47:G61)</f>
        <v>305.7166666666667</v>
      </c>
      <c r="I47" s="199">
        <f>AVERAGE(P47,U47,Z47,AE47,AJ47,AO47,AT47)</f>
        <v>5</v>
      </c>
      <c r="J47" s="199">
        <f>AVERAGE(Q47,V47,AA47,AF47,AK47,AP47,AU47)</f>
        <v>2176.0163432238951</v>
      </c>
      <c r="K47" s="200">
        <f>AVERAGE(R47,W47,AB47,AG47,AL47,AQ47,AV47)</f>
        <v>435.20326864477903</v>
      </c>
      <c r="L47" s="649">
        <f>IFERROR(AVERAGE(K47:K61),"-")</f>
        <v>262.46617319075904</v>
      </c>
      <c r="M47" s="201">
        <f>RANK(K47, K$47:$K$61)</f>
        <v>2</v>
      </c>
      <c r="N47" s="668"/>
      <c r="O47" s="668"/>
      <c r="P47" s="573">
        <v>5</v>
      </c>
      <c r="Q47" s="574">
        <v>2139.4520547945212</v>
      </c>
      <c r="R47" s="574">
        <v>427.89041095890423</v>
      </c>
      <c r="S47" s="533">
        <f>RANK(R47, R$47:R$61)</f>
        <v>3</v>
      </c>
      <c r="T47" s="690">
        <f>AVERAGE(R47:R61)</f>
        <v>267.89583497917829</v>
      </c>
      <c r="U47" s="573">
        <v>5</v>
      </c>
      <c r="V47" s="574">
        <v>2171.4285714285711</v>
      </c>
      <c r="W47" s="574">
        <v>434.28571428571422</v>
      </c>
      <c r="X47" s="533">
        <f>RANK(W47, W$47:W$61)</f>
        <v>1</v>
      </c>
      <c r="Y47" s="690">
        <f>AVERAGE(W47:W61)</f>
        <v>258.7539888267529</v>
      </c>
      <c r="Z47" s="573">
        <v>5</v>
      </c>
      <c r="AA47" s="574">
        <v>2216.065573770491</v>
      </c>
      <c r="AB47" s="574">
        <v>443.21311475409823</v>
      </c>
      <c r="AC47" s="533">
        <f>RANK(AB47, AB$47:AB$61)</f>
        <v>2</v>
      </c>
      <c r="AD47" s="690">
        <f>AVERAGE(AB47:AB61)</f>
        <v>268.54405008683938</v>
      </c>
      <c r="AE47" s="573">
        <v>5</v>
      </c>
      <c r="AF47" s="574">
        <v>2170.8000000000002</v>
      </c>
      <c r="AG47" s="574">
        <v>434.16</v>
      </c>
      <c r="AH47" s="533">
        <f>RANK(AG47, AG$47:AG$61)</f>
        <v>1</v>
      </c>
      <c r="AI47" s="690">
        <f>AVERAGE(AG47:AG61)</f>
        <v>257.08765961139011</v>
      </c>
      <c r="AJ47" s="573">
        <v>5</v>
      </c>
      <c r="AK47" s="574">
        <v>2188.363636363636</v>
      </c>
      <c r="AL47" s="574">
        <v>437.67272727272723</v>
      </c>
      <c r="AM47" s="533">
        <f>RANK(AL47, AL$47:AL$61)</f>
        <v>2</v>
      </c>
      <c r="AN47" s="690">
        <f>AVERAGE(AL47:AL61)</f>
        <v>266.29992795315638</v>
      </c>
      <c r="AO47" s="573">
        <v>5</v>
      </c>
      <c r="AP47" s="574">
        <v>2198.3333333333335</v>
      </c>
      <c r="AQ47" s="574">
        <v>439.66666666666669</v>
      </c>
      <c r="AR47" s="533">
        <f>RANK(AQ47, AQ$47:AQ$61)</f>
        <v>1</v>
      </c>
      <c r="AS47" s="690">
        <f>AVERAGE(AQ47:AQ61)</f>
        <v>258.90879159415965</v>
      </c>
      <c r="AT47" s="573">
        <v>5</v>
      </c>
      <c r="AU47" s="574">
        <v>2147.6712328767126</v>
      </c>
      <c r="AV47" s="574">
        <v>429.53424657534254</v>
      </c>
      <c r="AW47" s="533">
        <f>RANK(AV47, AV$47:AV$61)</f>
        <v>2</v>
      </c>
      <c r="AX47" s="690">
        <f>AVERAGE(AV47:AV61)</f>
        <v>259.77295928383637</v>
      </c>
    </row>
    <row r="48" spans="2:50">
      <c r="B48" s="676"/>
      <c r="C48" s="309">
        <v>2</v>
      </c>
      <c r="D48" s="227" t="s">
        <v>500</v>
      </c>
      <c r="E48" s="182">
        <v>4</v>
      </c>
      <c r="F48" s="569">
        <v>2000</v>
      </c>
      <c r="G48" s="570">
        <v>500</v>
      </c>
      <c r="H48" s="718"/>
      <c r="I48" s="199">
        <f t="shared" ref="I48:I56" si="30">AVERAGE(P48,U48,Z48,AE48,AJ48,AO48,AT48)</f>
        <v>5</v>
      </c>
      <c r="J48" s="199">
        <f t="shared" ref="J48:J56" si="31">AVERAGE(Q48,V48,AA48,AF48,AK48,AP48,AU48)</f>
        <v>2161.2110927458475</v>
      </c>
      <c r="K48" s="200">
        <f t="shared" ref="K48:K56" si="32">AVERAGE(R48,W48,AB48,AG48,AL48,AQ48,AV48)</f>
        <v>432.24221854916942</v>
      </c>
      <c r="L48" s="650"/>
      <c r="M48" s="201">
        <f>RANK(K48, K$47:$K$61)</f>
        <v>3</v>
      </c>
      <c r="N48" s="668"/>
      <c r="O48" s="668"/>
      <c r="P48" s="573">
        <v>5</v>
      </c>
      <c r="Q48" s="574">
        <v>2172.1739130434785</v>
      </c>
      <c r="R48" s="574">
        <v>434.43478260869568</v>
      </c>
      <c r="S48" s="533">
        <f t="shared" ref="S48:S61" si="33">RANK(R48, R$47:R$61)</f>
        <v>2</v>
      </c>
      <c r="T48" s="690"/>
      <c r="U48" s="573">
        <v>5</v>
      </c>
      <c r="V48" s="574">
        <v>2163.8709677419351</v>
      </c>
      <c r="W48" s="574">
        <v>432.77419354838702</v>
      </c>
      <c r="X48" s="533">
        <f t="shared" ref="X48:X61" si="34">RANK(W48, W$47:W$61)</f>
        <v>2</v>
      </c>
      <c r="Y48" s="690"/>
      <c r="Z48" s="573">
        <v>5</v>
      </c>
      <c r="AA48" s="574">
        <v>2173.5483870967732</v>
      </c>
      <c r="AB48" s="574">
        <v>434.70967741935465</v>
      </c>
      <c r="AC48" s="533">
        <f t="shared" ref="AC48:AC61" si="35">RANK(AB48, AB$47:AB$61)</f>
        <v>3</v>
      </c>
      <c r="AD48" s="690"/>
      <c r="AE48" s="573">
        <v>5</v>
      </c>
      <c r="AF48" s="574">
        <v>2160.0000000000009</v>
      </c>
      <c r="AG48" s="574">
        <v>432.00000000000017</v>
      </c>
      <c r="AH48" s="533">
        <f t="shared" ref="AH48:AH61" si="36">RANK(AG48, AG$47:AG$61)</f>
        <v>2</v>
      </c>
      <c r="AI48" s="690"/>
      <c r="AJ48" s="573">
        <v>5</v>
      </c>
      <c r="AK48" s="574">
        <v>2142.4137931034484</v>
      </c>
      <c r="AL48" s="574">
        <v>428.48275862068965</v>
      </c>
      <c r="AM48" s="533">
        <f t="shared" ref="AM48:AM61" si="37">RANK(AL48, AL$47:AL$61)</f>
        <v>3</v>
      </c>
      <c r="AN48" s="690"/>
      <c r="AO48" s="573">
        <v>5</v>
      </c>
      <c r="AP48" s="574">
        <v>2166.1764705882351</v>
      </c>
      <c r="AQ48" s="574">
        <v>433.23529411764702</v>
      </c>
      <c r="AR48" s="533">
        <f t="shared" ref="AR48:AR61" si="38">RANK(AQ48, AQ$47:AQ$61)</f>
        <v>2</v>
      </c>
      <c r="AS48" s="690"/>
      <c r="AT48" s="573">
        <v>5</v>
      </c>
      <c r="AU48" s="574">
        <v>2150.2941176470586</v>
      </c>
      <c r="AV48" s="574">
        <v>430.05882352941171</v>
      </c>
      <c r="AW48" s="533">
        <f t="shared" ref="AW48:AW61" si="39">RANK(AV48, AV$47:AV$61)</f>
        <v>1</v>
      </c>
      <c r="AX48" s="690"/>
    </row>
    <row r="49" spans="2:50">
      <c r="B49" s="676"/>
      <c r="C49" s="309">
        <v>3</v>
      </c>
      <c r="D49" s="227" t="s">
        <v>389</v>
      </c>
      <c r="E49" s="182">
        <v>12</v>
      </c>
      <c r="F49" s="569">
        <v>2118</v>
      </c>
      <c r="G49" s="570">
        <v>176.5</v>
      </c>
      <c r="H49" s="718"/>
      <c r="I49" s="199">
        <f t="shared" si="30"/>
        <v>12</v>
      </c>
      <c r="J49" s="199">
        <f t="shared" si="31"/>
        <v>1928.5670626128845</v>
      </c>
      <c r="K49" s="200">
        <f t="shared" si="32"/>
        <v>160.713921884407</v>
      </c>
      <c r="L49" s="650"/>
      <c r="M49" s="201">
        <f>RANK(K49, K$47:$K$61)</f>
        <v>9</v>
      </c>
      <c r="N49" s="668"/>
      <c r="O49" s="668"/>
      <c r="P49" s="573">
        <v>12</v>
      </c>
      <c r="Q49" s="574">
        <v>1901.5384615384617</v>
      </c>
      <c r="R49" s="574">
        <v>158.46153846153848</v>
      </c>
      <c r="S49" s="533">
        <f t="shared" si="33"/>
        <v>9</v>
      </c>
      <c r="T49" s="690"/>
      <c r="U49" s="573">
        <v>12</v>
      </c>
      <c r="V49" s="574">
        <v>1919.1428571428576</v>
      </c>
      <c r="W49" s="574">
        <v>159.92857142857147</v>
      </c>
      <c r="X49" s="533">
        <f t="shared" si="34"/>
        <v>8</v>
      </c>
      <c r="Y49" s="690"/>
      <c r="Z49" s="573">
        <v>12</v>
      </c>
      <c r="AA49" s="574">
        <v>1939.7014925373132</v>
      </c>
      <c r="AB49" s="574">
        <v>161.64179104477611</v>
      </c>
      <c r="AC49" s="533">
        <f t="shared" si="35"/>
        <v>8</v>
      </c>
      <c r="AD49" s="690"/>
      <c r="AE49" s="573">
        <v>12</v>
      </c>
      <c r="AF49" s="574">
        <v>1939.6363636363633</v>
      </c>
      <c r="AG49" s="574">
        <v>161.6363636363636</v>
      </c>
      <c r="AH49" s="533">
        <f t="shared" si="36"/>
        <v>9</v>
      </c>
      <c r="AI49" s="690"/>
      <c r="AJ49" s="573">
        <v>12</v>
      </c>
      <c r="AK49" s="574">
        <v>1909.8461538461534</v>
      </c>
      <c r="AL49" s="574">
        <v>159.1538461538461</v>
      </c>
      <c r="AM49" s="533">
        <f t="shared" si="37"/>
        <v>9</v>
      </c>
      <c r="AN49" s="690"/>
      <c r="AO49" s="573">
        <v>12</v>
      </c>
      <c r="AP49" s="574">
        <v>1938.9041095890407</v>
      </c>
      <c r="AQ49" s="574">
        <v>161.57534246575338</v>
      </c>
      <c r="AR49" s="533">
        <f t="shared" si="38"/>
        <v>8</v>
      </c>
      <c r="AS49" s="690"/>
      <c r="AT49" s="573">
        <v>12</v>
      </c>
      <c r="AU49" s="574">
        <v>1951.1999999999998</v>
      </c>
      <c r="AV49" s="574">
        <v>162.6</v>
      </c>
      <c r="AW49" s="533">
        <f t="shared" si="39"/>
        <v>8</v>
      </c>
      <c r="AX49" s="690"/>
    </row>
    <row r="50" spans="2:50">
      <c r="B50" s="676"/>
      <c r="C50" s="309">
        <v>4</v>
      </c>
      <c r="D50" s="227" t="s">
        <v>925</v>
      </c>
      <c r="E50" s="182">
        <v>13</v>
      </c>
      <c r="F50" s="569">
        <v>2250</v>
      </c>
      <c r="G50" s="570">
        <v>187.5</v>
      </c>
      <c r="H50" s="718"/>
      <c r="I50" s="199">
        <f t="shared" si="30"/>
        <v>13</v>
      </c>
      <c r="J50" s="199">
        <f t="shared" si="31"/>
        <v>2198.3559235975722</v>
      </c>
      <c r="K50" s="200">
        <f t="shared" si="32"/>
        <v>169.10430181519786</v>
      </c>
      <c r="L50" s="650"/>
      <c r="M50" s="201">
        <f>RANK(K50, K$47:$K$61)</f>
        <v>6</v>
      </c>
      <c r="N50" s="668"/>
      <c r="O50" s="668"/>
      <c r="P50" s="573">
        <v>13</v>
      </c>
      <c r="Q50" s="574">
        <v>2240.4395604395604</v>
      </c>
      <c r="R50" s="574">
        <v>172.34150464919696</v>
      </c>
      <c r="S50" s="533">
        <f t="shared" si="33"/>
        <v>6</v>
      </c>
      <c r="T50" s="690"/>
      <c r="U50" s="573">
        <v>13</v>
      </c>
      <c r="V50" s="574">
        <v>2168.4705882352951</v>
      </c>
      <c r="W50" s="574">
        <v>166.80542986425345</v>
      </c>
      <c r="X50" s="533">
        <f t="shared" si="34"/>
        <v>7</v>
      </c>
      <c r="Y50" s="690"/>
      <c r="Z50" s="573">
        <v>13</v>
      </c>
      <c r="AA50" s="574">
        <v>2223.6585365853662</v>
      </c>
      <c r="AB50" s="574">
        <v>171.05065666041278</v>
      </c>
      <c r="AC50" s="533">
        <f t="shared" si="35"/>
        <v>6</v>
      </c>
      <c r="AD50" s="690"/>
      <c r="AE50" s="573">
        <v>13</v>
      </c>
      <c r="AF50" s="574">
        <v>2171.3513513513522</v>
      </c>
      <c r="AG50" s="574">
        <v>167.02702702702709</v>
      </c>
      <c r="AH50" s="533">
        <f t="shared" si="36"/>
        <v>7</v>
      </c>
      <c r="AI50" s="690"/>
      <c r="AJ50" s="573">
        <v>13</v>
      </c>
      <c r="AK50" s="574">
        <v>2226.0000000000014</v>
      </c>
      <c r="AL50" s="574">
        <v>171.23076923076934</v>
      </c>
      <c r="AM50" s="533">
        <f t="shared" si="37"/>
        <v>6</v>
      </c>
      <c r="AN50" s="690"/>
      <c r="AO50" s="573">
        <v>13</v>
      </c>
      <c r="AP50" s="574">
        <v>2182.0408163265311</v>
      </c>
      <c r="AQ50" s="574">
        <v>167.84929356357932</v>
      </c>
      <c r="AR50" s="533">
        <f t="shared" si="38"/>
        <v>7</v>
      </c>
      <c r="AS50" s="690"/>
      <c r="AT50" s="573">
        <v>13</v>
      </c>
      <c r="AU50" s="574">
        <v>2176.5306122448983</v>
      </c>
      <c r="AV50" s="574">
        <v>167.42543171114602</v>
      </c>
      <c r="AW50" s="533">
        <f t="shared" si="39"/>
        <v>7</v>
      </c>
      <c r="AX50" s="690"/>
    </row>
    <row r="51" spans="2:50">
      <c r="B51" s="676"/>
      <c r="C51" s="309">
        <v>5</v>
      </c>
      <c r="D51" s="227" t="s">
        <v>390</v>
      </c>
      <c r="E51" s="182">
        <v>13</v>
      </c>
      <c r="F51" s="569">
        <v>2250</v>
      </c>
      <c r="G51" s="570">
        <v>173.1</v>
      </c>
      <c r="H51" s="718"/>
      <c r="I51" s="199">
        <f t="shared" si="30"/>
        <v>13</v>
      </c>
      <c r="J51" s="199">
        <f t="shared" si="31"/>
        <v>2192.2118223522812</v>
      </c>
      <c r="K51" s="200">
        <f t="shared" si="32"/>
        <v>168.63167864248314</v>
      </c>
      <c r="L51" s="650"/>
      <c r="M51" s="201">
        <f>RANK(K51, K$47:$K$61)</f>
        <v>7</v>
      </c>
      <c r="N51" s="668"/>
      <c r="O51" s="668"/>
      <c r="P51" s="573">
        <v>13</v>
      </c>
      <c r="Q51" s="574">
        <v>2175.929203539823</v>
      </c>
      <c r="R51" s="574">
        <v>167.37916950306331</v>
      </c>
      <c r="S51" s="533">
        <f t="shared" si="33"/>
        <v>7</v>
      </c>
      <c r="T51" s="690"/>
      <c r="U51" s="573">
        <v>13</v>
      </c>
      <c r="V51" s="574">
        <v>2203.3663366336623</v>
      </c>
      <c r="W51" s="574">
        <v>169.48971820258942</v>
      </c>
      <c r="X51" s="533">
        <f t="shared" si="34"/>
        <v>6</v>
      </c>
      <c r="Y51" s="690"/>
      <c r="Z51" s="573">
        <v>13</v>
      </c>
      <c r="AA51" s="574">
        <v>2214.3157894736846</v>
      </c>
      <c r="AB51" s="574">
        <v>170.33198380566805</v>
      </c>
      <c r="AC51" s="533">
        <f t="shared" si="35"/>
        <v>7</v>
      </c>
      <c r="AD51" s="690"/>
      <c r="AE51" s="573">
        <v>13</v>
      </c>
      <c r="AF51" s="574">
        <v>2190.666666666667</v>
      </c>
      <c r="AG51" s="574">
        <v>168.51282051282053</v>
      </c>
      <c r="AH51" s="533">
        <f t="shared" si="36"/>
        <v>6</v>
      </c>
      <c r="AI51" s="690"/>
      <c r="AJ51" s="573">
        <v>13</v>
      </c>
      <c r="AK51" s="574">
        <v>2164.8484848484854</v>
      </c>
      <c r="AL51" s="574">
        <v>166.52680652680658</v>
      </c>
      <c r="AM51" s="533">
        <f t="shared" si="37"/>
        <v>7</v>
      </c>
      <c r="AN51" s="690"/>
      <c r="AO51" s="573">
        <v>13</v>
      </c>
      <c r="AP51" s="574">
        <v>2198.4615384615386</v>
      </c>
      <c r="AQ51" s="574">
        <v>169.11242603550298</v>
      </c>
      <c r="AR51" s="533">
        <f t="shared" si="38"/>
        <v>6</v>
      </c>
      <c r="AS51" s="690"/>
      <c r="AT51" s="573">
        <v>13</v>
      </c>
      <c r="AU51" s="574">
        <v>2197.894736842105</v>
      </c>
      <c r="AV51" s="574">
        <v>169.06882591093114</v>
      </c>
      <c r="AW51" s="533">
        <f t="shared" si="39"/>
        <v>6</v>
      </c>
      <c r="AX51" s="690"/>
    </row>
    <row r="52" spans="2:50">
      <c r="B52" s="676"/>
      <c r="C52" s="309">
        <v>6</v>
      </c>
      <c r="D52" s="227" t="s">
        <v>391</v>
      </c>
      <c r="E52" s="182">
        <v>10</v>
      </c>
      <c r="F52" s="569">
        <v>2769</v>
      </c>
      <c r="G52" s="570">
        <v>276.89999999999998</v>
      </c>
      <c r="H52" s="718"/>
      <c r="I52" s="199">
        <f t="shared" si="30"/>
        <v>10</v>
      </c>
      <c r="J52" s="199">
        <f t="shared" si="31"/>
        <v>2256.9887230163608</v>
      </c>
      <c r="K52" s="200">
        <f t="shared" si="32"/>
        <v>225.6988723016361</v>
      </c>
      <c r="L52" s="650"/>
      <c r="M52" s="201">
        <f>RANK(K52, K$47:$K$61)</f>
        <v>5</v>
      </c>
      <c r="N52" s="668"/>
      <c r="O52" s="668"/>
      <c r="P52" s="573">
        <v>10</v>
      </c>
      <c r="Q52" s="574">
        <v>2245.0862068965503</v>
      </c>
      <c r="R52" s="574">
        <v>224.50862068965503</v>
      </c>
      <c r="S52" s="533">
        <f t="shared" si="33"/>
        <v>5</v>
      </c>
      <c r="T52" s="690"/>
      <c r="U52" s="573">
        <v>10</v>
      </c>
      <c r="V52" s="574">
        <v>2224.4776119402982</v>
      </c>
      <c r="W52" s="574">
        <v>222.44776119402982</v>
      </c>
      <c r="X52" s="533">
        <f t="shared" si="34"/>
        <v>5</v>
      </c>
      <c r="Y52" s="690"/>
      <c r="Z52" s="573">
        <v>10</v>
      </c>
      <c r="AA52" s="574">
        <v>2277.4925373134329</v>
      </c>
      <c r="AB52" s="574">
        <v>227.74925373134329</v>
      </c>
      <c r="AC52" s="533">
        <f t="shared" si="35"/>
        <v>5</v>
      </c>
      <c r="AD52" s="690"/>
      <c r="AE52" s="573">
        <v>10</v>
      </c>
      <c r="AF52" s="574">
        <v>2261.96052631579</v>
      </c>
      <c r="AG52" s="574">
        <v>226.19605263157899</v>
      </c>
      <c r="AH52" s="533">
        <f t="shared" si="36"/>
        <v>5</v>
      </c>
      <c r="AI52" s="690"/>
      <c r="AJ52" s="573">
        <v>10</v>
      </c>
      <c r="AK52" s="574">
        <v>2264.2874999999995</v>
      </c>
      <c r="AL52" s="574">
        <v>226.42874999999995</v>
      </c>
      <c r="AM52" s="533">
        <f t="shared" si="37"/>
        <v>5</v>
      </c>
      <c r="AN52" s="690"/>
      <c r="AO52" s="573">
        <v>10</v>
      </c>
      <c r="AP52" s="574">
        <v>2252.3551401869158</v>
      </c>
      <c r="AQ52" s="574">
        <v>225.23551401869159</v>
      </c>
      <c r="AR52" s="533">
        <f t="shared" si="38"/>
        <v>5</v>
      </c>
      <c r="AS52" s="690"/>
      <c r="AT52" s="573">
        <v>10</v>
      </c>
      <c r="AU52" s="574">
        <v>2273.2615384615378</v>
      </c>
      <c r="AV52" s="574">
        <v>227.32615384615377</v>
      </c>
      <c r="AW52" s="533">
        <f t="shared" si="39"/>
        <v>5</v>
      </c>
      <c r="AX52" s="690"/>
    </row>
    <row r="53" spans="2:50">
      <c r="B53" s="676"/>
      <c r="C53" s="309">
        <v>7</v>
      </c>
      <c r="D53" s="227" t="s">
        <v>386</v>
      </c>
      <c r="E53" s="182">
        <v>18</v>
      </c>
      <c r="F53" s="569">
        <v>1200</v>
      </c>
      <c r="G53" s="570">
        <v>66.666666666666671</v>
      </c>
      <c r="H53" s="718"/>
      <c r="I53" s="199">
        <f t="shared" si="30"/>
        <v>18</v>
      </c>
      <c r="J53" s="199">
        <f t="shared" si="31"/>
        <v>1207.9208916356285</v>
      </c>
      <c r="K53" s="200">
        <f t="shared" si="32"/>
        <v>67.106716201979367</v>
      </c>
      <c r="L53" s="650"/>
      <c r="M53" s="201">
        <f>RANK(K53, K$47:$K$61)</f>
        <v>10</v>
      </c>
      <c r="N53" s="668"/>
      <c r="O53" s="668"/>
      <c r="P53" s="573">
        <v>18</v>
      </c>
      <c r="Q53" s="574">
        <v>1190.285714285714</v>
      </c>
      <c r="R53" s="574">
        <v>66.126984126984112</v>
      </c>
      <c r="S53" s="533">
        <f t="shared" si="33"/>
        <v>10</v>
      </c>
      <c r="T53" s="690"/>
      <c r="U53" s="573">
        <v>18</v>
      </c>
      <c r="V53" s="574">
        <v>1194.8387096774195</v>
      </c>
      <c r="W53" s="574">
        <v>66.379928315412201</v>
      </c>
      <c r="X53" s="533">
        <f t="shared" si="34"/>
        <v>10</v>
      </c>
      <c r="Y53" s="690"/>
      <c r="Z53" s="573">
        <v>18</v>
      </c>
      <c r="AA53" s="574">
        <v>1174.7368421052633</v>
      </c>
      <c r="AB53" s="574">
        <v>65.26315789473685</v>
      </c>
      <c r="AC53" s="533">
        <f t="shared" si="35"/>
        <v>10</v>
      </c>
      <c r="AD53" s="690"/>
      <c r="AE53" s="573">
        <v>18</v>
      </c>
      <c r="AF53" s="574">
        <v>1220.25</v>
      </c>
      <c r="AG53" s="574">
        <v>67.791666666666671</v>
      </c>
      <c r="AH53" s="533">
        <f t="shared" si="36"/>
        <v>10</v>
      </c>
      <c r="AI53" s="690"/>
      <c r="AJ53" s="573">
        <v>18</v>
      </c>
      <c r="AK53" s="574">
        <v>1224.5783132530123</v>
      </c>
      <c r="AL53" s="574">
        <v>68.03212851405624</v>
      </c>
      <c r="AM53" s="533">
        <f t="shared" si="37"/>
        <v>10</v>
      </c>
      <c r="AN53" s="690"/>
      <c r="AO53" s="573">
        <v>18</v>
      </c>
      <c r="AP53" s="574">
        <v>1239.6226415094341</v>
      </c>
      <c r="AQ53" s="574">
        <v>68.867924528301899</v>
      </c>
      <c r="AR53" s="533">
        <f t="shared" si="38"/>
        <v>10</v>
      </c>
      <c r="AS53" s="690"/>
      <c r="AT53" s="573">
        <v>18</v>
      </c>
      <c r="AU53" s="574">
        <v>1211.1340206185564</v>
      </c>
      <c r="AV53" s="574">
        <v>67.285223367697583</v>
      </c>
      <c r="AW53" s="533">
        <f t="shared" si="39"/>
        <v>10</v>
      </c>
      <c r="AX53" s="690"/>
    </row>
    <row r="54" spans="2:50">
      <c r="B54" s="676"/>
      <c r="C54" s="309">
        <v>8</v>
      </c>
      <c r="D54" s="227" t="s">
        <v>798</v>
      </c>
      <c r="E54" s="182">
        <v>12</v>
      </c>
      <c r="F54" s="569">
        <v>2118</v>
      </c>
      <c r="G54" s="570">
        <v>176.5</v>
      </c>
      <c r="H54" s="718"/>
      <c r="I54" s="199">
        <f t="shared" si="30"/>
        <v>12</v>
      </c>
      <c r="J54" s="199">
        <f t="shared" si="31"/>
        <v>1931.290650904569</v>
      </c>
      <c r="K54" s="200">
        <f t="shared" si="32"/>
        <v>160.94088757538071</v>
      </c>
      <c r="L54" s="650"/>
      <c r="M54" s="201">
        <f>RANK(K54, K$47:$K$61)</f>
        <v>8</v>
      </c>
      <c r="N54" s="668"/>
      <c r="O54" s="668"/>
      <c r="P54" s="573">
        <v>12</v>
      </c>
      <c r="Q54" s="574">
        <v>1908.6075949367089</v>
      </c>
      <c r="R54" s="574">
        <v>159.0506329113924</v>
      </c>
      <c r="S54" s="533">
        <f t="shared" si="33"/>
        <v>8</v>
      </c>
      <c r="T54" s="690"/>
      <c r="U54" s="573">
        <v>12</v>
      </c>
      <c r="V54" s="574">
        <v>1913.1428571428576</v>
      </c>
      <c r="W54" s="574">
        <v>159.42857142857147</v>
      </c>
      <c r="X54" s="533">
        <f t="shared" si="34"/>
        <v>9</v>
      </c>
      <c r="Y54" s="690"/>
      <c r="Z54" s="573">
        <v>12</v>
      </c>
      <c r="AA54" s="574">
        <v>1925.217391304348</v>
      </c>
      <c r="AB54" s="574">
        <v>160.43478260869566</v>
      </c>
      <c r="AC54" s="533">
        <f t="shared" si="35"/>
        <v>9</v>
      </c>
      <c r="AD54" s="690"/>
      <c r="AE54" s="573">
        <v>12</v>
      </c>
      <c r="AF54" s="574">
        <v>1956.6101694915255</v>
      </c>
      <c r="AG54" s="574">
        <v>163.05084745762713</v>
      </c>
      <c r="AH54" s="533">
        <f t="shared" si="36"/>
        <v>8</v>
      </c>
      <c r="AI54" s="690"/>
      <c r="AJ54" s="573">
        <v>12</v>
      </c>
      <c r="AK54" s="574">
        <v>1945.8461538461534</v>
      </c>
      <c r="AL54" s="574">
        <v>162.1538461538461</v>
      </c>
      <c r="AM54" s="533">
        <f t="shared" si="37"/>
        <v>8</v>
      </c>
      <c r="AN54" s="690"/>
      <c r="AO54" s="573">
        <v>12</v>
      </c>
      <c r="AP54" s="574">
        <v>1931.6883116883118</v>
      </c>
      <c r="AQ54" s="574">
        <v>160.97402597402598</v>
      </c>
      <c r="AR54" s="533">
        <f t="shared" si="38"/>
        <v>9</v>
      </c>
      <c r="AS54" s="690"/>
      <c r="AT54" s="573">
        <v>12</v>
      </c>
      <c r="AU54" s="574">
        <v>1937.9220779220777</v>
      </c>
      <c r="AV54" s="574">
        <v>161.49350649350649</v>
      </c>
      <c r="AW54" s="533">
        <f t="shared" si="39"/>
        <v>9</v>
      </c>
      <c r="AX54" s="690"/>
    </row>
    <row r="55" spans="2:50">
      <c r="B55" s="676"/>
      <c r="C55" s="309">
        <v>9</v>
      </c>
      <c r="D55" s="227" t="s">
        <v>869</v>
      </c>
      <c r="E55" s="182">
        <v>4</v>
      </c>
      <c r="F55" s="569">
        <v>2000</v>
      </c>
      <c r="G55" s="570">
        <v>500</v>
      </c>
      <c r="H55" s="718"/>
      <c r="I55" s="199">
        <f t="shared" si="30"/>
        <v>5</v>
      </c>
      <c r="J55" s="199">
        <f t="shared" si="31"/>
        <v>1822.2487176688871</v>
      </c>
      <c r="K55" s="200">
        <f t="shared" si="32"/>
        <v>364.44974353377745</v>
      </c>
      <c r="L55" s="650"/>
      <c r="M55" s="201">
        <f>RANK(K55, K$47:$K$61)</f>
        <v>4</v>
      </c>
      <c r="N55" s="668"/>
      <c r="O55" s="668"/>
      <c r="P55" s="573">
        <v>5</v>
      </c>
      <c r="Q55" s="574">
        <v>1895.2941176470613</v>
      </c>
      <c r="R55" s="574">
        <v>379.05882352941228</v>
      </c>
      <c r="S55" s="533">
        <f t="shared" si="33"/>
        <v>4</v>
      </c>
      <c r="T55" s="690"/>
      <c r="U55" s="573">
        <v>5</v>
      </c>
      <c r="V55" s="574">
        <v>1840.0000000000018</v>
      </c>
      <c r="W55" s="574">
        <v>368.00000000000034</v>
      </c>
      <c r="X55" s="533">
        <f t="shared" si="34"/>
        <v>4</v>
      </c>
      <c r="Y55" s="690"/>
      <c r="Z55" s="573">
        <v>5</v>
      </c>
      <c r="AA55" s="574">
        <v>1765.7142857142871</v>
      </c>
      <c r="AB55" s="574">
        <v>353.14285714285745</v>
      </c>
      <c r="AC55" s="533">
        <f t="shared" si="35"/>
        <v>4</v>
      </c>
      <c r="AD55" s="690"/>
      <c r="AE55" s="573">
        <v>5</v>
      </c>
      <c r="AF55" s="574">
        <v>1750.909090909091</v>
      </c>
      <c r="AG55" s="574">
        <v>350.18181818181819</v>
      </c>
      <c r="AH55" s="533">
        <f t="shared" si="36"/>
        <v>4</v>
      </c>
      <c r="AI55" s="690"/>
      <c r="AJ55" s="573">
        <v>5</v>
      </c>
      <c r="AK55" s="574">
        <v>1810.5882352941198</v>
      </c>
      <c r="AL55" s="574">
        <v>362.11764705882399</v>
      </c>
      <c r="AM55" s="533">
        <f t="shared" si="37"/>
        <v>4</v>
      </c>
      <c r="AN55" s="690"/>
      <c r="AO55" s="573">
        <v>5</v>
      </c>
      <c r="AP55" s="574">
        <v>1805.0000000000005</v>
      </c>
      <c r="AQ55" s="574">
        <v>361.00000000000011</v>
      </c>
      <c r="AR55" s="533">
        <f t="shared" si="38"/>
        <v>4</v>
      </c>
      <c r="AS55" s="690"/>
      <c r="AT55" s="573">
        <v>5</v>
      </c>
      <c r="AU55" s="574">
        <v>1888.2352941176496</v>
      </c>
      <c r="AV55" s="574">
        <v>377.6470588235299</v>
      </c>
      <c r="AW55" s="533">
        <f t="shared" si="39"/>
        <v>4</v>
      </c>
      <c r="AX55" s="690"/>
    </row>
    <row r="56" spans="2:50">
      <c r="B56" s="676"/>
      <c r="C56" s="309">
        <v>10</v>
      </c>
      <c r="D56" s="227" t="s">
        <v>907</v>
      </c>
      <c r="E56" s="182">
        <v>4</v>
      </c>
      <c r="F56" s="569">
        <v>2000</v>
      </c>
      <c r="G56" s="570">
        <v>500</v>
      </c>
      <c r="H56" s="718"/>
      <c r="I56" s="199">
        <f t="shared" si="30"/>
        <v>4.5714285714285712</v>
      </c>
      <c r="J56" s="199">
        <f t="shared" si="31"/>
        <v>1993.0207411997017</v>
      </c>
      <c r="K56" s="200">
        <f t="shared" si="32"/>
        <v>440.57012275878003</v>
      </c>
      <c r="L56" s="650"/>
      <c r="M56" s="201">
        <f>RANK(K56, K$47:$K$61)</f>
        <v>1</v>
      </c>
      <c r="N56" s="668"/>
      <c r="O56" s="668"/>
      <c r="P56" s="573">
        <v>4</v>
      </c>
      <c r="Q56" s="574">
        <v>1958.8235294117621</v>
      </c>
      <c r="R56" s="574">
        <v>489.70588235294053</v>
      </c>
      <c r="S56" s="533">
        <f t="shared" si="33"/>
        <v>1</v>
      </c>
      <c r="T56" s="690"/>
      <c r="U56" s="573">
        <v>5</v>
      </c>
      <c r="V56" s="574">
        <v>2039.9999999999975</v>
      </c>
      <c r="W56" s="574">
        <v>407.99999999999949</v>
      </c>
      <c r="X56" s="533">
        <f t="shared" si="34"/>
        <v>3</v>
      </c>
      <c r="Y56" s="690"/>
      <c r="Z56" s="573">
        <v>4</v>
      </c>
      <c r="AA56" s="574">
        <v>1991.6129032258032</v>
      </c>
      <c r="AB56" s="574">
        <v>497.90322580645079</v>
      </c>
      <c r="AC56" s="533">
        <f t="shared" si="35"/>
        <v>1</v>
      </c>
      <c r="AD56" s="690"/>
      <c r="AE56" s="573">
        <v>5</v>
      </c>
      <c r="AF56" s="574">
        <v>2001.5999999999945</v>
      </c>
      <c r="AG56" s="574">
        <v>400.31999999999891</v>
      </c>
      <c r="AH56" s="533">
        <f t="shared" si="36"/>
        <v>3</v>
      </c>
      <c r="AI56" s="690"/>
      <c r="AJ56" s="573">
        <v>4</v>
      </c>
      <c r="AK56" s="574">
        <v>1924.7999999999943</v>
      </c>
      <c r="AL56" s="574">
        <v>481.19999999999857</v>
      </c>
      <c r="AM56" s="533">
        <f t="shared" si="37"/>
        <v>1</v>
      </c>
      <c r="AN56" s="690"/>
      <c r="AO56" s="573">
        <v>5</v>
      </c>
      <c r="AP56" s="574">
        <v>2007.8571428571386</v>
      </c>
      <c r="AQ56" s="574">
        <v>401.5714285714277</v>
      </c>
      <c r="AR56" s="533">
        <f t="shared" si="38"/>
        <v>3</v>
      </c>
      <c r="AS56" s="690"/>
      <c r="AT56" s="573">
        <v>5</v>
      </c>
      <c r="AU56" s="574">
        <v>2026.4516129032224</v>
      </c>
      <c r="AV56" s="574">
        <v>405.2903225806445</v>
      </c>
      <c r="AW56" s="533">
        <f t="shared" si="39"/>
        <v>3</v>
      </c>
      <c r="AX56" s="690"/>
    </row>
    <row r="57" spans="2:50">
      <c r="B57" s="676"/>
      <c r="C57" s="309">
        <v>11</v>
      </c>
      <c r="D57" s="227"/>
      <c r="E57" s="182"/>
      <c r="F57" s="569"/>
      <c r="G57" s="570"/>
      <c r="H57" s="718"/>
      <c r="I57" s="479"/>
      <c r="J57" s="479"/>
      <c r="K57" s="200"/>
      <c r="L57" s="650"/>
      <c r="M57" s="201" t="e">
        <f>RANK(K57, K$47:$K$61)</f>
        <v>#N/A</v>
      </c>
      <c r="N57" s="668"/>
      <c r="O57" s="668"/>
      <c r="P57" s="573"/>
      <c r="Q57" s="574"/>
      <c r="R57" s="574"/>
      <c r="S57" s="533" t="e">
        <f t="shared" si="33"/>
        <v>#N/A</v>
      </c>
      <c r="T57" s="690"/>
      <c r="U57" s="573"/>
      <c r="V57" s="574"/>
      <c r="W57" s="574"/>
      <c r="X57" s="533" t="e">
        <f t="shared" si="34"/>
        <v>#N/A</v>
      </c>
      <c r="Y57" s="690"/>
      <c r="Z57" s="573"/>
      <c r="AA57" s="574"/>
      <c r="AB57" s="574"/>
      <c r="AC57" s="533" t="e">
        <f t="shared" si="35"/>
        <v>#N/A</v>
      </c>
      <c r="AD57" s="690"/>
      <c r="AE57" s="573"/>
      <c r="AF57" s="574"/>
      <c r="AG57" s="574"/>
      <c r="AH57" s="533" t="e">
        <f t="shared" si="36"/>
        <v>#N/A</v>
      </c>
      <c r="AI57" s="690"/>
      <c r="AJ57" s="573"/>
      <c r="AK57" s="574"/>
      <c r="AL57" s="574"/>
      <c r="AM57" s="533" t="e">
        <f t="shared" si="37"/>
        <v>#N/A</v>
      </c>
      <c r="AN57" s="690"/>
      <c r="AO57" s="573"/>
      <c r="AP57" s="574"/>
      <c r="AQ57" s="574"/>
      <c r="AR57" s="533" t="e">
        <f t="shared" si="38"/>
        <v>#N/A</v>
      </c>
      <c r="AS57" s="690"/>
      <c r="AT57" s="573"/>
      <c r="AU57" s="574"/>
      <c r="AV57" s="574"/>
      <c r="AW57" s="533" t="e">
        <f t="shared" si="39"/>
        <v>#N/A</v>
      </c>
      <c r="AX57" s="690"/>
    </row>
    <row r="58" spans="2:50">
      <c r="B58" s="676"/>
      <c r="C58" s="309">
        <v>12</v>
      </c>
      <c r="D58" s="227"/>
      <c r="E58" s="182"/>
      <c r="F58" s="569"/>
      <c r="G58" s="570"/>
      <c r="H58" s="718"/>
      <c r="I58" s="536"/>
      <c r="J58" s="536"/>
      <c r="K58" s="200"/>
      <c r="L58" s="650"/>
      <c r="M58" s="201" t="e">
        <f>RANK(K58, K$47:$K$61)</f>
        <v>#N/A</v>
      </c>
      <c r="N58" s="668"/>
      <c r="O58" s="668"/>
      <c r="P58" s="573"/>
      <c r="Q58" s="574"/>
      <c r="R58" s="574"/>
      <c r="S58" s="533" t="e">
        <f t="shared" si="33"/>
        <v>#N/A</v>
      </c>
      <c r="T58" s="690"/>
      <c r="U58" s="573"/>
      <c r="V58" s="574"/>
      <c r="W58" s="574"/>
      <c r="X58" s="533" t="e">
        <f t="shared" si="34"/>
        <v>#N/A</v>
      </c>
      <c r="Y58" s="690"/>
      <c r="Z58" s="573"/>
      <c r="AA58" s="574"/>
      <c r="AB58" s="574"/>
      <c r="AC58" s="533" t="e">
        <f t="shared" si="35"/>
        <v>#N/A</v>
      </c>
      <c r="AD58" s="690"/>
      <c r="AE58" s="573"/>
      <c r="AF58" s="574"/>
      <c r="AG58" s="574"/>
      <c r="AH58" s="533" t="e">
        <f t="shared" si="36"/>
        <v>#N/A</v>
      </c>
      <c r="AI58" s="690"/>
      <c r="AJ58" s="573"/>
      <c r="AK58" s="574"/>
      <c r="AL58" s="574"/>
      <c r="AM58" s="533" t="e">
        <f t="shared" si="37"/>
        <v>#N/A</v>
      </c>
      <c r="AN58" s="690"/>
      <c r="AO58" s="573"/>
      <c r="AP58" s="574"/>
      <c r="AQ58" s="574"/>
      <c r="AR58" s="533" t="e">
        <f t="shared" si="38"/>
        <v>#N/A</v>
      </c>
      <c r="AS58" s="690"/>
      <c r="AT58" s="573"/>
      <c r="AU58" s="574"/>
      <c r="AV58" s="574"/>
      <c r="AW58" s="533" t="e">
        <f t="shared" si="39"/>
        <v>#N/A</v>
      </c>
      <c r="AX58" s="690"/>
    </row>
    <row r="59" spans="2:50">
      <c r="B59" s="676"/>
      <c r="C59" s="309">
        <v>13</v>
      </c>
      <c r="D59" s="227"/>
      <c r="E59" s="182"/>
      <c r="F59" s="569"/>
      <c r="G59" s="570"/>
      <c r="H59" s="718"/>
      <c r="I59" s="202"/>
      <c r="J59" s="202"/>
      <c r="K59" s="202"/>
      <c r="L59" s="650"/>
      <c r="M59" s="201" t="e">
        <f>RANK(K59, K$47:$K$61)</f>
        <v>#N/A</v>
      </c>
      <c r="N59" s="668"/>
      <c r="O59" s="668"/>
      <c r="P59" s="573"/>
      <c r="Q59" s="574"/>
      <c r="R59" s="574"/>
      <c r="S59" s="533" t="e">
        <f t="shared" si="33"/>
        <v>#N/A</v>
      </c>
      <c r="T59" s="690"/>
      <c r="U59" s="573"/>
      <c r="V59" s="574"/>
      <c r="W59" s="574"/>
      <c r="X59" s="533" t="e">
        <f t="shared" si="34"/>
        <v>#N/A</v>
      </c>
      <c r="Y59" s="690"/>
      <c r="Z59" s="573"/>
      <c r="AA59" s="574"/>
      <c r="AB59" s="574"/>
      <c r="AC59" s="533" t="e">
        <f t="shared" si="35"/>
        <v>#N/A</v>
      </c>
      <c r="AD59" s="690"/>
      <c r="AE59" s="573"/>
      <c r="AF59" s="574"/>
      <c r="AG59" s="574"/>
      <c r="AH59" s="533" t="e">
        <f t="shared" si="36"/>
        <v>#N/A</v>
      </c>
      <c r="AI59" s="690"/>
      <c r="AJ59" s="573"/>
      <c r="AK59" s="574"/>
      <c r="AL59" s="574"/>
      <c r="AM59" s="533" t="e">
        <f t="shared" si="37"/>
        <v>#N/A</v>
      </c>
      <c r="AN59" s="690"/>
      <c r="AO59" s="573"/>
      <c r="AP59" s="574"/>
      <c r="AQ59" s="574"/>
      <c r="AR59" s="533" t="e">
        <f t="shared" si="38"/>
        <v>#N/A</v>
      </c>
      <c r="AS59" s="690"/>
      <c r="AT59" s="573"/>
      <c r="AU59" s="574"/>
      <c r="AV59" s="574"/>
      <c r="AW59" s="533" t="e">
        <f t="shared" si="39"/>
        <v>#N/A</v>
      </c>
      <c r="AX59" s="690"/>
    </row>
    <row r="60" spans="2:50">
      <c r="B60" s="676"/>
      <c r="C60" s="309">
        <v>14</v>
      </c>
      <c r="D60" s="227"/>
      <c r="E60" s="182"/>
      <c r="F60" s="569"/>
      <c r="G60" s="570"/>
      <c r="H60" s="718"/>
      <c r="I60" s="202"/>
      <c r="J60" s="202"/>
      <c r="K60" s="202"/>
      <c r="L60" s="650"/>
      <c r="M60" s="201" t="e">
        <f>RANK(K60, K$47:$K$61)</f>
        <v>#N/A</v>
      </c>
      <c r="N60" s="668"/>
      <c r="O60" s="668"/>
      <c r="P60" s="573"/>
      <c r="Q60" s="574"/>
      <c r="R60" s="574"/>
      <c r="S60" s="533" t="e">
        <f t="shared" si="33"/>
        <v>#N/A</v>
      </c>
      <c r="T60" s="690"/>
      <c r="U60" s="573"/>
      <c r="V60" s="574"/>
      <c r="W60" s="574"/>
      <c r="X60" s="533" t="e">
        <f t="shared" si="34"/>
        <v>#N/A</v>
      </c>
      <c r="Y60" s="690"/>
      <c r="Z60" s="573"/>
      <c r="AA60" s="574"/>
      <c r="AB60" s="574"/>
      <c r="AC60" s="533" t="e">
        <f t="shared" si="35"/>
        <v>#N/A</v>
      </c>
      <c r="AD60" s="690"/>
      <c r="AE60" s="573"/>
      <c r="AF60" s="574"/>
      <c r="AG60" s="574"/>
      <c r="AH60" s="533" t="e">
        <f t="shared" si="36"/>
        <v>#N/A</v>
      </c>
      <c r="AI60" s="690"/>
      <c r="AJ60" s="573"/>
      <c r="AK60" s="574"/>
      <c r="AL60" s="574"/>
      <c r="AM60" s="533" t="e">
        <f t="shared" si="37"/>
        <v>#N/A</v>
      </c>
      <c r="AN60" s="690"/>
      <c r="AO60" s="573"/>
      <c r="AP60" s="574"/>
      <c r="AQ60" s="574"/>
      <c r="AR60" s="533" t="e">
        <f t="shared" si="38"/>
        <v>#N/A</v>
      </c>
      <c r="AS60" s="690"/>
      <c r="AT60" s="573"/>
      <c r="AU60" s="574"/>
      <c r="AV60" s="574"/>
      <c r="AW60" s="533" t="e">
        <f t="shared" si="39"/>
        <v>#N/A</v>
      </c>
      <c r="AX60" s="690"/>
    </row>
    <row r="61" spans="2:50">
      <c r="B61" s="676"/>
      <c r="C61" s="309">
        <v>15</v>
      </c>
      <c r="D61" s="227"/>
      <c r="E61" s="182"/>
      <c r="F61" s="569"/>
      <c r="G61" s="570"/>
      <c r="H61" s="719"/>
      <c r="I61" s="202"/>
      <c r="J61" s="202"/>
      <c r="K61" s="202"/>
      <c r="L61" s="651"/>
      <c r="M61" s="201" t="e">
        <f>RANK(K61, K$47:$K$61)</f>
        <v>#N/A</v>
      </c>
      <c r="N61" s="668"/>
      <c r="O61" s="668"/>
      <c r="P61" s="573"/>
      <c r="Q61" s="574"/>
      <c r="R61" s="574"/>
      <c r="S61" s="533" t="e">
        <f t="shared" si="33"/>
        <v>#N/A</v>
      </c>
      <c r="T61" s="690"/>
      <c r="U61" s="573"/>
      <c r="V61" s="574"/>
      <c r="W61" s="574"/>
      <c r="X61" s="533" t="e">
        <f t="shared" si="34"/>
        <v>#N/A</v>
      </c>
      <c r="Y61" s="690"/>
      <c r="Z61" s="573"/>
      <c r="AA61" s="574"/>
      <c r="AB61" s="574"/>
      <c r="AC61" s="533" t="e">
        <f t="shared" si="35"/>
        <v>#N/A</v>
      </c>
      <c r="AD61" s="690"/>
      <c r="AE61" s="573"/>
      <c r="AF61" s="574"/>
      <c r="AG61" s="574"/>
      <c r="AH61" s="533" t="e">
        <f t="shared" si="36"/>
        <v>#N/A</v>
      </c>
      <c r="AI61" s="690"/>
      <c r="AJ61" s="573"/>
      <c r="AK61" s="574"/>
      <c r="AL61" s="574"/>
      <c r="AM61" s="533" t="e">
        <f t="shared" si="37"/>
        <v>#N/A</v>
      </c>
      <c r="AN61" s="690"/>
      <c r="AO61" s="573"/>
      <c r="AP61" s="574"/>
      <c r="AQ61" s="574"/>
      <c r="AR61" s="533" t="e">
        <f t="shared" si="38"/>
        <v>#N/A</v>
      </c>
      <c r="AS61" s="690"/>
      <c r="AT61" s="573"/>
      <c r="AU61" s="574"/>
      <c r="AV61" s="574"/>
      <c r="AW61" s="533" t="e">
        <f t="shared" si="39"/>
        <v>#N/A</v>
      </c>
      <c r="AX61" s="690"/>
    </row>
    <row r="62" spans="2:50" ht="15.75">
      <c r="B62" s="680" t="s">
        <v>163</v>
      </c>
      <c r="C62" s="681"/>
      <c r="D62" s="681"/>
      <c r="E62" s="681"/>
      <c r="F62" s="681"/>
      <c r="G62" s="681"/>
      <c r="H62" s="682"/>
      <c r="I62" s="208"/>
      <c r="J62" s="208"/>
      <c r="K62" s="208"/>
      <c r="L62" s="208"/>
      <c r="M62" s="207"/>
      <c r="N62" s="669" t="s">
        <v>156</v>
      </c>
      <c r="O62" s="669" t="s">
        <v>105</v>
      </c>
      <c r="P62" s="675">
        <f>P42+7</f>
        <v>46105</v>
      </c>
      <c r="Q62" s="676"/>
      <c r="R62" s="676"/>
      <c r="S62" s="676"/>
      <c r="T62" s="676"/>
      <c r="U62" s="672">
        <f>P62+1</f>
        <v>46106</v>
      </c>
      <c r="V62" s="673"/>
      <c r="W62" s="673"/>
      <c r="X62" s="673"/>
      <c r="Y62" s="674"/>
      <c r="Z62" s="672">
        <f>U62+1</f>
        <v>46107</v>
      </c>
      <c r="AA62" s="673"/>
      <c r="AB62" s="673"/>
      <c r="AC62" s="673"/>
      <c r="AD62" s="674"/>
      <c r="AE62" s="672">
        <f>Z62+1</f>
        <v>46108</v>
      </c>
      <c r="AF62" s="673"/>
      <c r="AG62" s="673"/>
      <c r="AH62" s="673"/>
      <c r="AI62" s="674"/>
      <c r="AJ62" s="672">
        <f>AE62+1</f>
        <v>46109</v>
      </c>
      <c r="AK62" s="673"/>
      <c r="AL62" s="673"/>
      <c r="AM62" s="673"/>
      <c r="AN62" s="674"/>
      <c r="AO62" s="672">
        <f>AJ62+1</f>
        <v>46110</v>
      </c>
      <c r="AP62" s="673"/>
      <c r="AQ62" s="673"/>
      <c r="AR62" s="673"/>
      <c r="AS62" s="674"/>
      <c r="AT62" s="672">
        <f>AO62+1</f>
        <v>46111</v>
      </c>
      <c r="AU62" s="673"/>
      <c r="AV62" s="673"/>
      <c r="AW62" s="673"/>
      <c r="AX62" s="674"/>
    </row>
    <row r="63" spans="2:50" ht="15.75">
      <c r="B63" s="683"/>
      <c r="C63" s="683"/>
      <c r="D63" s="683"/>
      <c r="E63" s="683"/>
      <c r="F63" s="683"/>
      <c r="G63" s="683"/>
      <c r="H63" s="683"/>
      <c r="I63" s="205"/>
      <c r="J63" s="205"/>
      <c r="K63" s="205"/>
      <c r="L63" s="205"/>
      <c r="M63" s="206"/>
      <c r="N63" s="671"/>
      <c r="O63" s="671"/>
      <c r="P63" s="675" t="s">
        <v>336</v>
      </c>
      <c r="Q63" s="676"/>
      <c r="R63" s="676"/>
      <c r="S63" s="676"/>
      <c r="T63" s="676"/>
      <c r="U63" s="675" t="s">
        <v>337</v>
      </c>
      <c r="V63" s="676"/>
      <c r="W63" s="676"/>
      <c r="X63" s="676"/>
      <c r="Y63" s="676"/>
      <c r="Z63" s="675" t="s">
        <v>338</v>
      </c>
      <c r="AA63" s="676"/>
      <c r="AB63" s="676"/>
      <c r="AC63" s="676"/>
      <c r="AD63" s="676"/>
      <c r="AE63" s="675" t="s">
        <v>339</v>
      </c>
      <c r="AF63" s="676"/>
      <c r="AG63" s="676"/>
      <c r="AH63" s="676"/>
      <c r="AI63" s="676"/>
      <c r="AJ63" s="675" t="s">
        <v>340</v>
      </c>
      <c r="AK63" s="676"/>
      <c r="AL63" s="676"/>
      <c r="AM63" s="676"/>
      <c r="AN63" s="676"/>
      <c r="AO63" s="675" t="s">
        <v>341</v>
      </c>
      <c r="AP63" s="676"/>
      <c r="AQ63" s="676"/>
      <c r="AR63" s="676"/>
      <c r="AS63" s="676"/>
      <c r="AT63" s="675" t="s">
        <v>342</v>
      </c>
      <c r="AU63" s="676"/>
      <c r="AV63" s="676"/>
      <c r="AW63" s="676"/>
      <c r="AX63" s="676"/>
    </row>
    <row r="64" spans="2:50">
      <c r="B64" s="668" t="s">
        <v>419</v>
      </c>
      <c r="C64" s="668" t="s">
        <v>429</v>
      </c>
      <c r="D64" s="668"/>
      <c r="E64" s="668" t="s">
        <v>420</v>
      </c>
      <c r="F64" s="668"/>
      <c r="G64" s="668"/>
      <c r="H64" s="684" t="s">
        <v>416</v>
      </c>
      <c r="I64" s="652" t="s">
        <v>421</v>
      </c>
      <c r="J64" s="652"/>
      <c r="K64" s="652"/>
      <c r="L64" s="653" t="s">
        <v>416</v>
      </c>
      <c r="M64" s="659" t="s">
        <v>417</v>
      </c>
      <c r="N64" s="668"/>
      <c r="O64" s="668" t="s">
        <v>422</v>
      </c>
      <c r="P64" s="665" t="s">
        <v>418</v>
      </c>
      <c r="Q64" s="666"/>
      <c r="R64" s="666"/>
      <c r="S64" s="667"/>
      <c r="T64" s="668" t="s">
        <v>416</v>
      </c>
      <c r="U64" s="665" t="s">
        <v>418</v>
      </c>
      <c r="V64" s="666"/>
      <c r="W64" s="666"/>
      <c r="X64" s="667"/>
      <c r="Y64" s="668" t="s">
        <v>416</v>
      </c>
      <c r="Z64" s="665" t="s">
        <v>418</v>
      </c>
      <c r="AA64" s="666"/>
      <c r="AB64" s="666"/>
      <c r="AC64" s="667"/>
      <c r="AD64" s="668" t="s">
        <v>416</v>
      </c>
      <c r="AE64" s="665" t="s">
        <v>418</v>
      </c>
      <c r="AF64" s="666"/>
      <c r="AG64" s="666"/>
      <c r="AH64" s="667"/>
      <c r="AI64" s="668" t="s">
        <v>416</v>
      </c>
      <c r="AJ64" s="665" t="s">
        <v>418</v>
      </c>
      <c r="AK64" s="666"/>
      <c r="AL64" s="666"/>
      <c r="AM64" s="667"/>
      <c r="AN64" s="668" t="s">
        <v>416</v>
      </c>
      <c r="AO64" s="665" t="s">
        <v>418</v>
      </c>
      <c r="AP64" s="666"/>
      <c r="AQ64" s="666"/>
      <c r="AR64" s="667"/>
      <c r="AS64" s="668" t="s">
        <v>416</v>
      </c>
      <c r="AT64" s="665" t="s">
        <v>418</v>
      </c>
      <c r="AU64" s="666"/>
      <c r="AV64" s="666"/>
      <c r="AW64" s="667"/>
      <c r="AX64" s="668" t="s">
        <v>416</v>
      </c>
    </row>
    <row r="65" spans="2:50">
      <c r="B65" s="668"/>
      <c r="C65" s="668"/>
      <c r="D65" s="668"/>
      <c r="E65" s="668" t="s">
        <v>423</v>
      </c>
      <c r="F65" s="668"/>
      <c r="G65" s="668"/>
      <c r="H65" s="685"/>
      <c r="I65" s="652" t="s">
        <v>423</v>
      </c>
      <c r="J65" s="652"/>
      <c r="K65" s="652"/>
      <c r="L65" s="654"/>
      <c r="M65" s="660"/>
      <c r="N65" s="668"/>
      <c r="O65" s="668"/>
      <c r="P65" s="665" t="s">
        <v>424</v>
      </c>
      <c r="Q65" s="666"/>
      <c r="R65" s="666"/>
      <c r="S65" s="667"/>
      <c r="T65" s="668"/>
      <c r="U65" s="665" t="s">
        <v>424</v>
      </c>
      <c r="V65" s="666"/>
      <c r="W65" s="666"/>
      <c r="X65" s="667"/>
      <c r="Y65" s="668"/>
      <c r="Z65" s="665" t="s">
        <v>424</v>
      </c>
      <c r="AA65" s="666"/>
      <c r="AB65" s="666"/>
      <c r="AC65" s="667"/>
      <c r="AD65" s="668"/>
      <c r="AE65" s="665" t="s">
        <v>424</v>
      </c>
      <c r="AF65" s="666"/>
      <c r="AG65" s="666"/>
      <c r="AH65" s="667"/>
      <c r="AI65" s="668"/>
      <c r="AJ65" s="665" t="s">
        <v>424</v>
      </c>
      <c r="AK65" s="666"/>
      <c r="AL65" s="666"/>
      <c r="AM65" s="667"/>
      <c r="AN65" s="668"/>
      <c r="AO65" s="665" t="s">
        <v>424</v>
      </c>
      <c r="AP65" s="666"/>
      <c r="AQ65" s="666"/>
      <c r="AR65" s="667"/>
      <c r="AS65" s="668"/>
      <c r="AT65" s="665" t="s">
        <v>424</v>
      </c>
      <c r="AU65" s="666"/>
      <c r="AV65" s="666"/>
      <c r="AW65" s="667"/>
      <c r="AX65" s="668"/>
    </row>
    <row r="66" spans="2:50">
      <c r="B66" s="668"/>
      <c r="C66" s="668"/>
      <c r="D66" s="668"/>
      <c r="E66" s="308" t="s">
        <v>425</v>
      </c>
      <c r="F66" s="308" t="s">
        <v>426</v>
      </c>
      <c r="G66" s="308" t="s">
        <v>427</v>
      </c>
      <c r="H66" s="686"/>
      <c r="I66" s="307" t="s">
        <v>425</v>
      </c>
      <c r="J66" s="307" t="s">
        <v>426</v>
      </c>
      <c r="K66" s="307" t="s">
        <v>427</v>
      </c>
      <c r="L66" s="655"/>
      <c r="M66" s="661"/>
      <c r="N66" s="668"/>
      <c r="O66" s="668"/>
      <c r="P66" s="308" t="s">
        <v>425</v>
      </c>
      <c r="Q66" s="308" t="s">
        <v>426</v>
      </c>
      <c r="R66" s="308" t="s">
        <v>427</v>
      </c>
      <c r="S66" s="308" t="s">
        <v>417</v>
      </c>
      <c r="T66" s="668"/>
      <c r="U66" s="308" t="s">
        <v>425</v>
      </c>
      <c r="V66" s="308" t="s">
        <v>426</v>
      </c>
      <c r="W66" s="308" t="s">
        <v>427</v>
      </c>
      <c r="X66" s="308" t="s">
        <v>417</v>
      </c>
      <c r="Y66" s="668"/>
      <c r="Z66" s="308" t="s">
        <v>425</v>
      </c>
      <c r="AA66" s="308" t="s">
        <v>426</v>
      </c>
      <c r="AB66" s="308" t="s">
        <v>427</v>
      </c>
      <c r="AC66" s="308" t="s">
        <v>417</v>
      </c>
      <c r="AD66" s="668"/>
      <c r="AE66" s="308" t="s">
        <v>425</v>
      </c>
      <c r="AF66" s="308" t="s">
        <v>426</v>
      </c>
      <c r="AG66" s="308" t="s">
        <v>427</v>
      </c>
      <c r="AH66" s="308" t="s">
        <v>417</v>
      </c>
      <c r="AI66" s="668"/>
      <c r="AJ66" s="308" t="s">
        <v>425</v>
      </c>
      <c r="AK66" s="308" t="s">
        <v>426</v>
      </c>
      <c r="AL66" s="308" t="s">
        <v>427</v>
      </c>
      <c r="AM66" s="308" t="s">
        <v>417</v>
      </c>
      <c r="AN66" s="668"/>
      <c r="AO66" s="308" t="s">
        <v>425</v>
      </c>
      <c r="AP66" s="308" t="s">
        <v>426</v>
      </c>
      <c r="AQ66" s="308" t="s">
        <v>427</v>
      </c>
      <c r="AR66" s="308" t="s">
        <v>417</v>
      </c>
      <c r="AS66" s="668"/>
      <c r="AT66" s="308" t="s">
        <v>425</v>
      </c>
      <c r="AU66" s="308" t="s">
        <v>426</v>
      </c>
      <c r="AV66" s="308" t="s">
        <v>427</v>
      </c>
      <c r="AW66" s="308" t="s">
        <v>417</v>
      </c>
      <c r="AX66" s="668"/>
    </row>
    <row r="67" spans="2:50">
      <c r="B67" s="716" t="s">
        <v>428</v>
      </c>
      <c r="C67" s="309">
        <v>1</v>
      </c>
      <c r="D67" s="227" t="s">
        <v>387</v>
      </c>
      <c r="E67" s="182">
        <v>4</v>
      </c>
      <c r="F67" s="569">
        <v>2000</v>
      </c>
      <c r="G67" s="570">
        <v>500</v>
      </c>
      <c r="H67" s="717">
        <f>AVERAGE(G67:G81)</f>
        <v>305.7166666666667</v>
      </c>
      <c r="I67" s="199">
        <f>AVERAGE(P67,U67,Z67,AE67,AJ67,AO67,AT67)</f>
        <v>5</v>
      </c>
      <c r="J67" s="199">
        <f>AVERAGE(Q67,V67,AA67,AF67,AK67,AP67,AU67)</f>
        <v>2178.5365836161759</v>
      </c>
      <c r="K67" s="200">
        <f>AVERAGE(R67,W67,AB67,AG67,AL67,AQ67,AV67)</f>
        <v>435.70731672323529</v>
      </c>
      <c r="L67" s="649">
        <f>IFERROR(AVERAGE(K67:K81),"-")</f>
        <v>257.2117736027966</v>
      </c>
      <c r="M67" s="201">
        <f>RANK(K67, K$67:$K$81)</f>
        <v>1</v>
      </c>
      <c r="N67" s="668"/>
      <c r="O67" s="668"/>
      <c r="P67" s="573">
        <v>5</v>
      </c>
      <c r="Q67" s="574">
        <v>2175.8823529411766</v>
      </c>
      <c r="R67" s="574">
        <v>435.1764705882353</v>
      </c>
      <c r="S67" s="309">
        <f>RANK(R67, R$67:R$81)</f>
        <v>2</v>
      </c>
      <c r="T67" s="690">
        <f>AVERAGE(R67:R81)</f>
        <v>256.25913580481932</v>
      </c>
      <c r="U67" s="573">
        <v>5</v>
      </c>
      <c r="V67" s="574">
        <v>2197.0000000000005</v>
      </c>
      <c r="W67" s="574">
        <v>439.40000000000009</v>
      </c>
      <c r="X67" s="475">
        <f t="shared" ref="X67:X81" si="40">RANK(W67, W$67:W$81)</f>
        <v>1</v>
      </c>
      <c r="Y67" s="690">
        <f t="shared" ref="Y67" si="41">AVERAGE(W67:W81)</f>
        <v>258.05109476882421</v>
      </c>
      <c r="Z67" s="573">
        <v>5</v>
      </c>
      <c r="AA67" s="574">
        <v>2171.1864406779664</v>
      </c>
      <c r="AB67" s="574">
        <v>434.2372881355933</v>
      </c>
      <c r="AC67" s="475">
        <f t="shared" ref="AC67:AC81" si="42">RANK(AB67, AB$67:AB$81)</f>
        <v>1</v>
      </c>
      <c r="AD67" s="690">
        <f t="shared" ref="AD67" si="43">AVERAGE(AB67:AB81)</f>
        <v>257.37939178247461</v>
      </c>
      <c r="AE67" s="573">
        <v>5</v>
      </c>
      <c r="AF67" s="574">
        <v>2201.632653061225</v>
      </c>
      <c r="AG67" s="574">
        <v>440.32653061224499</v>
      </c>
      <c r="AH67" s="475">
        <f t="shared" ref="AH67:AH81" si="44">RANK(AG67, AG$67:AG$81)</f>
        <v>1</v>
      </c>
      <c r="AI67" s="690">
        <f t="shared" ref="AI67" si="45">AVERAGE(AG67:AG81)</f>
        <v>258.22511570492634</v>
      </c>
      <c r="AJ67" s="573">
        <v>5</v>
      </c>
      <c r="AK67" s="574">
        <v>2170.5263157894738</v>
      </c>
      <c r="AL67" s="574">
        <v>434.10526315789474</v>
      </c>
      <c r="AM67" s="475">
        <f t="shared" ref="AM67:AM81" si="46">RANK(AL67, AL$67:AL$81)</f>
        <v>1</v>
      </c>
      <c r="AN67" s="690">
        <f t="shared" ref="AN67" si="47">AVERAGE(AL67:AL81)</f>
        <v>256.24463570832734</v>
      </c>
      <c r="AO67" s="573">
        <v>5</v>
      </c>
      <c r="AP67" s="574">
        <v>2192.4324324324334</v>
      </c>
      <c r="AQ67" s="574">
        <v>438.48648648648668</v>
      </c>
      <c r="AR67" s="475">
        <f t="shared" ref="AR67:AR81" si="48">RANK(AQ67, AQ$67:AQ$81)</f>
        <v>1</v>
      </c>
      <c r="AS67" s="690">
        <f t="shared" ref="AS67" si="49">AVERAGE(AQ67:AQ81)</f>
        <v>257.61244705573233</v>
      </c>
      <c r="AT67" s="573">
        <v>5</v>
      </c>
      <c r="AU67" s="574">
        <v>2141.0958904109593</v>
      </c>
      <c r="AV67" s="574">
        <v>428.21917808219189</v>
      </c>
      <c r="AW67" s="475">
        <f t="shared" ref="AW67:AW81" si="50">RANK(AV67, AV$67:AV$81)</f>
        <v>2</v>
      </c>
      <c r="AX67" s="690">
        <f t="shared" ref="AX67" si="51">AVERAGE(AV67:AV81)</f>
        <v>256.71059439447191</v>
      </c>
    </row>
    <row r="68" spans="2:50">
      <c r="B68" s="676"/>
      <c r="C68" s="309">
        <v>2</v>
      </c>
      <c r="D68" s="227" t="s">
        <v>500</v>
      </c>
      <c r="E68" s="182">
        <v>4</v>
      </c>
      <c r="F68" s="569">
        <v>2000</v>
      </c>
      <c r="G68" s="570">
        <v>500</v>
      </c>
      <c r="H68" s="718"/>
      <c r="I68" s="199">
        <f t="shared" ref="I68:I75" si="52">AVERAGE(P68,U68,Z68,AE68,AJ68,AO68,AT68)</f>
        <v>5</v>
      </c>
      <c r="J68" s="199">
        <f t="shared" ref="J68:J75" si="53">AVERAGE(Q68,V68,AA68,AF68,AK68,AP68,AU68)</f>
        <v>2165.4073215421136</v>
      </c>
      <c r="K68" s="200">
        <f t="shared" ref="K68:K75" si="54">AVERAGE(R68,W68,AB68,AG68,AL68,AQ68,AV68)</f>
        <v>433.08146430842271</v>
      </c>
      <c r="L68" s="650"/>
      <c r="M68" s="201">
        <f>RANK(K68, K$67:$K$81)</f>
        <v>2</v>
      </c>
      <c r="N68" s="668"/>
      <c r="O68" s="668"/>
      <c r="P68" s="573">
        <v>5</v>
      </c>
      <c r="Q68" s="574">
        <v>2176.6153846153843</v>
      </c>
      <c r="R68" s="574">
        <v>435.32307692307688</v>
      </c>
      <c r="S68" s="339">
        <f t="shared" ref="S68:S81" si="55">RANK(R68, R$67:R$81)</f>
        <v>1</v>
      </c>
      <c r="T68" s="690"/>
      <c r="U68" s="573">
        <v>5</v>
      </c>
      <c r="V68" s="574">
        <v>2176.0000000000005</v>
      </c>
      <c r="W68" s="574">
        <v>435.2000000000001</v>
      </c>
      <c r="X68" s="475">
        <f t="shared" si="40"/>
        <v>2</v>
      </c>
      <c r="Y68" s="690"/>
      <c r="Z68" s="573">
        <v>5</v>
      </c>
      <c r="AA68" s="574">
        <v>2137.2413793103451</v>
      </c>
      <c r="AB68" s="574">
        <v>427.44827586206901</v>
      </c>
      <c r="AC68" s="475">
        <f t="shared" si="42"/>
        <v>2</v>
      </c>
      <c r="AD68" s="690"/>
      <c r="AE68" s="573">
        <v>5</v>
      </c>
      <c r="AF68" s="574">
        <v>2163.6000000000004</v>
      </c>
      <c r="AG68" s="574">
        <v>432.72000000000008</v>
      </c>
      <c r="AH68" s="475">
        <f t="shared" si="44"/>
        <v>2</v>
      </c>
      <c r="AI68" s="690"/>
      <c r="AJ68" s="573">
        <v>5</v>
      </c>
      <c r="AK68" s="574">
        <v>2133.5593220338988</v>
      </c>
      <c r="AL68" s="574">
        <v>426.71186440677974</v>
      </c>
      <c r="AM68" s="475">
        <f t="shared" si="46"/>
        <v>2</v>
      </c>
      <c r="AN68" s="690"/>
      <c r="AO68" s="573">
        <v>5</v>
      </c>
      <c r="AP68" s="574">
        <v>2159.1428571428578</v>
      </c>
      <c r="AQ68" s="574">
        <v>431.82857142857154</v>
      </c>
      <c r="AR68" s="475">
        <f t="shared" si="48"/>
        <v>2</v>
      </c>
      <c r="AS68" s="690"/>
      <c r="AT68" s="573">
        <v>5</v>
      </c>
      <c r="AU68" s="574">
        <v>2211.6923076923072</v>
      </c>
      <c r="AV68" s="574">
        <v>442.33846153846144</v>
      </c>
      <c r="AW68" s="475">
        <f t="shared" si="50"/>
        <v>1</v>
      </c>
      <c r="AX68" s="690"/>
    </row>
    <row r="69" spans="2:50">
      <c r="B69" s="676"/>
      <c r="C69" s="309">
        <v>3</v>
      </c>
      <c r="D69" s="227" t="s">
        <v>389</v>
      </c>
      <c r="E69" s="182">
        <v>12</v>
      </c>
      <c r="F69" s="569">
        <v>2118</v>
      </c>
      <c r="G69" s="570">
        <v>176.5</v>
      </c>
      <c r="H69" s="718"/>
      <c r="I69" s="199">
        <f t="shared" si="52"/>
        <v>12</v>
      </c>
      <c r="J69" s="199">
        <f t="shared" si="53"/>
        <v>1890.5186143484018</v>
      </c>
      <c r="K69" s="200">
        <f t="shared" si="54"/>
        <v>157.54321786236682</v>
      </c>
      <c r="L69" s="650"/>
      <c r="M69" s="201">
        <f>RANK(K69, K$67:$K$81)</f>
        <v>9</v>
      </c>
      <c r="N69" s="668"/>
      <c r="O69" s="668"/>
      <c r="P69" s="573">
        <v>12</v>
      </c>
      <c r="Q69" s="574">
        <v>1917.4647887323949</v>
      </c>
      <c r="R69" s="574">
        <v>159.78873239436624</v>
      </c>
      <c r="S69" s="339">
        <f t="shared" si="55"/>
        <v>9</v>
      </c>
      <c r="T69" s="690"/>
      <c r="U69" s="573">
        <v>12</v>
      </c>
      <c r="V69" s="574">
        <v>1880</v>
      </c>
      <c r="W69" s="574">
        <v>156.66666666666666</v>
      </c>
      <c r="X69" s="475">
        <f t="shared" si="40"/>
        <v>9</v>
      </c>
      <c r="Y69" s="690"/>
      <c r="Z69" s="573">
        <v>12</v>
      </c>
      <c r="AA69" s="574">
        <v>1879.7014925373132</v>
      </c>
      <c r="AB69" s="574">
        <v>156.64179104477611</v>
      </c>
      <c r="AC69" s="475">
        <f t="shared" si="42"/>
        <v>9</v>
      </c>
      <c r="AD69" s="690"/>
      <c r="AE69" s="573">
        <v>12</v>
      </c>
      <c r="AF69" s="574">
        <v>1877.2881355932207</v>
      </c>
      <c r="AG69" s="574">
        <v>156.44067796610173</v>
      </c>
      <c r="AH69" s="475">
        <f t="shared" si="44"/>
        <v>9</v>
      </c>
      <c r="AI69" s="690"/>
      <c r="AJ69" s="573">
        <v>12</v>
      </c>
      <c r="AK69" s="574">
        <v>1873.8461538461534</v>
      </c>
      <c r="AL69" s="574">
        <v>156.1538461538461</v>
      </c>
      <c r="AM69" s="475">
        <f t="shared" si="46"/>
        <v>9</v>
      </c>
      <c r="AN69" s="690"/>
      <c r="AO69" s="573">
        <v>12</v>
      </c>
      <c r="AP69" s="574">
        <v>1899.7297297297296</v>
      </c>
      <c r="AQ69" s="574">
        <v>158.31081081081081</v>
      </c>
      <c r="AR69" s="475">
        <f t="shared" si="48"/>
        <v>8</v>
      </c>
      <c r="AS69" s="690"/>
      <c r="AT69" s="573">
        <v>12</v>
      </c>
      <c r="AU69" s="574">
        <v>1905.5999999999997</v>
      </c>
      <c r="AV69" s="574">
        <v>158.79999999999998</v>
      </c>
      <c r="AW69" s="475">
        <f t="shared" si="50"/>
        <v>8</v>
      </c>
      <c r="AX69" s="690"/>
    </row>
    <row r="70" spans="2:50">
      <c r="B70" s="676"/>
      <c r="C70" s="309">
        <v>4</v>
      </c>
      <c r="D70" s="227" t="s">
        <v>925</v>
      </c>
      <c r="E70" s="182">
        <v>13</v>
      </c>
      <c r="F70" s="569">
        <v>2250</v>
      </c>
      <c r="G70" s="570">
        <v>187.5</v>
      </c>
      <c r="H70" s="718"/>
      <c r="I70" s="199">
        <f t="shared" si="52"/>
        <v>13</v>
      </c>
      <c r="J70" s="199">
        <f t="shared" si="53"/>
        <v>2211.872898534682</v>
      </c>
      <c r="K70" s="200">
        <f t="shared" si="54"/>
        <v>170.14406911805244</v>
      </c>
      <c r="L70" s="650"/>
      <c r="M70" s="201">
        <f>RANK(K70, K$67:$K$81)</f>
        <v>6</v>
      </c>
      <c r="N70" s="668"/>
      <c r="O70" s="668"/>
      <c r="P70" s="573">
        <v>13</v>
      </c>
      <c r="Q70" s="574">
        <v>2222.6666666666665</v>
      </c>
      <c r="R70" s="574">
        <v>170.97435897435895</v>
      </c>
      <c r="S70" s="339">
        <f t="shared" si="55"/>
        <v>6</v>
      </c>
      <c r="T70" s="690"/>
      <c r="U70" s="573">
        <v>13</v>
      </c>
      <c r="V70" s="574">
        <v>2231.1111111111099</v>
      </c>
      <c r="W70" s="574">
        <v>171.62393162393153</v>
      </c>
      <c r="X70" s="475">
        <f t="shared" si="40"/>
        <v>7</v>
      </c>
      <c r="Y70" s="690"/>
      <c r="Z70" s="573">
        <v>13</v>
      </c>
      <c r="AA70" s="574">
        <v>2201.7073170731701</v>
      </c>
      <c r="AB70" s="574">
        <v>169.36210131332078</v>
      </c>
      <c r="AC70" s="475">
        <f t="shared" si="42"/>
        <v>6</v>
      </c>
      <c r="AD70" s="690"/>
      <c r="AE70" s="573">
        <v>13</v>
      </c>
      <c r="AF70" s="574">
        <v>2224.0540540540533</v>
      </c>
      <c r="AG70" s="574">
        <v>171.08108108108101</v>
      </c>
      <c r="AH70" s="475">
        <f t="shared" si="44"/>
        <v>6</v>
      </c>
      <c r="AI70" s="690"/>
      <c r="AJ70" s="573">
        <v>13</v>
      </c>
      <c r="AK70" s="574">
        <v>2202.6506024096379</v>
      </c>
      <c r="AL70" s="574">
        <v>169.43466172381829</v>
      </c>
      <c r="AM70" s="475">
        <f t="shared" si="46"/>
        <v>6</v>
      </c>
      <c r="AN70" s="690"/>
      <c r="AO70" s="573">
        <v>13</v>
      </c>
      <c r="AP70" s="574">
        <v>2208.3673469387759</v>
      </c>
      <c r="AQ70" s="574">
        <v>169.87441130298276</v>
      </c>
      <c r="AR70" s="475">
        <f t="shared" si="48"/>
        <v>7</v>
      </c>
      <c r="AS70" s="690"/>
      <c r="AT70" s="573">
        <v>13</v>
      </c>
      <c r="AU70" s="574">
        <v>2192.5531914893613</v>
      </c>
      <c r="AV70" s="574">
        <v>168.65793780687395</v>
      </c>
      <c r="AW70" s="475">
        <f t="shared" si="50"/>
        <v>6</v>
      </c>
      <c r="AX70" s="690"/>
    </row>
    <row r="71" spans="2:50">
      <c r="B71" s="676"/>
      <c r="C71" s="309">
        <v>5</v>
      </c>
      <c r="D71" s="227" t="s">
        <v>390</v>
      </c>
      <c r="E71" s="182">
        <v>13</v>
      </c>
      <c r="F71" s="569">
        <v>2250</v>
      </c>
      <c r="G71" s="570">
        <v>173.1</v>
      </c>
      <c r="H71" s="718"/>
      <c r="I71" s="199">
        <f t="shared" si="52"/>
        <v>13</v>
      </c>
      <c r="J71" s="199">
        <f t="shared" si="53"/>
        <v>2197.0764936456189</v>
      </c>
      <c r="K71" s="200">
        <f t="shared" si="54"/>
        <v>169.0058841265861</v>
      </c>
      <c r="L71" s="650"/>
      <c r="M71" s="201">
        <f>RANK(K71, K$67:$K$81)</f>
        <v>7</v>
      </c>
      <c r="N71" s="668"/>
      <c r="O71" s="668"/>
      <c r="P71" s="573">
        <v>13</v>
      </c>
      <c r="Q71" s="574">
        <v>2190.2752293577978</v>
      </c>
      <c r="R71" s="574">
        <v>168.48270995059983</v>
      </c>
      <c r="S71" s="339">
        <f t="shared" si="55"/>
        <v>7</v>
      </c>
      <c r="T71" s="690"/>
      <c r="U71" s="573">
        <v>13</v>
      </c>
      <c r="V71" s="574">
        <v>2232.6000000000004</v>
      </c>
      <c r="W71" s="574">
        <v>171.73846153846156</v>
      </c>
      <c r="X71" s="475">
        <f t="shared" si="40"/>
        <v>6</v>
      </c>
      <c r="Y71" s="690"/>
      <c r="Z71" s="573">
        <v>13</v>
      </c>
      <c r="AA71" s="574">
        <v>2188.7234042553196</v>
      </c>
      <c r="AB71" s="574">
        <v>168.36333878887075</v>
      </c>
      <c r="AC71" s="475">
        <f t="shared" si="42"/>
        <v>7</v>
      </c>
      <c r="AD71" s="690"/>
      <c r="AE71" s="573">
        <v>13</v>
      </c>
      <c r="AF71" s="574">
        <v>2178.913043478261</v>
      </c>
      <c r="AG71" s="574">
        <v>167.60869565217394</v>
      </c>
      <c r="AH71" s="475">
        <f t="shared" si="44"/>
        <v>7</v>
      </c>
      <c r="AI71" s="690"/>
      <c r="AJ71" s="573">
        <v>13</v>
      </c>
      <c r="AK71" s="574">
        <v>2182.5742574257438</v>
      </c>
      <c r="AL71" s="574">
        <v>167.89032749428799</v>
      </c>
      <c r="AM71" s="475">
        <f t="shared" si="46"/>
        <v>7</v>
      </c>
      <c r="AN71" s="690"/>
      <c r="AO71" s="573">
        <v>13</v>
      </c>
      <c r="AP71" s="574">
        <v>2226.1016949152545</v>
      </c>
      <c r="AQ71" s="574">
        <v>171.23859191655805</v>
      </c>
      <c r="AR71" s="475">
        <f t="shared" si="48"/>
        <v>6</v>
      </c>
      <c r="AS71" s="690"/>
      <c r="AT71" s="573">
        <v>13</v>
      </c>
      <c r="AU71" s="574">
        <v>2180.3478260869565</v>
      </c>
      <c r="AV71" s="574">
        <v>167.7190635451505</v>
      </c>
      <c r="AW71" s="475">
        <f t="shared" si="50"/>
        <v>7</v>
      </c>
      <c r="AX71" s="690"/>
    </row>
    <row r="72" spans="2:50">
      <c r="B72" s="676"/>
      <c r="C72" s="309">
        <v>6</v>
      </c>
      <c r="D72" s="227" t="s">
        <v>391</v>
      </c>
      <c r="E72" s="182">
        <v>10</v>
      </c>
      <c r="F72" s="569">
        <v>2769</v>
      </c>
      <c r="G72" s="570">
        <v>276.89999999999998</v>
      </c>
      <c r="H72" s="718"/>
      <c r="I72" s="199">
        <f t="shared" si="52"/>
        <v>10</v>
      </c>
      <c r="J72" s="199">
        <f t="shared" si="53"/>
        <v>2226.9797241457077</v>
      </c>
      <c r="K72" s="200">
        <f t="shared" si="54"/>
        <v>222.69797241457076</v>
      </c>
      <c r="L72" s="650"/>
      <c r="M72" s="201">
        <f>RANK(K72, K$67:$K$81)</f>
        <v>5</v>
      </c>
      <c r="N72" s="668"/>
      <c r="O72" s="668"/>
      <c r="P72" s="573">
        <v>10</v>
      </c>
      <c r="Q72" s="574">
        <v>2302.2295081967204</v>
      </c>
      <c r="R72" s="574">
        <v>230.22295081967204</v>
      </c>
      <c r="S72" s="339">
        <f t="shared" si="55"/>
        <v>5</v>
      </c>
      <c r="T72" s="690"/>
      <c r="U72" s="573">
        <v>10</v>
      </c>
      <c r="V72" s="574">
        <v>2240.6860465116279</v>
      </c>
      <c r="W72" s="574">
        <v>224.06860465116279</v>
      </c>
      <c r="X72" s="475">
        <f t="shared" si="40"/>
        <v>5</v>
      </c>
      <c r="Y72" s="690"/>
      <c r="Z72" s="573">
        <v>10</v>
      </c>
      <c r="AA72" s="574">
        <v>2204.4193548387098</v>
      </c>
      <c r="AB72" s="574">
        <v>220.44193548387096</v>
      </c>
      <c r="AC72" s="475">
        <f t="shared" si="42"/>
        <v>5</v>
      </c>
      <c r="AD72" s="690"/>
      <c r="AE72" s="573">
        <v>10</v>
      </c>
      <c r="AF72" s="574">
        <v>2232.3103448275856</v>
      </c>
      <c r="AG72" s="574">
        <v>223.23103448275856</v>
      </c>
      <c r="AH72" s="475">
        <f t="shared" si="44"/>
        <v>5</v>
      </c>
      <c r="AI72" s="690"/>
      <c r="AJ72" s="573">
        <v>10</v>
      </c>
      <c r="AK72" s="574">
        <v>2191.9891304347825</v>
      </c>
      <c r="AL72" s="574">
        <v>219.19891304347826</v>
      </c>
      <c r="AM72" s="475">
        <f t="shared" si="46"/>
        <v>5</v>
      </c>
      <c r="AN72" s="690"/>
      <c r="AO72" s="573">
        <v>10</v>
      </c>
      <c r="AP72" s="574">
        <v>2209.9736842105262</v>
      </c>
      <c r="AQ72" s="574">
        <v>220.99736842105261</v>
      </c>
      <c r="AR72" s="475">
        <f t="shared" si="48"/>
        <v>5</v>
      </c>
      <c r="AS72" s="690"/>
      <c r="AT72" s="573">
        <v>10</v>
      </c>
      <c r="AU72" s="574">
        <v>2207.2499999999995</v>
      </c>
      <c r="AV72" s="574">
        <v>220.72499999999997</v>
      </c>
      <c r="AW72" s="475">
        <f t="shared" si="50"/>
        <v>5</v>
      </c>
      <c r="AX72" s="690"/>
    </row>
    <row r="73" spans="2:50">
      <c r="B73" s="676"/>
      <c r="C73" s="309">
        <v>7</v>
      </c>
      <c r="D73" s="227" t="s">
        <v>386</v>
      </c>
      <c r="E73" s="182">
        <v>18</v>
      </c>
      <c r="F73" s="569">
        <v>1200</v>
      </c>
      <c r="G73" s="570">
        <v>66.666666666666671</v>
      </c>
      <c r="H73" s="718"/>
      <c r="I73" s="199">
        <f t="shared" si="52"/>
        <v>18.571428571428573</v>
      </c>
      <c r="J73" s="199">
        <f t="shared" si="53"/>
        <v>1225.8780652743912</v>
      </c>
      <c r="K73" s="200">
        <f t="shared" si="54"/>
        <v>66.052631562689683</v>
      </c>
      <c r="L73" s="650"/>
      <c r="M73" s="201">
        <f>RANK(K73, K$67:$K$81)</f>
        <v>10</v>
      </c>
      <c r="N73" s="668"/>
      <c r="O73" s="668"/>
      <c r="P73" s="573">
        <v>19</v>
      </c>
      <c r="Q73" s="574">
        <v>1229.1089108910892</v>
      </c>
      <c r="R73" s="574">
        <v>64.689942678478374</v>
      </c>
      <c r="S73" s="339">
        <f t="shared" si="55"/>
        <v>10</v>
      </c>
      <c r="T73" s="690"/>
      <c r="U73" s="573">
        <v>19</v>
      </c>
      <c r="V73" s="574">
        <v>1224.6666666666667</v>
      </c>
      <c r="W73" s="574">
        <v>64.456140350877192</v>
      </c>
      <c r="X73" s="475">
        <f t="shared" si="40"/>
        <v>10</v>
      </c>
      <c r="Y73" s="690"/>
      <c r="Z73" s="573">
        <v>18</v>
      </c>
      <c r="AA73" s="574">
        <v>1243.3333333333333</v>
      </c>
      <c r="AB73" s="574">
        <v>69.074074074074076</v>
      </c>
      <c r="AC73" s="475">
        <f t="shared" si="42"/>
        <v>10</v>
      </c>
      <c r="AD73" s="690"/>
      <c r="AE73" s="573">
        <v>18</v>
      </c>
      <c r="AF73" s="574">
        <v>1209.1764705882356</v>
      </c>
      <c r="AG73" s="574">
        <v>67.176470588235304</v>
      </c>
      <c r="AH73" s="475">
        <f t="shared" si="44"/>
        <v>10</v>
      </c>
      <c r="AI73" s="690"/>
      <c r="AJ73" s="573">
        <v>18</v>
      </c>
      <c r="AK73" s="574">
        <v>1216.8539325842696</v>
      </c>
      <c r="AL73" s="574">
        <v>67.602996254681642</v>
      </c>
      <c r="AM73" s="475">
        <f t="shared" si="46"/>
        <v>10</v>
      </c>
      <c r="AN73" s="690"/>
      <c r="AO73" s="573">
        <v>19</v>
      </c>
      <c r="AP73" s="574">
        <v>1231.6071428571429</v>
      </c>
      <c r="AQ73" s="574">
        <v>64.821428571428569</v>
      </c>
      <c r="AR73" s="475">
        <f t="shared" si="48"/>
        <v>10</v>
      </c>
      <c r="AS73" s="690"/>
      <c r="AT73" s="573">
        <v>19</v>
      </c>
      <c r="AU73" s="574">
        <v>1226.4000000000001</v>
      </c>
      <c r="AV73" s="574">
        <v>64.547368421052639</v>
      </c>
      <c r="AW73" s="475">
        <f t="shared" si="50"/>
        <v>10</v>
      </c>
      <c r="AX73" s="690"/>
    </row>
    <row r="74" spans="2:50">
      <c r="B74" s="676"/>
      <c r="C74" s="309">
        <v>8</v>
      </c>
      <c r="D74" s="227" t="s">
        <v>798</v>
      </c>
      <c r="E74" s="182">
        <v>12</v>
      </c>
      <c r="F74" s="569">
        <v>2118</v>
      </c>
      <c r="G74" s="570">
        <v>176.5</v>
      </c>
      <c r="H74" s="718"/>
      <c r="I74" s="199">
        <f t="shared" si="52"/>
        <v>12</v>
      </c>
      <c r="J74" s="199">
        <f t="shared" si="53"/>
        <v>1902.0922955667161</v>
      </c>
      <c r="K74" s="200">
        <f t="shared" si="54"/>
        <v>158.50769129722633</v>
      </c>
      <c r="L74" s="650"/>
      <c r="M74" s="201">
        <f>RANK(K74, K$67:$K$81)</f>
        <v>8</v>
      </c>
      <c r="N74" s="668"/>
      <c r="O74" s="668"/>
      <c r="P74" s="573">
        <v>12</v>
      </c>
      <c r="Q74" s="574">
        <v>1925.8333333333337</v>
      </c>
      <c r="R74" s="574">
        <v>160.48611111111114</v>
      </c>
      <c r="S74" s="339">
        <f t="shared" si="55"/>
        <v>8</v>
      </c>
      <c r="T74" s="690"/>
      <c r="U74" s="573">
        <v>12</v>
      </c>
      <c r="V74" s="574">
        <v>1900.2857142857147</v>
      </c>
      <c r="W74" s="574">
        <v>158.35714285714289</v>
      </c>
      <c r="X74" s="475">
        <f t="shared" si="40"/>
        <v>8</v>
      </c>
      <c r="Y74" s="690"/>
      <c r="Z74" s="573">
        <v>12</v>
      </c>
      <c r="AA74" s="574">
        <v>1901.4705882352941</v>
      </c>
      <c r="AB74" s="574">
        <v>158.45588235294119</v>
      </c>
      <c r="AC74" s="475">
        <f t="shared" si="42"/>
        <v>8</v>
      </c>
      <c r="AD74" s="690"/>
      <c r="AE74" s="573">
        <v>12</v>
      </c>
      <c r="AF74" s="574">
        <v>1900.0000000000005</v>
      </c>
      <c r="AG74" s="574">
        <v>158.33333333333337</v>
      </c>
      <c r="AH74" s="475">
        <f t="shared" si="44"/>
        <v>8</v>
      </c>
      <c r="AI74" s="690"/>
      <c r="AJ74" s="573">
        <v>12</v>
      </c>
      <c r="AK74" s="574">
        <v>1907.2727272727273</v>
      </c>
      <c r="AL74" s="574">
        <v>158.93939393939394</v>
      </c>
      <c r="AM74" s="475">
        <f t="shared" si="46"/>
        <v>8</v>
      </c>
      <c r="AN74" s="690"/>
      <c r="AO74" s="573">
        <v>12</v>
      </c>
      <c r="AP74" s="574">
        <v>1885.2631578947376</v>
      </c>
      <c r="AQ74" s="574">
        <v>157.1052631578948</v>
      </c>
      <c r="AR74" s="475">
        <f t="shared" si="48"/>
        <v>9</v>
      </c>
      <c r="AS74" s="690"/>
      <c r="AT74" s="573">
        <v>12</v>
      </c>
      <c r="AU74" s="574">
        <v>1894.5205479452052</v>
      </c>
      <c r="AV74" s="574">
        <v>157.8767123287671</v>
      </c>
      <c r="AW74" s="475">
        <f t="shared" si="50"/>
        <v>9</v>
      </c>
      <c r="AX74" s="690"/>
    </row>
    <row r="75" spans="2:50">
      <c r="B75" s="676"/>
      <c r="C75" s="309">
        <v>9</v>
      </c>
      <c r="D75" s="227" t="s">
        <v>869</v>
      </c>
      <c r="E75" s="182">
        <v>4</v>
      </c>
      <c r="F75" s="569">
        <v>2000</v>
      </c>
      <c r="G75" s="570">
        <v>500</v>
      </c>
      <c r="H75" s="718"/>
      <c r="I75" s="199">
        <f t="shared" si="52"/>
        <v>5</v>
      </c>
      <c r="J75" s="199">
        <f t="shared" si="53"/>
        <v>1793.6564625850347</v>
      </c>
      <c r="K75" s="200">
        <f t="shared" si="54"/>
        <v>358.73129251700703</v>
      </c>
      <c r="L75" s="650"/>
      <c r="M75" s="201">
        <f>RANK(K75, K$67:$K$81)</f>
        <v>4</v>
      </c>
      <c r="N75" s="668"/>
      <c r="O75" s="668"/>
      <c r="P75" s="573">
        <v>5</v>
      </c>
      <c r="Q75" s="574">
        <v>1761.4285714285727</v>
      </c>
      <c r="R75" s="574">
        <v>352.28571428571456</v>
      </c>
      <c r="S75" s="339">
        <f t="shared" si="55"/>
        <v>4</v>
      </c>
      <c r="T75" s="690"/>
      <c r="U75" s="573">
        <v>5</v>
      </c>
      <c r="V75" s="574">
        <v>1770.0000000000014</v>
      </c>
      <c r="W75" s="574">
        <v>354.00000000000028</v>
      </c>
      <c r="X75" s="475">
        <f t="shared" si="40"/>
        <v>4</v>
      </c>
      <c r="Y75" s="690"/>
      <c r="Z75" s="573">
        <v>5</v>
      </c>
      <c r="AA75" s="574">
        <v>1795.0000000000005</v>
      </c>
      <c r="AB75" s="574">
        <v>359.00000000000011</v>
      </c>
      <c r="AC75" s="475">
        <f t="shared" si="42"/>
        <v>4</v>
      </c>
      <c r="AD75" s="690"/>
      <c r="AE75" s="573">
        <v>5</v>
      </c>
      <c r="AF75" s="574">
        <v>1846.6666666666652</v>
      </c>
      <c r="AG75" s="574">
        <v>369.33333333333303</v>
      </c>
      <c r="AH75" s="475">
        <f t="shared" si="44"/>
        <v>4</v>
      </c>
      <c r="AI75" s="690"/>
      <c r="AJ75" s="573">
        <v>5</v>
      </c>
      <c r="AK75" s="574">
        <v>1777.5000000000018</v>
      </c>
      <c r="AL75" s="574">
        <v>355.50000000000034</v>
      </c>
      <c r="AM75" s="475">
        <f t="shared" si="46"/>
        <v>4</v>
      </c>
      <c r="AN75" s="690"/>
      <c r="AO75" s="573">
        <v>5</v>
      </c>
      <c r="AP75" s="574">
        <v>1865.0000000000005</v>
      </c>
      <c r="AQ75" s="574">
        <v>373.00000000000011</v>
      </c>
      <c r="AR75" s="475">
        <f t="shared" si="48"/>
        <v>4</v>
      </c>
      <c r="AS75" s="690"/>
      <c r="AT75" s="573">
        <v>5</v>
      </c>
      <c r="AU75" s="574">
        <v>1740.0000000000018</v>
      </c>
      <c r="AV75" s="574">
        <v>348.00000000000034</v>
      </c>
      <c r="AW75" s="475">
        <f t="shared" si="50"/>
        <v>4</v>
      </c>
      <c r="AX75" s="690"/>
    </row>
    <row r="76" spans="2:50">
      <c r="B76" s="676"/>
      <c r="C76" s="309">
        <v>10</v>
      </c>
      <c r="D76" s="227" t="s">
        <v>907</v>
      </c>
      <c r="E76" s="182">
        <v>4</v>
      </c>
      <c r="F76" s="569">
        <v>2000</v>
      </c>
      <c r="G76" s="570">
        <v>500</v>
      </c>
      <c r="H76" s="718"/>
      <c r="I76" s="484">
        <f t="shared" ref="I76" si="56">AVERAGE(P76,U76,Z76,AE76,AJ76,AO76,AT76)</f>
        <v>5</v>
      </c>
      <c r="J76" s="484">
        <f t="shared" ref="J76" si="57">AVERAGE(Q76,V76,AA76,AF76,AK76,AP76,AU76)</f>
        <v>2003.2309804890435</v>
      </c>
      <c r="K76" s="200">
        <f t="shared" ref="K76" si="58">AVERAGE(R76,W76,AB76,AG76,AL76,AQ76,AV76)</f>
        <v>400.64619609780874</v>
      </c>
      <c r="L76" s="650"/>
      <c r="M76" s="201">
        <f>RANK(K76, K$67:$K$81)</f>
        <v>3</v>
      </c>
      <c r="N76" s="668"/>
      <c r="O76" s="668"/>
      <c r="P76" s="573">
        <v>5</v>
      </c>
      <c r="Q76" s="574">
        <v>1925.8064516129</v>
      </c>
      <c r="R76" s="574">
        <v>385.16129032257999</v>
      </c>
      <c r="S76" s="339">
        <f t="shared" si="55"/>
        <v>3</v>
      </c>
      <c r="T76" s="690"/>
      <c r="U76" s="573">
        <v>5</v>
      </c>
      <c r="V76" s="574">
        <v>2024.9999999999957</v>
      </c>
      <c r="W76" s="574">
        <v>404.99999999999915</v>
      </c>
      <c r="X76" s="475">
        <f t="shared" si="40"/>
        <v>3</v>
      </c>
      <c r="Y76" s="690"/>
      <c r="Z76" s="573">
        <v>5</v>
      </c>
      <c r="AA76" s="574">
        <v>2053.8461538461484</v>
      </c>
      <c r="AB76" s="574">
        <v>410.76923076922969</v>
      </c>
      <c r="AC76" s="475">
        <f t="shared" si="42"/>
        <v>3</v>
      </c>
      <c r="AD76" s="690"/>
      <c r="AE76" s="573">
        <v>5</v>
      </c>
      <c r="AF76" s="574">
        <v>1980.0000000000068</v>
      </c>
      <c r="AG76" s="574">
        <v>396.00000000000136</v>
      </c>
      <c r="AH76" s="475">
        <f t="shared" si="44"/>
        <v>3</v>
      </c>
      <c r="AI76" s="690"/>
      <c r="AJ76" s="573">
        <v>5</v>
      </c>
      <c r="AK76" s="574">
        <v>2034.5454545454616</v>
      </c>
      <c r="AL76" s="574">
        <v>406.9090909090923</v>
      </c>
      <c r="AM76" s="475">
        <f t="shared" si="46"/>
        <v>3</v>
      </c>
      <c r="AN76" s="690"/>
      <c r="AO76" s="573">
        <v>5</v>
      </c>
      <c r="AP76" s="574">
        <v>1952.3076923076874</v>
      </c>
      <c r="AQ76" s="574">
        <v>390.46153846153749</v>
      </c>
      <c r="AR76" s="475">
        <f t="shared" si="48"/>
        <v>3</v>
      </c>
      <c r="AS76" s="690"/>
      <c r="AT76" s="573">
        <v>5</v>
      </c>
      <c r="AU76" s="574">
        <v>2051.1111111111063</v>
      </c>
      <c r="AV76" s="574">
        <v>410.22222222222126</v>
      </c>
      <c r="AW76" s="475">
        <f t="shared" si="50"/>
        <v>3</v>
      </c>
      <c r="AX76" s="690"/>
    </row>
    <row r="77" spans="2:50">
      <c r="B77" s="676"/>
      <c r="C77" s="309">
        <v>11</v>
      </c>
      <c r="D77" s="227"/>
      <c r="E77" s="182"/>
      <c r="F77" s="569"/>
      <c r="G77" s="570"/>
      <c r="H77" s="718"/>
      <c r="I77" s="484"/>
      <c r="J77" s="484"/>
      <c r="K77" s="200"/>
      <c r="L77" s="650"/>
      <c r="M77" s="201" t="e">
        <f>RANK(K77, K$67:$K$81)</f>
        <v>#N/A</v>
      </c>
      <c r="N77" s="668"/>
      <c r="O77" s="668"/>
      <c r="P77" s="573"/>
      <c r="Q77" s="574"/>
      <c r="R77" s="574"/>
      <c r="S77" s="339" t="e">
        <f t="shared" si="55"/>
        <v>#N/A</v>
      </c>
      <c r="T77" s="690"/>
      <c r="U77" s="573"/>
      <c r="V77" s="574"/>
      <c r="W77" s="574"/>
      <c r="X77" s="475" t="e">
        <f t="shared" si="40"/>
        <v>#N/A</v>
      </c>
      <c r="Y77" s="690"/>
      <c r="Z77" s="573"/>
      <c r="AA77" s="574"/>
      <c r="AB77" s="574"/>
      <c r="AC77" s="475" t="e">
        <f t="shared" si="42"/>
        <v>#N/A</v>
      </c>
      <c r="AD77" s="690"/>
      <c r="AE77" s="573"/>
      <c r="AF77" s="574"/>
      <c r="AG77" s="574"/>
      <c r="AH77" s="475" t="e">
        <f t="shared" si="44"/>
        <v>#N/A</v>
      </c>
      <c r="AI77" s="690"/>
      <c r="AJ77" s="573"/>
      <c r="AK77" s="574"/>
      <c r="AL77" s="574"/>
      <c r="AM77" s="475" t="e">
        <f t="shared" si="46"/>
        <v>#N/A</v>
      </c>
      <c r="AN77" s="690"/>
      <c r="AO77" s="573" t="s">
        <v>760</v>
      </c>
      <c r="AP77" s="574" t="s">
        <v>760</v>
      </c>
      <c r="AQ77" s="574" t="s">
        <v>760</v>
      </c>
      <c r="AR77" s="475" t="e">
        <f t="shared" si="48"/>
        <v>#VALUE!</v>
      </c>
      <c r="AS77" s="690"/>
      <c r="AT77" s="573" t="s">
        <v>760</v>
      </c>
      <c r="AU77" s="574" t="s">
        <v>760</v>
      </c>
      <c r="AV77" s="574" t="s">
        <v>760</v>
      </c>
      <c r="AW77" s="475" t="e">
        <f t="shared" si="50"/>
        <v>#VALUE!</v>
      </c>
      <c r="AX77" s="690"/>
    </row>
    <row r="78" spans="2:50">
      <c r="B78" s="676"/>
      <c r="C78" s="309">
        <v>12</v>
      </c>
      <c r="D78" s="227"/>
      <c r="E78" s="182"/>
      <c r="F78" s="569"/>
      <c r="G78" s="570"/>
      <c r="H78" s="718"/>
      <c r="I78" s="539"/>
      <c r="J78" s="539"/>
      <c r="K78" s="200"/>
      <c r="L78" s="650"/>
      <c r="M78" s="201" t="e">
        <f>RANK(K78, K$67:$K$81)</f>
        <v>#N/A</v>
      </c>
      <c r="N78" s="668"/>
      <c r="O78" s="668"/>
      <c r="P78" s="573"/>
      <c r="Q78" s="574"/>
      <c r="R78" s="574"/>
      <c r="S78" s="339" t="e">
        <f t="shared" si="55"/>
        <v>#N/A</v>
      </c>
      <c r="T78" s="690"/>
      <c r="U78" s="573"/>
      <c r="V78" s="574"/>
      <c r="W78" s="574"/>
      <c r="X78" s="475" t="e">
        <f t="shared" si="40"/>
        <v>#N/A</v>
      </c>
      <c r="Y78" s="690"/>
      <c r="Z78" s="573"/>
      <c r="AA78" s="574"/>
      <c r="AB78" s="574"/>
      <c r="AC78" s="475" t="e">
        <f t="shared" si="42"/>
        <v>#N/A</v>
      </c>
      <c r="AD78" s="690"/>
      <c r="AE78" s="573"/>
      <c r="AF78" s="574"/>
      <c r="AG78" s="574"/>
      <c r="AH78" s="475" t="e">
        <f t="shared" si="44"/>
        <v>#N/A</v>
      </c>
      <c r="AI78" s="690"/>
      <c r="AJ78" s="573"/>
      <c r="AK78" s="574"/>
      <c r="AL78" s="574"/>
      <c r="AM78" s="475" t="e">
        <f t="shared" si="46"/>
        <v>#N/A</v>
      </c>
      <c r="AN78" s="690"/>
      <c r="AO78" s="573"/>
      <c r="AP78" s="574"/>
      <c r="AQ78" s="574"/>
      <c r="AR78" s="475" t="e">
        <f t="shared" si="48"/>
        <v>#N/A</v>
      </c>
      <c r="AS78" s="690"/>
      <c r="AT78" s="573"/>
      <c r="AU78" s="574"/>
      <c r="AV78" s="574"/>
      <c r="AW78" s="475" t="e">
        <f t="shared" si="50"/>
        <v>#N/A</v>
      </c>
      <c r="AX78" s="690"/>
    </row>
    <row r="79" spans="2:50">
      <c r="B79" s="676"/>
      <c r="C79" s="309">
        <v>13</v>
      </c>
      <c r="D79" s="227"/>
      <c r="E79" s="182"/>
      <c r="F79" s="569"/>
      <c r="G79" s="570"/>
      <c r="H79" s="718"/>
      <c r="I79" s="202"/>
      <c r="J79" s="202"/>
      <c r="K79" s="202"/>
      <c r="L79" s="650"/>
      <c r="M79" s="201" t="e">
        <f>RANK(K79, K$67:$K$81)</f>
        <v>#N/A</v>
      </c>
      <c r="N79" s="668"/>
      <c r="O79" s="668"/>
      <c r="P79" s="573"/>
      <c r="Q79" s="574"/>
      <c r="R79" s="574"/>
      <c r="S79" s="339" t="e">
        <f t="shared" si="55"/>
        <v>#N/A</v>
      </c>
      <c r="T79" s="690"/>
      <c r="U79" s="573"/>
      <c r="V79" s="574"/>
      <c r="W79" s="574"/>
      <c r="X79" s="475" t="e">
        <f t="shared" si="40"/>
        <v>#N/A</v>
      </c>
      <c r="Y79" s="690"/>
      <c r="Z79" s="573"/>
      <c r="AA79" s="574"/>
      <c r="AB79" s="574"/>
      <c r="AC79" s="475" t="e">
        <f t="shared" si="42"/>
        <v>#N/A</v>
      </c>
      <c r="AD79" s="690"/>
      <c r="AE79" s="573"/>
      <c r="AF79" s="574"/>
      <c r="AG79" s="574"/>
      <c r="AH79" s="475" t="e">
        <f t="shared" si="44"/>
        <v>#N/A</v>
      </c>
      <c r="AI79" s="690"/>
      <c r="AJ79" s="573"/>
      <c r="AK79" s="574"/>
      <c r="AL79" s="574"/>
      <c r="AM79" s="475" t="e">
        <f t="shared" si="46"/>
        <v>#N/A</v>
      </c>
      <c r="AN79" s="690"/>
      <c r="AO79" s="573"/>
      <c r="AP79" s="574"/>
      <c r="AQ79" s="574"/>
      <c r="AR79" s="475" t="e">
        <f t="shared" si="48"/>
        <v>#N/A</v>
      </c>
      <c r="AS79" s="690"/>
      <c r="AT79" s="573"/>
      <c r="AU79" s="574"/>
      <c r="AV79" s="574"/>
      <c r="AW79" s="475" t="e">
        <f t="shared" si="50"/>
        <v>#N/A</v>
      </c>
      <c r="AX79" s="690"/>
    </row>
    <row r="80" spans="2:50">
      <c r="B80" s="676"/>
      <c r="C80" s="309">
        <v>14</v>
      </c>
      <c r="D80" s="227"/>
      <c r="E80" s="182"/>
      <c r="F80" s="569"/>
      <c r="G80" s="570"/>
      <c r="H80" s="718"/>
      <c r="I80" s="202"/>
      <c r="J80" s="202"/>
      <c r="K80" s="202"/>
      <c r="L80" s="650"/>
      <c r="M80" s="201" t="e">
        <f>RANK(K80, K$67:$K$81)</f>
        <v>#N/A</v>
      </c>
      <c r="N80" s="668"/>
      <c r="O80" s="668"/>
      <c r="P80" s="573"/>
      <c r="Q80" s="574"/>
      <c r="R80" s="574"/>
      <c r="S80" s="339" t="e">
        <f t="shared" si="55"/>
        <v>#N/A</v>
      </c>
      <c r="T80" s="690"/>
      <c r="U80" s="573"/>
      <c r="V80" s="574"/>
      <c r="W80" s="574"/>
      <c r="X80" s="475" t="e">
        <f t="shared" si="40"/>
        <v>#N/A</v>
      </c>
      <c r="Y80" s="690"/>
      <c r="Z80" s="573"/>
      <c r="AA80" s="574"/>
      <c r="AB80" s="574"/>
      <c r="AC80" s="475" t="e">
        <f t="shared" si="42"/>
        <v>#N/A</v>
      </c>
      <c r="AD80" s="690"/>
      <c r="AE80" s="573"/>
      <c r="AF80" s="574"/>
      <c r="AG80" s="574"/>
      <c r="AH80" s="475" t="e">
        <f t="shared" si="44"/>
        <v>#N/A</v>
      </c>
      <c r="AI80" s="690"/>
      <c r="AJ80" s="573"/>
      <c r="AK80" s="574"/>
      <c r="AL80" s="574"/>
      <c r="AM80" s="475" t="e">
        <f t="shared" si="46"/>
        <v>#N/A</v>
      </c>
      <c r="AN80" s="690"/>
      <c r="AO80" s="573"/>
      <c r="AP80" s="574"/>
      <c r="AQ80" s="574"/>
      <c r="AR80" s="475" t="e">
        <f t="shared" si="48"/>
        <v>#N/A</v>
      </c>
      <c r="AS80" s="690"/>
      <c r="AT80" s="573"/>
      <c r="AU80" s="574"/>
      <c r="AV80" s="574"/>
      <c r="AW80" s="475" t="e">
        <f t="shared" si="50"/>
        <v>#N/A</v>
      </c>
      <c r="AX80" s="690"/>
    </row>
    <row r="81" spans="2:50">
      <c r="B81" s="676"/>
      <c r="C81" s="309">
        <v>15</v>
      </c>
      <c r="D81" s="227"/>
      <c r="E81" s="182"/>
      <c r="F81" s="569"/>
      <c r="G81" s="570"/>
      <c r="H81" s="719"/>
      <c r="I81" s="202"/>
      <c r="J81" s="202"/>
      <c r="K81" s="202"/>
      <c r="L81" s="651"/>
      <c r="M81" s="201" t="e">
        <f>RANK(K81, K$67:$K$81)</f>
        <v>#N/A</v>
      </c>
      <c r="N81" s="668"/>
      <c r="O81" s="668"/>
      <c r="P81" s="573"/>
      <c r="Q81" s="574"/>
      <c r="R81" s="574"/>
      <c r="S81" s="339" t="e">
        <f t="shared" si="55"/>
        <v>#N/A</v>
      </c>
      <c r="T81" s="690"/>
      <c r="U81" s="573"/>
      <c r="V81" s="574"/>
      <c r="W81" s="574"/>
      <c r="X81" s="475" t="e">
        <f t="shared" si="40"/>
        <v>#N/A</v>
      </c>
      <c r="Y81" s="690"/>
      <c r="Z81" s="573"/>
      <c r="AA81" s="574"/>
      <c r="AB81" s="574"/>
      <c r="AC81" s="475" t="e">
        <f t="shared" si="42"/>
        <v>#N/A</v>
      </c>
      <c r="AD81" s="690"/>
      <c r="AE81" s="573"/>
      <c r="AF81" s="574"/>
      <c r="AG81" s="574"/>
      <c r="AH81" s="475" t="e">
        <f t="shared" si="44"/>
        <v>#N/A</v>
      </c>
      <c r="AI81" s="690"/>
      <c r="AJ81" s="573"/>
      <c r="AK81" s="574"/>
      <c r="AL81" s="574"/>
      <c r="AM81" s="475" t="e">
        <f t="shared" si="46"/>
        <v>#N/A</v>
      </c>
      <c r="AN81" s="690"/>
      <c r="AO81" s="573"/>
      <c r="AP81" s="574"/>
      <c r="AQ81" s="574"/>
      <c r="AR81" s="475" t="e">
        <f t="shared" si="48"/>
        <v>#N/A</v>
      </c>
      <c r="AS81" s="690"/>
      <c r="AT81" s="573"/>
      <c r="AU81" s="574"/>
      <c r="AV81" s="574"/>
      <c r="AW81" s="475" t="e">
        <f t="shared" si="50"/>
        <v>#N/A</v>
      </c>
      <c r="AX81" s="690"/>
    </row>
    <row r="82" spans="2:50" ht="15.75">
      <c r="B82" s="680" t="s">
        <v>163</v>
      </c>
      <c r="C82" s="681"/>
      <c r="D82" s="681"/>
      <c r="E82" s="681"/>
      <c r="F82" s="681"/>
      <c r="G82" s="681"/>
      <c r="H82" s="682"/>
      <c r="I82" s="208"/>
      <c r="J82" s="208"/>
      <c r="K82" s="208"/>
      <c r="L82" s="208"/>
      <c r="M82" s="207"/>
      <c r="N82" s="669" t="s">
        <v>156</v>
      </c>
      <c r="O82" s="669" t="s">
        <v>105</v>
      </c>
      <c r="P82" s="675">
        <f>P62+7</f>
        <v>46112</v>
      </c>
      <c r="Q82" s="676"/>
      <c r="R82" s="676"/>
      <c r="S82" s="676"/>
      <c r="T82" s="676"/>
      <c r="U82" s="672">
        <f>P82+1</f>
        <v>46113</v>
      </c>
      <c r="V82" s="673"/>
      <c r="W82" s="673"/>
      <c r="X82" s="673"/>
      <c r="Y82" s="674"/>
      <c r="Z82" s="672">
        <f>U82+1</f>
        <v>46114</v>
      </c>
      <c r="AA82" s="673"/>
      <c r="AB82" s="673"/>
      <c r="AC82" s="673"/>
      <c r="AD82" s="674"/>
      <c r="AE82" s="672">
        <f>Z82+1</f>
        <v>46115</v>
      </c>
      <c r="AF82" s="673"/>
      <c r="AG82" s="673"/>
      <c r="AH82" s="673"/>
      <c r="AI82" s="674"/>
      <c r="AJ82" s="672">
        <f>AE82+1</f>
        <v>46116</v>
      </c>
      <c r="AK82" s="673"/>
      <c r="AL82" s="673"/>
      <c r="AM82" s="673"/>
      <c r="AN82" s="674"/>
      <c r="AO82" s="672">
        <f>AJ82+1</f>
        <v>46117</v>
      </c>
      <c r="AP82" s="673"/>
      <c r="AQ82" s="673"/>
      <c r="AR82" s="673"/>
      <c r="AS82" s="674"/>
      <c r="AT82" s="672">
        <f>AO82+1</f>
        <v>46118</v>
      </c>
      <c r="AU82" s="673"/>
      <c r="AV82" s="673"/>
      <c r="AW82" s="673"/>
      <c r="AX82" s="674"/>
    </row>
    <row r="83" spans="2:50" ht="15.75">
      <c r="B83" s="683"/>
      <c r="C83" s="683"/>
      <c r="D83" s="683"/>
      <c r="E83" s="683"/>
      <c r="F83" s="683"/>
      <c r="G83" s="683"/>
      <c r="H83" s="683"/>
      <c r="I83" s="205"/>
      <c r="J83" s="205"/>
      <c r="K83" s="205"/>
      <c r="L83" s="205"/>
      <c r="M83" s="206"/>
      <c r="N83" s="671"/>
      <c r="O83" s="671"/>
      <c r="P83" s="675" t="s">
        <v>336</v>
      </c>
      <c r="Q83" s="676"/>
      <c r="R83" s="676"/>
      <c r="S83" s="676"/>
      <c r="T83" s="676"/>
      <c r="U83" s="675" t="s">
        <v>337</v>
      </c>
      <c r="V83" s="676"/>
      <c r="W83" s="676"/>
      <c r="X83" s="676"/>
      <c r="Y83" s="676"/>
      <c r="Z83" s="675" t="s">
        <v>338</v>
      </c>
      <c r="AA83" s="676"/>
      <c r="AB83" s="676"/>
      <c r="AC83" s="676"/>
      <c r="AD83" s="676"/>
      <c r="AE83" s="675" t="s">
        <v>339</v>
      </c>
      <c r="AF83" s="676"/>
      <c r="AG83" s="676"/>
      <c r="AH83" s="676"/>
      <c r="AI83" s="676"/>
      <c r="AJ83" s="675" t="s">
        <v>340</v>
      </c>
      <c r="AK83" s="676"/>
      <c r="AL83" s="676"/>
      <c r="AM83" s="676"/>
      <c r="AN83" s="676"/>
      <c r="AO83" s="675" t="s">
        <v>341</v>
      </c>
      <c r="AP83" s="676"/>
      <c r="AQ83" s="676"/>
      <c r="AR83" s="676"/>
      <c r="AS83" s="676"/>
      <c r="AT83" s="675" t="s">
        <v>342</v>
      </c>
      <c r="AU83" s="676"/>
      <c r="AV83" s="676"/>
      <c r="AW83" s="676"/>
      <c r="AX83" s="676"/>
    </row>
    <row r="84" spans="2:50">
      <c r="B84" s="668" t="s">
        <v>459</v>
      </c>
      <c r="C84" s="668" t="s">
        <v>460</v>
      </c>
      <c r="D84" s="668"/>
      <c r="E84" s="668" t="s">
        <v>461</v>
      </c>
      <c r="F84" s="668"/>
      <c r="G84" s="668"/>
      <c r="H84" s="684" t="s">
        <v>462</v>
      </c>
      <c r="I84" s="652" t="s">
        <v>463</v>
      </c>
      <c r="J84" s="652"/>
      <c r="K84" s="652"/>
      <c r="L84" s="653" t="s">
        <v>462</v>
      </c>
      <c r="M84" s="659" t="s">
        <v>464</v>
      </c>
      <c r="N84" s="668"/>
      <c r="O84" s="668" t="s">
        <v>465</v>
      </c>
      <c r="P84" s="665" t="s">
        <v>466</v>
      </c>
      <c r="Q84" s="666"/>
      <c r="R84" s="666"/>
      <c r="S84" s="667"/>
      <c r="T84" s="668" t="s">
        <v>462</v>
      </c>
      <c r="U84" s="665" t="s">
        <v>466</v>
      </c>
      <c r="V84" s="666"/>
      <c r="W84" s="666"/>
      <c r="X84" s="667"/>
      <c r="Y84" s="668" t="s">
        <v>462</v>
      </c>
      <c r="Z84" s="665" t="s">
        <v>466</v>
      </c>
      <c r="AA84" s="666"/>
      <c r="AB84" s="666"/>
      <c r="AC84" s="667"/>
      <c r="AD84" s="668" t="s">
        <v>462</v>
      </c>
      <c r="AE84" s="665" t="s">
        <v>466</v>
      </c>
      <c r="AF84" s="666"/>
      <c r="AG84" s="666"/>
      <c r="AH84" s="667"/>
      <c r="AI84" s="668" t="s">
        <v>462</v>
      </c>
      <c r="AJ84" s="665" t="s">
        <v>466</v>
      </c>
      <c r="AK84" s="666"/>
      <c r="AL84" s="666"/>
      <c r="AM84" s="667"/>
      <c r="AN84" s="668" t="s">
        <v>462</v>
      </c>
      <c r="AO84" s="665" t="s">
        <v>466</v>
      </c>
      <c r="AP84" s="666"/>
      <c r="AQ84" s="666"/>
      <c r="AR84" s="667"/>
      <c r="AS84" s="668" t="s">
        <v>462</v>
      </c>
      <c r="AT84" s="665" t="s">
        <v>466</v>
      </c>
      <c r="AU84" s="666"/>
      <c r="AV84" s="666"/>
      <c r="AW84" s="667"/>
      <c r="AX84" s="668" t="s">
        <v>462</v>
      </c>
    </row>
    <row r="85" spans="2:50">
      <c r="B85" s="668"/>
      <c r="C85" s="668"/>
      <c r="D85" s="668"/>
      <c r="E85" s="668" t="s">
        <v>467</v>
      </c>
      <c r="F85" s="668"/>
      <c r="G85" s="668"/>
      <c r="H85" s="685"/>
      <c r="I85" s="652" t="s">
        <v>467</v>
      </c>
      <c r="J85" s="652"/>
      <c r="K85" s="652"/>
      <c r="L85" s="654"/>
      <c r="M85" s="660"/>
      <c r="N85" s="668"/>
      <c r="O85" s="668"/>
      <c r="P85" s="665" t="s">
        <v>468</v>
      </c>
      <c r="Q85" s="666"/>
      <c r="R85" s="666"/>
      <c r="S85" s="667"/>
      <c r="T85" s="668"/>
      <c r="U85" s="665" t="s">
        <v>468</v>
      </c>
      <c r="V85" s="666"/>
      <c r="W85" s="666"/>
      <c r="X85" s="667"/>
      <c r="Y85" s="668"/>
      <c r="Z85" s="665" t="s">
        <v>468</v>
      </c>
      <c r="AA85" s="666"/>
      <c r="AB85" s="666"/>
      <c r="AC85" s="667"/>
      <c r="AD85" s="668"/>
      <c r="AE85" s="665" t="s">
        <v>468</v>
      </c>
      <c r="AF85" s="666"/>
      <c r="AG85" s="666"/>
      <c r="AH85" s="667"/>
      <c r="AI85" s="668"/>
      <c r="AJ85" s="665" t="s">
        <v>468</v>
      </c>
      <c r="AK85" s="666"/>
      <c r="AL85" s="666"/>
      <c r="AM85" s="667"/>
      <c r="AN85" s="668"/>
      <c r="AO85" s="665" t="s">
        <v>468</v>
      </c>
      <c r="AP85" s="666"/>
      <c r="AQ85" s="666"/>
      <c r="AR85" s="667"/>
      <c r="AS85" s="668"/>
      <c r="AT85" s="665" t="s">
        <v>468</v>
      </c>
      <c r="AU85" s="666"/>
      <c r="AV85" s="666"/>
      <c r="AW85" s="667"/>
      <c r="AX85" s="668"/>
    </row>
    <row r="86" spans="2:50">
      <c r="B86" s="668"/>
      <c r="C86" s="668"/>
      <c r="D86" s="668"/>
      <c r="E86" s="302" t="s">
        <v>469</v>
      </c>
      <c r="F86" s="302" t="s">
        <v>470</v>
      </c>
      <c r="G86" s="302" t="s">
        <v>471</v>
      </c>
      <c r="H86" s="686"/>
      <c r="I86" s="303" t="s">
        <v>469</v>
      </c>
      <c r="J86" s="303" t="s">
        <v>470</v>
      </c>
      <c r="K86" s="303" t="s">
        <v>471</v>
      </c>
      <c r="L86" s="655"/>
      <c r="M86" s="661"/>
      <c r="N86" s="668"/>
      <c r="O86" s="668"/>
      <c r="P86" s="302" t="s">
        <v>469</v>
      </c>
      <c r="Q86" s="302" t="s">
        <v>470</v>
      </c>
      <c r="R86" s="302" t="s">
        <v>471</v>
      </c>
      <c r="S86" s="302" t="s">
        <v>464</v>
      </c>
      <c r="T86" s="668"/>
      <c r="U86" s="302" t="s">
        <v>469</v>
      </c>
      <c r="V86" s="302" t="s">
        <v>470</v>
      </c>
      <c r="W86" s="302" t="s">
        <v>471</v>
      </c>
      <c r="X86" s="302" t="s">
        <v>464</v>
      </c>
      <c r="Y86" s="668"/>
      <c r="Z86" s="302" t="s">
        <v>469</v>
      </c>
      <c r="AA86" s="302" t="s">
        <v>470</v>
      </c>
      <c r="AB86" s="302" t="s">
        <v>471</v>
      </c>
      <c r="AC86" s="302" t="s">
        <v>464</v>
      </c>
      <c r="AD86" s="668"/>
      <c r="AE86" s="302" t="s">
        <v>469</v>
      </c>
      <c r="AF86" s="302" t="s">
        <v>470</v>
      </c>
      <c r="AG86" s="302" t="s">
        <v>471</v>
      </c>
      <c r="AH86" s="302" t="s">
        <v>464</v>
      </c>
      <c r="AI86" s="668"/>
      <c r="AJ86" s="302" t="s">
        <v>469</v>
      </c>
      <c r="AK86" s="302" t="s">
        <v>470</v>
      </c>
      <c r="AL86" s="302" t="s">
        <v>471</v>
      </c>
      <c r="AM86" s="302" t="s">
        <v>464</v>
      </c>
      <c r="AN86" s="668"/>
      <c r="AO86" s="302" t="s">
        <v>469</v>
      </c>
      <c r="AP86" s="302" t="s">
        <v>470</v>
      </c>
      <c r="AQ86" s="302" t="s">
        <v>471</v>
      </c>
      <c r="AR86" s="302" t="s">
        <v>464</v>
      </c>
      <c r="AS86" s="668"/>
      <c r="AT86" s="302" t="s">
        <v>469</v>
      </c>
      <c r="AU86" s="302" t="s">
        <v>470</v>
      </c>
      <c r="AV86" s="302" t="s">
        <v>471</v>
      </c>
      <c r="AW86" s="302" t="s">
        <v>464</v>
      </c>
      <c r="AX86" s="668"/>
    </row>
    <row r="87" spans="2:50">
      <c r="B87" s="716" t="s">
        <v>473</v>
      </c>
      <c r="C87" s="301">
        <v>1</v>
      </c>
      <c r="D87" s="227"/>
      <c r="E87" s="182"/>
      <c r="F87" s="510"/>
      <c r="G87" s="511"/>
      <c r="H87" s="71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68"/>
      <c r="O87" s="668"/>
      <c r="P87" s="573"/>
      <c r="Q87" s="574"/>
      <c r="R87" s="574"/>
      <c r="S87" s="301" t="e">
        <f>RANK(R87, R$87:R$101)</f>
        <v>#N/A</v>
      </c>
      <c r="T87" s="690" t="e">
        <f>AVERAGE(R87:R101)</f>
        <v>#DIV/0!</v>
      </c>
      <c r="U87" s="573"/>
      <c r="V87" s="574"/>
      <c r="W87" s="574"/>
      <c r="X87" s="475" t="e">
        <f t="shared" ref="X87:X101" si="59">RANK(W87, W$87:W$101)</f>
        <v>#N/A</v>
      </c>
      <c r="Y87" s="690" t="e">
        <f t="shared" ref="Y87" si="60">AVERAGE(W87:W101)</f>
        <v>#DIV/0!</v>
      </c>
      <c r="Z87" s="573"/>
      <c r="AA87" s="574"/>
      <c r="AB87" s="574"/>
      <c r="AC87" s="475" t="e">
        <f t="shared" ref="AC87:AC101" si="61">RANK(AB87, AB$87:AB$101)</f>
        <v>#N/A</v>
      </c>
      <c r="AD87" s="690" t="e">
        <f t="shared" ref="AD87" si="62">AVERAGE(AB87:AB101)</f>
        <v>#DIV/0!</v>
      </c>
      <c r="AE87" s="573"/>
      <c r="AF87" s="574"/>
      <c r="AG87" s="574"/>
      <c r="AH87" s="475" t="e">
        <f t="shared" ref="AH87:AH101" si="63">RANK(AG87, AG$87:AG$101)</f>
        <v>#N/A</v>
      </c>
      <c r="AI87" s="690" t="e">
        <f t="shared" ref="AI87" si="64">AVERAGE(AG87:AG101)</f>
        <v>#DIV/0!</v>
      </c>
      <c r="AJ87" s="573"/>
      <c r="AK87" s="574"/>
      <c r="AL87" s="574"/>
      <c r="AM87" s="475" t="e">
        <f t="shared" ref="AM87:AM101" si="65">RANK(AL87, AL$87:AL$101)</f>
        <v>#N/A</v>
      </c>
      <c r="AN87" s="690" t="e">
        <f t="shared" ref="AN87" si="66">AVERAGE(AL87:AL101)</f>
        <v>#DIV/0!</v>
      </c>
      <c r="AO87" s="573"/>
      <c r="AP87" s="574"/>
      <c r="AQ87" s="574"/>
      <c r="AR87" s="475" t="e">
        <f t="shared" ref="AR87:AR101" si="67">RANK(AQ87, AQ$87:AQ$101)</f>
        <v>#N/A</v>
      </c>
      <c r="AS87" s="690" t="e">
        <f t="shared" ref="AS87" si="68">AVERAGE(AQ87:AQ101)</f>
        <v>#DIV/0!</v>
      </c>
      <c r="AT87" s="573"/>
      <c r="AU87" s="574"/>
      <c r="AV87" s="574"/>
      <c r="AW87" s="475" t="e">
        <f t="shared" ref="AW87:AW101" si="69">RANK(AV87, AV$87:AV$101)</f>
        <v>#N/A</v>
      </c>
      <c r="AX87" s="690" t="e">
        <f t="shared" ref="AX87" si="70">AVERAGE(AV87:AV101)</f>
        <v>#DIV/0!</v>
      </c>
    </row>
    <row r="88" spans="2:50">
      <c r="B88" s="676"/>
      <c r="C88" s="301">
        <v>2</v>
      </c>
      <c r="D88" s="227"/>
      <c r="E88" s="182"/>
      <c r="F88" s="510"/>
      <c r="G88" s="511"/>
      <c r="H88" s="718"/>
      <c r="I88" s="199" t="e">
        <f t="shared" ref="I88:K96" si="71">AVERAGE(P88,U88,Z88,AE88,AJ88,AO88,AT88)</f>
        <v>#DIV/0!</v>
      </c>
      <c r="J88" s="199" t="e">
        <f t="shared" si="71"/>
        <v>#DIV/0!</v>
      </c>
      <c r="K88" s="200" t="e">
        <f t="shared" si="71"/>
        <v>#DIV/0!</v>
      </c>
      <c r="L88" s="650"/>
      <c r="M88" s="201" t="e">
        <f>RANK(K88, K$87:$K$101)</f>
        <v>#DIV/0!</v>
      </c>
      <c r="N88" s="668"/>
      <c r="O88" s="668"/>
      <c r="P88" s="573"/>
      <c r="Q88" s="574"/>
      <c r="R88" s="574"/>
      <c r="S88" s="301" t="e">
        <f t="shared" ref="S88:S101" si="72">RANK(R88, R$87:R$101)</f>
        <v>#N/A</v>
      </c>
      <c r="T88" s="690"/>
      <c r="U88" s="573"/>
      <c r="V88" s="574"/>
      <c r="W88" s="574"/>
      <c r="X88" s="475" t="e">
        <f t="shared" si="59"/>
        <v>#N/A</v>
      </c>
      <c r="Y88" s="690"/>
      <c r="Z88" s="573"/>
      <c r="AA88" s="574"/>
      <c r="AB88" s="574"/>
      <c r="AC88" s="475" t="e">
        <f t="shared" si="61"/>
        <v>#N/A</v>
      </c>
      <c r="AD88" s="690"/>
      <c r="AE88" s="573"/>
      <c r="AF88" s="574"/>
      <c r="AG88" s="574"/>
      <c r="AH88" s="475" t="e">
        <f t="shared" si="63"/>
        <v>#N/A</v>
      </c>
      <c r="AI88" s="690"/>
      <c r="AJ88" s="573"/>
      <c r="AK88" s="574"/>
      <c r="AL88" s="574"/>
      <c r="AM88" s="475" t="e">
        <f t="shared" si="65"/>
        <v>#N/A</v>
      </c>
      <c r="AN88" s="690"/>
      <c r="AO88" s="573"/>
      <c r="AP88" s="574"/>
      <c r="AQ88" s="574"/>
      <c r="AR88" s="475" t="e">
        <f t="shared" si="67"/>
        <v>#N/A</v>
      </c>
      <c r="AS88" s="690"/>
      <c r="AT88" s="573"/>
      <c r="AU88" s="574"/>
      <c r="AV88" s="574"/>
      <c r="AW88" s="475" t="e">
        <f t="shared" si="69"/>
        <v>#N/A</v>
      </c>
      <c r="AX88" s="690"/>
    </row>
    <row r="89" spans="2:50">
      <c r="B89" s="676"/>
      <c r="C89" s="301">
        <v>3</v>
      </c>
      <c r="D89" s="227"/>
      <c r="E89" s="182"/>
      <c r="F89" s="510"/>
      <c r="G89" s="511"/>
      <c r="H89" s="718"/>
      <c r="I89" s="199" t="e">
        <f t="shared" si="71"/>
        <v>#DIV/0!</v>
      </c>
      <c r="J89" s="199" t="e">
        <f t="shared" si="71"/>
        <v>#DIV/0!</v>
      </c>
      <c r="K89" s="200" t="e">
        <f t="shared" si="71"/>
        <v>#DIV/0!</v>
      </c>
      <c r="L89" s="650"/>
      <c r="M89" s="201" t="e">
        <f>RANK(K89, K$87:$K$101)</f>
        <v>#DIV/0!</v>
      </c>
      <c r="N89" s="668"/>
      <c r="O89" s="668"/>
      <c r="P89" s="573"/>
      <c r="Q89" s="574"/>
      <c r="R89" s="574"/>
      <c r="S89" s="301" t="e">
        <f t="shared" si="72"/>
        <v>#N/A</v>
      </c>
      <c r="T89" s="690"/>
      <c r="U89" s="573"/>
      <c r="V89" s="574"/>
      <c r="W89" s="574"/>
      <c r="X89" s="475" t="e">
        <f t="shared" si="59"/>
        <v>#N/A</v>
      </c>
      <c r="Y89" s="690"/>
      <c r="Z89" s="573"/>
      <c r="AA89" s="574"/>
      <c r="AB89" s="574"/>
      <c r="AC89" s="475" t="e">
        <f t="shared" si="61"/>
        <v>#N/A</v>
      </c>
      <c r="AD89" s="690"/>
      <c r="AE89" s="573"/>
      <c r="AF89" s="574"/>
      <c r="AG89" s="574"/>
      <c r="AH89" s="475" t="e">
        <f t="shared" si="63"/>
        <v>#N/A</v>
      </c>
      <c r="AI89" s="690"/>
      <c r="AJ89" s="573"/>
      <c r="AK89" s="574"/>
      <c r="AL89" s="574"/>
      <c r="AM89" s="475" t="e">
        <f t="shared" si="65"/>
        <v>#N/A</v>
      </c>
      <c r="AN89" s="690"/>
      <c r="AO89" s="573"/>
      <c r="AP89" s="574"/>
      <c r="AQ89" s="574"/>
      <c r="AR89" s="475" t="e">
        <f t="shared" si="67"/>
        <v>#N/A</v>
      </c>
      <c r="AS89" s="690"/>
      <c r="AT89" s="573"/>
      <c r="AU89" s="574"/>
      <c r="AV89" s="574"/>
      <c r="AW89" s="475" t="e">
        <f t="shared" si="69"/>
        <v>#N/A</v>
      </c>
      <c r="AX89" s="690"/>
    </row>
    <row r="90" spans="2:50">
      <c r="B90" s="676"/>
      <c r="C90" s="301">
        <v>4</v>
      </c>
      <c r="D90" s="227"/>
      <c r="E90" s="182"/>
      <c r="F90" s="510"/>
      <c r="G90" s="511"/>
      <c r="H90" s="718"/>
      <c r="I90" s="199" t="e">
        <f t="shared" si="71"/>
        <v>#DIV/0!</v>
      </c>
      <c r="J90" s="199" t="e">
        <f t="shared" si="71"/>
        <v>#DIV/0!</v>
      </c>
      <c r="K90" s="200" t="e">
        <f t="shared" si="71"/>
        <v>#DIV/0!</v>
      </c>
      <c r="L90" s="650"/>
      <c r="M90" s="201" t="e">
        <f>RANK(K90, K$87:$K$101)</f>
        <v>#DIV/0!</v>
      </c>
      <c r="N90" s="668"/>
      <c r="O90" s="668"/>
      <c r="P90" s="573"/>
      <c r="Q90" s="574"/>
      <c r="R90" s="574"/>
      <c r="S90" s="301" t="e">
        <f t="shared" si="72"/>
        <v>#N/A</v>
      </c>
      <c r="T90" s="690"/>
      <c r="U90" s="573"/>
      <c r="V90" s="574"/>
      <c r="W90" s="574"/>
      <c r="X90" s="475" t="e">
        <f t="shared" si="59"/>
        <v>#N/A</v>
      </c>
      <c r="Y90" s="690"/>
      <c r="Z90" s="573"/>
      <c r="AA90" s="574"/>
      <c r="AB90" s="574"/>
      <c r="AC90" s="475" t="e">
        <f t="shared" si="61"/>
        <v>#N/A</v>
      </c>
      <c r="AD90" s="690"/>
      <c r="AE90" s="573"/>
      <c r="AF90" s="574"/>
      <c r="AG90" s="574"/>
      <c r="AH90" s="475" t="e">
        <f t="shared" si="63"/>
        <v>#N/A</v>
      </c>
      <c r="AI90" s="690"/>
      <c r="AJ90" s="573"/>
      <c r="AK90" s="574"/>
      <c r="AL90" s="574"/>
      <c r="AM90" s="475" t="e">
        <f t="shared" si="65"/>
        <v>#N/A</v>
      </c>
      <c r="AN90" s="690"/>
      <c r="AO90" s="573"/>
      <c r="AP90" s="574"/>
      <c r="AQ90" s="574"/>
      <c r="AR90" s="475" t="e">
        <f t="shared" si="67"/>
        <v>#N/A</v>
      </c>
      <c r="AS90" s="690"/>
      <c r="AT90" s="573"/>
      <c r="AU90" s="574"/>
      <c r="AV90" s="574"/>
      <c r="AW90" s="475" t="e">
        <f t="shared" si="69"/>
        <v>#N/A</v>
      </c>
      <c r="AX90" s="690"/>
    </row>
    <row r="91" spans="2:50">
      <c r="B91" s="676"/>
      <c r="C91" s="301">
        <v>5</v>
      </c>
      <c r="D91" s="227"/>
      <c r="E91" s="182"/>
      <c r="F91" s="510"/>
      <c r="G91" s="511"/>
      <c r="H91" s="718"/>
      <c r="I91" s="199" t="e">
        <f t="shared" si="71"/>
        <v>#DIV/0!</v>
      </c>
      <c r="J91" s="199" t="e">
        <f t="shared" si="71"/>
        <v>#DIV/0!</v>
      </c>
      <c r="K91" s="200" t="e">
        <f t="shared" si="71"/>
        <v>#DIV/0!</v>
      </c>
      <c r="L91" s="650"/>
      <c r="M91" s="201" t="e">
        <f>RANK(K91, K$87:$K$101)</f>
        <v>#DIV/0!</v>
      </c>
      <c r="N91" s="668"/>
      <c r="O91" s="668"/>
      <c r="P91" s="573"/>
      <c r="Q91" s="574"/>
      <c r="R91" s="574"/>
      <c r="S91" s="301" t="e">
        <f t="shared" si="72"/>
        <v>#N/A</v>
      </c>
      <c r="T91" s="690"/>
      <c r="U91" s="573"/>
      <c r="V91" s="574"/>
      <c r="W91" s="574"/>
      <c r="X91" s="475" t="e">
        <f t="shared" si="59"/>
        <v>#N/A</v>
      </c>
      <c r="Y91" s="690"/>
      <c r="Z91" s="573"/>
      <c r="AA91" s="574"/>
      <c r="AB91" s="574"/>
      <c r="AC91" s="475" t="e">
        <f t="shared" si="61"/>
        <v>#N/A</v>
      </c>
      <c r="AD91" s="690"/>
      <c r="AE91" s="573"/>
      <c r="AF91" s="574"/>
      <c r="AG91" s="574"/>
      <c r="AH91" s="475" t="e">
        <f t="shared" si="63"/>
        <v>#N/A</v>
      </c>
      <c r="AI91" s="690"/>
      <c r="AJ91" s="573"/>
      <c r="AK91" s="574"/>
      <c r="AL91" s="574"/>
      <c r="AM91" s="475" t="e">
        <f t="shared" si="65"/>
        <v>#N/A</v>
      </c>
      <c r="AN91" s="690"/>
      <c r="AO91" s="573"/>
      <c r="AP91" s="574"/>
      <c r="AQ91" s="574"/>
      <c r="AR91" s="475" t="e">
        <f t="shared" si="67"/>
        <v>#N/A</v>
      </c>
      <c r="AS91" s="690"/>
      <c r="AT91" s="573"/>
      <c r="AU91" s="574"/>
      <c r="AV91" s="574"/>
      <c r="AW91" s="475" t="e">
        <f t="shared" si="69"/>
        <v>#N/A</v>
      </c>
      <c r="AX91" s="690"/>
    </row>
    <row r="92" spans="2:50">
      <c r="B92" s="676"/>
      <c r="C92" s="301">
        <v>6</v>
      </c>
      <c r="D92" s="227"/>
      <c r="E92" s="182"/>
      <c r="F92" s="510"/>
      <c r="G92" s="511"/>
      <c r="H92" s="718"/>
      <c r="I92" s="199" t="e">
        <f t="shared" si="71"/>
        <v>#DIV/0!</v>
      </c>
      <c r="J92" s="199" t="e">
        <f t="shared" si="71"/>
        <v>#DIV/0!</v>
      </c>
      <c r="K92" s="200" t="e">
        <f t="shared" si="71"/>
        <v>#DIV/0!</v>
      </c>
      <c r="L92" s="650"/>
      <c r="M92" s="201" t="e">
        <f>RANK(K92, K$87:$K$101)</f>
        <v>#DIV/0!</v>
      </c>
      <c r="N92" s="668"/>
      <c r="O92" s="668"/>
      <c r="P92" s="573"/>
      <c r="Q92" s="574"/>
      <c r="R92" s="574"/>
      <c r="S92" s="301" t="e">
        <f t="shared" si="72"/>
        <v>#N/A</v>
      </c>
      <c r="T92" s="690"/>
      <c r="U92" s="573"/>
      <c r="V92" s="574"/>
      <c r="W92" s="574"/>
      <c r="X92" s="475" t="e">
        <f t="shared" si="59"/>
        <v>#N/A</v>
      </c>
      <c r="Y92" s="690"/>
      <c r="Z92" s="573"/>
      <c r="AA92" s="574"/>
      <c r="AB92" s="574"/>
      <c r="AC92" s="475" t="e">
        <f t="shared" si="61"/>
        <v>#N/A</v>
      </c>
      <c r="AD92" s="690"/>
      <c r="AE92" s="573"/>
      <c r="AF92" s="574"/>
      <c r="AG92" s="574"/>
      <c r="AH92" s="475" t="e">
        <f t="shared" si="63"/>
        <v>#N/A</v>
      </c>
      <c r="AI92" s="690"/>
      <c r="AJ92" s="573"/>
      <c r="AK92" s="574"/>
      <c r="AL92" s="574"/>
      <c r="AM92" s="475" t="e">
        <f t="shared" si="65"/>
        <v>#N/A</v>
      </c>
      <c r="AN92" s="690"/>
      <c r="AO92" s="573"/>
      <c r="AP92" s="574"/>
      <c r="AQ92" s="574"/>
      <c r="AR92" s="475" t="e">
        <f t="shared" si="67"/>
        <v>#N/A</v>
      </c>
      <c r="AS92" s="690"/>
      <c r="AT92" s="573"/>
      <c r="AU92" s="574"/>
      <c r="AV92" s="574"/>
      <c r="AW92" s="475" t="e">
        <f t="shared" si="69"/>
        <v>#N/A</v>
      </c>
      <c r="AX92" s="690"/>
    </row>
    <row r="93" spans="2:50">
      <c r="B93" s="676"/>
      <c r="C93" s="301">
        <v>7</v>
      </c>
      <c r="D93" s="227"/>
      <c r="E93" s="182"/>
      <c r="F93" s="510"/>
      <c r="G93" s="511"/>
      <c r="H93" s="718"/>
      <c r="I93" s="199" t="e">
        <f t="shared" si="71"/>
        <v>#DIV/0!</v>
      </c>
      <c r="J93" s="199" t="e">
        <f t="shared" si="71"/>
        <v>#DIV/0!</v>
      </c>
      <c r="K93" s="200" t="e">
        <f t="shared" si="71"/>
        <v>#DIV/0!</v>
      </c>
      <c r="L93" s="650"/>
      <c r="M93" s="201" t="e">
        <f>RANK(K93, K$87:$K$101)</f>
        <v>#DIV/0!</v>
      </c>
      <c r="N93" s="668"/>
      <c r="O93" s="668"/>
      <c r="P93" s="573"/>
      <c r="Q93" s="574"/>
      <c r="R93" s="574"/>
      <c r="S93" s="301" t="e">
        <f t="shared" si="72"/>
        <v>#N/A</v>
      </c>
      <c r="T93" s="690"/>
      <c r="U93" s="573"/>
      <c r="V93" s="574"/>
      <c r="W93" s="574"/>
      <c r="X93" s="475" t="e">
        <f t="shared" si="59"/>
        <v>#N/A</v>
      </c>
      <c r="Y93" s="690"/>
      <c r="Z93" s="573"/>
      <c r="AA93" s="574"/>
      <c r="AB93" s="574"/>
      <c r="AC93" s="475" t="e">
        <f t="shared" si="61"/>
        <v>#N/A</v>
      </c>
      <c r="AD93" s="690"/>
      <c r="AE93" s="573"/>
      <c r="AF93" s="574"/>
      <c r="AG93" s="574"/>
      <c r="AH93" s="475" t="e">
        <f t="shared" si="63"/>
        <v>#N/A</v>
      </c>
      <c r="AI93" s="690"/>
      <c r="AJ93" s="573"/>
      <c r="AK93" s="574"/>
      <c r="AL93" s="574"/>
      <c r="AM93" s="475" t="e">
        <f t="shared" si="65"/>
        <v>#N/A</v>
      </c>
      <c r="AN93" s="690"/>
      <c r="AO93" s="573"/>
      <c r="AP93" s="574"/>
      <c r="AQ93" s="574"/>
      <c r="AR93" s="475" t="e">
        <f t="shared" si="67"/>
        <v>#N/A</v>
      </c>
      <c r="AS93" s="690"/>
      <c r="AT93" s="573"/>
      <c r="AU93" s="574"/>
      <c r="AV93" s="574"/>
      <c r="AW93" s="475" t="e">
        <f t="shared" si="69"/>
        <v>#N/A</v>
      </c>
      <c r="AX93" s="690"/>
    </row>
    <row r="94" spans="2:50">
      <c r="B94" s="676"/>
      <c r="C94" s="301">
        <v>8</v>
      </c>
      <c r="D94" s="227"/>
      <c r="E94" s="182"/>
      <c r="F94" s="510"/>
      <c r="G94" s="511"/>
      <c r="H94" s="718"/>
      <c r="I94" s="199" t="e">
        <f t="shared" si="71"/>
        <v>#DIV/0!</v>
      </c>
      <c r="J94" s="199" t="e">
        <f t="shared" si="71"/>
        <v>#DIV/0!</v>
      </c>
      <c r="K94" s="200" t="e">
        <f t="shared" si="71"/>
        <v>#DIV/0!</v>
      </c>
      <c r="L94" s="650"/>
      <c r="M94" s="201" t="e">
        <f>RANK(K94, K$87:$K$101)</f>
        <v>#DIV/0!</v>
      </c>
      <c r="N94" s="668"/>
      <c r="O94" s="668"/>
      <c r="P94" s="573"/>
      <c r="Q94" s="574"/>
      <c r="R94" s="574"/>
      <c r="S94" s="301" t="e">
        <f t="shared" si="72"/>
        <v>#N/A</v>
      </c>
      <c r="T94" s="690"/>
      <c r="U94" s="573"/>
      <c r="V94" s="574"/>
      <c r="W94" s="574"/>
      <c r="X94" s="475" t="e">
        <f t="shared" si="59"/>
        <v>#N/A</v>
      </c>
      <c r="Y94" s="690"/>
      <c r="Z94" s="573"/>
      <c r="AA94" s="574"/>
      <c r="AB94" s="574"/>
      <c r="AC94" s="475" t="e">
        <f t="shared" si="61"/>
        <v>#N/A</v>
      </c>
      <c r="AD94" s="690"/>
      <c r="AE94" s="573"/>
      <c r="AF94" s="574"/>
      <c r="AG94" s="574"/>
      <c r="AH94" s="475" t="e">
        <f t="shared" si="63"/>
        <v>#N/A</v>
      </c>
      <c r="AI94" s="690"/>
      <c r="AJ94" s="573"/>
      <c r="AK94" s="574"/>
      <c r="AL94" s="574"/>
      <c r="AM94" s="475" t="e">
        <f t="shared" si="65"/>
        <v>#N/A</v>
      </c>
      <c r="AN94" s="690"/>
      <c r="AO94" s="573"/>
      <c r="AP94" s="574"/>
      <c r="AQ94" s="574"/>
      <c r="AR94" s="475" t="e">
        <f t="shared" si="67"/>
        <v>#N/A</v>
      </c>
      <c r="AS94" s="690"/>
      <c r="AT94" s="573"/>
      <c r="AU94" s="574"/>
      <c r="AV94" s="574"/>
      <c r="AW94" s="475" t="e">
        <f t="shared" si="69"/>
        <v>#N/A</v>
      </c>
      <c r="AX94" s="690"/>
    </row>
    <row r="95" spans="2:50">
      <c r="B95" s="676"/>
      <c r="C95" s="301">
        <v>9</v>
      </c>
      <c r="D95" s="227"/>
      <c r="E95" s="182"/>
      <c r="F95" s="510"/>
      <c r="G95" s="511"/>
      <c r="H95" s="718"/>
      <c r="I95" s="199" t="e">
        <f t="shared" si="71"/>
        <v>#DIV/0!</v>
      </c>
      <c r="J95" s="199" t="e">
        <f t="shared" si="71"/>
        <v>#DIV/0!</v>
      </c>
      <c r="K95" s="200" t="e">
        <f t="shared" si="71"/>
        <v>#DIV/0!</v>
      </c>
      <c r="L95" s="650"/>
      <c r="M95" s="201" t="e">
        <f>RANK(K95, K$87:$K$101)</f>
        <v>#DIV/0!</v>
      </c>
      <c r="N95" s="668"/>
      <c r="O95" s="668"/>
      <c r="P95" s="573"/>
      <c r="Q95" s="574"/>
      <c r="R95" s="574"/>
      <c r="S95" s="301" t="e">
        <f t="shared" si="72"/>
        <v>#N/A</v>
      </c>
      <c r="T95" s="690"/>
      <c r="U95" s="573"/>
      <c r="V95" s="574"/>
      <c r="W95" s="574"/>
      <c r="X95" s="475" t="e">
        <f t="shared" si="59"/>
        <v>#N/A</v>
      </c>
      <c r="Y95" s="690"/>
      <c r="Z95" s="573"/>
      <c r="AA95" s="574"/>
      <c r="AB95" s="574"/>
      <c r="AC95" s="475" t="e">
        <f t="shared" si="61"/>
        <v>#N/A</v>
      </c>
      <c r="AD95" s="690"/>
      <c r="AE95" s="573"/>
      <c r="AF95" s="574"/>
      <c r="AG95" s="574"/>
      <c r="AH95" s="475" t="e">
        <f t="shared" si="63"/>
        <v>#N/A</v>
      </c>
      <c r="AI95" s="690"/>
      <c r="AJ95" s="573"/>
      <c r="AK95" s="574"/>
      <c r="AL95" s="574"/>
      <c r="AM95" s="475" t="e">
        <f t="shared" si="65"/>
        <v>#N/A</v>
      </c>
      <c r="AN95" s="690"/>
      <c r="AO95" s="573"/>
      <c r="AP95" s="574"/>
      <c r="AQ95" s="574"/>
      <c r="AR95" s="475" t="e">
        <f t="shared" si="67"/>
        <v>#N/A</v>
      </c>
      <c r="AS95" s="690"/>
      <c r="AT95" s="573"/>
      <c r="AU95" s="574"/>
      <c r="AV95" s="574"/>
      <c r="AW95" s="475" t="e">
        <f t="shared" si="69"/>
        <v>#N/A</v>
      </c>
      <c r="AX95" s="690"/>
    </row>
    <row r="96" spans="2:50">
      <c r="B96" s="676"/>
      <c r="C96" s="301">
        <v>10</v>
      </c>
      <c r="D96" s="227"/>
      <c r="E96" s="182"/>
      <c r="F96" s="510"/>
      <c r="G96" s="511"/>
      <c r="H96" s="718"/>
      <c r="I96" s="199" t="e">
        <f t="shared" si="71"/>
        <v>#DIV/0!</v>
      </c>
      <c r="J96" s="199" t="e">
        <f t="shared" si="71"/>
        <v>#DIV/0!</v>
      </c>
      <c r="K96" s="200" t="e">
        <f t="shared" si="71"/>
        <v>#DIV/0!</v>
      </c>
      <c r="L96" s="650"/>
      <c r="M96" s="201" t="e">
        <f>RANK(K96, K$87:$K$101)</f>
        <v>#DIV/0!</v>
      </c>
      <c r="N96" s="668"/>
      <c r="O96" s="668"/>
      <c r="P96" s="573"/>
      <c r="Q96" s="574"/>
      <c r="R96" s="574"/>
      <c r="S96" s="301" t="e">
        <f t="shared" si="72"/>
        <v>#N/A</v>
      </c>
      <c r="T96" s="690"/>
      <c r="U96" s="573"/>
      <c r="V96" s="574"/>
      <c r="W96" s="574"/>
      <c r="X96" s="475" t="e">
        <f t="shared" si="59"/>
        <v>#N/A</v>
      </c>
      <c r="Y96" s="690"/>
      <c r="Z96" s="573"/>
      <c r="AA96" s="574"/>
      <c r="AB96" s="574"/>
      <c r="AC96" s="475" t="e">
        <f t="shared" si="61"/>
        <v>#N/A</v>
      </c>
      <c r="AD96" s="690"/>
      <c r="AE96" s="573"/>
      <c r="AF96" s="574"/>
      <c r="AG96" s="574"/>
      <c r="AH96" s="475" t="e">
        <f t="shared" si="63"/>
        <v>#N/A</v>
      </c>
      <c r="AI96" s="690"/>
      <c r="AJ96" s="573"/>
      <c r="AK96" s="574"/>
      <c r="AL96" s="574"/>
      <c r="AM96" s="475" t="e">
        <f t="shared" si="65"/>
        <v>#N/A</v>
      </c>
      <c r="AN96" s="690"/>
      <c r="AO96" s="573"/>
      <c r="AP96" s="574"/>
      <c r="AQ96" s="574"/>
      <c r="AR96" s="475" t="e">
        <f t="shared" si="67"/>
        <v>#N/A</v>
      </c>
      <c r="AS96" s="690"/>
      <c r="AT96" s="573"/>
      <c r="AU96" s="574"/>
      <c r="AV96" s="574"/>
      <c r="AW96" s="475" t="e">
        <f t="shared" si="69"/>
        <v>#N/A</v>
      </c>
      <c r="AX96" s="690"/>
    </row>
    <row r="97" spans="2:50">
      <c r="B97" s="676"/>
      <c r="C97" s="301">
        <v>11</v>
      </c>
      <c r="D97" s="227"/>
      <c r="E97" s="182"/>
      <c r="F97" s="510"/>
      <c r="G97" s="511"/>
      <c r="H97" s="718"/>
      <c r="I97" s="486" t="e">
        <f t="shared" ref="I97" si="73">AVERAGE(P97,U97,Z97,AE97,AJ97,AO97,AT97)</f>
        <v>#DIV/0!</v>
      </c>
      <c r="J97" s="486" t="e">
        <f t="shared" ref="J97" si="74">AVERAGE(Q97,V97,AA97,AF97,AK97,AP97,AU97)</f>
        <v>#DIV/0!</v>
      </c>
      <c r="K97" s="200" t="e">
        <f t="shared" ref="K97" si="75">AVERAGE(R97,W97,AB97,AG97,AL97,AQ97,AV97)</f>
        <v>#DIV/0!</v>
      </c>
      <c r="L97" s="650"/>
      <c r="M97" s="201" t="e">
        <f>RANK(K97, K$87:$K$101)</f>
        <v>#DIV/0!</v>
      </c>
      <c r="N97" s="668"/>
      <c r="O97" s="668"/>
      <c r="P97" s="573"/>
      <c r="Q97" s="574"/>
      <c r="R97" s="574"/>
      <c r="S97" s="301" t="e">
        <f t="shared" si="72"/>
        <v>#N/A</v>
      </c>
      <c r="T97" s="690"/>
      <c r="U97" s="573"/>
      <c r="V97" s="574"/>
      <c r="W97" s="574"/>
      <c r="X97" s="475" t="e">
        <f t="shared" si="59"/>
        <v>#N/A</v>
      </c>
      <c r="Y97" s="690"/>
      <c r="Z97" s="573"/>
      <c r="AA97" s="574"/>
      <c r="AB97" s="574"/>
      <c r="AC97" s="475" t="e">
        <f t="shared" si="61"/>
        <v>#N/A</v>
      </c>
      <c r="AD97" s="690"/>
      <c r="AE97" s="573"/>
      <c r="AF97" s="574"/>
      <c r="AG97" s="574"/>
      <c r="AH97" s="475" t="e">
        <f t="shared" si="63"/>
        <v>#N/A</v>
      </c>
      <c r="AI97" s="690"/>
      <c r="AJ97" s="573"/>
      <c r="AK97" s="574"/>
      <c r="AL97" s="574"/>
      <c r="AM97" s="475" t="e">
        <f t="shared" si="65"/>
        <v>#N/A</v>
      </c>
      <c r="AN97" s="690"/>
      <c r="AO97" s="573"/>
      <c r="AP97" s="574"/>
      <c r="AQ97" s="574"/>
      <c r="AR97" s="475" t="e">
        <f t="shared" si="67"/>
        <v>#N/A</v>
      </c>
      <c r="AS97" s="690"/>
      <c r="AT97" s="573"/>
      <c r="AU97" s="574"/>
      <c r="AV97" s="574"/>
      <c r="AW97" s="475" t="e">
        <f t="shared" si="69"/>
        <v>#N/A</v>
      </c>
      <c r="AX97" s="690"/>
    </row>
    <row r="98" spans="2:50">
      <c r="B98" s="676"/>
      <c r="C98" s="301">
        <v>12</v>
      </c>
      <c r="D98" s="227"/>
      <c r="E98" s="182"/>
      <c r="F98" s="510"/>
      <c r="G98" s="511"/>
      <c r="H98" s="718"/>
      <c r="I98" s="542"/>
      <c r="J98" s="542"/>
      <c r="K98" s="200"/>
      <c r="L98" s="650"/>
      <c r="M98" s="201" t="e">
        <f>RANK(K98, K$87:$K$101)</f>
        <v>#DIV/0!</v>
      </c>
      <c r="N98" s="668"/>
      <c r="O98" s="668"/>
      <c r="P98" s="573"/>
      <c r="Q98" s="574"/>
      <c r="R98" s="574"/>
      <c r="S98" s="301" t="e">
        <f t="shared" si="72"/>
        <v>#N/A</v>
      </c>
      <c r="T98" s="690"/>
      <c r="U98" s="573"/>
      <c r="V98" s="574"/>
      <c r="W98" s="574"/>
      <c r="X98" s="475" t="e">
        <f t="shared" si="59"/>
        <v>#N/A</v>
      </c>
      <c r="Y98" s="690"/>
      <c r="Z98" s="573"/>
      <c r="AA98" s="574"/>
      <c r="AB98" s="574"/>
      <c r="AC98" s="475" t="e">
        <f t="shared" si="61"/>
        <v>#N/A</v>
      </c>
      <c r="AD98" s="690"/>
      <c r="AE98" s="573"/>
      <c r="AF98" s="574"/>
      <c r="AG98" s="574"/>
      <c r="AH98" s="475" t="e">
        <f t="shared" si="63"/>
        <v>#N/A</v>
      </c>
      <c r="AI98" s="690"/>
      <c r="AJ98" s="573"/>
      <c r="AK98" s="574"/>
      <c r="AL98" s="574"/>
      <c r="AM98" s="475" t="e">
        <f t="shared" si="65"/>
        <v>#N/A</v>
      </c>
      <c r="AN98" s="690"/>
      <c r="AO98" s="573"/>
      <c r="AP98" s="574"/>
      <c r="AQ98" s="574"/>
      <c r="AR98" s="475" t="e">
        <f t="shared" si="67"/>
        <v>#N/A</v>
      </c>
      <c r="AS98" s="690"/>
      <c r="AT98" s="573"/>
      <c r="AU98" s="574"/>
      <c r="AV98" s="574"/>
      <c r="AW98" s="475" t="e">
        <f t="shared" si="69"/>
        <v>#N/A</v>
      </c>
      <c r="AX98" s="690"/>
    </row>
    <row r="99" spans="2:50">
      <c r="B99" s="676"/>
      <c r="C99" s="301">
        <v>13</v>
      </c>
      <c r="D99" s="227"/>
      <c r="E99" s="182"/>
      <c r="F99" s="510"/>
      <c r="G99" s="511"/>
      <c r="H99" s="718"/>
      <c r="I99" s="202"/>
      <c r="J99" s="202"/>
      <c r="K99" s="202"/>
      <c r="L99" s="650"/>
      <c r="M99" s="201" t="e">
        <f>RANK(K99, K$87:$K$101)</f>
        <v>#DIV/0!</v>
      </c>
      <c r="N99" s="668"/>
      <c r="O99" s="668"/>
      <c r="P99" s="573"/>
      <c r="Q99" s="574"/>
      <c r="R99" s="574"/>
      <c r="S99" s="301" t="e">
        <f t="shared" si="72"/>
        <v>#N/A</v>
      </c>
      <c r="T99" s="690"/>
      <c r="U99" s="573"/>
      <c r="V99" s="574"/>
      <c r="W99" s="574"/>
      <c r="X99" s="475" t="e">
        <f t="shared" si="59"/>
        <v>#N/A</v>
      </c>
      <c r="Y99" s="690"/>
      <c r="Z99" s="573"/>
      <c r="AA99" s="574"/>
      <c r="AB99" s="574"/>
      <c r="AC99" s="475" t="e">
        <f t="shared" si="61"/>
        <v>#N/A</v>
      </c>
      <c r="AD99" s="690"/>
      <c r="AE99" s="573"/>
      <c r="AF99" s="574"/>
      <c r="AG99" s="574"/>
      <c r="AH99" s="475" t="e">
        <f t="shared" si="63"/>
        <v>#N/A</v>
      </c>
      <c r="AI99" s="690"/>
      <c r="AJ99" s="573"/>
      <c r="AK99" s="574"/>
      <c r="AL99" s="574"/>
      <c r="AM99" s="475" t="e">
        <f t="shared" si="65"/>
        <v>#N/A</v>
      </c>
      <c r="AN99" s="690"/>
      <c r="AO99" s="573"/>
      <c r="AP99" s="574"/>
      <c r="AQ99" s="574"/>
      <c r="AR99" s="475" t="e">
        <f t="shared" si="67"/>
        <v>#N/A</v>
      </c>
      <c r="AS99" s="690"/>
      <c r="AT99" s="573"/>
      <c r="AU99" s="574"/>
      <c r="AV99" s="574"/>
      <c r="AW99" s="475" t="e">
        <f t="shared" si="69"/>
        <v>#N/A</v>
      </c>
      <c r="AX99" s="690"/>
    </row>
    <row r="100" spans="2:50">
      <c r="B100" s="676"/>
      <c r="C100" s="301">
        <v>14</v>
      </c>
      <c r="D100" s="227"/>
      <c r="E100" s="182"/>
      <c r="F100" s="510"/>
      <c r="G100" s="511"/>
      <c r="H100" s="718"/>
      <c r="I100" s="202"/>
      <c r="J100" s="202"/>
      <c r="K100" s="202"/>
      <c r="L100" s="650"/>
      <c r="M100" s="201" t="e">
        <f>RANK(K100, K$87:$K$101)</f>
        <v>#DIV/0!</v>
      </c>
      <c r="N100" s="668"/>
      <c r="O100" s="668"/>
      <c r="P100" s="573"/>
      <c r="Q100" s="574"/>
      <c r="R100" s="574"/>
      <c r="S100" s="301" t="e">
        <f t="shared" si="72"/>
        <v>#N/A</v>
      </c>
      <c r="T100" s="690"/>
      <c r="U100" s="573"/>
      <c r="V100" s="574"/>
      <c r="W100" s="574"/>
      <c r="X100" s="475" t="e">
        <f t="shared" si="59"/>
        <v>#N/A</v>
      </c>
      <c r="Y100" s="690"/>
      <c r="Z100" s="573"/>
      <c r="AA100" s="574"/>
      <c r="AB100" s="574"/>
      <c r="AC100" s="475" t="e">
        <f t="shared" si="61"/>
        <v>#N/A</v>
      </c>
      <c r="AD100" s="690"/>
      <c r="AE100" s="573"/>
      <c r="AF100" s="574"/>
      <c r="AG100" s="574"/>
      <c r="AH100" s="475" t="e">
        <f t="shared" si="63"/>
        <v>#N/A</v>
      </c>
      <c r="AI100" s="690"/>
      <c r="AJ100" s="573"/>
      <c r="AK100" s="574"/>
      <c r="AL100" s="574"/>
      <c r="AM100" s="475" t="e">
        <f t="shared" si="65"/>
        <v>#N/A</v>
      </c>
      <c r="AN100" s="690"/>
      <c r="AO100" s="573"/>
      <c r="AP100" s="574"/>
      <c r="AQ100" s="574"/>
      <c r="AR100" s="475" t="e">
        <f t="shared" si="67"/>
        <v>#N/A</v>
      </c>
      <c r="AS100" s="690"/>
      <c r="AT100" s="573"/>
      <c r="AU100" s="574"/>
      <c r="AV100" s="574"/>
      <c r="AW100" s="475" t="e">
        <f t="shared" si="69"/>
        <v>#N/A</v>
      </c>
      <c r="AX100" s="690"/>
    </row>
    <row r="101" spans="2:50">
      <c r="B101" s="676"/>
      <c r="C101" s="301">
        <v>15</v>
      </c>
      <c r="D101" s="227"/>
      <c r="E101" s="182"/>
      <c r="F101" s="510"/>
      <c r="G101" s="511"/>
      <c r="H101" s="719"/>
      <c r="I101" s="202"/>
      <c r="J101" s="202"/>
      <c r="K101" s="202"/>
      <c r="L101" s="651"/>
      <c r="M101" s="199" t="e">
        <f>RANK(K101, K$87:$K$101)</f>
        <v>#DIV/0!</v>
      </c>
      <c r="N101" s="668"/>
      <c r="O101" s="668"/>
      <c r="P101" s="573"/>
      <c r="Q101" s="574"/>
      <c r="R101" s="574"/>
      <c r="S101" s="301" t="e">
        <f t="shared" si="72"/>
        <v>#N/A</v>
      </c>
      <c r="T101" s="690"/>
      <c r="U101" s="573"/>
      <c r="V101" s="574"/>
      <c r="W101" s="574"/>
      <c r="X101" s="475" t="e">
        <f t="shared" si="59"/>
        <v>#N/A</v>
      </c>
      <c r="Y101" s="690"/>
      <c r="Z101" s="573"/>
      <c r="AA101" s="574"/>
      <c r="AB101" s="574"/>
      <c r="AC101" s="475" t="e">
        <f t="shared" si="61"/>
        <v>#N/A</v>
      </c>
      <c r="AD101" s="690"/>
      <c r="AE101" s="573"/>
      <c r="AF101" s="574"/>
      <c r="AG101" s="574"/>
      <c r="AH101" s="475" t="e">
        <f t="shared" si="63"/>
        <v>#N/A</v>
      </c>
      <c r="AI101" s="690"/>
      <c r="AJ101" s="573"/>
      <c r="AK101" s="574"/>
      <c r="AL101" s="574"/>
      <c r="AM101" s="475" t="e">
        <f t="shared" si="65"/>
        <v>#N/A</v>
      </c>
      <c r="AN101" s="690"/>
      <c r="AO101" s="573"/>
      <c r="AP101" s="574"/>
      <c r="AQ101" s="574"/>
      <c r="AR101" s="475" t="e">
        <f t="shared" si="67"/>
        <v>#N/A</v>
      </c>
      <c r="AS101" s="690"/>
      <c r="AT101" s="573"/>
      <c r="AU101" s="574"/>
      <c r="AV101" s="574"/>
      <c r="AW101" s="475" t="e">
        <f t="shared" si="69"/>
        <v>#N/A</v>
      </c>
      <c r="AX101" s="690"/>
    </row>
    <row r="102" spans="2:50" ht="15.75">
      <c r="B102" s="680" t="s">
        <v>163</v>
      </c>
      <c r="C102" s="681"/>
      <c r="D102" s="681"/>
      <c r="E102" s="681"/>
      <c r="F102" s="681"/>
      <c r="G102" s="681"/>
      <c r="H102" s="682"/>
      <c r="I102" s="208"/>
      <c r="J102" s="208"/>
      <c r="K102" s="208"/>
      <c r="L102" s="208"/>
      <c r="M102" s="207"/>
      <c r="N102" s="669" t="s">
        <v>156</v>
      </c>
      <c r="O102" s="669" t="s">
        <v>105</v>
      </c>
      <c r="P102" s="675">
        <f>P82+7</f>
        <v>46119</v>
      </c>
      <c r="Q102" s="676"/>
      <c r="R102" s="676"/>
      <c r="S102" s="676"/>
      <c r="T102" s="676"/>
      <c r="U102" s="672">
        <f>P102+1</f>
        <v>46120</v>
      </c>
      <c r="V102" s="673"/>
      <c r="W102" s="673"/>
      <c r="X102" s="673"/>
      <c r="Y102" s="674"/>
      <c r="Z102" s="672">
        <f>U102+1</f>
        <v>46121</v>
      </c>
      <c r="AA102" s="673"/>
      <c r="AB102" s="673"/>
      <c r="AC102" s="673"/>
      <c r="AD102" s="674"/>
      <c r="AE102" s="672">
        <f>Z102+1</f>
        <v>46122</v>
      </c>
      <c r="AF102" s="673"/>
      <c r="AG102" s="673"/>
      <c r="AH102" s="673"/>
      <c r="AI102" s="674"/>
      <c r="AJ102" s="672">
        <f>AE102+1</f>
        <v>46123</v>
      </c>
      <c r="AK102" s="673"/>
      <c r="AL102" s="673"/>
      <c r="AM102" s="673"/>
      <c r="AN102" s="674"/>
      <c r="AO102" s="672">
        <f>AJ102+1</f>
        <v>46124</v>
      </c>
      <c r="AP102" s="673"/>
      <c r="AQ102" s="673"/>
      <c r="AR102" s="673"/>
      <c r="AS102" s="674"/>
      <c r="AT102" s="672">
        <f>AO102+1</f>
        <v>46125</v>
      </c>
      <c r="AU102" s="673"/>
      <c r="AV102" s="673"/>
      <c r="AW102" s="673"/>
      <c r="AX102" s="674"/>
    </row>
    <row r="103" spans="2:50" ht="15.75">
      <c r="B103" s="683"/>
      <c r="C103" s="683"/>
      <c r="D103" s="683"/>
      <c r="E103" s="683"/>
      <c r="F103" s="683"/>
      <c r="G103" s="683"/>
      <c r="H103" s="683"/>
      <c r="I103" s="205"/>
      <c r="J103" s="205"/>
      <c r="K103" s="205"/>
      <c r="L103" s="205"/>
      <c r="M103" s="206"/>
      <c r="N103" s="671"/>
      <c r="O103" s="671"/>
      <c r="P103" s="675" t="s">
        <v>158</v>
      </c>
      <c r="Q103" s="676"/>
      <c r="R103" s="676"/>
      <c r="S103" s="676"/>
      <c r="T103" s="676"/>
      <c r="U103" s="675" t="s">
        <v>114</v>
      </c>
      <c r="V103" s="676"/>
      <c r="W103" s="676"/>
      <c r="X103" s="676"/>
      <c r="Y103" s="676"/>
      <c r="Z103" s="675" t="s">
        <v>159</v>
      </c>
      <c r="AA103" s="676"/>
      <c r="AB103" s="676"/>
      <c r="AC103" s="676"/>
      <c r="AD103" s="676"/>
      <c r="AE103" s="675" t="s">
        <v>157</v>
      </c>
      <c r="AF103" s="676"/>
      <c r="AG103" s="676"/>
      <c r="AH103" s="676"/>
      <c r="AI103" s="676"/>
      <c r="AJ103" s="675" t="s">
        <v>160</v>
      </c>
      <c r="AK103" s="676"/>
      <c r="AL103" s="676"/>
      <c r="AM103" s="676"/>
      <c r="AN103" s="676"/>
      <c r="AO103" s="675" t="s">
        <v>115</v>
      </c>
      <c r="AP103" s="676"/>
      <c r="AQ103" s="676"/>
      <c r="AR103" s="676"/>
      <c r="AS103" s="676"/>
      <c r="AT103" s="675" t="s">
        <v>162</v>
      </c>
      <c r="AU103" s="676"/>
      <c r="AV103" s="676"/>
      <c r="AW103" s="676"/>
      <c r="AX103" s="676"/>
    </row>
    <row r="104" spans="2:50">
      <c r="B104" s="668" t="s">
        <v>807</v>
      </c>
      <c r="C104" s="668" t="s">
        <v>808</v>
      </c>
      <c r="D104" s="668"/>
      <c r="E104" s="668" t="s">
        <v>809</v>
      </c>
      <c r="F104" s="668"/>
      <c r="G104" s="668"/>
      <c r="H104" s="684" t="s">
        <v>810</v>
      </c>
      <c r="I104" s="668" t="s">
        <v>811</v>
      </c>
      <c r="J104" s="668"/>
      <c r="K104" s="668"/>
      <c r="L104" s="684" t="s">
        <v>810</v>
      </c>
      <c r="M104" s="669" t="s">
        <v>812</v>
      </c>
      <c r="N104" s="668"/>
      <c r="O104" s="668" t="s">
        <v>813</v>
      </c>
      <c r="P104" s="665" t="s">
        <v>814</v>
      </c>
      <c r="Q104" s="666"/>
      <c r="R104" s="666"/>
      <c r="S104" s="667"/>
      <c r="T104" s="668" t="s">
        <v>810</v>
      </c>
      <c r="U104" s="665" t="s">
        <v>814</v>
      </c>
      <c r="V104" s="666"/>
      <c r="W104" s="666"/>
      <c r="X104" s="667"/>
      <c r="Y104" s="668" t="s">
        <v>810</v>
      </c>
      <c r="Z104" s="665" t="s">
        <v>814</v>
      </c>
      <c r="AA104" s="666"/>
      <c r="AB104" s="666"/>
      <c r="AC104" s="667"/>
      <c r="AD104" s="668" t="s">
        <v>810</v>
      </c>
      <c r="AE104" s="665" t="s">
        <v>814</v>
      </c>
      <c r="AF104" s="666"/>
      <c r="AG104" s="666"/>
      <c r="AH104" s="667"/>
      <c r="AI104" s="668" t="s">
        <v>810</v>
      </c>
      <c r="AJ104" s="665" t="s">
        <v>814</v>
      </c>
      <c r="AK104" s="666"/>
      <c r="AL104" s="666"/>
      <c r="AM104" s="667"/>
      <c r="AN104" s="668" t="s">
        <v>810</v>
      </c>
      <c r="AO104" s="665" t="s">
        <v>814</v>
      </c>
      <c r="AP104" s="666"/>
      <c r="AQ104" s="666"/>
      <c r="AR104" s="667"/>
      <c r="AS104" s="668" t="s">
        <v>810</v>
      </c>
      <c r="AT104" s="665" t="s">
        <v>814</v>
      </c>
      <c r="AU104" s="666"/>
      <c r="AV104" s="666"/>
      <c r="AW104" s="667"/>
      <c r="AX104" s="668" t="s">
        <v>810</v>
      </c>
    </row>
    <row r="105" spans="2:50">
      <c r="B105" s="668"/>
      <c r="C105" s="668"/>
      <c r="D105" s="668"/>
      <c r="E105" s="668" t="s">
        <v>815</v>
      </c>
      <c r="F105" s="668"/>
      <c r="G105" s="668"/>
      <c r="H105" s="685"/>
      <c r="I105" s="668" t="s">
        <v>815</v>
      </c>
      <c r="J105" s="668"/>
      <c r="K105" s="668"/>
      <c r="L105" s="685"/>
      <c r="M105" s="670"/>
      <c r="N105" s="668"/>
      <c r="O105" s="668"/>
      <c r="P105" s="665" t="s">
        <v>816</v>
      </c>
      <c r="Q105" s="666"/>
      <c r="R105" s="666"/>
      <c r="S105" s="667"/>
      <c r="T105" s="668"/>
      <c r="U105" s="665" t="s">
        <v>816</v>
      </c>
      <c r="V105" s="666"/>
      <c r="W105" s="666"/>
      <c r="X105" s="667"/>
      <c r="Y105" s="668"/>
      <c r="Z105" s="665" t="s">
        <v>816</v>
      </c>
      <c r="AA105" s="666"/>
      <c r="AB105" s="666"/>
      <c r="AC105" s="667"/>
      <c r="AD105" s="668"/>
      <c r="AE105" s="665" t="s">
        <v>816</v>
      </c>
      <c r="AF105" s="666"/>
      <c r="AG105" s="666"/>
      <c r="AH105" s="667"/>
      <c r="AI105" s="668"/>
      <c r="AJ105" s="665" t="s">
        <v>816</v>
      </c>
      <c r="AK105" s="666"/>
      <c r="AL105" s="666"/>
      <c r="AM105" s="667"/>
      <c r="AN105" s="668"/>
      <c r="AO105" s="665" t="s">
        <v>816</v>
      </c>
      <c r="AP105" s="666"/>
      <c r="AQ105" s="666"/>
      <c r="AR105" s="667"/>
      <c r="AS105" s="668"/>
      <c r="AT105" s="665" t="s">
        <v>816</v>
      </c>
      <c r="AU105" s="666"/>
      <c r="AV105" s="666"/>
      <c r="AW105" s="667"/>
      <c r="AX105" s="668"/>
    </row>
    <row r="106" spans="2:50">
      <c r="B106" s="668"/>
      <c r="C106" s="668"/>
      <c r="D106" s="668"/>
      <c r="E106" s="488" t="s">
        <v>817</v>
      </c>
      <c r="F106" s="488" t="s">
        <v>818</v>
      </c>
      <c r="G106" s="488" t="s">
        <v>819</v>
      </c>
      <c r="H106" s="686"/>
      <c r="I106" s="488" t="s">
        <v>817</v>
      </c>
      <c r="J106" s="488" t="s">
        <v>818</v>
      </c>
      <c r="K106" s="488" t="s">
        <v>819</v>
      </c>
      <c r="L106" s="686"/>
      <c r="M106" s="671"/>
      <c r="N106" s="668"/>
      <c r="O106" s="668"/>
      <c r="P106" s="488" t="s">
        <v>817</v>
      </c>
      <c r="Q106" s="488" t="s">
        <v>818</v>
      </c>
      <c r="R106" s="488" t="s">
        <v>819</v>
      </c>
      <c r="S106" s="488" t="s">
        <v>812</v>
      </c>
      <c r="T106" s="668"/>
      <c r="U106" s="488" t="s">
        <v>817</v>
      </c>
      <c r="V106" s="488" t="s">
        <v>818</v>
      </c>
      <c r="W106" s="488" t="s">
        <v>819</v>
      </c>
      <c r="X106" s="488" t="s">
        <v>812</v>
      </c>
      <c r="Y106" s="668"/>
      <c r="Z106" s="488" t="s">
        <v>817</v>
      </c>
      <c r="AA106" s="488" t="s">
        <v>818</v>
      </c>
      <c r="AB106" s="488" t="s">
        <v>819</v>
      </c>
      <c r="AC106" s="488" t="s">
        <v>812</v>
      </c>
      <c r="AD106" s="668"/>
      <c r="AE106" s="488" t="s">
        <v>817</v>
      </c>
      <c r="AF106" s="488" t="s">
        <v>818</v>
      </c>
      <c r="AG106" s="488" t="s">
        <v>819</v>
      </c>
      <c r="AH106" s="488" t="s">
        <v>812</v>
      </c>
      <c r="AI106" s="668"/>
      <c r="AJ106" s="488" t="s">
        <v>817</v>
      </c>
      <c r="AK106" s="488" t="s">
        <v>818</v>
      </c>
      <c r="AL106" s="488" t="s">
        <v>819</v>
      </c>
      <c r="AM106" s="488" t="s">
        <v>812</v>
      </c>
      <c r="AN106" s="668"/>
      <c r="AO106" s="488" t="s">
        <v>817</v>
      </c>
      <c r="AP106" s="488" t="s">
        <v>818</v>
      </c>
      <c r="AQ106" s="488" t="s">
        <v>819</v>
      </c>
      <c r="AR106" s="488" t="s">
        <v>812</v>
      </c>
      <c r="AS106" s="668"/>
      <c r="AT106" s="488" t="s">
        <v>817</v>
      </c>
      <c r="AU106" s="488" t="s">
        <v>818</v>
      </c>
      <c r="AV106" s="488" t="s">
        <v>819</v>
      </c>
      <c r="AW106" s="488" t="s">
        <v>812</v>
      </c>
      <c r="AX106" s="668"/>
    </row>
    <row r="107" spans="2:50">
      <c r="B107" s="716" t="s">
        <v>821</v>
      </c>
      <c r="C107" s="493">
        <v>1</v>
      </c>
      <c r="D107" s="498"/>
      <c r="E107" s="494"/>
      <c r="F107" s="494"/>
      <c r="G107" s="494"/>
      <c r="H107" s="712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9" t="str">
        <f>IFERROR(AVERAGE(K107:K121),"-")</f>
        <v>-</v>
      </c>
      <c r="M107" s="494" t="e">
        <f>RANK(K107, K$67:$K$81)</f>
        <v>#DIV/0!</v>
      </c>
      <c r="N107" s="668"/>
      <c r="O107" s="668"/>
      <c r="P107" s="182"/>
      <c r="Q107" s="182"/>
      <c r="R107" s="182"/>
      <c r="S107" s="493" t="e">
        <f>RANK(R107, R$67:R$81)</f>
        <v>#N/A</v>
      </c>
      <c r="T107" s="715" t="e">
        <f>AVERAGE(R107:R121)</f>
        <v>#DIV/0!</v>
      </c>
      <c r="U107" s="182"/>
      <c r="V107" s="182"/>
      <c r="W107" s="182"/>
      <c r="X107" s="493" t="e">
        <f t="shared" ref="X107:AM121" si="76">RANK(W107, W$67:W$81)</f>
        <v>#N/A</v>
      </c>
      <c r="Y107" s="715" t="e">
        <f t="shared" ref="Y107" si="77">AVERAGE(W107:W121)</f>
        <v>#DIV/0!</v>
      </c>
      <c r="Z107" s="182"/>
      <c r="AA107" s="182"/>
      <c r="AB107" s="182"/>
      <c r="AC107" s="493" t="e">
        <f t="shared" ref="AC107" si="78">RANK(AB107, AB$67:AB$81)</f>
        <v>#N/A</v>
      </c>
      <c r="AD107" s="715" t="e">
        <f t="shared" ref="AD107" si="79">AVERAGE(AB107:AB121)</f>
        <v>#DIV/0!</v>
      </c>
      <c r="AE107" s="182"/>
      <c r="AF107" s="182"/>
      <c r="AG107" s="182"/>
      <c r="AH107" s="493" t="e">
        <f t="shared" ref="AH107" si="80">RANK(AG107, AG$67:AG$81)</f>
        <v>#N/A</v>
      </c>
      <c r="AI107" s="715" t="e">
        <f t="shared" ref="AI107" si="81">AVERAGE(AG107:AG121)</f>
        <v>#DIV/0!</v>
      </c>
      <c r="AJ107" s="182"/>
      <c r="AK107" s="182"/>
      <c r="AL107" s="182"/>
      <c r="AM107" s="493" t="e">
        <f t="shared" ref="AM107" si="82">RANK(AL107, AL$67:AL$81)</f>
        <v>#N/A</v>
      </c>
      <c r="AN107" s="715" t="e">
        <f t="shared" ref="AN107" si="83">AVERAGE(AL107:AL121)</f>
        <v>#DIV/0!</v>
      </c>
      <c r="AO107" s="182"/>
      <c r="AP107" s="182"/>
      <c r="AQ107" s="182"/>
      <c r="AR107" s="493" t="e">
        <f t="shared" ref="AR107:AW121" si="84">RANK(AQ107, AQ$67:AQ$81)</f>
        <v>#N/A</v>
      </c>
      <c r="AS107" s="715" t="e">
        <f t="shared" ref="AS107" si="85">AVERAGE(AQ107:AQ121)</f>
        <v>#DIV/0!</v>
      </c>
      <c r="AT107" s="182"/>
      <c r="AU107" s="182"/>
      <c r="AV107" s="182"/>
      <c r="AW107" s="493" t="e">
        <f t="shared" ref="AW107" si="86">RANK(AV107, AV$67:AV$81)</f>
        <v>#N/A</v>
      </c>
      <c r="AX107" s="715" t="e">
        <f t="shared" ref="AX107" si="87">AVERAGE(AV107:AV121)</f>
        <v>#DIV/0!</v>
      </c>
    </row>
    <row r="108" spans="2:50">
      <c r="B108" s="701"/>
      <c r="C108" s="493">
        <v>2</v>
      </c>
      <c r="D108" s="498"/>
      <c r="E108" s="494"/>
      <c r="F108" s="494"/>
      <c r="G108" s="494"/>
      <c r="H108" s="713"/>
      <c r="I108" s="494" t="e">
        <f t="shared" ref="I108:K117" si="88">AVERAGE(P108,U108,Z108,AE108,AJ108,AO108,AT108)</f>
        <v>#DIV/0!</v>
      </c>
      <c r="J108" s="494" t="e">
        <f t="shared" si="88"/>
        <v>#DIV/0!</v>
      </c>
      <c r="K108" s="495" t="e">
        <f t="shared" si="88"/>
        <v>#DIV/0!</v>
      </c>
      <c r="L108" s="650"/>
      <c r="M108" s="494" t="e">
        <f>RANK(K108, K$67:$K$81)</f>
        <v>#DIV/0!</v>
      </c>
      <c r="N108" s="668"/>
      <c r="O108" s="668"/>
      <c r="P108" s="182"/>
      <c r="Q108" s="182"/>
      <c r="R108" s="182"/>
      <c r="S108" s="493" t="e">
        <f t="shared" ref="S108:S121" si="89">RANK(R108, R$67:R$81)</f>
        <v>#N/A</v>
      </c>
      <c r="T108" s="715"/>
      <c r="U108" s="182"/>
      <c r="V108" s="182"/>
      <c r="W108" s="182"/>
      <c r="X108" s="493" t="e">
        <f t="shared" si="76"/>
        <v>#N/A</v>
      </c>
      <c r="Y108" s="715"/>
      <c r="Z108" s="182"/>
      <c r="AA108" s="182"/>
      <c r="AB108" s="182"/>
      <c r="AC108" s="493" t="e">
        <f t="shared" si="76"/>
        <v>#N/A</v>
      </c>
      <c r="AD108" s="715"/>
      <c r="AE108" s="182"/>
      <c r="AF108" s="182"/>
      <c r="AG108" s="182"/>
      <c r="AH108" s="493" t="e">
        <f t="shared" si="76"/>
        <v>#N/A</v>
      </c>
      <c r="AI108" s="715"/>
      <c r="AJ108" s="182"/>
      <c r="AK108" s="182"/>
      <c r="AL108" s="182"/>
      <c r="AM108" s="493" t="e">
        <f t="shared" si="76"/>
        <v>#N/A</v>
      </c>
      <c r="AN108" s="715"/>
      <c r="AO108" s="182"/>
      <c r="AP108" s="182"/>
      <c r="AQ108" s="182"/>
      <c r="AR108" s="493" t="e">
        <f t="shared" si="84"/>
        <v>#N/A</v>
      </c>
      <c r="AS108" s="715"/>
      <c r="AT108" s="182"/>
      <c r="AU108" s="182"/>
      <c r="AV108" s="182"/>
      <c r="AW108" s="493" t="e">
        <f t="shared" si="84"/>
        <v>#N/A</v>
      </c>
      <c r="AX108" s="715"/>
    </row>
    <row r="109" spans="2:50">
      <c r="B109" s="701"/>
      <c r="C109" s="493">
        <v>3</v>
      </c>
      <c r="D109" s="498"/>
      <c r="E109" s="494"/>
      <c r="F109" s="494"/>
      <c r="G109" s="494"/>
      <c r="H109" s="713"/>
      <c r="I109" s="494" t="e">
        <f t="shared" si="88"/>
        <v>#DIV/0!</v>
      </c>
      <c r="J109" s="494" t="e">
        <f t="shared" si="88"/>
        <v>#DIV/0!</v>
      </c>
      <c r="K109" s="495" t="e">
        <f t="shared" si="88"/>
        <v>#DIV/0!</v>
      </c>
      <c r="L109" s="650"/>
      <c r="M109" s="494" t="e">
        <f>RANK(K109, K$67:$K$81)</f>
        <v>#DIV/0!</v>
      </c>
      <c r="N109" s="668"/>
      <c r="O109" s="668"/>
      <c r="P109" s="182"/>
      <c r="Q109" s="182"/>
      <c r="R109" s="182"/>
      <c r="S109" s="493" t="e">
        <f t="shared" si="89"/>
        <v>#N/A</v>
      </c>
      <c r="T109" s="715"/>
      <c r="U109" s="182"/>
      <c r="V109" s="182"/>
      <c r="W109" s="182"/>
      <c r="X109" s="493" t="e">
        <f t="shared" si="76"/>
        <v>#N/A</v>
      </c>
      <c r="Y109" s="715"/>
      <c r="Z109" s="182"/>
      <c r="AA109" s="182"/>
      <c r="AB109" s="182"/>
      <c r="AC109" s="493" t="e">
        <f t="shared" si="76"/>
        <v>#N/A</v>
      </c>
      <c r="AD109" s="715"/>
      <c r="AE109" s="182"/>
      <c r="AF109" s="182"/>
      <c r="AG109" s="182"/>
      <c r="AH109" s="493" t="e">
        <f t="shared" si="76"/>
        <v>#N/A</v>
      </c>
      <c r="AI109" s="715"/>
      <c r="AJ109" s="182"/>
      <c r="AK109" s="182"/>
      <c r="AL109" s="182"/>
      <c r="AM109" s="493" t="e">
        <f t="shared" si="76"/>
        <v>#N/A</v>
      </c>
      <c r="AN109" s="715"/>
      <c r="AO109" s="182"/>
      <c r="AP109" s="182"/>
      <c r="AQ109" s="182"/>
      <c r="AR109" s="493" t="e">
        <f t="shared" si="84"/>
        <v>#N/A</v>
      </c>
      <c r="AS109" s="715"/>
      <c r="AT109" s="182"/>
      <c r="AU109" s="182"/>
      <c r="AV109" s="182"/>
      <c r="AW109" s="493" t="e">
        <f t="shared" si="84"/>
        <v>#N/A</v>
      </c>
      <c r="AX109" s="715"/>
    </row>
    <row r="110" spans="2:50">
      <c r="B110" s="701"/>
      <c r="C110" s="493">
        <v>4</v>
      </c>
      <c r="D110" s="498"/>
      <c r="E110" s="494"/>
      <c r="F110" s="494"/>
      <c r="G110" s="494"/>
      <c r="H110" s="713"/>
      <c r="I110" s="494" t="e">
        <f t="shared" si="88"/>
        <v>#DIV/0!</v>
      </c>
      <c r="J110" s="494" t="e">
        <f t="shared" si="88"/>
        <v>#DIV/0!</v>
      </c>
      <c r="K110" s="495" t="e">
        <f t="shared" si="88"/>
        <v>#DIV/0!</v>
      </c>
      <c r="L110" s="650"/>
      <c r="M110" s="494" t="e">
        <f>RANK(K110, K$67:$K$81)</f>
        <v>#DIV/0!</v>
      </c>
      <c r="N110" s="668"/>
      <c r="O110" s="668"/>
      <c r="P110" s="182"/>
      <c r="Q110" s="182"/>
      <c r="R110" s="182"/>
      <c r="S110" s="493" t="e">
        <f t="shared" si="89"/>
        <v>#N/A</v>
      </c>
      <c r="T110" s="715"/>
      <c r="U110" s="182"/>
      <c r="V110" s="182"/>
      <c r="W110" s="182"/>
      <c r="X110" s="493" t="e">
        <f t="shared" si="76"/>
        <v>#N/A</v>
      </c>
      <c r="Y110" s="715"/>
      <c r="Z110" s="182"/>
      <c r="AA110" s="182"/>
      <c r="AB110" s="182"/>
      <c r="AC110" s="493" t="e">
        <f t="shared" si="76"/>
        <v>#N/A</v>
      </c>
      <c r="AD110" s="715"/>
      <c r="AE110" s="182"/>
      <c r="AF110" s="182"/>
      <c r="AG110" s="182"/>
      <c r="AH110" s="493" t="e">
        <f t="shared" si="76"/>
        <v>#N/A</v>
      </c>
      <c r="AI110" s="715"/>
      <c r="AJ110" s="182"/>
      <c r="AK110" s="182"/>
      <c r="AL110" s="182"/>
      <c r="AM110" s="493" t="e">
        <f t="shared" si="76"/>
        <v>#N/A</v>
      </c>
      <c r="AN110" s="715"/>
      <c r="AO110" s="182"/>
      <c r="AP110" s="182"/>
      <c r="AQ110" s="182"/>
      <c r="AR110" s="493" t="e">
        <f t="shared" si="84"/>
        <v>#N/A</v>
      </c>
      <c r="AS110" s="715"/>
      <c r="AT110" s="182"/>
      <c r="AU110" s="182"/>
      <c r="AV110" s="182"/>
      <c r="AW110" s="493" t="e">
        <f t="shared" si="84"/>
        <v>#N/A</v>
      </c>
      <c r="AX110" s="715"/>
    </row>
    <row r="111" spans="2:50">
      <c r="B111" s="701"/>
      <c r="C111" s="493">
        <v>5</v>
      </c>
      <c r="D111" s="498"/>
      <c r="E111" s="494"/>
      <c r="F111" s="494"/>
      <c r="G111" s="494"/>
      <c r="H111" s="713"/>
      <c r="I111" s="494" t="e">
        <f t="shared" si="88"/>
        <v>#DIV/0!</v>
      </c>
      <c r="J111" s="494" t="e">
        <f t="shared" si="88"/>
        <v>#DIV/0!</v>
      </c>
      <c r="K111" s="495" t="e">
        <f t="shared" si="88"/>
        <v>#DIV/0!</v>
      </c>
      <c r="L111" s="650"/>
      <c r="M111" s="494" t="e">
        <f>RANK(K111, K$67:$K$81)</f>
        <v>#DIV/0!</v>
      </c>
      <c r="N111" s="668"/>
      <c r="O111" s="668"/>
      <c r="P111" s="182"/>
      <c r="Q111" s="182"/>
      <c r="R111" s="182"/>
      <c r="S111" s="493" t="e">
        <f t="shared" si="89"/>
        <v>#N/A</v>
      </c>
      <c r="T111" s="715"/>
      <c r="U111" s="182"/>
      <c r="V111" s="182"/>
      <c r="W111" s="182"/>
      <c r="X111" s="493" t="e">
        <f t="shared" si="76"/>
        <v>#N/A</v>
      </c>
      <c r="Y111" s="715"/>
      <c r="Z111" s="182"/>
      <c r="AA111" s="182"/>
      <c r="AB111" s="182"/>
      <c r="AC111" s="493" t="e">
        <f t="shared" si="76"/>
        <v>#N/A</v>
      </c>
      <c r="AD111" s="715"/>
      <c r="AE111" s="182"/>
      <c r="AF111" s="182"/>
      <c r="AG111" s="182"/>
      <c r="AH111" s="493" t="e">
        <f t="shared" si="76"/>
        <v>#N/A</v>
      </c>
      <c r="AI111" s="715"/>
      <c r="AJ111" s="182"/>
      <c r="AK111" s="182"/>
      <c r="AL111" s="182"/>
      <c r="AM111" s="493" t="e">
        <f t="shared" si="76"/>
        <v>#N/A</v>
      </c>
      <c r="AN111" s="715"/>
      <c r="AO111" s="182"/>
      <c r="AP111" s="182"/>
      <c r="AQ111" s="182"/>
      <c r="AR111" s="493" t="e">
        <f t="shared" si="84"/>
        <v>#N/A</v>
      </c>
      <c r="AS111" s="715"/>
      <c r="AT111" s="182"/>
      <c r="AU111" s="182"/>
      <c r="AV111" s="182"/>
      <c r="AW111" s="493" t="e">
        <f t="shared" si="84"/>
        <v>#N/A</v>
      </c>
      <c r="AX111" s="715"/>
    </row>
    <row r="112" spans="2:50">
      <c r="B112" s="701"/>
      <c r="C112" s="493">
        <v>6</v>
      </c>
      <c r="D112" s="498"/>
      <c r="E112" s="494"/>
      <c r="F112" s="494"/>
      <c r="G112" s="494"/>
      <c r="H112" s="713"/>
      <c r="I112" s="494" t="e">
        <f t="shared" si="88"/>
        <v>#DIV/0!</v>
      </c>
      <c r="J112" s="494" t="e">
        <f t="shared" si="88"/>
        <v>#DIV/0!</v>
      </c>
      <c r="K112" s="495" t="e">
        <f t="shared" si="88"/>
        <v>#DIV/0!</v>
      </c>
      <c r="L112" s="650"/>
      <c r="M112" s="494" t="e">
        <f>RANK(K112, K$67:$K$81)</f>
        <v>#DIV/0!</v>
      </c>
      <c r="N112" s="668"/>
      <c r="O112" s="668"/>
      <c r="P112" s="182"/>
      <c r="Q112" s="182"/>
      <c r="R112" s="182"/>
      <c r="S112" s="493" t="e">
        <f t="shared" si="89"/>
        <v>#N/A</v>
      </c>
      <c r="T112" s="715"/>
      <c r="U112" s="182"/>
      <c r="V112" s="182"/>
      <c r="W112" s="182"/>
      <c r="X112" s="493" t="e">
        <f t="shared" si="76"/>
        <v>#N/A</v>
      </c>
      <c r="Y112" s="715"/>
      <c r="Z112" s="182"/>
      <c r="AA112" s="182"/>
      <c r="AB112" s="182"/>
      <c r="AC112" s="493" t="e">
        <f t="shared" si="76"/>
        <v>#N/A</v>
      </c>
      <c r="AD112" s="715"/>
      <c r="AE112" s="182"/>
      <c r="AF112" s="182"/>
      <c r="AG112" s="182"/>
      <c r="AH112" s="493" t="e">
        <f t="shared" si="76"/>
        <v>#N/A</v>
      </c>
      <c r="AI112" s="715"/>
      <c r="AJ112" s="182"/>
      <c r="AK112" s="182"/>
      <c r="AL112" s="182"/>
      <c r="AM112" s="493" t="e">
        <f t="shared" si="76"/>
        <v>#N/A</v>
      </c>
      <c r="AN112" s="715"/>
      <c r="AO112" s="182"/>
      <c r="AP112" s="182"/>
      <c r="AQ112" s="182"/>
      <c r="AR112" s="493" t="e">
        <f t="shared" si="84"/>
        <v>#N/A</v>
      </c>
      <c r="AS112" s="715"/>
      <c r="AT112" s="182"/>
      <c r="AU112" s="182"/>
      <c r="AV112" s="182"/>
      <c r="AW112" s="493" t="e">
        <f t="shared" si="84"/>
        <v>#N/A</v>
      </c>
      <c r="AX112" s="715"/>
    </row>
    <row r="113" spans="2:50">
      <c r="B113" s="701"/>
      <c r="C113" s="493">
        <v>7</v>
      </c>
      <c r="D113" s="498"/>
      <c r="E113" s="494"/>
      <c r="F113" s="494"/>
      <c r="G113" s="494"/>
      <c r="H113" s="713"/>
      <c r="I113" s="494" t="e">
        <f t="shared" si="88"/>
        <v>#DIV/0!</v>
      </c>
      <c r="J113" s="494" t="e">
        <f t="shared" si="88"/>
        <v>#DIV/0!</v>
      </c>
      <c r="K113" s="495" t="e">
        <f t="shared" si="88"/>
        <v>#DIV/0!</v>
      </c>
      <c r="L113" s="650"/>
      <c r="M113" s="494" t="e">
        <f>RANK(K113, K$67:$K$81)</f>
        <v>#DIV/0!</v>
      </c>
      <c r="N113" s="668"/>
      <c r="O113" s="668"/>
      <c r="P113" s="182"/>
      <c r="Q113" s="182"/>
      <c r="R113" s="182"/>
      <c r="S113" s="493" t="e">
        <f t="shared" si="89"/>
        <v>#N/A</v>
      </c>
      <c r="T113" s="715"/>
      <c r="U113" s="182"/>
      <c r="V113" s="182"/>
      <c r="W113" s="182"/>
      <c r="X113" s="493" t="e">
        <f t="shared" si="76"/>
        <v>#N/A</v>
      </c>
      <c r="Y113" s="715"/>
      <c r="Z113" s="182"/>
      <c r="AA113" s="182"/>
      <c r="AB113" s="182"/>
      <c r="AC113" s="493" t="e">
        <f t="shared" si="76"/>
        <v>#N/A</v>
      </c>
      <c r="AD113" s="715"/>
      <c r="AE113" s="182"/>
      <c r="AF113" s="182"/>
      <c r="AG113" s="182"/>
      <c r="AH113" s="493" t="e">
        <f t="shared" si="76"/>
        <v>#N/A</v>
      </c>
      <c r="AI113" s="715"/>
      <c r="AJ113" s="182"/>
      <c r="AK113" s="182"/>
      <c r="AL113" s="182"/>
      <c r="AM113" s="493" t="e">
        <f t="shared" si="76"/>
        <v>#N/A</v>
      </c>
      <c r="AN113" s="715"/>
      <c r="AO113" s="182"/>
      <c r="AP113" s="182"/>
      <c r="AQ113" s="182"/>
      <c r="AR113" s="493" t="e">
        <f t="shared" si="84"/>
        <v>#N/A</v>
      </c>
      <c r="AS113" s="715"/>
      <c r="AT113" s="182"/>
      <c r="AU113" s="182"/>
      <c r="AV113" s="182"/>
      <c r="AW113" s="493" t="e">
        <f t="shared" si="84"/>
        <v>#N/A</v>
      </c>
      <c r="AX113" s="715"/>
    </row>
    <row r="114" spans="2:50">
      <c r="B114" s="701"/>
      <c r="C114" s="493">
        <v>8</v>
      </c>
      <c r="D114" s="498"/>
      <c r="E114" s="494"/>
      <c r="F114" s="494"/>
      <c r="G114" s="494"/>
      <c r="H114" s="713"/>
      <c r="I114" s="494" t="e">
        <f t="shared" si="88"/>
        <v>#DIV/0!</v>
      </c>
      <c r="J114" s="494" t="e">
        <f t="shared" si="88"/>
        <v>#DIV/0!</v>
      </c>
      <c r="K114" s="495" t="e">
        <f t="shared" si="88"/>
        <v>#DIV/0!</v>
      </c>
      <c r="L114" s="650"/>
      <c r="M114" s="494" t="e">
        <f>RANK(K114, K$67:$K$81)</f>
        <v>#DIV/0!</v>
      </c>
      <c r="N114" s="668"/>
      <c r="O114" s="668"/>
      <c r="P114" s="182"/>
      <c r="Q114" s="182"/>
      <c r="R114" s="182"/>
      <c r="S114" s="493" t="e">
        <f t="shared" si="89"/>
        <v>#N/A</v>
      </c>
      <c r="T114" s="715"/>
      <c r="U114" s="182"/>
      <c r="V114" s="182"/>
      <c r="W114" s="182"/>
      <c r="X114" s="493" t="e">
        <f t="shared" si="76"/>
        <v>#N/A</v>
      </c>
      <c r="Y114" s="715"/>
      <c r="Z114" s="182"/>
      <c r="AA114" s="182"/>
      <c r="AB114" s="182"/>
      <c r="AC114" s="493" t="e">
        <f t="shared" si="76"/>
        <v>#N/A</v>
      </c>
      <c r="AD114" s="715"/>
      <c r="AE114" s="182"/>
      <c r="AF114" s="182"/>
      <c r="AG114" s="182"/>
      <c r="AH114" s="493" t="e">
        <f t="shared" si="76"/>
        <v>#N/A</v>
      </c>
      <c r="AI114" s="715"/>
      <c r="AJ114" s="182"/>
      <c r="AK114" s="182"/>
      <c r="AL114" s="182"/>
      <c r="AM114" s="493" t="e">
        <f t="shared" si="76"/>
        <v>#N/A</v>
      </c>
      <c r="AN114" s="715"/>
      <c r="AO114" s="182"/>
      <c r="AP114" s="182"/>
      <c r="AQ114" s="182"/>
      <c r="AR114" s="493" t="e">
        <f t="shared" si="84"/>
        <v>#N/A</v>
      </c>
      <c r="AS114" s="715"/>
      <c r="AT114" s="182"/>
      <c r="AU114" s="182"/>
      <c r="AV114" s="182"/>
      <c r="AW114" s="493" t="e">
        <f t="shared" si="84"/>
        <v>#N/A</v>
      </c>
      <c r="AX114" s="715"/>
    </row>
    <row r="115" spans="2:50">
      <c r="B115" s="701"/>
      <c r="C115" s="493">
        <v>9</v>
      </c>
      <c r="D115" s="498"/>
      <c r="E115" s="494"/>
      <c r="F115" s="494"/>
      <c r="G115" s="494"/>
      <c r="H115" s="713"/>
      <c r="I115" s="494" t="e">
        <f t="shared" si="88"/>
        <v>#DIV/0!</v>
      </c>
      <c r="J115" s="494" t="e">
        <f t="shared" si="88"/>
        <v>#DIV/0!</v>
      </c>
      <c r="K115" s="495" t="e">
        <f t="shared" si="88"/>
        <v>#DIV/0!</v>
      </c>
      <c r="L115" s="650"/>
      <c r="M115" s="494" t="e">
        <f>RANK(K115, K$67:$K$81)</f>
        <v>#DIV/0!</v>
      </c>
      <c r="N115" s="668"/>
      <c r="O115" s="668"/>
      <c r="P115" s="182"/>
      <c r="Q115" s="182"/>
      <c r="R115" s="182"/>
      <c r="S115" s="493" t="e">
        <f t="shared" si="89"/>
        <v>#N/A</v>
      </c>
      <c r="T115" s="715"/>
      <c r="U115" s="182"/>
      <c r="V115" s="182"/>
      <c r="W115" s="182"/>
      <c r="X115" s="493" t="e">
        <f t="shared" si="76"/>
        <v>#N/A</v>
      </c>
      <c r="Y115" s="715"/>
      <c r="Z115" s="182"/>
      <c r="AA115" s="182"/>
      <c r="AB115" s="182"/>
      <c r="AC115" s="493" t="e">
        <f t="shared" si="76"/>
        <v>#N/A</v>
      </c>
      <c r="AD115" s="715"/>
      <c r="AE115" s="182"/>
      <c r="AF115" s="182"/>
      <c r="AG115" s="182"/>
      <c r="AH115" s="493" t="e">
        <f t="shared" si="76"/>
        <v>#N/A</v>
      </c>
      <c r="AI115" s="715"/>
      <c r="AJ115" s="182"/>
      <c r="AK115" s="182"/>
      <c r="AL115" s="182"/>
      <c r="AM115" s="493" t="e">
        <f t="shared" si="76"/>
        <v>#N/A</v>
      </c>
      <c r="AN115" s="715"/>
      <c r="AO115" s="182"/>
      <c r="AP115" s="182"/>
      <c r="AQ115" s="182"/>
      <c r="AR115" s="493" t="e">
        <f t="shared" si="84"/>
        <v>#N/A</v>
      </c>
      <c r="AS115" s="715"/>
      <c r="AT115" s="182"/>
      <c r="AU115" s="182"/>
      <c r="AV115" s="182"/>
      <c r="AW115" s="493" t="e">
        <f t="shared" si="84"/>
        <v>#N/A</v>
      </c>
      <c r="AX115" s="715"/>
    </row>
    <row r="116" spans="2:50">
      <c r="B116" s="701"/>
      <c r="C116" s="493">
        <v>10</v>
      </c>
      <c r="D116" s="498"/>
      <c r="E116" s="494"/>
      <c r="F116" s="494"/>
      <c r="G116" s="494"/>
      <c r="H116" s="713"/>
      <c r="I116" s="494" t="e">
        <f t="shared" si="88"/>
        <v>#DIV/0!</v>
      </c>
      <c r="J116" s="494" t="e">
        <f t="shared" si="88"/>
        <v>#DIV/0!</v>
      </c>
      <c r="K116" s="495" t="e">
        <f t="shared" si="88"/>
        <v>#DIV/0!</v>
      </c>
      <c r="L116" s="650"/>
      <c r="M116" s="494" t="e">
        <f>RANK(K116, K$67:$K$81)</f>
        <v>#DIV/0!</v>
      </c>
      <c r="N116" s="668"/>
      <c r="O116" s="668"/>
      <c r="P116" s="182"/>
      <c r="Q116" s="182"/>
      <c r="R116" s="182"/>
      <c r="S116" s="493" t="e">
        <f t="shared" si="89"/>
        <v>#N/A</v>
      </c>
      <c r="T116" s="715"/>
      <c r="U116" s="182"/>
      <c r="V116" s="182"/>
      <c r="W116" s="182"/>
      <c r="X116" s="493" t="e">
        <f t="shared" si="76"/>
        <v>#N/A</v>
      </c>
      <c r="Y116" s="715"/>
      <c r="Z116" s="182"/>
      <c r="AA116" s="182"/>
      <c r="AB116" s="182"/>
      <c r="AC116" s="493" t="e">
        <f t="shared" si="76"/>
        <v>#N/A</v>
      </c>
      <c r="AD116" s="715"/>
      <c r="AE116" s="182"/>
      <c r="AF116" s="182"/>
      <c r="AG116" s="182"/>
      <c r="AH116" s="493" t="e">
        <f t="shared" si="76"/>
        <v>#N/A</v>
      </c>
      <c r="AI116" s="715"/>
      <c r="AJ116" s="182"/>
      <c r="AK116" s="182"/>
      <c r="AL116" s="182"/>
      <c r="AM116" s="493" t="e">
        <f t="shared" si="76"/>
        <v>#N/A</v>
      </c>
      <c r="AN116" s="715"/>
      <c r="AO116" s="182"/>
      <c r="AP116" s="182"/>
      <c r="AQ116" s="182"/>
      <c r="AR116" s="493" t="e">
        <f t="shared" si="84"/>
        <v>#N/A</v>
      </c>
      <c r="AS116" s="715"/>
      <c r="AT116" s="182"/>
      <c r="AU116" s="182"/>
      <c r="AV116" s="182"/>
      <c r="AW116" s="493" t="e">
        <f t="shared" si="84"/>
        <v>#N/A</v>
      </c>
      <c r="AX116" s="715"/>
    </row>
    <row r="117" spans="2:50">
      <c r="B117" s="701"/>
      <c r="C117" s="493">
        <v>11</v>
      </c>
      <c r="D117" s="498"/>
      <c r="E117" s="494"/>
      <c r="F117" s="494"/>
      <c r="G117" s="494"/>
      <c r="H117" s="713"/>
      <c r="I117" s="494" t="e">
        <f t="shared" si="88"/>
        <v>#DIV/0!</v>
      </c>
      <c r="J117" s="494" t="e">
        <f t="shared" si="88"/>
        <v>#DIV/0!</v>
      </c>
      <c r="K117" s="495" t="e">
        <f t="shared" si="88"/>
        <v>#DIV/0!</v>
      </c>
      <c r="L117" s="650"/>
      <c r="M117" s="494" t="e">
        <f>RANK(K117, K$67:$K$81)</f>
        <v>#DIV/0!</v>
      </c>
      <c r="N117" s="668"/>
      <c r="O117" s="668"/>
      <c r="P117" s="182"/>
      <c r="Q117" s="182"/>
      <c r="R117" s="182"/>
      <c r="S117" s="493" t="e">
        <f t="shared" si="89"/>
        <v>#N/A</v>
      </c>
      <c r="T117" s="715"/>
      <c r="U117" s="182"/>
      <c r="V117" s="182"/>
      <c r="W117" s="182"/>
      <c r="X117" s="493" t="e">
        <f t="shared" si="76"/>
        <v>#N/A</v>
      </c>
      <c r="Y117" s="715"/>
      <c r="Z117" s="182"/>
      <c r="AA117" s="182"/>
      <c r="AB117" s="182"/>
      <c r="AC117" s="493" t="e">
        <f t="shared" si="76"/>
        <v>#N/A</v>
      </c>
      <c r="AD117" s="715"/>
      <c r="AE117" s="182"/>
      <c r="AF117" s="182"/>
      <c r="AG117" s="182"/>
      <c r="AH117" s="493" t="e">
        <f t="shared" si="76"/>
        <v>#N/A</v>
      </c>
      <c r="AI117" s="715"/>
      <c r="AJ117" s="182"/>
      <c r="AK117" s="182"/>
      <c r="AL117" s="182"/>
      <c r="AM117" s="493" t="e">
        <f t="shared" si="76"/>
        <v>#N/A</v>
      </c>
      <c r="AN117" s="715"/>
      <c r="AO117" s="182"/>
      <c r="AP117" s="182"/>
      <c r="AQ117" s="182"/>
      <c r="AR117" s="493" t="e">
        <f t="shared" si="84"/>
        <v>#N/A</v>
      </c>
      <c r="AS117" s="715"/>
      <c r="AT117" s="182"/>
      <c r="AU117" s="182"/>
      <c r="AV117" s="182"/>
      <c r="AW117" s="493" t="e">
        <f t="shared" si="84"/>
        <v>#N/A</v>
      </c>
      <c r="AX117" s="715"/>
    </row>
    <row r="118" spans="2:50">
      <c r="B118" s="701"/>
      <c r="C118" s="493">
        <v>12</v>
      </c>
      <c r="D118" s="498"/>
      <c r="E118" s="494"/>
      <c r="F118" s="494"/>
      <c r="G118" s="494"/>
      <c r="H118" s="713"/>
      <c r="I118" s="494"/>
      <c r="J118" s="494"/>
      <c r="K118" s="495"/>
      <c r="L118" s="650"/>
      <c r="M118" s="494" t="e">
        <f>RANK(K118, K$67:$K$81)</f>
        <v>#N/A</v>
      </c>
      <c r="N118" s="668"/>
      <c r="O118" s="668"/>
      <c r="P118" s="182"/>
      <c r="Q118" s="182"/>
      <c r="R118" s="182"/>
      <c r="S118" s="493" t="e">
        <f t="shared" si="89"/>
        <v>#N/A</v>
      </c>
      <c r="T118" s="715"/>
      <c r="U118" s="182"/>
      <c r="V118" s="182"/>
      <c r="W118" s="182"/>
      <c r="X118" s="493" t="e">
        <f t="shared" si="76"/>
        <v>#N/A</v>
      </c>
      <c r="Y118" s="715"/>
      <c r="Z118" s="182"/>
      <c r="AA118" s="182"/>
      <c r="AB118" s="182"/>
      <c r="AC118" s="493" t="e">
        <f t="shared" si="76"/>
        <v>#N/A</v>
      </c>
      <c r="AD118" s="715"/>
      <c r="AE118" s="182"/>
      <c r="AF118" s="182"/>
      <c r="AG118" s="182"/>
      <c r="AH118" s="493" t="e">
        <f t="shared" si="76"/>
        <v>#N/A</v>
      </c>
      <c r="AI118" s="715"/>
      <c r="AJ118" s="182"/>
      <c r="AK118" s="182"/>
      <c r="AL118" s="182"/>
      <c r="AM118" s="493" t="e">
        <f t="shared" si="76"/>
        <v>#N/A</v>
      </c>
      <c r="AN118" s="715"/>
      <c r="AO118" s="182"/>
      <c r="AP118" s="182"/>
      <c r="AQ118" s="182"/>
      <c r="AR118" s="493" t="e">
        <f t="shared" si="84"/>
        <v>#N/A</v>
      </c>
      <c r="AS118" s="715"/>
      <c r="AT118" s="182"/>
      <c r="AU118" s="182"/>
      <c r="AV118" s="182"/>
      <c r="AW118" s="493" t="e">
        <f t="shared" si="84"/>
        <v>#N/A</v>
      </c>
      <c r="AX118" s="715"/>
    </row>
    <row r="119" spans="2:50">
      <c r="B119" s="701"/>
      <c r="C119" s="493">
        <v>13</v>
      </c>
      <c r="D119" s="498"/>
      <c r="E119" s="494"/>
      <c r="F119" s="494"/>
      <c r="G119" s="494"/>
      <c r="H119" s="713"/>
      <c r="I119" s="494"/>
      <c r="J119" s="494"/>
      <c r="K119" s="495"/>
      <c r="L119" s="650"/>
      <c r="M119" s="494" t="e">
        <f>RANK(K119, K$67:$K$81)</f>
        <v>#N/A</v>
      </c>
      <c r="N119" s="668"/>
      <c r="O119" s="668"/>
      <c r="P119" s="182"/>
      <c r="Q119" s="182"/>
      <c r="R119" s="182"/>
      <c r="S119" s="493" t="e">
        <f t="shared" si="89"/>
        <v>#N/A</v>
      </c>
      <c r="T119" s="715"/>
      <c r="U119" s="182"/>
      <c r="V119" s="182"/>
      <c r="W119" s="182"/>
      <c r="X119" s="493" t="e">
        <f t="shared" si="76"/>
        <v>#N/A</v>
      </c>
      <c r="Y119" s="715"/>
      <c r="Z119" s="182"/>
      <c r="AA119" s="182"/>
      <c r="AB119" s="182"/>
      <c r="AC119" s="493" t="e">
        <f t="shared" si="76"/>
        <v>#N/A</v>
      </c>
      <c r="AD119" s="715"/>
      <c r="AE119" s="182"/>
      <c r="AF119" s="182"/>
      <c r="AG119" s="182"/>
      <c r="AH119" s="493" t="e">
        <f t="shared" si="76"/>
        <v>#N/A</v>
      </c>
      <c r="AI119" s="715"/>
      <c r="AJ119" s="182"/>
      <c r="AK119" s="182"/>
      <c r="AL119" s="182"/>
      <c r="AM119" s="493" t="e">
        <f t="shared" si="76"/>
        <v>#N/A</v>
      </c>
      <c r="AN119" s="715"/>
      <c r="AO119" s="182"/>
      <c r="AP119" s="182"/>
      <c r="AQ119" s="182"/>
      <c r="AR119" s="493" t="e">
        <f t="shared" si="84"/>
        <v>#N/A</v>
      </c>
      <c r="AS119" s="715"/>
      <c r="AT119" s="182"/>
      <c r="AU119" s="182"/>
      <c r="AV119" s="182"/>
      <c r="AW119" s="493" t="e">
        <f t="shared" si="84"/>
        <v>#N/A</v>
      </c>
      <c r="AX119" s="715"/>
    </row>
    <row r="120" spans="2:50">
      <c r="B120" s="701"/>
      <c r="C120" s="493">
        <v>14</v>
      </c>
      <c r="D120" s="498"/>
      <c r="E120" s="494"/>
      <c r="F120" s="494"/>
      <c r="G120" s="494"/>
      <c r="H120" s="713"/>
      <c r="I120" s="494"/>
      <c r="J120" s="494"/>
      <c r="K120" s="495"/>
      <c r="L120" s="650"/>
      <c r="M120" s="494" t="e">
        <f>RANK(K120, K$67:$K$81)</f>
        <v>#N/A</v>
      </c>
      <c r="N120" s="668"/>
      <c r="O120" s="668"/>
      <c r="P120" s="182"/>
      <c r="Q120" s="182"/>
      <c r="R120" s="182"/>
      <c r="S120" s="493" t="e">
        <f t="shared" si="89"/>
        <v>#N/A</v>
      </c>
      <c r="T120" s="715"/>
      <c r="U120" s="182"/>
      <c r="V120" s="182"/>
      <c r="W120" s="182"/>
      <c r="X120" s="493" t="e">
        <f t="shared" si="76"/>
        <v>#N/A</v>
      </c>
      <c r="Y120" s="715"/>
      <c r="Z120" s="182"/>
      <c r="AA120" s="182"/>
      <c r="AB120" s="182"/>
      <c r="AC120" s="493" t="e">
        <f t="shared" si="76"/>
        <v>#N/A</v>
      </c>
      <c r="AD120" s="715"/>
      <c r="AE120" s="182"/>
      <c r="AF120" s="182"/>
      <c r="AG120" s="182"/>
      <c r="AH120" s="493" t="e">
        <f t="shared" si="76"/>
        <v>#N/A</v>
      </c>
      <c r="AI120" s="715"/>
      <c r="AJ120" s="182"/>
      <c r="AK120" s="182"/>
      <c r="AL120" s="182"/>
      <c r="AM120" s="493" t="e">
        <f t="shared" si="76"/>
        <v>#N/A</v>
      </c>
      <c r="AN120" s="715"/>
      <c r="AO120" s="182"/>
      <c r="AP120" s="182"/>
      <c r="AQ120" s="182"/>
      <c r="AR120" s="493" t="e">
        <f t="shared" si="84"/>
        <v>#N/A</v>
      </c>
      <c r="AS120" s="715"/>
      <c r="AT120" s="182"/>
      <c r="AU120" s="182"/>
      <c r="AV120" s="182"/>
      <c r="AW120" s="493" t="e">
        <f t="shared" si="84"/>
        <v>#N/A</v>
      </c>
      <c r="AX120" s="715"/>
    </row>
    <row r="121" spans="2:50">
      <c r="B121" s="701"/>
      <c r="C121" s="493">
        <v>15</v>
      </c>
      <c r="D121" s="498"/>
      <c r="E121" s="494"/>
      <c r="F121" s="494"/>
      <c r="G121" s="494"/>
      <c r="H121" s="723"/>
      <c r="I121" s="494"/>
      <c r="J121" s="494"/>
      <c r="K121" s="495"/>
      <c r="L121" s="651"/>
      <c r="M121" s="494" t="e">
        <f>RANK(K121, K$67:$K$81)</f>
        <v>#N/A</v>
      </c>
      <c r="N121" s="668"/>
      <c r="O121" s="668"/>
      <c r="P121" s="182"/>
      <c r="Q121" s="182"/>
      <c r="R121" s="182"/>
      <c r="S121" s="493" t="e">
        <f t="shared" si="89"/>
        <v>#N/A</v>
      </c>
      <c r="T121" s="715"/>
      <c r="U121" s="182"/>
      <c r="V121" s="182"/>
      <c r="W121" s="182"/>
      <c r="X121" s="493" t="e">
        <f t="shared" si="76"/>
        <v>#N/A</v>
      </c>
      <c r="Y121" s="715"/>
      <c r="Z121" s="182"/>
      <c r="AA121" s="182"/>
      <c r="AB121" s="182"/>
      <c r="AC121" s="493" t="e">
        <f t="shared" si="76"/>
        <v>#N/A</v>
      </c>
      <c r="AD121" s="715"/>
      <c r="AE121" s="182"/>
      <c r="AF121" s="182"/>
      <c r="AG121" s="182"/>
      <c r="AH121" s="493" t="e">
        <f t="shared" si="76"/>
        <v>#N/A</v>
      </c>
      <c r="AI121" s="715"/>
      <c r="AJ121" s="182"/>
      <c r="AK121" s="182"/>
      <c r="AL121" s="182"/>
      <c r="AM121" s="493" t="e">
        <f t="shared" si="76"/>
        <v>#N/A</v>
      </c>
      <c r="AN121" s="715"/>
      <c r="AO121" s="182"/>
      <c r="AP121" s="182"/>
      <c r="AQ121" s="182"/>
      <c r="AR121" s="493" t="e">
        <f t="shared" si="84"/>
        <v>#N/A</v>
      </c>
      <c r="AS121" s="715"/>
      <c r="AT121" s="182"/>
      <c r="AU121" s="182"/>
      <c r="AV121" s="182"/>
      <c r="AW121" s="493" t="e">
        <f t="shared" si="84"/>
        <v>#N/A</v>
      </c>
      <c r="AX121" s="715"/>
    </row>
    <row r="123" spans="2:50" ht="15.75">
      <c r="B123" s="707" t="s">
        <v>673</v>
      </c>
      <c r="C123" s="708"/>
      <c r="D123" s="708"/>
      <c r="E123" s="708"/>
      <c r="F123" s="708"/>
      <c r="G123" s="708"/>
      <c r="H123" s="709"/>
      <c r="I123" s="347"/>
      <c r="J123" s="347"/>
      <c r="K123" s="347"/>
      <c r="L123" s="347"/>
      <c r="M123" s="348"/>
    </row>
    <row r="124" spans="2:50" ht="15.75">
      <c r="B124" s="710"/>
      <c r="C124" s="710"/>
      <c r="D124" s="710"/>
      <c r="E124" s="710"/>
      <c r="F124" s="710"/>
      <c r="G124" s="710"/>
      <c r="H124" s="710"/>
      <c r="I124" s="349"/>
      <c r="J124" s="349"/>
      <c r="K124" s="349"/>
      <c r="L124" s="349"/>
      <c r="M124" s="350"/>
    </row>
    <row r="125" spans="2:50">
      <c r="B125" s="668" t="s">
        <v>154</v>
      </c>
      <c r="C125" s="668" t="s">
        <v>429</v>
      </c>
      <c r="D125" s="668"/>
      <c r="E125" s="668" t="s">
        <v>420</v>
      </c>
      <c r="F125" s="668"/>
      <c r="G125" s="668"/>
      <c r="H125" s="684" t="s">
        <v>416</v>
      </c>
      <c r="I125" s="711" t="s">
        <v>421</v>
      </c>
      <c r="J125" s="711"/>
      <c r="K125" s="711"/>
      <c r="L125" s="727" t="s">
        <v>416</v>
      </c>
      <c r="M125" s="730" t="s">
        <v>417</v>
      </c>
    </row>
    <row r="126" spans="2:50">
      <c r="B126" s="668"/>
      <c r="C126" s="668"/>
      <c r="D126" s="668"/>
      <c r="E126" s="668" t="s">
        <v>423</v>
      </c>
      <c r="F126" s="668"/>
      <c r="G126" s="668"/>
      <c r="H126" s="685"/>
      <c r="I126" s="711" t="s">
        <v>423</v>
      </c>
      <c r="J126" s="711"/>
      <c r="K126" s="711"/>
      <c r="L126" s="728"/>
      <c r="M126" s="731"/>
    </row>
    <row r="127" spans="2:50">
      <c r="B127" s="668"/>
      <c r="C127" s="668"/>
      <c r="D127" s="668"/>
      <c r="E127" s="344" t="s">
        <v>425</v>
      </c>
      <c r="F127" s="344" t="s">
        <v>426</v>
      </c>
      <c r="G127" s="344" t="s">
        <v>427</v>
      </c>
      <c r="H127" s="686"/>
      <c r="I127" s="351" t="s">
        <v>425</v>
      </c>
      <c r="J127" s="351" t="s">
        <v>426</v>
      </c>
      <c r="K127" s="351" t="s">
        <v>427</v>
      </c>
      <c r="L127" s="729"/>
      <c r="M127" s="732"/>
    </row>
    <row r="128" spans="2:50">
      <c r="B128" s="716" t="s">
        <v>428</v>
      </c>
      <c r="C128" s="343">
        <v>1</v>
      </c>
      <c r="D128" s="227"/>
      <c r="E128" s="182"/>
      <c r="F128" s="343"/>
      <c r="G128" s="346"/>
      <c r="H128" s="717" t="e">
        <f>AVERAGE(G128:G142)</f>
        <v>#DIV/0!</v>
      </c>
      <c r="I128" s="199" t="e">
        <f t="shared" ref="I128:J138" si="90">AVERAGEIF($D$7:$D$121,$D128,I$7:I$121)</f>
        <v>#DIV/0!</v>
      </c>
      <c r="J128" s="199" t="e">
        <f t="shared" si="90"/>
        <v>#DIV/0!</v>
      </c>
      <c r="K128" s="199" t="e">
        <f t="shared" ref="K128:K138" si="91">AVERAGEIF($D$7:$D$121,$D128,K$7:K$121)</f>
        <v>#DIV/0!</v>
      </c>
      <c r="L128" s="724" t="e">
        <f>AVERAGE(K128:K142)</f>
        <v>#DIV/0!</v>
      </c>
      <c r="M128" s="199" t="e">
        <f>RANK(K128, K$128:$K$142)</f>
        <v>#DIV/0!</v>
      </c>
    </row>
    <row r="129" spans="2:13" s="108" customFormat="1">
      <c r="B129" s="676"/>
      <c r="C129" s="343">
        <v>2</v>
      </c>
      <c r="D129" s="227"/>
      <c r="E129" s="182"/>
      <c r="F129" s="343"/>
      <c r="G129" s="346"/>
      <c r="H129" s="718"/>
      <c r="I129" s="199" t="e">
        <f t="shared" si="90"/>
        <v>#DIV/0!</v>
      </c>
      <c r="J129" s="199" t="e">
        <f t="shared" si="90"/>
        <v>#DIV/0!</v>
      </c>
      <c r="K129" s="199" t="e">
        <f t="shared" si="91"/>
        <v>#DIV/0!</v>
      </c>
      <c r="L129" s="725"/>
      <c r="M129" s="199" t="e">
        <f>RANK(K129, K$128:$K$142)</f>
        <v>#DIV/0!</v>
      </c>
    </row>
    <row r="130" spans="2:13" s="108" customFormat="1">
      <c r="B130" s="676"/>
      <c r="C130" s="343">
        <v>3</v>
      </c>
      <c r="D130" s="227"/>
      <c r="E130" s="182"/>
      <c r="F130" s="343"/>
      <c r="G130" s="346"/>
      <c r="H130" s="718"/>
      <c r="I130" s="199" t="e">
        <f t="shared" si="90"/>
        <v>#DIV/0!</v>
      </c>
      <c r="J130" s="199" t="e">
        <f t="shared" si="90"/>
        <v>#DIV/0!</v>
      </c>
      <c r="K130" s="199" t="e">
        <f t="shared" si="91"/>
        <v>#DIV/0!</v>
      </c>
      <c r="L130" s="725"/>
      <c r="M130" s="199" t="e">
        <f>RANK(K130, K$128:$K$142)</f>
        <v>#DIV/0!</v>
      </c>
    </row>
    <row r="131" spans="2:13" s="108" customFormat="1">
      <c r="B131" s="676"/>
      <c r="C131" s="343">
        <v>4</v>
      </c>
      <c r="D131" s="227"/>
      <c r="E131" s="182"/>
      <c r="F131" s="343"/>
      <c r="G131" s="346"/>
      <c r="H131" s="718"/>
      <c r="I131" s="199" t="e">
        <f t="shared" si="90"/>
        <v>#DIV/0!</v>
      </c>
      <c r="J131" s="199" t="e">
        <f t="shared" si="90"/>
        <v>#DIV/0!</v>
      </c>
      <c r="K131" s="199" t="e">
        <f t="shared" si="91"/>
        <v>#DIV/0!</v>
      </c>
      <c r="L131" s="725"/>
      <c r="M131" s="199" t="e">
        <f>RANK(K131, K$128:$K$142)</f>
        <v>#DIV/0!</v>
      </c>
    </row>
    <row r="132" spans="2:13" s="108" customFormat="1">
      <c r="B132" s="676"/>
      <c r="C132" s="343">
        <v>5</v>
      </c>
      <c r="D132" s="227"/>
      <c r="E132" s="182"/>
      <c r="F132" s="343"/>
      <c r="G132" s="346"/>
      <c r="H132" s="718"/>
      <c r="I132" s="199" t="e">
        <f t="shared" si="90"/>
        <v>#DIV/0!</v>
      </c>
      <c r="J132" s="199" t="e">
        <f t="shared" si="90"/>
        <v>#DIV/0!</v>
      </c>
      <c r="K132" s="199" t="e">
        <f t="shared" si="91"/>
        <v>#DIV/0!</v>
      </c>
      <c r="L132" s="725"/>
      <c r="M132" s="199" t="e">
        <f>RANK(K132, K$128:$K$142)</f>
        <v>#DIV/0!</v>
      </c>
    </row>
    <row r="133" spans="2:13" s="108" customFormat="1">
      <c r="B133" s="676"/>
      <c r="C133" s="343">
        <v>6</v>
      </c>
      <c r="D133" s="352"/>
      <c r="E133" s="182"/>
      <c r="F133" s="343"/>
      <c r="G133" s="346"/>
      <c r="H133" s="718"/>
      <c r="I133" s="199" t="e">
        <f t="shared" si="90"/>
        <v>#DIV/0!</v>
      </c>
      <c r="J133" s="199" t="e">
        <f t="shared" si="90"/>
        <v>#DIV/0!</v>
      </c>
      <c r="K133" s="199" t="e">
        <f t="shared" si="91"/>
        <v>#DIV/0!</v>
      </c>
      <c r="L133" s="725"/>
      <c r="M133" s="199" t="e">
        <f>RANK(K133, K$128:$K$142)</f>
        <v>#DIV/0!</v>
      </c>
    </row>
    <row r="134" spans="2:13" s="108" customFormat="1">
      <c r="B134" s="676"/>
      <c r="C134" s="343">
        <v>7</v>
      </c>
      <c r="D134" s="227"/>
      <c r="E134" s="182"/>
      <c r="F134" s="343"/>
      <c r="G134" s="346"/>
      <c r="H134" s="718"/>
      <c r="I134" s="199" t="e">
        <f t="shared" si="90"/>
        <v>#DIV/0!</v>
      </c>
      <c r="J134" s="199" t="e">
        <f t="shared" si="90"/>
        <v>#DIV/0!</v>
      </c>
      <c r="K134" s="199" t="e">
        <f t="shared" si="91"/>
        <v>#DIV/0!</v>
      </c>
      <c r="L134" s="725"/>
      <c r="M134" s="199" t="e">
        <f>RANK(K134, K$128:$K$142)</f>
        <v>#DIV/0!</v>
      </c>
    </row>
    <row r="135" spans="2:13" s="108" customFormat="1">
      <c r="B135" s="676"/>
      <c r="C135" s="343">
        <v>8</v>
      </c>
      <c r="D135" s="227"/>
      <c r="E135" s="182"/>
      <c r="F135" s="343"/>
      <c r="G135" s="346"/>
      <c r="H135" s="718"/>
      <c r="I135" s="199" t="e">
        <f t="shared" si="90"/>
        <v>#DIV/0!</v>
      </c>
      <c r="J135" s="199" t="e">
        <f t="shared" si="90"/>
        <v>#DIV/0!</v>
      </c>
      <c r="K135" s="199" t="e">
        <f t="shared" si="91"/>
        <v>#DIV/0!</v>
      </c>
      <c r="L135" s="725"/>
      <c r="M135" s="199" t="e">
        <f>RANK(K135, K$128:$K$142)</f>
        <v>#DIV/0!</v>
      </c>
    </row>
    <row r="136" spans="2:13" s="108" customFormat="1">
      <c r="B136" s="676"/>
      <c r="C136" s="343">
        <v>9</v>
      </c>
      <c r="D136" s="227"/>
      <c r="E136" s="343"/>
      <c r="F136" s="343"/>
      <c r="G136" s="343"/>
      <c r="H136" s="718"/>
      <c r="I136" s="199" t="e">
        <f t="shared" si="90"/>
        <v>#DIV/0!</v>
      </c>
      <c r="J136" s="199" t="e">
        <f t="shared" si="90"/>
        <v>#DIV/0!</v>
      </c>
      <c r="K136" s="199" t="e">
        <f t="shared" si="91"/>
        <v>#DIV/0!</v>
      </c>
      <c r="L136" s="725"/>
      <c r="M136" s="199" t="e">
        <f>RANK(K136, K$128:$K$142)</f>
        <v>#DIV/0!</v>
      </c>
    </row>
    <row r="137" spans="2:13" s="108" customFormat="1">
      <c r="B137" s="676"/>
      <c r="C137" s="343">
        <v>10</v>
      </c>
      <c r="D137" s="227"/>
      <c r="E137" s="343"/>
      <c r="F137" s="343"/>
      <c r="G137" s="343"/>
      <c r="H137" s="718"/>
      <c r="I137" s="199" t="e">
        <f t="shared" si="90"/>
        <v>#DIV/0!</v>
      </c>
      <c r="J137" s="199" t="e">
        <f t="shared" si="90"/>
        <v>#DIV/0!</v>
      </c>
      <c r="K137" s="199" t="e">
        <f t="shared" si="91"/>
        <v>#DIV/0!</v>
      </c>
      <c r="L137" s="725"/>
      <c r="M137" s="199" t="e">
        <f>RANK(K137, K$128:$K$142)</f>
        <v>#DIV/0!</v>
      </c>
    </row>
    <row r="138" spans="2:13" s="108" customFormat="1">
      <c r="B138" s="676"/>
      <c r="C138" s="343">
        <v>11</v>
      </c>
      <c r="D138" s="227"/>
      <c r="E138" s="343"/>
      <c r="F138" s="343"/>
      <c r="G138" s="343"/>
      <c r="H138" s="718"/>
      <c r="I138" s="199" t="e">
        <f t="shared" si="90"/>
        <v>#DIV/0!</v>
      </c>
      <c r="J138" s="199" t="e">
        <f t="shared" si="90"/>
        <v>#DIV/0!</v>
      </c>
      <c r="K138" s="199" t="e">
        <f t="shared" si="91"/>
        <v>#DIV/0!</v>
      </c>
      <c r="L138" s="725"/>
      <c r="M138" s="199" t="e">
        <f>RANK(K138, K$128:$K$142)</f>
        <v>#DIV/0!</v>
      </c>
    </row>
    <row r="139" spans="2:13" s="108" customFormat="1">
      <c r="B139" s="676"/>
      <c r="C139" s="343">
        <v>12</v>
      </c>
      <c r="D139" s="227"/>
      <c r="E139" s="343"/>
      <c r="F139" s="343"/>
      <c r="G139" s="343"/>
      <c r="H139" s="718"/>
      <c r="I139" s="199"/>
      <c r="J139" s="199"/>
      <c r="K139" s="199"/>
      <c r="L139" s="725"/>
      <c r="M139" s="199" t="e">
        <f>RANK(K139, K$128:$K$142)</f>
        <v>#DIV/0!</v>
      </c>
    </row>
    <row r="140" spans="2:13" s="108" customFormat="1">
      <c r="B140" s="676"/>
      <c r="C140" s="343">
        <v>13</v>
      </c>
      <c r="D140" s="227"/>
      <c r="E140" s="343"/>
      <c r="F140" s="343"/>
      <c r="G140" s="343"/>
      <c r="H140" s="718"/>
      <c r="I140" s="199"/>
      <c r="J140" s="199"/>
      <c r="K140" s="199"/>
      <c r="L140" s="725"/>
      <c r="M140" s="199" t="e">
        <f>RANK(K140, K$128:$K$142)</f>
        <v>#DIV/0!</v>
      </c>
    </row>
    <row r="141" spans="2:13" s="108" customFormat="1">
      <c r="B141" s="676"/>
      <c r="C141" s="343">
        <v>14</v>
      </c>
      <c r="D141" s="227"/>
      <c r="E141" s="343"/>
      <c r="F141" s="343"/>
      <c r="G141" s="343"/>
      <c r="H141" s="718"/>
      <c r="I141" s="199"/>
      <c r="J141" s="199"/>
      <c r="K141" s="199"/>
      <c r="L141" s="725"/>
      <c r="M141" s="199" t="e">
        <f>RANK(K141, K$128:$K$142)</f>
        <v>#DIV/0!</v>
      </c>
    </row>
    <row r="142" spans="2:13" s="108" customFormat="1">
      <c r="B142" s="676"/>
      <c r="C142" s="343">
        <v>15</v>
      </c>
      <c r="D142" s="227"/>
      <c r="E142" s="343"/>
      <c r="F142" s="343"/>
      <c r="G142" s="343"/>
      <c r="H142" s="719"/>
      <c r="I142" s="199"/>
      <c r="J142" s="199"/>
      <c r="K142" s="199"/>
      <c r="L142" s="726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7" zoomScale="40" zoomScaleNormal="40" workbookViewId="0">
      <pane xSplit="15" topLeftCell="P1" activePane="topRight" state="frozen"/>
      <selection activeCell="P2" sqref="P2:AX2"/>
      <selection pane="topRight" activeCell="AT67" sqref="AT67:AV6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118.5478351123935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2" t="s">
        <v>158</v>
      </c>
      <c r="Q3" s="673"/>
      <c r="R3" s="673"/>
      <c r="S3" s="673"/>
      <c r="T3" s="674"/>
      <c r="U3" s="672" t="s">
        <v>114</v>
      </c>
      <c r="V3" s="673"/>
      <c r="W3" s="673"/>
      <c r="X3" s="673"/>
      <c r="Y3" s="674"/>
      <c r="Z3" s="672" t="s">
        <v>159</v>
      </c>
      <c r="AA3" s="673"/>
      <c r="AB3" s="673"/>
      <c r="AC3" s="673"/>
      <c r="AD3" s="674"/>
      <c r="AE3" s="672" t="s">
        <v>157</v>
      </c>
      <c r="AF3" s="673"/>
      <c r="AG3" s="673"/>
      <c r="AH3" s="673"/>
      <c r="AI3" s="674"/>
      <c r="AJ3" s="672" t="s">
        <v>160</v>
      </c>
      <c r="AK3" s="673"/>
      <c r="AL3" s="673"/>
      <c r="AM3" s="673"/>
      <c r="AN3" s="674"/>
      <c r="AO3" s="672" t="s">
        <v>161</v>
      </c>
      <c r="AP3" s="673"/>
      <c r="AQ3" s="673"/>
      <c r="AR3" s="673"/>
      <c r="AS3" s="674"/>
      <c r="AT3" s="672" t="s">
        <v>162</v>
      </c>
      <c r="AU3" s="673"/>
      <c r="AV3" s="673"/>
      <c r="AW3" s="673"/>
      <c r="AX3" s="674"/>
    </row>
    <row r="4" spans="1:54" ht="14.25">
      <c r="A4" s="81"/>
      <c r="B4" s="668" t="s">
        <v>459</v>
      </c>
      <c r="C4" s="668" t="s">
        <v>460</v>
      </c>
      <c r="D4" s="668"/>
      <c r="E4" s="668" t="s">
        <v>461</v>
      </c>
      <c r="F4" s="668"/>
      <c r="G4" s="668"/>
      <c r="H4" s="684" t="s">
        <v>462</v>
      </c>
      <c r="I4" s="652" t="s">
        <v>463</v>
      </c>
      <c r="J4" s="652"/>
      <c r="K4" s="652"/>
      <c r="L4" s="653" t="s">
        <v>462</v>
      </c>
      <c r="M4" s="659" t="s">
        <v>464</v>
      </c>
      <c r="N4" s="668"/>
      <c r="O4" s="668" t="s">
        <v>465</v>
      </c>
      <c r="P4" s="665" t="s">
        <v>466</v>
      </c>
      <c r="Q4" s="666"/>
      <c r="R4" s="666"/>
      <c r="S4" s="667"/>
      <c r="T4" s="668" t="s">
        <v>462</v>
      </c>
      <c r="U4" s="665" t="s">
        <v>466</v>
      </c>
      <c r="V4" s="666"/>
      <c r="W4" s="666"/>
      <c r="X4" s="667"/>
      <c r="Y4" s="668" t="s">
        <v>462</v>
      </c>
      <c r="Z4" s="665" t="s">
        <v>466</v>
      </c>
      <c r="AA4" s="666"/>
      <c r="AB4" s="666"/>
      <c r="AC4" s="667"/>
      <c r="AD4" s="668" t="s">
        <v>462</v>
      </c>
      <c r="AE4" s="665" t="s">
        <v>466</v>
      </c>
      <c r="AF4" s="666"/>
      <c r="AG4" s="666"/>
      <c r="AH4" s="667"/>
      <c r="AI4" s="668" t="s">
        <v>462</v>
      </c>
      <c r="AJ4" s="665" t="s">
        <v>466</v>
      </c>
      <c r="AK4" s="666"/>
      <c r="AL4" s="666"/>
      <c r="AM4" s="667"/>
      <c r="AN4" s="668" t="s">
        <v>462</v>
      </c>
      <c r="AO4" s="665" t="s">
        <v>466</v>
      </c>
      <c r="AP4" s="666"/>
      <c r="AQ4" s="666"/>
      <c r="AR4" s="667"/>
      <c r="AS4" s="668" t="s">
        <v>462</v>
      </c>
      <c r="AT4" s="665" t="s">
        <v>466</v>
      </c>
      <c r="AU4" s="666"/>
      <c r="AV4" s="666"/>
      <c r="AW4" s="667"/>
      <c r="AX4" s="668" t="s">
        <v>462</v>
      </c>
    </row>
    <row r="5" spans="1:54" ht="14.25">
      <c r="A5" s="81"/>
      <c r="B5" s="668"/>
      <c r="C5" s="668"/>
      <c r="D5" s="668"/>
      <c r="E5" s="668" t="s">
        <v>467</v>
      </c>
      <c r="F5" s="668"/>
      <c r="G5" s="668"/>
      <c r="H5" s="685"/>
      <c r="I5" s="652" t="s">
        <v>467</v>
      </c>
      <c r="J5" s="652"/>
      <c r="K5" s="652"/>
      <c r="L5" s="654"/>
      <c r="M5" s="660"/>
      <c r="N5" s="668"/>
      <c r="O5" s="668"/>
      <c r="P5" s="665" t="s">
        <v>468</v>
      </c>
      <c r="Q5" s="666"/>
      <c r="R5" s="666"/>
      <c r="S5" s="667"/>
      <c r="T5" s="668"/>
      <c r="U5" s="665" t="s">
        <v>468</v>
      </c>
      <c r="V5" s="666"/>
      <c r="W5" s="666"/>
      <c r="X5" s="667"/>
      <c r="Y5" s="668"/>
      <c r="Z5" s="665" t="s">
        <v>468</v>
      </c>
      <c r="AA5" s="666"/>
      <c r="AB5" s="666"/>
      <c r="AC5" s="667"/>
      <c r="AD5" s="668"/>
      <c r="AE5" s="665" t="s">
        <v>468</v>
      </c>
      <c r="AF5" s="666"/>
      <c r="AG5" s="666"/>
      <c r="AH5" s="667"/>
      <c r="AI5" s="668"/>
      <c r="AJ5" s="665" t="s">
        <v>468</v>
      </c>
      <c r="AK5" s="666"/>
      <c r="AL5" s="666"/>
      <c r="AM5" s="667"/>
      <c r="AN5" s="668"/>
      <c r="AO5" s="665" t="s">
        <v>468</v>
      </c>
      <c r="AP5" s="666"/>
      <c r="AQ5" s="666"/>
      <c r="AR5" s="667"/>
      <c r="AS5" s="668"/>
      <c r="AT5" s="665" t="s">
        <v>468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450" t="s">
        <v>469</v>
      </c>
      <c r="F6" s="450" t="s">
        <v>470</v>
      </c>
      <c r="G6" s="450" t="s">
        <v>471</v>
      </c>
      <c r="H6" s="686"/>
      <c r="I6" s="451" t="s">
        <v>469</v>
      </c>
      <c r="J6" s="451" t="s">
        <v>470</v>
      </c>
      <c r="K6" s="451" t="s">
        <v>471</v>
      </c>
      <c r="L6" s="655"/>
      <c r="M6" s="661"/>
      <c r="N6" s="668"/>
      <c r="O6" s="668"/>
      <c r="P6" s="450" t="s">
        <v>469</v>
      </c>
      <c r="Q6" s="450" t="s">
        <v>470</v>
      </c>
      <c r="R6" s="450" t="s">
        <v>471</v>
      </c>
      <c r="S6" s="450" t="s">
        <v>464</v>
      </c>
      <c r="T6" s="668"/>
      <c r="U6" s="450" t="s">
        <v>469</v>
      </c>
      <c r="V6" s="450" t="s">
        <v>470</v>
      </c>
      <c r="W6" s="450" t="s">
        <v>471</v>
      </c>
      <c r="X6" s="450" t="s">
        <v>464</v>
      </c>
      <c r="Y6" s="668"/>
      <c r="Z6" s="450" t="s">
        <v>469</v>
      </c>
      <c r="AA6" s="450" t="s">
        <v>470</v>
      </c>
      <c r="AB6" s="450" t="s">
        <v>471</v>
      </c>
      <c r="AC6" s="450" t="s">
        <v>464</v>
      </c>
      <c r="AD6" s="668"/>
      <c r="AE6" s="450" t="s">
        <v>469</v>
      </c>
      <c r="AF6" s="450" t="s">
        <v>470</v>
      </c>
      <c r="AG6" s="450" t="s">
        <v>471</v>
      </c>
      <c r="AH6" s="450" t="s">
        <v>464</v>
      </c>
      <c r="AI6" s="668"/>
      <c r="AJ6" s="450" t="s">
        <v>469</v>
      </c>
      <c r="AK6" s="450" t="s">
        <v>470</v>
      </c>
      <c r="AL6" s="450" t="s">
        <v>471</v>
      </c>
      <c r="AM6" s="450" t="s">
        <v>464</v>
      </c>
      <c r="AN6" s="668"/>
      <c r="AO6" s="450" t="s">
        <v>469</v>
      </c>
      <c r="AP6" s="450" t="s">
        <v>470</v>
      </c>
      <c r="AQ6" s="450" t="s">
        <v>471</v>
      </c>
      <c r="AR6" s="450" t="s">
        <v>464</v>
      </c>
      <c r="AS6" s="668"/>
      <c r="AT6" s="450" t="s">
        <v>469</v>
      </c>
      <c r="AU6" s="450" t="s">
        <v>470</v>
      </c>
      <c r="AV6" s="450" t="s">
        <v>471</v>
      </c>
      <c r="AW6" s="450" t="s">
        <v>464</v>
      </c>
      <c r="AX6" s="668"/>
    </row>
    <row r="7" spans="1:54" ht="14.25">
      <c r="A7" s="81"/>
      <c r="B7" s="668" t="s">
        <v>474</v>
      </c>
      <c r="C7" s="447">
        <v>1</v>
      </c>
      <c r="D7" s="227" t="s">
        <v>870</v>
      </c>
      <c r="E7" s="182">
        <v>13</v>
      </c>
      <c r="F7" s="545">
        <v>1500</v>
      </c>
      <c r="G7" s="546">
        <v>115.38461538461539</v>
      </c>
      <c r="H7" s="717">
        <f>AVERAGE(G7:G21)</f>
        <v>107.69230769230769</v>
      </c>
      <c r="I7" s="547">
        <f t="shared" ref="I7" si="0">AVERAGE(P7,U7,Z7,AE7,AJ7,AO7,AT7)</f>
        <v>13</v>
      </c>
      <c r="J7" s="547">
        <f t="shared" ref="J7" si="1">AVERAGE(Q7,V7,AA7,AF7,AK7,AP7,AU7)</f>
        <v>1426.2285714285699</v>
      </c>
      <c r="K7" s="200">
        <f t="shared" ref="K7" si="2">AVERAGE(R7,W7,AB7,AG7,AL7,AQ7,AV7)</f>
        <v>109.70989010988998</v>
      </c>
      <c r="L7" s="649">
        <f>IFERROR(AVERAGE(K7:K21),"-")</f>
        <v>126.0119667097608</v>
      </c>
      <c r="M7" s="452">
        <f>RANK(K7, $K$7:K$21)</f>
        <v>2</v>
      </c>
      <c r="N7" s="668"/>
      <c r="O7" s="668"/>
      <c r="P7" s="182">
        <v>13</v>
      </c>
      <c r="Q7" s="182">
        <v>1377.6000000000049</v>
      </c>
      <c r="R7" s="448">
        <v>105.96923076923115</v>
      </c>
      <c r="S7" s="447">
        <f>RANK(R7, R$7:R$21)</f>
        <v>2</v>
      </c>
      <c r="T7" s="690">
        <f>AVERAGE(R7:R21)</f>
        <v>125.9971153846156</v>
      </c>
      <c r="U7" s="182">
        <v>13</v>
      </c>
      <c r="V7" s="182">
        <v>1607.9999999999993</v>
      </c>
      <c r="W7" s="570">
        <v>123.69230769230764</v>
      </c>
      <c r="X7" s="475">
        <f t="shared" ref="X7:X21" si="3">RANK(W7, W$7:W$21)</f>
        <v>1</v>
      </c>
      <c r="Y7" s="690">
        <f t="shared" ref="Y7" si="4">AVERAGE(W7:W21)</f>
        <v>118.15384615384616</v>
      </c>
      <c r="Z7" s="182">
        <v>13</v>
      </c>
      <c r="AA7" s="182">
        <v>1499.9999999999995</v>
      </c>
      <c r="AB7" s="570">
        <v>115.38461538461534</v>
      </c>
      <c r="AC7" s="475">
        <f t="shared" ref="AC7:AC21" si="5">RANK(AB7, AB$7:AB$21)</f>
        <v>2</v>
      </c>
      <c r="AD7" s="690">
        <f t="shared" ref="AD7" si="6">AVERAGE(AB7:AB21)</f>
        <v>130.99819004524889</v>
      </c>
      <c r="AE7" s="182">
        <v>13</v>
      </c>
      <c r="AF7" s="182">
        <v>1543.9999999999973</v>
      </c>
      <c r="AG7" s="570">
        <v>118.76923076923056</v>
      </c>
      <c r="AH7" s="475">
        <f t="shared" ref="AH7:AH21" si="7">RANK(AG7, AG$7:AG$21)</f>
        <v>1</v>
      </c>
      <c r="AI7" s="690">
        <f t="shared" ref="AI7" si="8">AVERAGE(AG7:AG21)</f>
        <v>116.80769230769226</v>
      </c>
      <c r="AJ7" s="182">
        <v>13</v>
      </c>
      <c r="AK7" s="182">
        <v>1481.9999999999934</v>
      </c>
      <c r="AL7" s="570">
        <v>113.99999999999949</v>
      </c>
      <c r="AM7" s="475">
        <f t="shared" ref="AM7:AM21" si="9">RANK(AL7, AL$7:AL$21)</f>
        <v>2</v>
      </c>
      <c r="AN7" s="690">
        <f t="shared" ref="AN7" si="10">AVERAGE(AL7:AL21)</f>
        <v>133.34999999999971</v>
      </c>
      <c r="AO7" s="182">
        <v>13</v>
      </c>
      <c r="AP7" s="182">
        <v>1235.9999999999945</v>
      </c>
      <c r="AQ7" s="570">
        <v>95.076923076922654</v>
      </c>
      <c r="AR7" s="475">
        <f t="shared" ref="AR7:AR21" si="11">RANK(AQ7, AQ$7:AQ$21)</f>
        <v>2</v>
      </c>
      <c r="AS7" s="690">
        <f t="shared" ref="AS7" si="12">AVERAGE(AQ7:AQ21)</f>
        <v>121.03846153846141</v>
      </c>
      <c r="AT7" s="182">
        <v>13</v>
      </c>
      <c r="AU7" s="182">
        <v>1235.9999999999995</v>
      </c>
      <c r="AV7" s="570">
        <v>95.076923076923038</v>
      </c>
      <c r="AW7" s="447">
        <f>RANK(AV7, AV$7:AV$21)</f>
        <v>2</v>
      </c>
      <c r="AX7" s="690">
        <f>AVERAGE(AV7:AV21)</f>
        <v>135.73846153846154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76"/>
      <c r="C8" s="447">
        <v>2</v>
      </c>
      <c r="D8" s="227" t="s">
        <v>926</v>
      </c>
      <c r="E8" s="182">
        <v>15</v>
      </c>
      <c r="F8" s="545">
        <v>1500</v>
      </c>
      <c r="G8" s="546">
        <v>100</v>
      </c>
      <c r="H8" s="718"/>
      <c r="I8" s="449">
        <f t="shared" ref="I8" si="13">AVERAGE(P8,U8,Z8,AE8,AJ8,AO8,AT8)</f>
        <v>10.857142857142858</v>
      </c>
      <c r="J8" s="449">
        <f t="shared" ref="J8" si="14">AVERAGE(Q8,V8,AA8,AF8,AK8,AP8,AU8)</f>
        <v>1520.6239495798325</v>
      </c>
      <c r="K8" s="200">
        <f t="shared" ref="K8" si="15">AVERAGE(R8,W8,AB8,AG8,AL8,AQ8,AV8)</f>
        <v>142.31404330963161</v>
      </c>
      <c r="L8" s="650"/>
      <c r="M8" s="452">
        <f>RANK(K8, $K$7:K$21)</f>
        <v>1</v>
      </c>
      <c r="N8" s="668"/>
      <c r="O8" s="668"/>
      <c r="P8" s="447">
        <v>10</v>
      </c>
      <c r="Q8" s="182">
        <v>1460.2500000000007</v>
      </c>
      <c r="R8" s="448">
        <v>146.02500000000006</v>
      </c>
      <c r="S8" s="447">
        <f t="shared" ref="S8:S21" si="16">RANK(R8, R$7:R$21)</f>
        <v>1</v>
      </c>
      <c r="T8" s="690"/>
      <c r="U8" s="569">
        <v>13</v>
      </c>
      <c r="V8" s="182">
        <v>1464.0000000000009</v>
      </c>
      <c r="W8" s="570">
        <v>112.61538461538468</v>
      </c>
      <c r="X8" s="475">
        <f t="shared" si="3"/>
        <v>2</v>
      </c>
      <c r="Y8" s="690"/>
      <c r="Z8" s="569">
        <v>10</v>
      </c>
      <c r="AA8" s="182">
        <v>1466.1176470588246</v>
      </c>
      <c r="AB8" s="570">
        <v>146.61176470588245</v>
      </c>
      <c r="AC8" s="475">
        <f t="shared" si="5"/>
        <v>1</v>
      </c>
      <c r="AD8" s="690"/>
      <c r="AE8" s="569">
        <v>13</v>
      </c>
      <c r="AF8" s="182">
        <v>1493.0000000000014</v>
      </c>
      <c r="AG8" s="570">
        <v>114.84615384615395</v>
      </c>
      <c r="AH8" s="475">
        <f t="shared" si="7"/>
        <v>2</v>
      </c>
      <c r="AI8" s="690"/>
      <c r="AJ8" s="569">
        <v>10</v>
      </c>
      <c r="AK8" s="182">
        <v>1526.9999999999993</v>
      </c>
      <c r="AL8" s="570">
        <v>152.69999999999993</v>
      </c>
      <c r="AM8" s="475">
        <f t="shared" si="9"/>
        <v>1</v>
      </c>
      <c r="AN8" s="690"/>
      <c r="AO8" s="569">
        <v>10</v>
      </c>
      <c r="AP8" s="182">
        <v>1470.0000000000016</v>
      </c>
      <c r="AQ8" s="570">
        <v>147.00000000000017</v>
      </c>
      <c r="AR8" s="475">
        <f t="shared" si="11"/>
        <v>1</v>
      </c>
      <c r="AS8" s="690"/>
      <c r="AT8" s="569">
        <v>10</v>
      </c>
      <c r="AU8" s="182">
        <v>1764.0000000000005</v>
      </c>
      <c r="AV8" s="570">
        <v>176.40000000000003</v>
      </c>
      <c r="AW8" s="447">
        <f t="shared" ref="AW8:AW21" si="17">RANK(AV8, AV$7:AV$21)</f>
        <v>1</v>
      </c>
      <c r="AX8" s="690"/>
      <c r="AZ8" s="362" t="e">
        <f>RANK(AX8, $K$7:AX$21)</f>
        <v>#N/A</v>
      </c>
      <c r="BB8" s="359" t="e">
        <f t="shared" ref="BB8:BB21" si="18">RANK(BA8, BA$7:BA$21)</f>
        <v>#N/A</v>
      </c>
    </row>
    <row r="9" spans="1:54" ht="14.25">
      <c r="A9" s="81"/>
      <c r="B9" s="676"/>
      <c r="C9" s="447">
        <v>3</v>
      </c>
      <c r="D9" s="227"/>
      <c r="E9" s="182"/>
      <c r="F9" s="475"/>
      <c r="G9" s="476"/>
      <c r="H9" s="718"/>
      <c r="I9" s="449"/>
      <c r="J9" s="449"/>
      <c r="K9" s="200"/>
      <c r="L9" s="650"/>
      <c r="M9" s="452" t="e">
        <f>RANK(K9, $K$7:K$21)</f>
        <v>#N/A</v>
      </c>
      <c r="N9" s="668"/>
      <c r="O9" s="668"/>
      <c r="P9" s="447"/>
      <c r="Q9" s="447"/>
      <c r="R9" s="447"/>
      <c r="S9" s="447" t="e">
        <f t="shared" si="16"/>
        <v>#N/A</v>
      </c>
      <c r="T9" s="690"/>
      <c r="U9" s="569"/>
      <c r="V9" s="569"/>
      <c r="W9" s="569"/>
      <c r="X9" s="475" t="e">
        <f t="shared" si="3"/>
        <v>#N/A</v>
      </c>
      <c r="Y9" s="690"/>
      <c r="Z9" s="569"/>
      <c r="AA9" s="569"/>
      <c r="AB9" s="569"/>
      <c r="AC9" s="475" t="e">
        <f t="shared" si="5"/>
        <v>#N/A</v>
      </c>
      <c r="AD9" s="690"/>
      <c r="AE9" s="569"/>
      <c r="AF9" s="569"/>
      <c r="AG9" s="569"/>
      <c r="AH9" s="475" t="e">
        <f t="shared" si="7"/>
        <v>#N/A</v>
      </c>
      <c r="AI9" s="690"/>
      <c r="AJ9" s="569"/>
      <c r="AK9" s="569"/>
      <c r="AL9" s="569"/>
      <c r="AM9" s="475" t="e">
        <f t="shared" si="9"/>
        <v>#N/A</v>
      </c>
      <c r="AN9" s="690"/>
      <c r="AO9" s="569"/>
      <c r="AP9" s="569"/>
      <c r="AQ9" s="569"/>
      <c r="AR9" s="475" t="e">
        <f t="shared" si="11"/>
        <v>#N/A</v>
      </c>
      <c r="AS9" s="690"/>
      <c r="AT9" s="569"/>
      <c r="AU9" s="569"/>
      <c r="AV9" s="569"/>
      <c r="AW9" s="447" t="e">
        <f t="shared" si="17"/>
        <v>#N/A</v>
      </c>
      <c r="AX9" s="690"/>
      <c r="AZ9" s="362" t="e">
        <f>RANK(AX9, $K$7:AX$21)</f>
        <v>#N/A</v>
      </c>
      <c r="BB9" s="359" t="e">
        <f t="shared" si="18"/>
        <v>#N/A</v>
      </c>
    </row>
    <row r="10" spans="1:54" ht="14.25">
      <c r="A10" s="81"/>
      <c r="B10" s="676"/>
      <c r="C10" s="447">
        <v>4</v>
      </c>
      <c r="D10" s="227"/>
      <c r="E10" s="182"/>
      <c r="F10" s="475"/>
      <c r="G10" s="476"/>
      <c r="H10" s="718"/>
      <c r="I10" s="449"/>
      <c r="J10" s="449"/>
      <c r="K10" s="200"/>
      <c r="L10" s="650"/>
      <c r="M10" s="452" t="e">
        <f>RANK(K10, $K$7:K$21)</f>
        <v>#N/A</v>
      </c>
      <c r="N10" s="668"/>
      <c r="O10" s="668"/>
      <c r="P10" s="447"/>
      <c r="Q10" s="447"/>
      <c r="R10" s="447"/>
      <c r="S10" s="447" t="e">
        <f t="shared" si="16"/>
        <v>#N/A</v>
      </c>
      <c r="T10" s="690"/>
      <c r="U10" s="569"/>
      <c r="V10" s="569"/>
      <c r="W10" s="569"/>
      <c r="X10" s="475" t="e">
        <f t="shared" si="3"/>
        <v>#N/A</v>
      </c>
      <c r="Y10" s="690"/>
      <c r="Z10" s="569"/>
      <c r="AA10" s="569"/>
      <c r="AB10" s="569"/>
      <c r="AC10" s="475" t="e">
        <f t="shared" si="5"/>
        <v>#N/A</v>
      </c>
      <c r="AD10" s="690"/>
      <c r="AE10" s="569"/>
      <c r="AF10" s="569"/>
      <c r="AG10" s="569"/>
      <c r="AH10" s="475" t="e">
        <f t="shared" si="7"/>
        <v>#N/A</v>
      </c>
      <c r="AI10" s="690"/>
      <c r="AJ10" s="569"/>
      <c r="AK10" s="569"/>
      <c r="AL10" s="569"/>
      <c r="AM10" s="475" t="e">
        <f t="shared" si="9"/>
        <v>#N/A</v>
      </c>
      <c r="AN10" s="690"/>
      <c r="AO10" s="569"/>
      <c r="AP10" s="569"/>
      <c r="AQ10" s="569"/>
      <c r="AR10" s="475" t="e">
        <f t="shared" si="11"/>
        <v>#N/A</v>
      </c>
      <c r="AS10" s="690"/>
      <c r="AT10" s="569"/>
      <c r="AU10" s="569"/>
      <c r="AV10" s="569"/>
      <c r="AW10" s="447" t="e">
        <f t="shared" si="17"/>
        <v>#N/A</v>
      </c>
      <c r="AX10" s="690"/>
      <c r="AZ10" s="362" t="e">
        <f>RANK(AX10, $K$7:AX$21)</f>
        <v>#N/A</v>
      </c>
      <c r="BB10" s="359" t="e">
        <f t="shared" si="18"/>
        <v>#N/A</v>
      </c>
    </row>
    <row r="11" spans="1:54" ht="14.25">
      <c r="A11" s="81"/>
      <c r="B11" s="676"/>
      <c r="C11" s="447">
        <v>5</v>
      </c>
      <c r="D11" s="227"/>
      <c r="E11" s="182"/>
      <c r="F11" s="475"/>
      <c r="G11" s="476"/>
      <c r="H11" s="718"/>
      <c r="I11" s="449"/>
      <c r="J11" s="449"/>
      <c r="K11" s="200"/>
      <c r="L11" s="650"/>
      <c r="M11" s="452" t="e">
        <f>RANK(K11, $K$7:K$21)</f>
        <v>#N/A</v>
      </c>
      <c r="N11" s="668"/>
      <c r="O11" s="668"/>
      <c r="P11" s="447"/>
      <c r="Q11" s="447"/>
      <c r="R11" s="447"/>
      <c r="S11" s="447" t="e">
        <f t="shared" si="16"/>
        <v>#N/A</v>
      </c>
      <c r="T11" s="690"/>
      <c r="U11" s="569"/>
      <c r="V11" s="569"/>
      <c r="W11" s="569"/>
      <c r="X11" s="475" t="e">
        <f t="shared" si="3"/>
        <v>#N/A</v>
      </c>
      <c r="Y11" s="690"/>
      <c r="Z11" s="569"/>
      <c r="AA11" s="569"/>
      <c r="AB11" s="569"/>
      <c r="AC11" s="475" t="e">
        <f t="shared" si="5"/>
        <v>#N/A</v>
      </c>
      <c r="AD11" s="690"/>
      <c r="AE11" s="569"/>
      <c r="AF11" s="569"/>
      <c r="AG11" s="569"/>
      <c r="AH11" s="475" t="e">
        <f t="shared" si="7"/>
        <v>#N/A</v>
      </c>
      <c r="AI11" s="690"/>
      <c r="AJ11" s="569"/>
      <c r="AK11" s="569"/>
      <c r="AL11" s="569"/>
      <c r="AM11" s="475" t="e">
        <f t="shared" si="9"/>
        <v>#N/A</v>
      </c>
      <c r="AN11" s="690"/>
      <c r="AO11" s="569"/>
      <c r="AP11" s="569"/>
      <c r="AQ11" s="569"/>
      <c r="AR11" s="475" t="e">
        <f t="shared" si="11"/>
        <v>#N/A</v>
      </c>
      <c r="AS11" s="690"/>
      <c r="AT11" s="569"/>
      <c r="AU11" s="569"/>
      <c r="AV11" s="569"/>
      <c r="AW11" s="447" t="e">
        <f t="shared" si="17"/>
        <v>#N/A</v>
      </c>
      <c r="AX11" s="690"/>
      <c r="AZ11" s="362" t="e">
        <f>RANK(AX11, $K$7:AX$21)</f>
        <v>#N/A</v>
      </c>
      <c r="BB11" s="359" t="e">
        <f t="shared" si="18"/>
        <v>#N/A</v>
      </c>
    </row>
    <row r="12" spans="1:54" ht="14.25">
      <c r="A12" s="81"/>
      <c r="B12" s="676"/>
      <c r="C12" s="447">
        <v>6</v>
      </c>
      <c r="D12" s="227"/>
      <c r="E12" s="182"/>
      <c r="F12" s="475"/>
      <c r="G12" s="476"/>
      <c r="H12" s="718"/>
      <c r="I12" s="449"/>
      <c r="J12" s="449"/>
      <c r="K12" s="200"/>
      <c r="L12" s="650"/>
      <c r="M12" s="452" t="e">
        <f>RANK(K12, $K$7:K$21)</f>
        <v>#N/A</v>
      </c>
      <c r="N12" s="668"/>
      <c r="O12" s="668"/>
      <c r="P12" s="447"/>
      <c r="Q12" s="447"/>
      <c r="R12" s="447"/>
      <c r="S12" s="447" t="e">
        <f t="shared" si="16"/>
        <v>#N/A</v>
      </c>
      <c r="T12" s="690"/>
      <c r="U12" s="569"/>
      <c r="V12" s="569"/>
      <c r="W12" s="569"/>
      <c r="X12" s="475" t="e">
        <f t="shared" si="3"/>
        <v>#N/A</v>
      </c>
      <c r="Y12" s="690"/>
      <c r="Z12" s="569"/>
      <c r="AA12" s="569"/>
      <c r="AB12" s="569"/>
      <c r="AC12" s="475" t="e">
        <f t="shared" si="5"/>
        <v>#N/A</v>
      </c>
      <c r="AD12" s="690"/>
      <c r="AE12" s="569"/>
      <c r="AF12" s="569"/>
      <c r="AG12" s="569"/>
      <c r="AH12" s="475" t="e">
        <f t="shared" si="7"/>
        <v>#N/A</v>
      </c>
      <c r="AI12" s="690"/>
      <c r="AJ12" s="569"/>
      <c r="AK12" s="569"/>
      <c r="AL12" s="569"/>
      <c r="AM12" s="475" t="e">
        <f t="shared" si="9"/>
        <v>#N/A</v>
      </c>
      <c r="AN12" s="690"/>
      <c r="AO12" s="569"/>
      <c r="AP12" s="569"/>
      <c r="AQ12" s="569"/>
      <c r="AR12" s="475" t="e">
        <f t="shared" si="11"/>
        <v>#N/A</v>
      </c>
      <c r="AS12" s="690"/>
      <c r="AT12" s="569"/>
      <c r="AU12" s="569"/>
      <c r="AV12" s="569"/>
      <c r="AW12" s="447" t="e">
        <f t="shared" si="17"/>
        <v>#N/A</v>
      </c>
      <c r="AX12" s="690"/>
      <c r="AZ12" s="362" t="e">
        <f>RANK(AX12, $K$7:AX$21)</f>
        <v>#N/A</v>
      </c>
      <c r="BB12" s="359" t="e">
        <f t="shared" si="18"/>
        <v>#N/A</v>
      </c>
    </row>
    <row r="13" spans="1:54" ht="14.25">
      <c r="A13" s="81"/>
      <c r="B13" s="676"/>
      <c r="C13" s="447">
        <v>7</v>
      </c>
      <c r="D13" s="227"/>
      <c r="E13" s="182"/>
      <c r="F13" s="475"/>
      <c r="G13" s="476"/>
      <c r="H13" s="718"/>
      <c r="I13" s="449"/>
      <c r="J13" s="449"/>
      <c r="K13" s="200"/>
      <c r="L13" s="650"/>
      <c r="M13" s="452" t="e">
        <f>RANK(K13, $K$7:K$21)</f>
        <v>#N/A</v>
      </c>
      <c r="N13" s="668"/>
      <c r="O13" s="668"/>
      <c r="P13" s="447"/>
      <c r="Q13" s="447"/>
      <c r="R13" s="447"/>
      <c r="S13" s="447" t="e">
        <f t="shared" si="16"/>
        <v>#N/A</v>
      </c>
      <c r="T13" s="690"/>
      <c r="U13" s="569"/>
      <c r="V13" s="569"/>
      <c r="W13" s="569"/>
      <c r="X13" s="475" t="e">
        <f t="shared" si="3"/>
        <v>#N/A</v>
      </c>
      <c r="Y13" s="690"/>
      <c r="Z13" s="569"/>
      <c r="AA13" s="569"/>
      <c r="AB13" s="569"/>
      <c r="AC13" s="475" t="e">
        <f t="shared" si="5"/>
        <v>#N/A</v>
      </c>
      <c r="AD13" s="690"/>
      <c r="AE13" s="569"/>
      <c r="AF13" s="569"/>
      <c r="AG13" s="569"/>
      <c r="AH13" s="475" t="e">
        <f t="shared" si="7"/>
        <v>#N/A</v>
      </c>
      <c r="AI13" s="690"/>
      <c r="AJ13" s="569"/>
      <c r="AK13" s="569"/>
      <c r="AL13" s="569"/>
      <c r="AM13" s="475" t="e">
        <f t="shared" si="9"/>
        <v>#N/A</v>
      </c>
      <c r="AN13" s="690"/>
      <c r="AO13" s="569"/>
      <c r="AP13" s="569"/>
      <c r="AQ13" s="569"/>
      <c r="AR13" s="475" t="e">
        <f t="shared" si="11"/>
        <v>#N/A</v>
      </c>
      <c r="AS13" s="690"/>
      <c r="AT13" s="569"/>
      <c r="AU13" s="569"/>
      <c r="AV13" s="569"/>
      <c r="AW13" s="447" t="e">
        <f t="shared" si="17"/>
        <v>#N/A</v>
      </c>
      <c r="AX13" s="690"/>
      <c r="AZ13" s="362" t="e">
        <f>RANK(AX13, $K$7:AX$21)</f>
        <v>#N/A</v>
      </c>
      <c r="BB13" s="359" t="e">
        <f t="shared" si="18"/>
        <v>#N/A</v>
      </c>
    </row>
    <row r="14" spans="1:54" ht="14.25">
      <c r="A14" s="81"/>
      <c r="B14" s="676"/>
      <c r="C14" s="447">
        <v>8</v>
      </c>
      <c r="D14" s="227"/>
      <c r="E14" s="182"/>
      <c r="F14" s="475"/>
      <c r="G14" s="476"/>
      <c r="H14" s="718"/>
      <c r="I14" s="449"/>
      <c r="J14" s="449"/>
      <c r="K14" s="200"/>
      <c r="L14" s="650"/>
      <c r="M14" s="452" t="e">
        <f>RANK(K14, $K$7:K$21)</f>
        <v>#N/A</v>
      </c>
      <c r="N14" s="668"/>
      <c r="O14" s="668"/>
      <c r="P14" s="447"/>
      <c r="Q14" s="447"/>
      <c r="R14" s="447"/>
      <c r="S14" s="447" t="e">
        <f t="shared" si="16"/>
        <v>#N/A</v>
      </c>
      <c r="T14" s="690"/>
      <c r="U14" s="569"/>
      <c r="V14" s="569"/>
      <c r="W14" s="569"/>
      <c r="X14" s="475" t="e">
        <f t="shared" si="3"/>
        <v>#N/A</v>
      </c>
      <c r="Y14" s="690"/>
      <c r="Z14" s="569"/>
      <c r="AA14" s="569"/>
      <c r="AB14" s="569"/>
      <c r="AC14" s="475" t="e">
        <f t="shared" si="5"/>
        <v>#N/A</v>
      </c>
      <c r="AD14" s="690"/>
      <c r="AE14" s="569"/>
      <c r="AF14" s="569"/>
      <c r="AG14" s="569"/>
      <c r="AH14" s="475" t="e">
        <f t="shared" si="7"/>
        <v>#N/A</v>
      </c>
      <c r="AI14" s="690"/>
      <c r="AJ14" s="569"/>
      <c r="AK14" s="569"/>
      <c r="AL14" s="569"/>
      <c r="AM14" s="475" t="e">
        <f t="shared" si="9"/>
        <v>#N/A</v>
      </c>
      <c r="AN14" s="690"/>
      <c r="AO14" s="569"/>
      <c r="AP14" s="569"/>
      <c r="AQ14" s="569"/>
      <c r="AR14" s="475" t="e">
        <f t="shared" si="11"/>
        <v>#N/A</v>
      </c>
      <c r="AS14" s="690"/>
      <c r="AT14" s="569"/>
      <c r="AU14" s="569"/>
      <c r="AV14" s="569"/>
      <c r="AW14" s="447" t="e">
        <f t="shared" si="17"/>
        <v>#N/A</v>
      </c>
      <c r="AX14" s="690"/>
      <c r="AZ14" s="362" t="e">
        <f>RANK(AX14, $K$7:AX$21)</f>
        <v>#N/A</v>
      </c>
      <c r="BB14" s="359" t="e">
        <f t="shared" si="18"/>
        <v>#N/A</v>
      </c>
    </row>
    <row r="15" spans="1:54" ht="14.25">
      <c r="A15" s="81"/>
      <c r="B15" s="676"/>
      <c r="C15" s="447">
        <v>9</v>
      </c>
      <c r="D15" s="227"/>
      <c r="E15" s="182"/>
      <c r="F15" s="447"/>
      <c r="G15" s="448"/>
      <c r="H15" s="718"/>
      <c r="I15" s="449"/>
      <c r="J15" s="449"/>
      <c r="K15" s="200"/>
      <c r="L15" s="650"/>
      <c r="M15" s="452" t="e">
        <f>RANK(K15, $K$7:K$21)</f>
        <v>#N/A</v>
      </c>
      <c r="N15" s="668"/>
      <c r="O15" s="668"/>
      <c r="P15" s="447"/>
      <c r="Q15" s="447"/>
      <c r="R15" s="447"/>
      <c r="S15" s="447" t="e">
        <f t="shared" si="16"/>
        <v>#N/A</v>
      </c>
      <c r="T15" s="690"/>
      <c r="U15" s="569"/>
      <c r="V15" s="569"/>
      <c r="W15" s="569"/>
      <c r="X15" s="475" t="e">
        <f t="shared" si="3"/>
        <v>#N/A</v>
      </c>
      <c r="Y15" s="690"/>
      <c r="Z15" s="569"/>
      <c r="AA15" s="569"/>
      <c r="AB15" s="569"/>
      <c r="AC15" s="475" t="e">
        <f t="shared" si="5"/>
        <v>#N/A</v>
      </c>
      <c r="AD15" s="690"/>
      <c r="AE15" s="569"/>
      <c r="AF15" s="569"/>
      <c r="AG15" s="569"/>
      <c r="AH15" s="475" t="e">
        <f t="shared" si="7"/>
        <v>#N/A</v>
      </c>
      <c r="AI15" s="690"/>
      <c r="AJ15" s="569"/>
      <c r="AK15" s="569"/>
      <c r="AL15" s="569"/>
      <c r="AM15" s="475" t="e">
        <f t="shared" si="9"/>
        <v>#N/A</v>
      </c>
      <c r="AN15" s="690"/>
      <c r="AO15" s="569"/>
      <c r="AP15" s="569"/>
      <c r="AQ15" s="569"/>
      <c r="AR15" s="475" t="e">
        <f t="shared" si="11"/>
        <v>#N/A</v>
      </c>
      <c r="AS15" s="690"/>
      <c r="AT15" s="569"/>
      <c r="AU15" s="569"/>
      <c r="AV15" s="569"/>
      <c r="AW15" s="447" t="e">
        <f t="shared" si="17"/>
        <v>#N/A</v>
      </c>
      <c r="AX15" s="690"/>
      <c r="AZ15" s="362" t="e">
        <f>RANK(AX15, $K$7:AX$21)</f>
        <v>#N/A</v>
      </c>
      <c r="BB15" s="359" t="e">
        <f t="shared" si="18"/>
        <v>#N/A</v>
      </c>
    </row>
    <row r="16" spans="1:54" ht="14.25">
      <c r="A16" s="81"/>
      <c r="B16" s="676"/>
      <c r="C16" s="447">
        <v>10</v>
      </c>
      <c r="D16" s="227"/>
      <c r="E16" s="182"/>
      <c r="F16" s="447"/>
      <c r="G16" s="448"/>
      <c r="H16" s="718"/>
      <c r="I16" s="449"/>
      <c r="J16" s="449"/>
      <c r="K16" s="200"/>
      <c r="L16" s="650"/>
      <c r="M16" s="452" t="e">
        <f>RANK(K16, $K$7:K$21)</f>
        <v>#N/A</v>
      </c>
      <c r="N16" s="668"/>
      <c r="O16" s="668"/>
      <c r="P16" s="447"/>
      <c r="Q16" s="447"/>
      <c r="R16" s="447"/>
      <c r="S16" s="447" t="e">
        <f t="shared" si="16"/>
        <v>#N/A</v>
      </c>
      <c r="T16" s="690"/>
      <c r="U16" s="569"/>
      <c r="V16" s="569"/>
      <c r="W16" s="569"/>
      <c r="X16" s="475" t="e">
        <f t="shared" si="3"/>
        <v>#N/A</v>
      </c>
      <c r="Y16" s="690"/>
      <c r="Z16" s="569"/>
      <c r="AA16" s="569"/>
      <c r="AB16" s="569"/>
      <c r="AC16" s="475" t="e">
        <f t="shared" si="5"/>
        <v>#N/A</v>
      </c>
      <c r="AD16" s="690"/>
      <c r="AE16" s="569"/>
      <c r="AF16" s="569"/>
      <c r="AG16" s="569"/>
      <c r="AH16" s="475" t="e">
        <f t="shared" si="7"/>
        <v>#N/A</v>
      </c>
      <c r="AI16" s="690"/>
      <c r="AJ16" s="569"/>
      <c r="AK16" s="569"/>
      <c r="AL16" s="569"/>
      <c r="AM16" s="475" t="e">
        <f t="shared" si="9"/>
        <v>#N/A</v>
      </c>
      <c r="AN16" s="690"/>
      <c r="AO16" s="569"/>
      <c r="AP16" s="569"/>
      <c r="AQ16" s="569"/>
      <c r="AR16" s="475" t="e">
        <f t="shared" si="11"/>
        <v>#N/A</v>
      </c>
      <c r="AS16" s="690"/>
      <c r="AT16" s="569"/>
      <c r="AU16" s="569"/>
      <c r="AV16" s="569"/>
      <c r="AW16" s="447" t="e">
        <f t="shared" si="17"/>
        <v>#N/A</v>
      </c>
      <c r="AX16" s="690"/>
      <c r="AZ16" s="362" t="e">
        <f>RANK(AX16, $K$7:AX$21)</f>
        <v>#N/A</v>
      </c>
      <c r="BB16" s="359" t="e">
        <f t="shared" si="18"/>
        <v>#N/A</v>
      </c>
    </row>
    <row r="17" spans="2:54">
      <c r="B17" s="676"/>
      <c r="C17" s="447">
        <v>11</v>
      </c>
      <c r="D17" s="227"/>
      <c r="E17" s="182"/>
      <c r="F17" s="447"/>
      <c r="G17" s="448"/>
      <c r="H17" s="718"/>
      <c r="I17" s="202"/>
      <c r="J17" s="202"/>
      <c r="K17" s="202"/>
      <c r="L17" s="650"/>
      <c r="M17" s="452" t="e">
        <f>RANK(K17, $K$7:K$21)</f>
        <v>#N/A</v>
      </c>
      <c r="N17" s="668"/>
      <c r="O17" s="668"/>
      <c r="P17" s="447"/>
      <c r="Q17" s="447"/>
      <c r="R17" s="447"/>
      <c r="S17" s="447" t="e">
        <f t="shared" si="16"/>
        <v>#N/A</v>
      </c>
      <c r="T17" s="690"/>
      <c r="U17" s="569"/>
      <c r="V17" s="569"/>
      <c r="W17" s="569"/>
      <c r="X17" s="475" t="e">
        <f t="shared" si="3"/>
        <v>#N/A</v>
      </c>
      <c r="Y17" s="690"/>
      <c r="Z17" s="569"/>
      <c r="AA17" s="569"/>
      <c r="AB17" s="569"/>
      <c r="AC17" s="475" t="e">
        <f t="shared" si="5"/>
        <v>#N/A</v>
      </c>
      <c r="AD17" s="690"/>
      <c r="AE17" s="569"/>
      <c r="AF17" s="569"/>
      <c r="AG17" s="569"/>
      <c r="AH17" s="475" t="e">
        <f t="shared" si="7"/>
        <v>#N/A</v>
      </c>
      <c r="AI17" s="690"/>
      <c r="AJ17" s="569"/>
      <c r="AK17" s="569"/>
      <c r="AL17" s="569"/>
      <c r="AM17" s="475" t="e">
        <f t="shared" si="9"/>
        <v>#N/A</v>
      </c>
      <c r="AN17" s="690"/>
      <c r="AO17" s="569"/>
      <c r="AP17" s="569"/>
      <c r="AQ17" s="569"/>
      <c r="AR17" s="475" t="e">
        <f t="shared" si="11"/>
        <v>#N/A</v>
      </c>
      <c r="AS17" s="690"/>
      <c r="AT17" s="569"/>
      <c r="AU17" s="569"/>
      <c r="AV17" s="569"/>
      <c r="AW17" s="447" t="e">
        <f t="shared" si="17"/>
        <v>#N/A</v>
      </c>
      <c r="AX17" s="690"/>
      <c r="AZ17" s="362" t="e">
        <f>RANK(AX17, $K$7:AX$21)</f>
        <v>#N/A</v>
      </c>
      <c r="BB17" s="359" t="e">
        <f t="shared" si="18"/>
        <v>#N/A</v>
      </c>
    </row>
    <row r="18" spans="2:54">
      <c r="B18" s="676"/>
      <c r="C18" s="447">
        <v>12</v>
      </c>
      <c r="D18" s="227"/>
      <c r="E18" s="182"/>
      <c r="F18" s="447"/>
      <c r="G18" s="448"/>
      <c r="H18" s="718"/>
      <c r="I18" s="202"/>
      <c r="J18" s="202"/>
      <c r="K18" s="202"/>
      <c r="L18" s="650"/>
      <c r="M18" s="452" t="e">
        <f>RANK(K18, $K$7:K$21)</f>
        <v>#N/A</v>
      </c>
      <c r="N18" s="668"/>
      <c r="O18" s="668"/>
      <c r="P18" s="447"/>
      <c r="Q18" s="447"/>
      <c r="R18" s="447"/>
      <c r="S18" s="447" t="e">
        <f t="shared" si="16"/>
        <v>#N/A</v>
      </c>
      <c r="T18" s="690"/>
      <c r="U18" s="569"/>
      <c r="V18" s="569"/>
      <c r="W18" s="569"/>
      <c r="X18" s="475" t="e">
        <f t="shared" si="3"/>
        <v>#N/A</v>
      </c>
      <c r="Y18" s="690"/>
      <c r="Z18" s="569"/>
      <c r="AA18" s="569"/>
      <c r="AB18" s="569"/>
      <c r="AC18" s="475" t="e">
        <f t="shared" si="5"/>
        <v>#N/A</v>
      </c>
      <c r="AD18" s="690"/>
      <c r="AE18" s="569"/>
      <c r="AF18" s="569"/>
      <c r="AG18" s="569"/>
      <c r="AH18" s="475" t="e">
        <f t="shared" si="7"/>
        <v>#N/A</v>
      </c>
      <c r="AI18" s="690"/>
      <c r="AJ18" s="569"/>
      <c r="AK18" s="569"/>
      <c r="AL18" s="569"/>
      <c r="AM18" s="475" t="e">
        <f t="shared" si="9"/>
        <v>#N/A</v>
      </c>
      <c r="AN18" s="690"/>
      <c r="AO18" s="569"/>
      <c r="AP18" s="569"/>
      <c r="AQ18" s="569"/>
      <c r="AR18" s="475" t="e">
        <f t="shared" si="11"/>
        <v>#N/A</v>
      </c>
      <c r="AS18" s="690"/>
      <c r="AT18" s="569"/>
      <c r="AU18" s="569"/>
      <c r="AV18" s="569"/>
      <c r="AW18" s="447" t="e">
        <f t="shared" si="17"/>
        <v>#N/A</v>
      </c>
      <c r="AX18" s="690"/>
      <c r="AZ18" s="362" t="e">
        <f>RANK(AX18, $K$7:AX$21)</f>
        <v>#N/A</v>
      </c>
      <c r="BB18" s="359" t="e">
        <f t="shared" si="18"/>
        <v>#N/A</v>
      </c>
    </row>
    <row r="19" spans="2:54">
      <c r="B19" s="676"/>
      <c r="C19" s="447">
        <v>13</v>
      </c>
      <c r="D19" s="227"/>
      <c r="E19" s="182"/>
      <c r="F19" s="447"/>
      <c r="G19" s="448"/>
      <c r="H19" s="718"/>
      <c r="I19" s="202"/>
      <c r="J19" s="202"/>
      <c r="K19" s="202"/>
      <c r="L19" s="650"/>
      <c r="M19" s="452" t="e">
        <f>RANK(K19, $K$7:K$21)</f>
        <v>#N/A</v>
      </c>
      <c r="N19" s="668"/>
      <c r="O19" s="668"/>
      <c r="P19" s="447"/>
      <c r="Q19" s="447"/>
      <c r="R19" s="447"/>
      <c r="S19" s="447" t="e">
        <f t="shared" si="16"/>
        <v>#N/A</v>
      </c>
      <c r="T19" s="690"/>
      <c r="U19" s="569"/>
      <c r="V19" s="569"/>
      <c r="W19" s="569"/>
      <c r="X19" s="475" t="e">
        <f t="shared" si="3"/>
        <v>#N/A</v>
      </c>
      <c r="Y19" s="690"/>
      <c r="Z19" s="569"/>
      <c r="AA19" s="569"/>
      <c r="AB19" s="569"/>
      <c r="AC19" s="475" t="e">
        <f t="shared" si="5"/>
        <v>#N/A</v>
      </c>
      <c r="AD19" s="690"/>
      <c r="AE19" s="569"/>
      <c r="AF19" s="569"/>
      <c r="AG19" s="569"/>
      <c r="AH19" s="475" t="e">
        <f t="shared" si="7"/>
        <v>#N/A</v>
      </c>
      <c r="AI19" s="690"/>
      <c r="AJ19" s="569"/>
      <c r="AK19" s="569"/>
      <c r="AL19" s="569"/>
      <c r="AM19" s="475" t="e">
        <f t="shared" si="9"/>
        <v>#N/A</v>
      </c>
      <c r="AN19" s="690"/>
      <c r="AO19" s="569"/>
      <c r="AP19" s="569"/>
      <c r="AQ19" s="569"/>
      <c r="AR19" s="475" t="e">
        <f t="shared" si="11"/>
        <v>#N/A</v>
      </c>
      <c r="AS19" s="690"/>
      <c r="AT19" s="569"/>
      <c r="AU19" s="569"/>
      <c r="AV19" s="569"/>
      <c r="AW19" s="447" t="e">
        <f t="shared" si="17"/>
        <v>#N/A</v>
      </c>
      <c r="AX19" s="690"/>
      <c r="AZ19" s="362" t="e">
        <f>RANK(AX19, $K$7:AX$21)</f>
        <v>#N/A</v>
      </c>
      <c r="BB19" s="359" t="e">
        <f t="shared" si="18"/>
        <v>#N/A</v>
      </c>
    </row>
    <row r="20" spans="2:54">
      <c r="B20" s="676"/>
      <c r="C20" s="447">
        <v>14</v>
      </c>
      <c r="D20" s="227"/>
      <c r="E20" s="182"/>
      <c r="F20" s="447"/>
      <c r="G20" s="448"/>
      <c r="H20" s="718"/>
      <c r="I20" s="202"/>
      <c r="J20" s="202"/>
      <c r="K20" s="202"/>
      <c r="L20" s="650"/>
      <c r="M20" s="452" t="e">
        <f>RANK(K20, $K$7:K$21)</f>
        <v>#N/A</v>
      </c>
      <c r="N20" s="668"/>
      <c r="O20" s="668"/>
      <c r="P20" s="447"/>
      <c r="Q20" s="447"/>
      <c r="R20" s="447"/>
      <c r="S20" s="447" t="e">
        <f t="shared" si="16"/>
        <v>#N/A</v>
      </c>
      <c r="T20" s="690"/>
      <c r="U20" s="569"/>
      <c r="V20" s="569"/>
      <c r="W20" s="569"/>
      <c r="X20" s="475" t="e">
        <f t="shared" si="3"/>
        <v>#N/A</v>
      </c>
      <c r="Y20" s="690"/>
      <c r="Z20" s="569"/>
      <c r="AA20" s="569"/>
      <c r="AB20" s="569"/>
      <c r="AC20" s="475" t="e">
        <f t="shared" si="5"/>
        <v>#N/A</v>
      </c>
      <c r="AD20" s="690"/>
      <c r="AE20" s="569"/>
      <c r="AF20" s="569"/>
      <c r="AG20" s="569"/>
      <c r="AH20" s="475" t="e">
        <f t="shared" si="7"/>
        <v>#N/A</v>
      </c>
      <c r="AI20" s="690"/>
      <c r="AJ20" s="569"/>
      <c r="AK20" s="569"/>
      <c r="AL20" s="569"/>
      <c r="AM20" s="475" t="e">
        <f t="shared" si="9"/>
        <v>#N/A</v>
      </c>
      <c r="AN20" s="690"/>
      <c r="AO20" s="569"/>
      <c r="AP20" s="569"/>
      <c r="AQ20" s="569"/>
      <c r="AR20" s="475" t="e">
        <f t="shared" si="11"/>
        <v>#N/A</v>
      </c>
      <c r="AS20" s="690"/>
      <c r="AT20" s="569"/>
      <c r="AU20" s="569"/>
      <c r="AV20" s="569"/>
      <c r="AW20" s="447" t="e">
        <f t="shared" si="17"/>
        <v>#N/A</v>
      </c>
      <c r="AX20" s="690"/>
      <c r="AZ20" s="362" t="e">
        <f>RANK(AX20, $K$7:AX$21)</f>
        <v>#N/A</v>
      </c>
      <c r="BB20" s="359" t="e">
        <f t="shared" si="18"/>
        <v>#N/A</v>
      </c>
    </row>
    <row r="21" spans="2:54">
      <c r="B21" s="676"/>
      <c r="C21" s="447">
        <v>15</v>
      </c>
      <c r="D21" s="227"/>
      <c r="E21" s="182"/>
      <c r="F21" s="447"/>
      <c r="G21" s="448"/>
      <c r="H21" s="719"/>
      <c r="I21" s="202"/>
      <c r="J21" s="202"/>
      <c r="K21" s="202"/>
      <c r="L21" s="651"/>
      <c r="M21" s="449" t="e">
        <f>RANK(K21, $K$7:K$21)</f>
        <v>#N/A</v>
      </c>
      <c r="N21" s="668"/>
      <c r="O21" s="668"/>
      <c r="P21" s="447"/>
      <c r="Q21" s="447"/>
      <c r="R21" s="447"/>
      <c r="S21" s="447" t="e">
        <f t="shared" si="16"/>
        <v>#N/A</v>
      </c>
      <c r="T21" s="690"/>
      <c r="U21" s="569"/>
      <c r="V21" s="569"/>
      <c r="W21" s="569"/>
      <c r="X21" s="475" t="e">
        <f t="shared" si="3"/>
        <v>#N/A</v>
      </c>
      <c r="Y21" s="690"/>
      <c r="Z21" s="569"/>
      <c r="AA21" s="569"/>
      <c r="AB21" s="569"/>
      <c r="AC21" s="475" t="e">
        <f t="shared" si="5"/>
        <v>#N/A</v>
      </c>
      <c r="AD21" s="690"/>
      <c r="AE21" s="569"/>
      <c r="AF21" s="569"/>
      <c r="AG21" s="569"/>
      <c r="AH21" s="475" t="e">
        <f t="shared" si="7"/>
        <v>#N/A</v>
      </c>
      <c r="AI21" s="690"/>
      <c r="AJ21" s="569"/>
      <c r="AK21" s="569"/>
      <c r="AL21" s="569"/>
      <c r="AM21" s="475" t="e">
        <f t="shared" si="9"/>
        <v>#N/A</v>
      </c>
      <c r="AN21" s="690"/>
      <c r="AO21" s="569"/>
      <c r="AP21" s="569"/>
      <c r="AQ21" s="569"/>
      <c r="AR21" s="475" t="e">
        <f t="shared" si="11"/>
        <v>#N/A</v>
      </c>
      <c r="AS21" s="690"/>
      <c r="AT21" s="569"/>
      <c r="AU21" s="569"/>
      <c r="AV21" s="569"/>
      <c r="AW21" s="447" t="e">
        <f t="shared" si="17"/>
        <v>#N/A</v>
      </c>
      <c r="AX21" s="690"/>
      <c r="AZ21" s="361" t="e">
        <f>RANK(AX21, $K$7:AX$21)</f>
        <v>#N/A</v>
      </c>
      <c r="BB21" s="359" t="e">
        <f t="shared" si="18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69" t="s">
        <v>156</v>
      </c>
      <c r="O22" s="669" t="s">
        <v>105</v>
      </c>
      <c r="P22" s="675">
        <f>P2+7</f>
        <v>46091</v>
      </c>
      <c r="Q22" s="676"/>
      <c r="R22" s="676"/>
      <c r="S22" s="676"/>
      <c r="T22" s="676"/>
      <c r="U22" s="672">
        <f>P22+1</f>
        <v>46092</v>
      </c>
      <c r="V22" s="673"/>
      <c r="W22" s="673"/>
      <c r="X22" s="673"/>
      <c r="Y22" s="674"/>
      <c r="Z22" s="672">
        <f>U22+1</f>
        <v>46093</v>
      </c>
      <c r="AA22" s="673"/>
      <c r="AB22" s="673"/>
      <c r="AC22" s="673"/>
      <c r="AD22" s="674"/>
      <c r="AE22" s="672">
        <f>Z22+1</f>
        <v>46094</v>
      </c>
      <c r="AF22" s="673"/>
      <c r="AG22" s="673"/>
      <c r="AH22" s="673"/>
      <c r="AI22" s="674"/>
      <c r="AJ22" s="672">
        <f>AE22+1</f>
        <v>46095</v>
      </c>
      <c r="AK22" s="673"/>
      <c r="AL22" s="673"/>
      <c r="AM22" s="673"/>
      <c r="AN22" s="674"/>
      <c r="AO22" s="672">
        <f>AJ22+1</f>
        <v>46096</v>
      </c>
      <c r="AP22" s="673"/>
      <c r="AQ22" s="673"/>
      <c r="AR22" s="673"/>
      <c r="AS22" s="674"/>
      <c r="AT22" s="672">
        <f>AO22+1</f>
        <v>46097</v>
      </c>
      <c r="AU22" s="673"/>
      <c r="AV22" s="673"/>
      <c r="AW22" s="673"/>
      <c r="AX22" s="674"/>
    </row>
    <row r="23" spans="2:54" ht="15.75">
      <c r="B23" s="683"/>
      <c r="C23" s="683"/>
      <c r="D23" s="683"/>
      <c r="E23" s="683"/>
      <c r="F23" s="683"/>
      <c r="G23" s="683"/>
      <c r="H23" s="683"/>
      <c r="I23" s="205"/>
      <c r="J23" s="205"/>
      <c r="K23" s="205"/>
      <c r="L23" s="205"/>
      <c r="M23" s="206"/>
      <c r="N23" s="671"/>
      <c r="O23" s="671"/>
      <c r="P23" s="675" t="s">
        <v>336</v>
      </c>
      <c r="Q23" s="676"/>
      <c r="R23" s="676"/>
      <c r="S23" s="676"/>
      <c r="T23" s="676"/>
      <c r="U23" s="675" t="s">
        <v>337</v>
      </c>
      <c r="V23" s="676"/>
      <c r="W23" s="676"/>
      <c r="X23" s="676"/>
      <c r="Y23" s="676"/>
      <c r="Z23" s="675" t="s">
        <v>338</v>
      </c>
      <c r="AA23" s="676"/>
      <c r="AB23" s="676"/>
      <c r="AC23" s="676"/>
      <c r="AD23" s="676"/>
      <c r="AE23" s="675" t="s">
        <v>339</v>
      </c>
      <c r="AF23" s="676"/>
      <c r="AG23" s="676"/>
      <c r="AH23" s="676"/>
      <c r="AI23" s="676"/>
      <c r="AJ23" s="675" t="s">
        <v>340</v>
      </c>
      <c r="AK23" s="676"/>
      <c r="AL23" s="676"/>
      <c r="AM23" s="676"/>
      <c r="AN23" s="676"/>
      <c r="AO23" s="675" t="s">
        <v>341</v>
      </c>
      <c r="AP23" s="676"/>
      <c r="AQ23" s="676"/>
      <c r="AR23" s="676"/>
      <c r="AS23" s="676"/>
      <c r="AT23" s="675" t="s">
        <v>342</v>
      </c>
      <c r="AU23" s="676"/>
      <c r="AV23" s="676"/>
      <c r="AW23" s="676"/>
      <c r="AX23" s="676"/>
    </row>
    <row r="24" spans="2:54">
      <c r="B24" s="668" t="s">
        <v>154</v>
      </c>
      <c r="C24" s="668" t="s">
        <v>429</v>
      </c>
      <c r="D24" s="668"/>
      <c r="E24" s="668" t="s">
        <v>420</v>
      </c>
      <c r="F24" s="668"/>
      <c r="G24" s="668"/>
      <c r="H24" s="684" t="s">
        <v>416</v>
      </c>
      <c r="I24" s="652" t="s">
        <v>421</v>
      </c>
      <c r="J24" s="652"/>
      <c r="K24" s="652"/>
      <c r="L24" s="653" t="s">
        <v>416</v>
      </c>
      <c r="M24" s="659" t="s">
        <v>417</v>
      </c>
      <c r="N24" s="668"/>
      <c r="O24" s="668" t="s">
        <v>422</v>
      </c>
      <c r="P24" s="665" t="s">
        <v>418</v>
      </c>
      <c r="Q24" s="666"/>
      <c r="R24" s="666"/>
      <c r="S24" s="667"/>
      <c r="T24" s="668" t="s">
        <v>416</v>
      </c>
      <c r="U24" s="665" t="s">
        <v>418</v>
      </c>
      <c r="V24" s="666"/>
      <c r="W24" s="666"/>
      <c r="X24" s="667"/>
      <c r="Y24" s="668" t="s">
        <v>416</v>
      </c>
      <c r="Z24" s="665" t="s">
        <v>418</v>
      </c>
      <c r="AA24" s="666"/>
      <c r="AB24" s="666"/>
      <c r="AC24" s="667"/>
      <c r="AD24" s="668" t="s">
        <v>416</v>
      </c>
      <c r="AE24" s="665" t="s">
        <v>418</v>
      </c>
      <c r="AF24" s="666"/>
      <c r="AG24" s="666"/>
      <c r="AH24" s="667"/>
      <c r="AI24" s="668" t="s">
        <v>416</v>
      </c>
      <c r="AJ24" s="665" t="s">
        <v>418</v>
      </c>
      <c r="AK24" s="666"/>
      <c r="AL24" s="666"/>
      <c r="AM24" s="667"/>
      <c r="AN24" s="668" t="s">
        <v>416</v>
      </c>
      <c r="AO24" s="665" t="s">
        <v>418</v>
      </c>
      <c r="AP24" s="666"/>
      <c r="AQ24" s="666"/>
      <c r="AR24" s="667"/>
      <c r="AS24" s="668" t="s">
        <v>416</v>
      </c>
      <c r="AT24" s="665" t="s">
        <v>418</v>
      </c>
      <c r="AU24" s="666"/>
      <c r="AV24" s="666"/>
      <c r="AW24" s="667"/>
      <c r="AX24" s="668" t="s">
        <v>416</v>
      </c>
    </row>
    <row r="25" spans="2:54">
      <c r="B25" s="668"/>
      <c r="C25" s="668"/>
      <c r="D25" s="668"/>
      <c r="E25" s="668" t="s">
        <v>423</v>
      </c>
      <c r="F25" s="668"/>
      <c r="G25" s="668"/>
      <c r="H25" s="685"/>
      <c r="I25" s="652" t="s">
        <v>423</v>
      </c>
      <c r="J25" s="652"/>
      <c r="K25" s="652"/>
      <c r="L25" s="654"/>
      <c r="M25" s="660"/>
      <c r="N25" s="668"/>
      <c r="O25" s="668"/>
      <c r="P25" s="665" t="s">
        <v>424</v>
      </c>
      <c r="Q25" s="666"/>
      <c r="R25" s="666"/>
      <c r="S25" s="667"/>
      <c r="T25" s="668"/>
      <c r="U25" s="665" t="s">
        <v>424</v>
      </c>
      <c r="V25" s="666"/>
      <c r="W25" s="666"/>
      <c r="X25" s="667"/>
      <c r="Y25" s="668"/>
      <c r="Z25" s="665" t="s">
        <v>424</v>
      </c>
      <c r="AA25" s="666"/>
      <c r="AB25" s="666"/>
      <c r="AC25" s="667"/>
      <c r="AD25" s="668"/>
      <c r="AE25" s="665" t="s">
        <v>424</v>
      </c>
      <c r="AF25" s="666"/>
      <c r="AG25" s="666"/>
      <c r="AH25" s="667"/>
      <c r="AI25" s="668"/>
      <c r="AJ25" s="665" t="s">
        <v>424</v>
      </c>
      <c r="AK25" s="666"/>
      <c r="AL25" s="666"/>
      <c r="AM25" s="667"/>
      <c r="AN25" s="668"/>
      <c r="AO25" s="665" t="s">
        <v>424</v>
      </c>
      <c r="AP25" s="666"/>
      <c r="AQ25" s="666"/>
      <c r="AR25" s="667"/>
      <c r="AS25" s="668"/>
      <c r="AT25" s="665" t="s">
        <v>512</v>
      </c>
      <c r="AU25" s="666"/>
      <c r="AV25" s="666"/>
      <c r="AW25" s="667"/>
      <c r="AX25" s="668"/>
    </row>
    <row r="26" spans="2:54">
      <c r="B26" s="668"/>
      <c r="C26" s="668"/>
      <c r="D26" s="668"/>
      <c r="E26" s="320" t="s">
        <v>425</v>
      </c>
      <c r="F26" s="320" t="s">
        <v>426</v>
      </c>
      <c r="G26" s="320" t="s">
        <v>427</v>
      </c>
      <c r="H26" s="686"/>
      <c r="I26" s="319" t="s">
        <v>425</v>
      </c>
      <c r="J26" s="319" t="s">
        <v>426</v>
      </c>
      <c r="K26" s="319" t="s">
        <v>427</v>
      </c>
      <c r="L26" s="655"/>
      <c r="M26" s="661"/>
      <c r="N26" s="668"/>
      <c r="O26" s="668"/>
      <c r="P26" s="320" t="s">
        <v>425</v>
      </c>
      <c r="Q26" s="320" t="s">
        <v>426</v>
      </c>
      <c r="R26" s="320" t="s">
        <v>427</v>
      </c>
      <c r="S26" s="320" t="s">
        <v>417</v>
      </c>
      <c r="T26" s="668"/>
      <c r="U26" s="320" t="s">
        <v>425</v>
      </c>
      <c r="V26" s="320" t="s">
        <v>426</v>
      </c>
      <c r="W26" s="320" t="s">
        <v>427</v>
      </c>
      <c r="X26" s="320" t="s">
        <v>513</v>
      </c>
      <c r="Y26" s="668"/>
      <c r="Z26" s="320" t="s">
        <v>514</v>
      </c>
      <c r="AA26" s="320" t="s">
        <v>426</v>
      </c>
      <c r="AB26" s="320" t="s">
        <v>427</v>
      </c>
      <c r="AC26" s="320" t="s">
        <v>417</v>
      </c>
      <c r="AD26" s="668"/>
      <c r="AE26" s="320" t="s">
        <v>515</v>
      </c>
      <c r="AF26" s="320" t="s">
        <v>516</v>
      </c>
      <c r="AG26" s="320" t="s">
        <v>427</v>
      </c>
      <c r="AH26" s="320" t="s">
        <v>417</v>
      </c>
      <c r="AI26" s="668"/>
      <c r="AJ26" s="320" t="s">
        <v>514</v>
      </c>
      <c r="AK26" s="320" t="s">
        <v>516</v>
      </c>
      <c r="AL26" s="320" t="s">
        <v>427</v>
      </c>
      <c r="AM26" s="320" t="s">
        <v>417</v>
      </c>
      <c r="AN26" s="668"/>
      <c r="AO26" s="320" t="s">
        <v>425</v>
      </c>
      <c r="AP26" s="320" t="s">
        <v>516</v>
      </c>
      <c r="AQ26" s="320" t="s">
        <v>427</v>
      </c>
      <c r="AR26" s="320" t="s">
        <v>417</v>
      </c>
      <c r="AS26" s="668"/>
      <c r="AT26" s="320" t="s">
        <v>514</v>
      </c>
      <c r="AU26" s="320" t="s">
        <v>516</v>
      </c>
      <c r="AV26" s="320" t="s">
        <v>427</v>
      </c>
      <c r="AW26" s="320" t="s">
        <v>417</v>
      </c>
      <c r="AX26" s="668"/>
    </row>
    <row r="27" spans="2:54">
      <c r="B27" s="668" t="s">
        <v>430</v>
      </c>
      <c r="C27" s="321">
        <v>1</v>
      </c>
      <c r="D27" s="227" t="s">
        <v>870</v>
      </c>
      <c r="E27" s="182">
        <v>13</v>
      </c>
      <c r="F27" s="569">
        <v>1500</v>
      </c>
      <c r="G27" s="570">
        <v>115.38461538461539</v>
      </c>
      <c r="H27" s="717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1410.2857142857106</v>
      </c>
      <c r="K27" s="200">
        <f t="shared" si="19"/>
        <v>108.4835164835162</v>
      </c>
      <c r="L27" s="649">
        <f>IFERROR(AVERAGE(K27:K41),"-")</f>
        <v>121.90215498786912</v>
      </c>
      <c r="M27" s="201">
        <f>RANK(K27, K$27:$K$41)</f>
        <v>2</v>
      </c>
      <c r="N27" s="668"/>
      <c r="O27" s="668"/>
      <c r="P27" s="182">
        <v>13</v>
      </c>
      <c r="Q27" s="182">
        <v>1394.9999999999939</v>
      </c>
      <c r="R27" s="570">
        <v>107.30769230769184</v>
      </c>
      <c r="S27" s="321">
        <f t="shared" ref="S27:S41" si="20">RANK(R27, R$27:R$41)</f>
        <v>2</v>
      </c>
      <c r="T27" s="690">
        <f>AVERAGE(R27:R41)</f>
        <v>121.49999999999974</v>
      </c>
      <c r="U27" s="182">
        <v>13</v>
      </c>
      <c r="V27" s="182">
        <v>1226.9999999999945</v>
      </c>
      <c r="W27" s="570">
        <v>94.38461538461496</v>
      </c>
      <c r="X27" s="475">
        <f t="shared" ref="X27:X41" si="21">RANK(W27, W$27:W$41)</f>
        <v>2</v>
      </c>
      <c r="Y27" s="690">
        <f t="shared" ref="Y27" si="22">AVERAGE(W27:W41)</f>
        <v>115.01048951048925</v>
      </c>
      <c r="Z27" s="182">
        <v>13</v>
      </c>
      <c r="AA27" s="182">
        <v>1266.0000000000045</v>
      </c>
      <c r="AB27" s="570">
        <v>97.384615384615728</v>
      </c>
      <c r="AC27" s="475">
        <f t="shared" ref="AC27:AC41" si="23">RANK(AB27, AB$27:AB$41)</f>
        <v>2</v>
      </c>
      <c r="AD27" s="690">
        <f t="shared" ref="AD27" si="24">AVERAGE(AB27:AB41)</f>
        <v>116.29230769230789</v>
      </c>
      <c r="AE27" s="182">
        <v>13</v>
      </c>
      <c r="AF27" s="182">
        <v>1579.9999999999973</v>
      </c>
      <c r="AG27" s="570">
        <v>121.53846153846133</v>
      </c>
      <c r="AH27" s="475">
        <f t="shared" ref="AH27:AH41" si="25">RANK(AG27, AG$27:AG$41)</f>
        <v>2</v>
      </c>
      <c r="AI27" s="690">
        <f t="shared" ref="AI27" si="26">AVERAGE(AG27:AG41)</f>
        <v>131.56923076923067</v>
      </c>
      <c r="AJ27" s="182">
        <v>13</v>
      </c>
      <c r="AK27" s="182">
        <v>1448.9999999999936</v>
      </c>
      <c r="AL27" s="570">
        <v>111.46153846153797</v>
      </c>
      <c r="AM27" s="475">
        <f t="shared" ref="AM27:AM41" si="27">RANK(AL27, AL$27:AL$41)</f>
        <v>2</v>
      </c>
      <c r="AN27" s="690">
        <f t="shared" ref="AN27" si="28">AVERAGE(AL27:AL41)</f>
        <v>121.86713286713268</v>
      </c>
      <c r="AO27" s="182">
        <v>13</v>
      </c>
      <c r="AP27" s="182">
        <v>1475.9999999999973</v>
      </c>
      <c r="AQ27" s="570">
        <v>113.53846153846133</v>
      </c>
      <c r="AR27" s="475">
        <f t="shared" ref="AR27:AR41" si="29">RANK(AQ27, AQ$27:AQ$41)</f>
        <v>2</v>
      </c>
      <c r="AS27" s="690">
        <f t="shared" ref="AS27" si="30">AVERAGE(AQ27:AQ41)</f>
        <v>122.36013986013972</v>
      </c>
      <c r="AT27" s="182">
        <v>13</v>
      </c>
      <c r="AU27" s="182">
        <v>1478.9999999999936</v>
      </c>
      <c r="AV27" s="570">
        <v>113.76923076923028</v>
      </c>
      <c r="AW27" s="475">
        <f t="shared" ref="AW27:AW41" si="31">RANK(AV27, AV$27:AV$41)</f>
        <v>2</v>
      </c>
      <c r="AX27" s="690">
        <f t="shared" ref="AX27" si="32">AVERAGE(AV27:AV41)</f>
        <v>124.715784215784</v>
      </c>
    </row>
    <row r="28" spans="2:54">
      <c r="B28" s="676"/>
      <c r="C28" s="321">
        <v>2</v>
      </c>
      <c r="D28" s="227" t="s">
        <v>926</v>
      </c>
      <c r="E28" s="182">
        <v>15</v>
      </c>
      <c r="F28" s="569">
        <v>1500</v>
      </c>
      <c r="G28" s="570">
        <v>100</v>
      </c>
      <c r="H28" s="718"/>
      <c r="I28" s="559">
        <f t="shared" ref="I28" si="33">AVERAGE(P28,U28,Z28,AE28,AJ28,AO28,AT28)</f>
        <v>11</v>
      </c>
      <c r="J28" s="559">
        <f t="shared" ref="J28" si="34">AVERAGE(Q28,V28,AA28,AF28,AK28,AP28,AU28)</f>
        <v>1488.5287284144429</v>
      </c>
      <c r="K28" s="200">
        <f t="shared" ref="K28" si="35">AVERAGE(R28,W28,AB28,AG28,AL28,AQ28,AV28)</f>
        <v>135.32079349222207</v>
      </c>
      <c r="L28" s="650"/>
      <c r="M28" s="201">
        <f>RANK(K28, K$27:$K$41)</f>
        <v>1</v>
      </c>
      <c r="N28" s="668"/>
      <c r="O28" s="668"/>
      <c r="P28" s="569">
        <v>11</v>
      </c>
      <c r="Q28" s="182">
        <v>1492.6153846153843</v>
      </c>
      <c r="R28" s="570">
        <v>135.69230769230765</v>
      </c>
      <c r="S28" s="321">
        <f t="shared" si="20"/>
        <v>1</v>
      </c>
      <c r="T28" s="690"/>
      <c r="U28" s="569">
        <v>11</v>
      </c>
      <c r="V28" s="182">
        <v>1491.9999999999989</v>
      </c>
      <c r="W28" s="570">
        <v>135.63636363636354</v>
      </c>
      <c r="X28" s="475">
        <f t="shared" si="21"/>
        <v>1</v>
      </c>
      <c r="Y28" s="690"/>
      <c r="Z28" s="569">
        <v>11</v>
      </c>
      <c r="AA28" s="182">
        <v>1487.2000000000005</v>
      </c>
      <c r="AB28" s="570">
        <v>135.20000000000005</v>
      </c>
      <c r="AC28" s="475">
        <f t="shared" si="23"/>
        <v>1</v>
      </c>
      <c r="AD28" s="690"/>
      <c r="AE28" s="569">
        <v>11</v>
      </c>
      <c r="AF28" s="182">
        <v>1557.6000000000004</v>
      </c>
      <c r="AG28" s="570">
        <v>141.60000000000002</v>
      </c>
      <c r="AH28" s="475">
        <f t="shared" si="25"/>
        <v>1</v>
      </c>
      <c r="AI28" s="690"/>
      <c r="AJ28" s="569">
        <v>11</v>
      </c>
      <c r="AK28" s="182">
        <v>1455.0000000000014</v>
      </c>
      <c r="AL28" s="570">
        <v>132.27272727272739</v>
      </c>
      <c r="AM28" s="475">
        <f t="shared" si="27"/>
        <v>1</v>
      </c>
      <c r="AN28" s="690"/>
      <c r="AO28" s="569">
        <v>11</v>
      </c>
      <c r="AP28" s="182">
        <v>1442.9999999999993</v>
      </c>
      <c r="AQ28" s="570">
        <v>131.18181818181813</v>
      </c>
      <c r="AR28" s="475">
        <f t="shared" si="29"/>
        <v>1</v>
      </c>
      <c r="AS28" s="690"/>
      <c r="AT28" s="569">
        <v>11</v>
      </c>
      <c r="AU28" s="182">
        <v>1492.2857142857147</v>
      </c>
      <c r="AV28" s="570">
        <v>135.66233766233771</v>
      </c>
      <c r="AW28" s="475">
        <f t="shared" si="31"/>
        <v>1</v>
      </c>
      <c r="AX28" s="690"/>
    </row>
    <row r="29" spans="2:54">
      <c r="B29" s="676"/>
      <c r="C29" s="321">
        <v>3</v>
      </c>
      <c r="D29" s="227"/>
      <c r="E29" s="182"/>
      <c r="F29" s="569"/>
      <c r="G29" s="570"/>
      <c r="H29" s="718"/>
      <c r="I29" s="199"/>
      <c r="J29" s="199"/>
      <c r="K29" s="200"/>
      <c r="L29" s="650"/>
      <c r="M29" s="201" t="e">
        <f>RANK(K29, K$27:$K$41)</f>
        <v>#N/A</v>
      </c>
      <c r="N29" s="668"/>
      <c r="O29" s="668"/>
      <c r="P29" s="569"/>
      <c r="Q29" s="569"/>
      <c r="R29" s="569"/>
      <c r="S29" s="321" t="e">
        <f t="shared" si="20"/>
        <v>#N/A</v>
      </c>
      <c r="T29" s="690"/>
      <c r="U29" s="569"/>
      <c r="V29" s="569"/>
      <c r="W29" s="569"/>
      <c r="X29" s="475" t="e">
        <f t="shared" si="21"/>
        <v>#N/A</v>
      </c>
      <c r="Y29" s="690"/>
      <c r="Z29" s="569"/>
      <c r="AA29" s="569"/>
      <c r="AB29" s="569"/>
      <c r="AC29" s="475" t="e">
        <f t="shared" si="23"/>
        <v>#N/A</v>
      </c>
      <c r="AD29" s="690"/>
      <c r="AE29" s="569"/>
      <c r="AF29" s="569"/>
      <c r="AG29" s="569"/>
      <c r="AH29" s="475" t="e">
        <f t="shared" si="25"/>
        <v>#N/A</v>
      </c>
      <c r="AI29" s="690"/>
      <c r="AJ29" s="569"/>
      <c r="AK29" s="569"/>
      <c r="AL29" s="569"/>
      <c r="AM29" s="475" t="e">
        <f t="shared" si="27"/>
        <v>#N/A</v>
      </c>
      <c r="AN29" s="690"/>
      <c r="AO29" s="569"/>
      <c r="AP29" s="569"/>
      <c r="AQ29" s="569"/>
      <c r="AR29" s="475" t="e">
        <f t="shared" si="29"/>
        <v>#N/A</v>
      </c>
      <c r="AS29" s="690"/>
      <c r="AT29" s="569"/>
      <c r="AU29" s="569"/>
      <c r="AV29" s="569"/>
      <c r="AW29" s="475" t="e">
        <f t="shared" si="31"/>
        <v>#N/A</v>
      </c>
      <c r="AX29" s="690"/>
    </row>
    <row r="30" spans="2:54">
      <c r="B30" s="676"/>
      <c r="C30" s="321">
        <v>4</v>
      </c>
      <c r="D30" s="227"/>
      <c r="E30" s="182"/>
      <c r="F30" s="569"/>
      <c r="G30" s="570"/>
      <c r="H30" s="718"/>
      <c r="I30" s="199"/>
      <c r="J30" s="199"/>
      <c r="K30" s="200"/>
      <c r="L30" s="650"/>
      <c r="M30" s="201" t="e">
        <f>RANK(K30, K$27:$K$41)</f>
        <v>#N/A</v>
      </c>
      <c r="N30" s="668"/>
      <c r="O30" s="668"/>
      <c r="P30" s="569"/>
      <c r="Q30" s="569"/>
      <c r="R30" s="569"/>
      <c r="S30" s="321" t="e">
        <f t="shared" si="20"/>
        <v>#N/A</v>
      </c>
      <c r="T30" s="690"/>
      <c r="U30" s="569"/>
      <c r="V30" s="569"/>
      <c r="W30" s="569"/>
      <c r="X30" s="475" t="e">
        <f t="shared" si="21"/>
        <v>#N/A</v>
      </c>
      <c r="Y30" s="690"/>
      <c r="Z30" s="569"/>
      <c r="AA30" s="569"/>
      <c r="AB30" s="569"/>
      <c r="AC30" s="475" t="e">
        <f t="shared" si="23"/>
        <v>#N/A</v>
      </c>
      <c r="AD30" s="690"/>
      <c r="AE30" s="569"/>
      <c r="AF30" s="569"/>
      <c r="AG30" s="569"/>
      <c r="AH30" s="475" t="e">
        <f t="shared" si="25"/>
        <v>#N/A</v>
      </c>
      <c r="AI30" s="690"/>
      <c r="AJ30" s="569"/>
      <c r="AK30" s="569"/>
      <c r="AL30" s="569"/>
      <c r="AM30" s="475" t="e">
        <f t="shared" si="27"/>
        <v>#N/A</v>
      </c>
      <c r="AN30" s="690"/>
      <c r="AO30" s="569"/>
      <c r="AP30" s="569"/>
      <c r="AQ30" s="569"/>
      <c r="AR30" s="475" t="e">
        <f t="shared" si="29"/>
        <v>#N/A</v>
      </c>
      <c r="AS30" s="690"/>
      <c r="AT30" s="569"/>
      <c r="AU30" s="569"/>
      <c r="AV30" s="569"/>
      <c r="AW30" s="475" t="e">
        <f t="shared" si="31"/>
        <v>#N/A</v>
      </c>
      <c r="AX30" s="690"/>
    </row>
    <row r="31" spans="2:54">
      <c r="B31" s="676"/>
      <c r="C31" s="321">
        <v>5</v>
      </c>
      <c r="D31" s="227"/>
      <c r="E31" s="182"/>
      <c r="F31" s="569"/>
      <c r="G31" s="570"/>
      <c r="H31" s="718"/>
      <c r="I31" s="199"/>
      <c r="J31" s="199"/>
      <c r="K31" s="200"/>
      <c r="L31" s="650"/>
      <c r="M31" s="201" t="e">
        <f>RANK(K31, K$27:$K$41)</f>
        <v>#N/A</v>
      </c>
      <c r="N31" s="668"/>
      <c r="O31" s="668"/>
      <c r="P31" s="569"/>
      <c r="Q31" s="569"/>
      <c r="R31" s="569"/>
      <c r="S31" s="321" t="e">
        <f t="shared" si="20"/>
        <v>#N/A</v>
      </c>
      <c r="T31" s="690"/>
      <c r="U31" s="569"/>
      <c r="V31" s="569"/>
      <c r="W31" s="569"/>
      <c r="X31" s="475" t="e">
        <f t="shared" si="21"/>
        <v>#N/A</v>
      </c>
      <c r="Y31" s="690"/>
      <c r="Z31" s="569"/>
      <c r="AA31" s="569"/>
      <c r="AB31" s="569"/>
      <c r="AC31" s="475" t="e">
        <f t="shared" si="23"/>
        <v>#N/A</v>
      </c>
      <c r="AD31" s="690"/>
      <c r="AE31" s="569"/>
      <c r="AF31" s="569"/>
      <c r="AG31" s="569"/>
      <c r="AH31" s="475" t="e">
        <f t="shared" si="25"/>
        <v>#N/A</v>
      </c>
      <c r="AI31" s="690"/>
      <c r="AJ31" s="569"/>
      <c r="AK31" s="569"/>
      <c r="AL31" s="569"/>
      <c r="AM31" s="475" t="e">
        <f t="shared" si="27"/>
        <v>#N/A</v>
      </c>
      <c r="AN31" s="690"/>
      <c r="AO31" s="569"/>
      <c r="AP31" s="569"/>
      <c r="AQ31" s="569"/>
      <c r="AR31" s="475" t="e">
        <f t="shared" si="29"/>
        <v>#N/A</v>
      </c>
      <c r="AS31" s="690"/>
      <c r="AT31" s="569"/>
      <c r="AU31" s="569"/>
      <c r="AV31" s="569"/>
      <c r="AW31" s="475" t="e">
        <f t="shared" si="31"/>
        <v>#N/A</v>
      </c>
      <c r="AX31" s="690"/>
    </row>
    <row r="32" spans="2:54">
      <c r="B32" s="676"/>
      <c r="C32" s="321">
        <v>6</v>
      </c>
      <c r="D32" s="227"/>
      <c r="E32" s="182"/>
      <c r="F32" s="569"/>
      <c r="G32" s="570"/>
      <c r="H32" s="718"/>
      <c r="I32" s="199"/>
      <c r="J32" s="199"/>
      <c r="K32" s="200"/>
      <c r="L32" s="650"/>
      <c r="M32" s="201" t="e">
        <f>RANK(K32, K$27:$K$41)</f>
        <v>#N/A</v>
      </c>
      <c r="N32" s="668"/>
      <c r="O32" s="668"/>
      <c r="P32" s="569"/>
      <c r="Q32" s="569"/>
      <c r="R32" s="569"/>
      <c r="S32" s="321" t="e">
        <f t="shared" si="20"/>
        <v>#N/A</v>
      </c>
      <c r="T32" s="690"/>
      <c r="U32" s="569"/>
      <c r="V32" s="569"/>
      <c r="W32" s="569"/>
      <c r="X32" s="475" t="e">
        <f t="shared" si="21"/>
        <v>#N/A</v>
      </c>
      <c r="Y32" s="690"/>
      <c r="Z32" s="569"/>
      <c r="AA32" s="569"/>
      <c r="AB32" s="569"/>
      <c r="AC32" s="475" t="e">
        <f t="shared" si="23"/>
        <v>#N/A</v>
      </c>
      <c r="AD32" s="690"/>
      <c r="AE32" s="569"/>
      <c r="AF32" s="569"/>
      <c r="AG32" s="569"/>
      <c r="AH32" s="475" t="e">
        <f t="shared" si="25"/>
        <v>#N/A</v>
      </c>
      <c r="AI32" s="690"/>
      <c r="AJ32" s="569"/>
      <c r="AK32" s="569"/>
      <c r="AL32" s="569"/>
      <c r="AM32" s="475" t="e">
        <f t="shared" si="27"/>
        <v>#N/A</v>
      </c>
      <c r="AN32" s="690"/>
      <c r="AO32" s="569"/>
      <c r="AP32" s="569"/>
      <c r="AQ32" s="569"/>
      <c r="AR32" s="475" t="e">
        <f t="shared" si="29"/>
        <v>#N/A</v>
      </c>
      <c r="AS32" s="690"/>
      <c r="AT32" s="569"/>
      <c r="AU32" s="569"/>
      <c r="AV32" s="569"/>
      <c r="AW32" s="475" t="e">
        <f t="shared" si="31"/>
        <v>#N/A</v>
      </c>
      <c r="AX32" s="690"/>
    </row>
    <row r="33" spans="2:50">
      <c r="B33" s="676"/>
      <c r="C33" s="321">
        <v>7</v>
      </c>
      <c r="D33" s="227"/>
      <c r="E33" s="182"/>
      <c r="F33" s="569"/>
      <c r="G33" s="570"/>
      <c r="H33" s="718"/>
      <c r="I33" s="199"/>
      <c r="J33" s="199"/>
      <c r="K33" s="200"/>
      <c r="L33" s="650"/>
      <c r="M33" s="201" t="e">
        <f>RANK(K33, K$27:$K$41)</f>
        <v>#N/A</v>
      </c>
      <c r="N33" s="668"/>
      <c r="O33" s="668"/>
      <c r="P33" s="569"/>
      <c r="Q33" s="569"/>
      <c r="R33" s="569"/>
      <c r="S33" s="321" t="e">
        <f t="shared" si="20"/>
        <v>#N/A</v>
      </c>
      <c r="T33" s="690"/>
      <c r="U33" s="569"/>
      <c r="V33" s="569"/>
      <c r="W33" s="569"/>
      <c r="X33" s="475" t="e">
        <f t="shared" si="21"/>
        <v>#N/A</v>
      </c>
      <c r="Y33" s="690"/>
      <c r="Z33" s="569"/>
      <c r="AA33" s="569"/>
      <c r="AB33" s="569"/>
      <c r="AC33" s="475" t="e">
        <f t="shared" si="23"/>
        <v>#N/A</v>
      </c>
      <c r="AD33" s="690"/>
      <c r="AE33" s="569"/>
      <c r="AF33" s="569"/>
      <c r="AG33" s="569"/>
      <c r="AH33" s="475" t="e">
        <f t="shared" si="25"/>
        <v>#N/A</v>
      </c>
      <c r="AI33" s="690"/>
      <c r="AJ33" s="569"/>
      <c r="AK33" s="569"/>
      <c r="AL33" s="569"/>
      <c r="AM33" s="475" t="e">
        <f t="shared" si="27"/>
        <v>#N/A</v>
      </c>
      <c r="AN33" s="690"/>
      <c r="AO33" s="569"/>
      <c r="AP33" s="569"/>
      <c r="AQ33" s="569"/>
      <c r="AR33" s="475" t="e">
        <f t="shared" si="29"/>
        <v>#N/A</v>
      </c>
      <c r="AS33" s="690"/>
      <c r="AT33" s="569"/>
      <c r="AU33" s="569"/>
      <c r="AV33" s="569"/>
      <c r="AW33" s="475" t="e">
        <f t="shared" si="31"/>
        <v>#N/A</v>
      </c>
      <c r="AX33" s="690"/>
    </row>
    <row r="34" spans="2:50">
      <c r="B34" s="676"/>
      <c r="C34" s="321">
        <v>8</v>
      </c>
      <c r="D34" s="227"/>
      <c r="E34" s="182"/>
      <c r="F34" s="569"/>
      <c r="G34" s="570"/>
      <c r="H34" s="718"/>
      <c r="I34" s="199"/>
      <c r="J34" s="199"/>
      <c r="K34" s="200"/>
      <c r="L34" s="650"/>
      <c r="M34" s="201" t="e">
        <f>RANK(K34, K$27:$K$41)</f>
        <v>#N/A</v>
      </c>
      <c r="N34" s="668"/>
      <c r="O34" s="668"/>
      <c r="P34" s="569"/>
      <c r="Q34" s="569"/>
      <c r="R34" s="569"/>
      <c r="S34" s="321" t="e">
        <f t="shared" si="20"/>
        <v>#N/A</v>
      </c>
      <c r="T34" s="690"/>
      <c r="U34" s="569"/>
      <c r="V34" s="569"/>
      <c r="W34" s="569"/>
      <c r="X34" s="475" t="e">
        <f t="shared" si="21"/>
        <v>#N/A</v>
      </c>
      <c r="Y34" s="690"/>
      <c r="Z34" s="569"/>
      <c r="AA34" s="569"/>
      <c r="AB34" s="569"/>
      <c r="AC34" s="475" t="e">
        <f t="shared" si="23"/>
        <v>#N/A</v>
      </c>
      <c r="AD34" s="690"/>
      <c r="AE34" s="569"/>
      <c r="AF34" s="569"/>
      <c r="AG34" s="569"/>
      <c r="AH34" s="475" t="e">
        <f t="shared" si="25"/>
        <v>#N/A</v>
      </c>
      <c r="AI34" s="690"/>
      <c r="AJ34" s="569"/>
      <c r="AK34" s="569"/>
      <c r="AL34" s="569"/>
      <c r="AM34" s="475" t="e">
        <f t="shared" si="27"/>
        <v>#N/A</v>
      </c>
      <c r="AN34" s="690"/>
      <c r="AO34" s="569"/>
      <c r="AP34" s="569"/>
      <c r="AQ34" s="569"/>
      <c r="AR34" s="475" t="e">
        <f t="shared" si="29"/>
        <v>#N/A</v>
      </c>
      <c r="AS34" s="690"/>
      <c r="AT34" s="569"/>
      <c r="AU34" s="569"/>
      <c r="AV34" s="569"/>
      <c r="AW34" s="475" t="e">
        <f t="shared" si="31"/>
        <v>#N/A</v>
      </c>
      <c r="AX34" s="690"/>
    </row>
    <row r="35" spans="2:50">
      <c r="B35" s="676"/>
      <c r="C35" s="321">
        <v>9</v>
      </c>
      <c r="D35" s="227"/>
      <c r="E35" s="182"/>
      <c r="F35" s="569"/>
      <c r="G35" s="570"/>
      <c r="H35" s="718"/>
      <c r="I35" s="199"/>
      <c r="J35" s="199"/>
      <c r="K35" s="200"/>
      <c r="L35" s="650"/>
      <c r="M35" s="201" t="e">
        <f>RANK(K35, K$27:$K$41)</f>
        <v>#N/A</v>
      </c>
      <c r="N35" s="668"/>
      <c r="O35" s="668"/>
      <c r="P35" s="569"/>
      <c r="Q35" s="569"/>
      <c r="R35" s="569"/>
      <c r="S35" s="321" t="e">
        <f t="shared" si="20"/>
        <v>#N/A</v>
      </c>
      <c r="T35" s="690"/>
      <c r="U35" s="569"/>
      <c r="V35" s="569"/>
      <c r="W35" s="569"/>
      <c r="X35" s="475" t="e">
        <f t="shared" si="21"/>
        <v>#N/A</v>
      </c>
      <c r="Y35" s="690"/>
      <c r="Z35" s="569"/>
      <c r="AA35" s="569"/>
      <c r="AB35" s="569"/>
      <c r="AC35" s="475" t="e">
        <f t="shared" si="23"/>
        <v>#N/A</v>
      </c>
      <c r="AD35" s="690"/>
      <c r="AE35" s="569"/>
      <c r="AF35" s="569"/>
      <c r="AG35" s="569"/>
      <c r="AH35" s="475" t="e">
        <f t="shared" si="25"/>
        <v>#N/A</v>
      </c>
      <c r="AI35" s="690"/>
      <c r="AJ35" s="569"/>
      <c r="AK35" s="569"/>
      <c r="AL35" s="569"/>
      <c r="AM35" s="475" t="e">
        <f t="shared" si="27"/>
        <v>#N/A</v>
      </c>
      <c r="AN35" s="690"/>
      <c r="AO35" s="569"/>
      <c r="AP35" s="569"/>
      <c r="AQ35" s="569"/>
      <c r="AR35" s="475" t="e">
        <f t="shared" si="29"/>
        <v>#N/A</v>
      </c>
      <c r="AS35" s="690"/>
      <c r="AT35" s="569"/>
      <c r="AU35" s="569"/>
      <c r="AV35" s="569"/>
      <c r="AW35" s="475" t="e">
        <f t="shared" si="31"/>
        <v>#N/A</v>
      </c>
      <c r="AX35" s="690"/>
    </row>
    <row r="36" spans="2:50">
      <c r="B36" s="676"/>
      <c r="C36" s="321">
        <v>10</v>
      </c>
      <c r="D36" s="227"/>
      <c r="E36" s="182"/>
      <c r="F36" s="569"/>
      <c r="G36" s="570"/>
      <c r="H36" s="718"/>
      <c r="I36" s="199"/>
      <c r="J36" s="199"/>
      <c r="K36" s="200"/>
      <c r="L36" s="650"/>
      <c r="M36" s="201" t="e">
        <f>RANK(K36, K$27:$K$41)</f>
        <v>#N/A</v>
      </c>
      <c r="N36" s="668"/>
      <c r="O36" s="668"/>
      <c r="P36" s="569"/>
      <c r="Q36" s="569"/>
      <c r="R36" s="569"/>
      <c r="S36" s="321" t="e">
        <f t="shared" si="20"/>
        <v>#N/A</v>
      </c>
      <c r="T36" s="690"/>
      <c r="U36" s="569"/>
      <c r="V36" s="569"/>
      <c r="W36" s="569"/>
      <c r="X36" s="475" t="e">
        <f t="shared" si="21"/>
        <v>#N/A</v>
      </c>
      <c r="Y36" s="690"/>
      <c r="Z36" s="569"/>
      <c r="AA36" s="569"/>
      <c r="AB36" s="569"/>
      <c r="AC36" s="475" t="e">
        <f t="shared" si="23"/>
        <v>#N/A</v>
      </c>
      <c r="AD36" s="690"/>
      <c r="AE36" s="569"/>
      <c r="AF36" s="569"/>
      <c r="AG36" s="569"/>
      <c r="AH36" s="475" t="e">
        <f t="shared" si="25"/>
        <v>#N/A</v>
      </c>
      <c r="AI36" s="690"/>
      <c r="AJ36" s="569"/>
      <c r="AK36" s="569"/>
      <c r="AL36" s="569"/>
      <c r="AM36" s="475" t="e">
        <f t="shared" si="27"/>
        <v>#N/A</v>
      </c>
      <c r="AN36" s="690"/>
      <c r="AO36" s="569"/>
      <c r="AP36" s="569"/>
      <c r="AQ36" s="569"/>
      <c r="AR36" s="475" t="e">
        <f t="shared" si="29"/>
        <v>#N/A</v>
      </c>
      <c r="AS36" s="690"/>
      <c r="AT36" s="569"/>
      <c r="AU36" s="569"/>
      <c r="AV36" s="569"/>
      <c r="AW36" s="475" t="e">
        <f t="shared" si="31"/>
        <v>#N/A</v>
      </c>
      <c r="AX36" s="690"/>
    </row>
    <row r="37" spans="2:50">
      <c r="B37" s="676"/>
      <c r="C37" s="321">
        <v>11</v>
      </c>
      <c r="D37" s="227"/>
      <c r="E37" s="182"/>
      <c r="F37" s="569"/>
      <c r="G37" s="570"/>
      <c r="H37" s="718"/>
      <c r="I37" s="202"/>
      <c r="J37" s="202"/>
      <c r="K37" s="202"/>
      <c r="L37" s="650"/>
      <c r="M37" s="201" t="e">
        <f>RANK(K37, K$27:$K$41)</f>
        <v>#N/A</v>
      </c>
      <c r="N37" s="668"/>
      <c r="O37" s="668"/>
      <c r="P37" s="569"/>
      <c r="Q37" s="569"/>
      <c r="R37" s="569"/>
      <c r="S37" s="321" t="e">
        <f t="shared" si="20"/>
        <v>#N/A</v>
      </c>
      <c r="T37" s="690"/>
      <c r="U37" s="569"/>
      <c r="V37" s="569"/>
      <c r="W37" s="569"/>
      <c r="X37" s="475" t="e">
        <f t="shared" si="21"/>
        <v>#N/A</v>
      </c>
      <c r="Y37" s="690"/>
      <c r="Z37" s="569"/>
      <c r="AA37" s="569"/>
      <c r="AB37" s="569"/>
      <c r="AC37" s="475" t="e">
        <f t="shared" si="23"/>
        <v>#N/A</v>
      </c>
      <c r="AD37" s="690"/>
      <c r="AE37" s="569"/>
      <c r="AF37" s="569"/>
      <c r="AG37" s="569"/>
      <c r="AH37" s="475" t="e">
        <f t="shared" si="25"/>
        <v>#N/A</v>
      </c>
      <c r="AI37" s="690"/>
      <c r="AJ37" s="569"/>
      <c r="AK37" s="569"/>
      <c r="AL37" s="569"/>
      <c r="AM37" s="475" t="e">
        <f t="shared" si="27"/>
        <v>#N/A</v>
      </c>
      <c r="AN37" s="690"/>
      <c r="AO37" s="569"/>
      <c r="AP37" s="569"/>
      <c r="AQ37" s="569"/>
      <c r="AR37" s="475" t="e">
        <f t="shared" si="29"/>
        <v>#N/A</v>
      </c>
      <c r="AS37" s="690"/>
      <c r="AT37" s="569"/>
      <c r="AU37" s="569"/>
      <c r="AV37" s="569"/>
      <c r="AW37" s="475" t="e">
        <f t="shared" si="31"/>
        <v>#N/A</v>
      </c>
      <c r="AX37" s="690"/>
    </row>
    <row r="38" spans="2:50">
      <c r="B38" s="676"/>
      <c r="C38" s="321">
        <v>12</v>
      </c>
      <c r="D38" s="227"/>
      <c r="E38" s="182"/>
      <c r="F38" s="569"/>
      <c r="G38" s="570"/>
      <c r="H38" s="718"/>
      <c r="I38" s="202"/>
      <c r="J38" s="202"/>
      <c r="K38" s="202"/>
      <c r="L38" s="650"/>
      <c r="M38" s="201" t="e">
        <f>RANK(K38, K$27:$K$41)</f>
        <v>#N/A</v>
      </c>
      <c r="N38" s="668"/>
      <c r="O38" s="668"/>
      <c r="P38" s="569"/>
      <c r="Q38" s="569"/>
      <c r="R38" s="569"/>
      <c r="S38" s="321" t="e">
        <f t="shared" si="20"/>
        <v>#N/A</v>
      </c>
      <c r="T38" s="690"/>
      <c r="U38" s="569"/>
      <c r="V38" s="569"/>
      <c r="W38" s="569"/>
      <c r="X38" s="475" t="e">
        <f t="shared" si="21"/>
        <v>#N/A</v>
      </c>
      <c r="Y38" s="690"/>
      <c r="Z38" s="569"/>
      <c r="AA38" s="569"/>
      <c r="AB38" s="569"/>
      <c r="AC38" s="475" t="e">
        <f t="shared" si="23"/>
        <v>#N/A</v>
      </c>
      <c r="AD38" s="690"/>
      <c r="AE38" s="569"/>
      <c r="AF38" s="569"/>
      <c r="AG38" s="569"/>
      <c r="AH38" s="475" t="e">
        <f t="shared" si="25"/>
        <v>#N/A</v>
      </c>
      <c r="AI38" s="690"/>
      <c r="AJ38" s="569"/>
      <c r="AK38" s="569"/>
      <c r="AL38" s="569"/>
      <c r="AM38" s="475" t="e">
        <f t="shared" si="27"/>
        <v>#N/A</v>
      </c>
      <c r="AN38" s="690"/>
      <c r="AO38" s="569"/>
      <c r="AP38" s="569"/>
      <c r="AQ38" s="569"/>
      <c r="AR38" s="475" t="e">
        <f t="shared" si="29"/>
        <v>#N/A</v>
      </c>
      <c r="AS38" s="690"/>
      <c r="AT38" s="569"/>
      <c r="AU38" s="569"/>
      <c r="AV38" s="569"/>
      <c r="AW38" s="475" t="e">
        <f t="shared" si="31"/>
        <v>#N/A</v>
      </c>
      <c r="AX38" s="690"/>
    </row>
    <row r="39" spans="2:50">
      <c r="B39" s="676"/>
      <c r="C39" s="321">
        <v>13</v>
      </c>
      <c r="D39" s="227"/>
      <c r="E39" s="182"/>
      <c r="F39" s="569"/>
      <c r="G39" s="570"/>
      <c r="H39" s="718"/>
      <c r="I39" s="202"/>
      <c r="J39" s="202"/>
      <c r="K39" s="202"/>
      <c r="L39" s="650"/>
      <c r="M39" s="201" t="e">
        <f>RANK(K39, K$27:$K$41)</f>
        <v>#N/A</v>
      </c>
      <c r="N39" s="668"/>
      <c r="O39" s="668"/>
      <c r="P39" s="569"/>
      <c r="Q39" s="569"/>
      <c r="R39" s="569"/>
      <c r="S39" s="321" t="e">
        <f t="shared" si="20"/>
        <v>#N/A</v>
      </c>
      <c r="T39" s="690"/>
      <c r="U39" s="569"/>
      <c r="V39" s="569"/>
      <c r="W39" s="569"/>
      <c r="X39" s="475" t="e">
        <f t="shared" si="21"/>
        <v>#N/A</v>
      </c>
      <c r="Y39" s="690"/>
      <c r="Z39" s="569"/>
      <c r="AA39" s="569"/>
      <c r="AB39" s="569"/>
      <c r="AC39" s="475" t="e">
        <f t="shared" si="23"/>
        <v>#N/A</v>
      </c>
      <c r="AD39" s="690"/>
      <c r="AE39" s="569"/>
      <c r="AF39" s="569"/>
      <c r="AG39" s="569"/>
      <c r="AH39" s="475" t="e">
        <f t="shared" si="25"/>
        <v>#N/A</v>
      </c>
      <c r="AI39" s="690"/>
      <c r="AJ39" s="569"/>
      <c r="AK39" s="569"/>
      <c r="AL39" s="569"/>
      <c r="AM39" s="475" t="e">
        <f t="shared" si="27"/>
        <v>#N/A</v>
      </c>
      <c r="AN39" s="690"/>
      <c r="AO39" s="569"/>
      <c r="AP39" s="569"/>
      <c r="AQ39" s="569"/>
      <c r="AR39" s="475" t="e">
        <f t="shared" si="29"/>
        <v>#N/A</v>
      </c>
      <c r="AS39" s="690"/>
      <c r="AT39" s="569"/>
      <c r="AU39" s="569"/>
      <c r="AV39" s="569"/>
      <c r="AW39" s="475" t="e">
        <f t="shared" si="31"/>
        <v>#N/A</v>
      </c>
      <c r="AX39" s="690"/>
    </row>
    <row r="40" spans="2:50">
      <c r="B40" s="676"/>
      <c r="C40" s="321">
        <v>14</v>
      </c>
      <c r="D40" s="227"/>
      <c r="E40" s="182"/>
      <c r="F40" s="569"/>
      <c r="G40" s="570"/>
      <c r="H40" s="718"/>
      <c r="I40" s="202"/>
      <c r="J40" s="202"/>
      <c r="K40" s="202"/>
      <c r="L40" s="650"/>
      <c r="M40" s="201" t="e">
        <f>RANK(K40, K$27:$K$41)</f>
        <v>#N/A</v>
      </c>
      <c r="N40" s="668"/>
      <c r="O40" s="668"/>
      <c r="P40" s="569"/>
      <c r="Q40" s="569"/>
      <c r="R40" s="569"/>
      <c r="S40" s="321" t="e">
        <f t="shared" si="20"/>
        <v>#N/A</v>
      </c>
      <c r="T40" s="690"/>
      <c r="U40" s="569"/>
      <c r="V40" s="569"/>
      <c r="W40" s="569"/>
      <c r="X40" s="475" t="e">
        <f t="shared" si="21"/>
        <v>#N/A</v>
      </c>
      <c r="Y40" s="690"/>
      <c r="Z40" s="569"/>
      <c r="AA40" s="569"/>
      <c r="AB40" s="569"/>
      <c r="AC40" s="475" t="e">
        <f t="shared" si="23"/>
        <v>#N/A</v>
      </c>
      <c r="AD40" s="690"/>
      <c r="AE40" s="569"/>
      <c r="AF40" s="569"/>
      <c r="AG40" s="569"/>
      <c r="AH40" s="475" t="e">
        <f t="shared" si="25"/>
        <v>#N/A</v>
      </c>
      <c r="AI40" s="690"/>
      <c r="AJ40" s="569"/>
      <c r="AK40" s="569"/>
      <c r="AL40" s="569"/>
      <c r="AM40" s="475" t="e">
        <f t="shared" si="27"/>
        <v>#N/A</v>
      </c>
      <c r="AN40" s="690"/>
      <c r="AO40" s="569"/>
      <c r="AP40" s="569"/>
      <c r="AQ40" s="569"/>
      <c r="AR40" s="475" t="e">
        <f t="shared" si="29"/>
        <v>#N/A</v>
      </c>
      <c r="AS40" s="690"/>
      <c r="AT40" s="569"/>
      <c r="AU40" s="569"/>
      <c r="AV40" s="569"/>
      <c r="AW40" s="475" t="e">
        <f t="shared" si="31"/>
        <v>#N/A</v>
      </c>
      <c r="AX40" s="690"/>
    </row>
    <row r="41" spans="2:50">
      <c r="B41" s="676"/>
      <c r="C41" s="321">
        <v>15</v>
      </c>
      <c r="D41" s="227"/>
      <c r="E41" s="182"/>
      <c r="F41" s="569"/>
      <c r="G41" s="570"/>
      <c r="H41" s="719"/>
      <c r="I41" s="202"/>
      <c r="J41" s="202"/>
      <c r="K41" s="202"/>
      <c r="L41" s="651"/>
      <c r="M41" s="199" t="e">
        <f>RANK(K41, K$27:$K$41)</f>
        <v>#N/A</v>
      </c>
      <c r="N41" s="668"/>
      <c r="O41" s="668"/>
      <c r="P41" s="569"/>
      <c r="Q41" s="569"/>
      <c r="R41" s="569"/>
      <c r="S41" s="321" t="e">
        <f t="shared" si="20"/>
        <v>#N/A</v>
      </c>
      <c r="T41" s="690"/>
      <c r="U41" s="569"/>
      <c r="V41" s="569"/>
      <c r="W41" s="569"/>
      <c r="X41" s="475" t="e">
        <f t="shared" si="21"/>
        <v>#N/A</v>
      </c>
      <c r="Y41" s="690"/>
      <c r="Z41" s="569"/>
      <c r="AA41" s="569"/>
      <c r="AB41" s="569"/>
      <c r="AC41" s="475" t="e">
        <f t="shared" si="23"/>
        <v>#N/A</v>
      </c>
      <c r="AD41" s="690"/>
      <c r="AE41" s="569"/>
      <c r="AF41" s="569"/>
      <c r="AG41" s="569"/>
      <c r="AH41" s="475" t="e">
        <f t="shared" si="25"/>
        <v>#N/A</v>
      </c>
      <c r="AI41" s="690"/>
      <c r="AJ41" s="569"/>
      <c r="AK41" s="569"/>
      <c r="AL41" s="569"/>
      <c r="AM41" s="475" t="e">
        <f t="shared" si="27"/>
        <v>#N/A</v>
      </c>
      <c r="AN41" s="690"/>
      <c r="AO41" s="569"/>
      <c r="AP41" s="569"/>
      <c r="AQ41" s="569"/>
      <c r="AR41" s="475" t="e">
        <f t="shared" si="29"/>
        <v>#N/A</v>
      </c>
      <c r="AS41" s="690"/>
      <c r="AT41" s="569"/>
      <c r="AU41" s="569"/>
      <c r="AV41" s="569"/>
      <c r="AW41" s="475" t="e">
        <f t="shared" si="31"/>
        <v>#N/A</v>
      </c>
      <c r="AX41" s="690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69" t="s">
        <v>156</v>
      </c>
      <c r="O42" s="669" t="s">
        <v>105</v>
      </c>
      <c r="P42" s="675">
        <f>P22+7</f>
        <v>46098</v>
      </c>
      <c r="Q42" s="676"/>
      <c r="R42" s="676"/>
      <c r="S42" s="676"/>
      <c r="T42" s="676"/>
      <c r="U42" s="672">
        <f>P42+1</f>
        <v>46099</v>
      </c>
      <c r="V42" s="673"/>
      <c r="W42" s="673"/>
      <c r="X42" s="673"/>
      <c r="Y42" s="674"/>
      <c r="Z42" s="672">
        <f>U42+1</f>
        <v>46100</v>
      </c>
      <c r="AA42" s="673"/>
      <c r="AB42" s="673"/>
      <c r="AC42" s="673"/>
      <c r="AD42" s="674"/>
      <c r="AE42" s="672">
        <f>Z42+1</f>
        <v>46101</v>
      </c>
      <c r="AF42" s="673"/>
      <c r="AG42" s="673"/>
      <c r="AH42" s="673"/>
      <c r="AI42" s="674"/>
      <c r="AJ42" s="672">
        <f>AE42+1</f>
        <v>46102</v>
      </c>
      <c r="AK42" s="673"/>
      <c r="AL42" s="673"/>
      <c r="AM42" s="673"/>
      <c r="AN42" s="674"/>
      <c r="AO42" s="672">
        <f>AJ42+1</f>
        <v>46103</v>
      </c>
      <c r="AP42" s="673"/>
      <c r="AQ42" s="673"/>
      <c r="AR42" s="673"/>
      <c r="AS42" s="674"/>
      <c r="AT42" s="672">
        <f>AO42+1</f>
        <v>46104</v>
      </c>
      <c r="AU42" s="673"/>
      <c r="AV42" s="673"/>
      <c r="AW42" s="673"/>
      <c r="AX42" s="674"/>
    </row>
    <row r="43" spans="2:50" ht="15.75">
      <c r="B43" s="683"/>
      <c r="C43" s="683"/>
      <c r="D43" s="683"/>
      <c r="E43" s="683"/>
      <c r="F43" s="683"/>
      <c r="G43" s="683"/>
      <c r="H43" s="683"/>
      <c r="I43" s="205"/>
      <c r="J43" s="205"/>
      <c r="K43" s="205"/>
      <c r="L43" s="205"/>
      <c r="M43" s="206"/>
      <c r="N43" s="671"/>
      <c r="O43" s="671"/>
      <c r="P43" s="675" t="s">
        <v>336</v>
      </c>
      <c r="Q43" s="676"/>
      <c r="R43" s="676"/>
      <c r="S43" s="676"/>
      <c r="T43" s="676"/>
      <c r="U43" s="675" t="s">
        <v>337</v>
      </c>
      <c r="V43" s="676"/>
      <c r="W43" s="676"/>
      <c r="X43" s="676"/>
      <c r="Y43" s="676"/>
      <c r="Z43" s="675" t="s">
        <v>338</v>
      </c>
      <c r="AA43" s="676"/>
      <c r="AB43" s="676"/>
      <c r="AC43" s="676"/>
      <c r="AD43" s="676"/>
      <c r="AE43" s="675" t="s">
        <v>339</v>
      </c>
      <c r="AF43" s="676"/>
      <c r="AG43" s="676"/>
      <c r="AH43" s="676"/>
      <c r="AI43" s="676"/>
      <c r="AJ43" s="675" t="s">
        <v>340</v>
      </c>
      <c r="AK43" s="676"/>
      <c r="AL43" s="676"/>
      <c r="AM43" s="676"/>
      <c r="AN43" s="676"/>
      <c r="AO43" s="675" t="s">
        <v>341</v>
      </c>
      <c r="AP43" s="676"/>
      <c r="AQ43" s="676"/>
      <c r="AR43" s="676"/>
      <c r="AS43" s="676"/>
      <c r="AT43" s="675" t="s">
        <v>342</v>
      </c>
      <c r="AU43" s="676"/>
      <c r="AV43" s="676"/>
      <c r="AW43" s="676"/>
      <c r="AX43" s="676"/>
    </row>
    <row r="44" spans="2:50">
      <c r="B44" s="668" t="s">
        <v>604</v>
      </c>
      <c r="C44" s="668" t="s">
        <v>605</v>
      </c>
      <c r="D44" s="668"/>
      <c r="E44" s="668" t="s">
        <v>606</v>
      </c>
      <c r="F44" s="668"/>
      <c r="G44" s="668"/>
      <c r="H44" s="684" t="s">
        <v>607</v>
      </c>
      <c r="I44" s="652" t="s">
        <v>608</v>
      </c>
      <c r="J44" s="652"/>
      <c r="K44" s="652"/>
      <c r="L44" s="653" t="s">
        <v>607</v>
      </c>
      <c r="M44" s="659" t="s">
        <v>609</v>
      </c>
      <c r="N44" s="668"/>
      <c r="O44" s="668" t="s">
        <v>610</v>
      </c>
      <c r="P44" s="665" t="s">
        <v>611</v>
      </c>
      <c r="Q44" s="666"/>
      <c r="R44" s="666"/>
      <c r="S44" s="667"/>
      <c r="T44" s="668" t="s">
        <v>607</v>
      </c>
      <c r="U44" s="665" t="s">
        <v>611</v>
      </c>
      <c r="V44" s="666"/>
      <c r="W44" s="666"/>
      <c r="X44" s="667"/>
      <c r="Y44" s="668" t="s">
        <v>607</v>
      </c>
      <c r="Z44" s="665" t="s">
        <v>611</v>
      </c>
      <c r="AA44" s="666"/>
      <c r="AB44" s="666"/>
      <c r="AC44" s="667"/>
      <c r="AD44" s="668" t="s">
        <v>607</v>
      </c>
      <c r="AE44" s="665" t="s">
        <v>611</v>
      </c>
      <c r="AF44" s="666"/>
      <c r="AG44" s="666"/>
      <c r="AH44" s="667"/>
      <c r="AI44" s="668" t="s">
        <v>607</v>
      </c>
      <c r="AJ44" s="665" t="s">
        <v>611</v>
      </c>
      <c r="AK44" s="666"/>
      <c r="AL44" s="666"/>
      <c r="AM44" s="667"/>
      <c r="AN44" s="668" t="s">
        <v>607</v>
      </c>
      <c r="AO44" s="665" t="s">
        <v>611</v>
      </c>
      <c r="AP44" s="666"/>
      <c r="AQ44" s="666"/>
      <c r="AR44" s="667"/>
      <c r="AS44" s="668" t="s">
        <v>607</v>
      </c>
      <c r="AT44" s="665" t="s">
        <v>611</v>
      </c>
      <c r="AU44" s="666"/>
      <c r="AV44" s="666"/>
      <c r="AW44" s="667"/>
      <c r="AX44" s="668" t="s">
        <v>607</v>
      </c>
    </row>
    <row r="45" spans="2:50">
      <c r="B45" s="668"/>
      <c r="C45" s="668"/>
      <c r="D45" s="668"/>
      <c r="E45" s="668" t="s">
        <v>612</v>
      </c>
      <c r="F45" s="668"/>
      <c r="G45" s="668"/>
      <c r="H45" s="685"/>
      <c r="I45" s="652" t="s">
        <v>612</v>
      </c>
      <c r="J45" s="652"/>
      <c r="K45" s="652"/>
      <c r="L45" s="654"/>
      <c r="M45" s="660"/>
      <c r="N45" s="668"/>
      <c r="O45" s="668"/>
      <c r="P45" s="665" t="s">
        <v>613</v>
      </c>
      <c r="Q45" s="666"/>
      <c r="R45" s="666"/>
      <c r="S45" s="667"/>
      <c r="T45" s="668"/>
      <c r="U45" s="665" t="s">
        <v>613</v>
      </c>
      <c r="V45" s="666"/>
      <c r="W45" s="666"/>
      <c r="X45" s="667"/>
      <c r="Y45" s="668"/>
      <c r="Z45" s="665" t="s">
        <v>613</v>
      </c>
      <c r="AA45" s="666"/>
      <c r="AB45" s="666"/>
      <c r="AC45" s="667"/>
      <c r="AD45" s="668"/>
      <c r="AE45" s="665" t="s">
        <v>613</v>
      </c>
      <c r="AF45" s="666"/>
      <c r="AG45" s="666"/>
      <c r="AH45" s="667"/>
      <c r="AI45" s="668"/>
      <c r="AJ45" s="665" t="s">
        <v>613</v>
      </c>
      <c r="AK45" s="666"/>
      <c r="AL45" s="666"/>
      <c r="AM45" s="667"/>
      <c r="AN45" s="668"/>
      <c r="AO45" s="665" t="s">
        <v>613</v>
      </c>
      <c r="AP45" s="666"/>
      <c r="AQ45" s="666"/>
      <c r="AR45" s="667"/>
      <c r="AS45" s="668"/>
      <c r="AT45" s="665" t="s">
        <v>613</v>
      </c>
      <c r="AU45" s="666"/>
      <c r="AV45" s="666"/>
      <c r="AW45" s="667"/>
      <c r="AX45" s="668"/>
    </row>
    <row r="46" spans="2:50">
      <c r="B46" s="668"/>
      <c r="C46" s="668"/>
      <c r="D46" s="668"/>
      <c r="E46" s="326" t="s">
        <v>614</v>
      </c>
      <c r="F46" s="326" t="s">
        <v>615</v>
      </c>
      <c r="G46" s="326" t="s">
        <v>616</v>
      </c>
      <c r="H46" s="686"/>
      <c r="I46" s="325" t="s">
        <v>614</v>
      </c>
      <c r="J46" s="325" t="s">
        <v>615</v>
      </c>
      <c r="K46" s="325" t="s">
        <v>616</v>
      </c>
      <c r="L46" s="655"/>
      <c r="M46" s="661"/>
      <c r="N46" s="668"/>
      <c r="O46" s="668"/>
      <c r="P46" s="326" t="s">
        <v>614</v>
      </c>
      <c r="Q46" s="326" t="s">
        <v>615</v>
      </c>
      <c r="R46" s="326" t="s">
        <v>616</v>
      </c>
      <c r="S46" s="326" t="s">
        <v>609</v>
      </c>
      <c r="T46" s="668"/>
      <c r="U46" s="326" t="s">
        <v>614</v>
      </c>
      <c r="V46" s="326" t="s">
        <v>615</v>
      </c>
      <c r="W46" s="326" t="s">
        <v>616</v>
      </c>
      <c r="X46" s="326" t="s">
        <v>609</v>
      </c>
      <c r="Y46" s="668"/>
      <c r="Z46" s="326" t="s">
        <v>614</v>
      </c>
      <c r="AA46" s="326" t="s">
        <v>615</v>
      </c>
      <c r="AB46" s="326" t="s">
        <v>616</v>
      </c>
      <c r="AC46" s="326" t="s">
        <v>609</v>
      </c>
      <c r="AD46" s="668"/>
      <c r="AE46" s="326" t="s">
        <v>614</v>
      </c>
      <c r="AF46" s="326" t="s">
        <v>615</v>
      </c>
      <c r="AG46" s="326" t="s">
        <v>616</v>
      </c>
      <c r="AH46" s="326" t="s">
        <v>609</v>
      </c>
      <c r="AI46" s="668"/>
      <c r="AJ46" s="326" t="s">
        <v>614</v>
      </c>
      <c r="AK46" s="326" t="s">
        <v>615</v>
      </c>
      <c r="AL46" s="326" t="s">
        <v>616</v>
      </c>
      <c r="AM46" s="326" t="s">
        <v>609</v>
      </c>
      <c r="AN46" s="668"/>
      <c r="AO46" s="326" t="s">
        <v>614</v>
      </c>
      <c r="AP46" s="326" t="s">
        <v>615</v>
      </c>
      <c r="AQ46" s="326" t="s">
        <v>616</v>
      </c>
      <c r="AR46" s="326" t="s">
        <v>609</v>
      </c>
      <c r="AS46" s="668"/>
      <c r="AT46" s="326" t="s">
        <v>614</v>
      </c>
      <c r="AU46" s="326" t="s">
        <v>615</v>
      </c>
      <c r="AV46" s="326" t="s">
        <v>616</v>
      </c>
      <c r="AW46" s="326" t="s">
        <v>609</v>
      </c>
      <c r="AX46" s="668"/>
    </row>
    <row r="47" spans="2:50">
      <c r="B47" s="668" t="s">
        <v>617</v>
      </c>
      <c r="C47" s="327">
        <v>1</v>
      </c>
      <c r="D47" s="227" t="s">
        <v>870</v>
      </c>
      <c r="E47" s="182">
        <v>13</v>
      </c>
      <c r="F47" s="569">
        <v>1500</v>
      </c>
      <c r="G47" s="570">
        <v>115.38461538461539</v>
      </c>
      <c r="H47" s="717">
        <f>AVERAGE(G47:G61)</f>
        <v>107.69230769230769</v>
      </c>
      <c r="I47" s="199">
        <f t="shared" ref="I47:K48" si="36">AVERAGE(P47,U47,Z47,AE47,AJ47,AO47,AT47)</f>
        <v>13</v>
      </c>
      <c r="J47" s="199">
        <f t="shared" si="36"/>
        <v>1411.7142857142851</v>
      </c>
      <c r="K47" s="200">
        <f t="shared" si="36"/>
        <v>108.59340659340657</v>
      </c>
      <c r="L47" s="649">
        <f>IFERROR(AVERAGE(K47:K61),"-")</f>
        <v>114.15109871813166</v>
      </c>
      <c r="M47" s="201">
        <f>RANK(K47, K$47:$K$61)</f>
        <v>2</v>
      </c>
      <c r="N47" s="668"/>
      <c r="O47" s="668"/>
      <c r="P47" s="182">
        <v>13</v>
      </c>
      <c r="Q47" s="182">
        <v>1361.9999999999995</v>
      </c>
      <c r="R47" s="570">
        <v>104.76923076923073</v>
      </c>
      <c r="S47" s="327">
        <f>RANK(R47, R$47:R$61)</f>
        <v>2</v>
      </c>
      <c r="T47" s="690">
        <f>AVERAGE(R47:R61)</f>
        <v>108.33727810650885</v>
      </c>
      <c r="U47" s="182">
        <v>13</v>
      </c>
      <c r="V47" s="182">
        <v>1292.9999999999943</v>
      </c>
      <c r="W47" s="570">
        <v>99.461538461538026</v>
      </c>
      <c r="X47" s="475">
        <f t="shared" ref="X47:X61" si="37">RANK(W47, W$47:W$61)</f>
        <v>2</v>
      </c>
      <c r="Y47" s="690">
        <f t="shared" ref="Y47" si="38">AVERAGE(W47:W61)</f>
        <v>105.24725274725253</v>
      </c>
      <c r="Z47" s="182">
        <v>13</v>
      </c>
      <c r="AA47" s="182">
        <v>1352.9999999999995</v>
      </c>
      <c r="AB47" s="570">
        <v>104.07692307692304</v>
      </c>
      <c r="AC47" s="475">
        <f t="shared" ref="AC47:AC61" si="39">RANK(AB47, AB$47:AB$61)</f>
        <v>2</v>
      </c>
      <c r="AD47" s="690">
        <f t="shared" ref="AD47" si="40">AVERAGE(AB47:AB61)</f>
        <v>108.64285714285714</v>
      </c>
      <c r="AE47" s="182">
        <v>13</v>
      </c>
      <c r="AF47" s="182">
        <v>1463.9999999999973</v>
      </c>
      <c r="AG47" s="570">
        <v>112.6153846153844</v>
      </c>
      <c r="AH47" s="475">
        <f t="shared" ref="AH47:AH61" si="41">RANK(AG47, AG$47:AG$61)</f>
        <v>2</v>
      </c>
      <c r="AI47" s="690">
        <f t="shared" ref="AI47" si="42">AVERAGE(AG47:AG61)</f>
        <v>116.20512820512815</v>
      </c>
      <c r="AJ47" s="182">
        <v>13</v>
      </c>
      <c r="AK47" s="182">
        <v>1695.999999999997</v>
      </c>
      <c r="AL47" s="570">
        <v>130.46153846153823</v>
      </c>
      <c r="AM47" s="475">
        <f t="shared" ref="AM47:AM61" si="43">RANK(AL47, AL$47:AL$61)</f>
        <v>1</v>
      </c>
      <c r="AN47" s="690">
        <f t="shared" ref="AN47" si="44">AVERAGE(AL47:AL61)</f>
        <v>126.38461538461524</v>
      </c>
      <c r="AO47" s="182">
        <v>13</v>
      </c>
      <c r="AP47" s="182">
        <v>1436.0000000000052</v>
      </c>
      <c r="AQ47" s="570">
        <v>110.46153846153886</v>
      </c>
      <c r="AR47" s="475">
        <f t="shared" ref="AR47:AR61" si="45">RANK(AQ47, AQ$47:AQ$61)</f>
        <v>2</v>
      </c>
      <c r="AS47" s="690">
        <f t="shared" ref="AS47" si="46">AVERAGE(AQ47:AQ61)</f>
        <v>127.39440559440573</v>
      </c>
      <c r="AT47" s="182">
        <v>13</v>
      </c>
      <c r="AU47" s="182">
        <v>1278.0000000000045</v>
      </c>
      <c r="AV47" s="570">
        <v>98.307692307692662</v>
      </c>
      <c r="AW47" s="475">
        <f t="shared" ref="AW47:AW61" si="47">RANK(AV47, AV$47:AV$61)</f>
        <v>2</v>
      </c>
      <c r="AX47" s="690">
        <f t="shared" ref="AX47" si="48">AVERAGE(AV47:AV61)</f>
        <v>106.84615384615404</v>
      </c>
    </row>
    <row r="48" spans="2:50">
      <c r="B48" s="676"/>
      <c r="C48" s="327">
        <v>2</v>
      </c>
      <c r="D48" s="227" t="s">
        <v>926</v>
      </c>
      <c r="E48" s="182">
        <v>15</v>
      </c>
      <c r="F48" s="569">
        <v>1500</v>
      </c>
      <c r="G48" s="570">
        <v>100</v>
      </c>
      <c r="H48" s="718"/>
      <c r="I48" s="561">
        <f t="shared" si="36"/>
        <v>12.571428571428571</v>
      </c>
      <c r="J48" s="561">
        <f t="shared" si="36"/>
        <v>1494.3597355025927</v>
      </c>
      <c r="K48" s="200">
        <f t="shared" si="36"/>
        <v>119.70879084285677</v>
      </c>
      <c r="L48" s="650"/>
      <c r="M48" s="201">
        <f>RANK(K48, K$47:$K$61)</f>
        <v>1</v>
      </c>
      <c r="N48" s="668"/>
      <c r="O48" s="668"/>
      <c r="P48" s="569">
        <v>13</v>
      </c>
      <c r="Q48" s="182">
        <v>1454.7692307692305</v>
      </c>
      <c r="R48" s="570">
        <v>111.90532544378696</v>
      </c>
      <c r="S48" s="334">
        <f t="shared" ref="S48:S61" si="49">RANK(R48, R$47:R$61)</f>
        <v>1</v>
      </c>
      <c r="T48" s="690"/>
      <c r="U48" s="569">
        <v>13</v>
      </c>
      <c r="V48" s="182">
        <v>1443.4285714285716</v>
      </c>
      <c r="W48" s="570">
        <v>111.03296703296704</v>
      </c>
      <c r="X48" s="475">
        <f t="shared" si="37"/>
        <v>1</v>
      </c>
      <c r="Y48" s="690"/>
      <c r="Z48" s="569">
        <v>13</v>
      </c>
      <c r="AA48" s="182">
        <v>1471.714285714286</v>
      </c>
      <c r="AB48" s="570">
        <v>113.20879120879123</v>
      </c>
      <c r="AC48" s="475">
        <f t="shared" si="39"/>
        <v>1</v>
      </c>
      <c r="AD48" s="690"/>
      <c r="AE48" s="569">
        <v>13</v>
      </c>
      <c r="AF48" s="182">
        <v>1557.3333333333348</v>
      </c>
      <c r="AG48" s="570">
        <v>119.79487179487191</v>
      </c>
      <c r="AH48" s="475">
        <f t="shared" si="41"/>
        <v>1</v>
      </c>
      <c r="AI48" s="690"/>
      <c r="AJ48" s="569">
        <v>13</v>
      </c>
      <c r="AK48" s="182">
        <v>1589.9999999999993</v>
      </c>
      <c r="AL48" s="570">
        <v>122.30769230769225</v>
      </c>
      <c r="AM48" s="475">
        <f t="shared" si="43"/>
        <v>2</v>
      </c>
      <c r="AN48" s="690"/>
      <c r="AO48" s="569">
        <v>10</v>
      </c>
      <c r="AP48" s="182">
        <v>1443.2727272727261</v>
      </c>
      <c r="AQ48" s="570">
        <v>144.3272727272726</v>
      </c>
      <c r="AR48" s="475">
        <f t="shared" si="45"/>
        <v>1</v>
      </c>
      <c r="AS48" s="690"/>
      <c r="AT48" s="569">
        <v>13</v>
      </c>
      <c r="AU48" s="182">
        <v>1500.0000000000005</v>
      </c>
      <c r="AV48" s="570">
        <v>115.38461538461542</v>
      </c>
      <c r="AW48" s="475">
        <f t="shared" si="47"/>
        <v>1</v>
      </c>
      <c r="AX48" s="690"/>
    </row>
    <row r="49" spans="2:50">
      <c r="B49" s="676"/>
      <c r="C49" s="327">
        <v>3</v>
      </c>
      <c r="D49" s="227"/>
      <c r="E49" s="182"/>
      <c r="F49" s="569"/>
      <c r="G49" s="570"/>
      <c r="H49" s="718"/>
      <c r="I49" s="463"/>
      <c r="J49" s="463"/>
      <c r="K49" s="200"/>
      <c r="L49" s="650"/>
      <c r="M49" s="201" t="e">
        <f>RANK(K49, K$47:$K$61)</f>
        <v>#N/A</v>
      </c>
      <c r="N49" s="668"/>
      <c r="O49" s="668"/>
      <c r="P49" s="569"/>
      <c r="Q49" s="569"/>
      <c r="R49" s="569"/>
      <c r="S49" s="334" t="e">
        <f t="shared" si="49"/>
        <v>#N/A</v>
      </c>
      <c r="T49" s="690"/>
      <c r="U49" s="569"/>
      <c r="V49" s="569"/>
      <c r="W49" s="569"/>
      <c r="X49" s="475" t="e">
        <f t="shared" si="37"/>
        <v>#N/A</v>
      </c>
      <c r="Y49" s="690"/>
      <c r="Z49" s="569"/>
      <c r="AA49" s="569"/>
      <c r="AB49" s="569"/>
      <c r="AC49" s="475" t="e">
        <f t="shared" si="39"/>
        <v>#N/A</v>
      </c>
      <c r="AD49" s="690"/>
      <c r="AE49" s="569" t="s">
        <v>760</v>
      </c>
      <c r="AF49" s="569" t="s">
        <v>760</v>
      </c>
      <c r="AG49" s="569" t="s">
        <v>760</v>
      </c>
      <c r="AH49" s="475" t="e">
        <f t="shared" si="41"/>
        <v>#VALUE!</v>
      </c>
      <c r="AI49" s="690"/>
      <c r="AJ49" s="569"/>
      <c r="AK49" s="569"/>
      <c r="AL49" s="569"/>
      <c r="AM49" s="475" t="e">
        <f t="shared" si="43"/>
        <v>#N/A</v>
      </c>
      <c r="AN49" s="690"/>
      <c r="AO49" s="569"/>
      <c r="AP49" s="569"/>
      <c r="AQ49" s="569"/>
      <c r="AR49" s="475" t="e">
        <f t="shared" si="45"/>
        <v>#N/A</v>
      </c>
      <c r="AS49" s="690"/>
      <c r="AT49" s="569"/>
      <c r="AU49" s="569"/>
      <c r="AV49" s="569"/>
      <c r="AW49" s="475" t="e">
        <f t="shared" si="47"/>
        <v>#N/A</v>
      </c>
      <c r="AX49" s="690"/>
    </row>
    <row r="50" spans="2:50">
      <c r="B50" s="676"/>
      <c r="C50" s="327">
        <v>4</v>
      </c>
      <c r="D50" s="227"/>
      <c r="E50" s="182"/>
      <c r="F50" s="569"/>
      <c r="G50" s="570"/>
      <c r="H50" s="718"/>
      <c r="I50" s="199"/>
      <c r="J50" s="199"/>
      <c r="K50" s="200"/>
      <c r="L50" s="650"/>
      <c r="M50" s="201" t="e">
        <f>RANK(K50, K$47:$K$61)</f>
        <v>#N/A</v>
      </c>
      <c r="N50" s="668"/>
      <c r="O50" s="668"/>
      <c r="P50" s="569"/>
      <c r="Q50" s="569"/>
      <c r="R50" s="569"/>
      <c r="S50" s="334" t="e">
        <f t="shared" si="49"/>
        <v>#N/A</v>
      </c>
      <c r="T50" s="690"/>
      <c r="U50" s="569"/>
      <c r="V50" s="569"/>
      <c r="W50" s="569"/>
      <c r="X50" s="475" t="e">
        <f t="shared" si="37"/>
        <v>#N/A</v>
      </c>
      <c r="Y50" s="690"/>
      <c r="Z50" s="569"/>
      <c r="AA50" s="569"/>
      <c r="AB50" s="569"/>
      <c r="AC50" s="475" t="e">
        <f t="shared" si="39"/>
        <v>#N/A</v>
      </c>
      <c r="AD50" s="690"/>
      <c r="AE50" s="569"/>
      <c r="AF50" s="569"/>
      <c r="AG50" s="569"/>
      <c r="AH50" s="475" t="e">
        <f t="shared" si="41"/>
        <v>#N/A</v>
      </c>
      <c r="AI50" s="690"/>
      <c r="AJ50" s="569"/>
      <c r="AK50" s="569"/>
      <c r="AL50" s="569"/>
      <c r="AM50" s="475" t="e">
        <f t="shared" si="43"/>
        <v>#N/A</v>
      </c>
      <c r="AN50" s="690"/>
      <c r="AO50" s="569"/>
      <c r="AP50" s="569"/>
      <c r="AQ50" s="569"/>
      <c r="AR50" s="475" t="e">
        <f t="shared" si="45"/>
        <v>#N/A</v>
      </c>
      <c r="AS50" s="690"/>
      <c r="AT50" s="569"/>
      <c r="AU50" s="569"/>
      <c r="AV50" s="569"/>
      <c r="AW50" s="475" t="e">
        <f t="shared" si="47"/>
        <v>#N/A</v>
      </c>
      <c r="AX50" s="690"/>
    </row>
    <row r="51" spans="2:50">
      <c r="B51" s="676"/>
      <c r="C51" s="327">
        <v>5</v>
      </c>
      <c r="D51" s="227"/>
      <c r="E51" s="182"/>
      <c r="F51" s="569"/>
      <c r="G51" s="570"/>
      <c r="H51" s="718"/>
      <c r="I51" s="199"/>
      <c r="J51" s="199"/>
      <c r="K51" s="200"/>
      <c r="L51" s="650"/>
      <c r="M51" s="201" t="e">
        <f>RANK(K51, K$47:$K$61)</f>
        <v>#N/A</v>
      </c>
      <c r="N51" s="668"/>
      <c r="O51" s="668"/>
      <c r="P51" s="569"/>
      <c r="Q51" s="569"/>
      <c r="R51" s="569"/>
      <c r="S51" s="334" t="e">
        <f t="shared" si="49"/>
        <v>#N/A</v>
      </c>
      <c r="T51" s="690"/>
      <c r="U51" s="569"/>
      <c r="V51" s="569"/>
      <c r="W51" s="569"/>
      <c r="X51" s="475" t="e">
        <f t="shared" si="37"/>
        <v>#N/A</v>
      </c>
      <c r="Y51" s="690"/>
      <c r="Z51" s="569"/>
      <c r="AA51" s="569"/>
      <c r="AB51" s="569"/>
      <c r="AC51" s="475" t="e">
        <f t="shared" si="39"/>
        <v>#N/A</v>
      </c>
      <c r="AD51" s="690"/>
      <c r="AE51" s="569"/>
      <c r="AF51" s="569"/>
      <c r="AG51" s="569"/>
      <c r="AH51" s="475" t="e">
        <f t="shared" si="41"/>
        <v>#N/A</v>
      </c>
      <c r="AI51" s="690"/>
      <c r="AJ51" s="569"/>
      <c r="AK51" s="569"/>
      <c r="AL51" s="569"/>
      <c r="AM51" s="475" t="e">
        <f t="shared" si="43"/>
        <v>#N/A</v>
      </c>
      <c r="AN51" s="690"/>
      <c r="AO51" s="569"/>
      <c r="AP51" s="569"/>
      <c r="AQ51" s="569"/>
      <c r="AR51" s="475" t="e">
        <f t="shared" si="45"/>
        <v>#N/A</v>
      </c>
      <c r="AS51" s="690"/>
      <c r="AT51" s="569"/>
      <c r="AU51" s="569"/>
      <c r="AV51" s="569"/>
      <c r="AW51" s="475" t="e">
        <f t="shared" si="47"/>
        <v>#N/A</v>
      </c>
      <c r="AX51" s="690"/>
    </row>
    <row r="52" spans="2:50">
      <c r="B52" s="676"/>
      <c r="C52" s="327">
        <v>6</v>
      </c>
      <c r="D52" s="227"/>
      <c r="E52" s="182"/>
      <c r="F52" s="569"/>
      <c r="G52" s="570"/>
      <c r="H52" s="718"/>
      <c r="I52" s="199"/>
      <c r="J52" s="199"/>
      <c r="K52" s="200"/>
      <c r="L52" s="650"/>
      <c r="M52" s="201" t="e">
        <f>RANK(K52, K$47:$K$61)</f>
        <v>#N/A</v>
      </c>
      <c r="N52" s="668"/>
      <c r="O52" s="668"/>
      <c r="P52" s="569"/>
      <c r="Q52" s="569"/>
      <c r="R52" s="569"/>
      <c r="S52" s="334" t="e">
        <f t="shared" si="49"/>
        <v>#N/A</v>
      </c>
      <c r="T52" s="690"/>
      <c r="U52" s="569"/>
      <c r="V52" s="569"/>
      <c r="W52" s="569"/>
      <c r="X52" s="475" t="e">
        <f t="shared" si="37"/>
        <v>#N/A</v>
      </c>
      <c r="Y52" s="690"/>
      <c r="Z52" s="569"/>
      <c r="AA52" s="569"/>
      <c r="AB52" s="569"/>
      <c r="AC52" s="475" t="e">
        <f t="shared" si="39"/>
        <v>#N/A</v>
      </c>
      <c r="AD52" s="690"/>
      <c r="AE52" s="569"/>
      <c r="AF52" s="569"/>
      <c r="AG52" s="569"/>
      <c r="AH52" s="475" t="e">
        <f t="shared" si="41"/>
        <v>#N/A</v>
      </c>
      <c r="AI52" s="690"/>
      <c r="AJ52" s="569"/>
      <c r="AK52" s="569"/>
      <c r="AL52" s="569"/>
      <c r="AM52" s="475" t="e">
        <f t="shared" si="43"/>
        <v>#N/A</v>
      </c>
      <c r="AN52" s="690"/>
      <c r="AO52" s="569"/>
      <c r="AP52" s="569"/>
      <c r="AQ52" s="569"/>
      <c r="AR52" s="475" t="e">
        <f t="shared" si="45"/>
        <v>#N/A</v>
      </c>
      <c r="AS52" s="690"/>
      <c r="AT52" s="569"/>
      <c r="AU52" s="569"/>
      <c r="AV52" s="569"/>
      <c r="AW52" s="475" t="e">
        <f t="shared" si="47"/>
        <v>#N/A</v>
      </c>
      <c r="AX52" s="690"/>
    </row>
    <row r="53" spans="2:50">
      <c r="B53" s="676"/>
      <c r="C53" s="327">
        <v>7</v>
      </c>
      <c r="D53" s="227"/>
      <c r="E53" s="182"/>
      <c r="F53" s="569"/>
      <c r="G53" s="570"/>
      <c r="H53" s="718"/>
      <c r="I53" s="199"/>
      <c r="J53" s="199"/>
      <c r="K53" s="200"/>
      <c r="L53" s="650"/>
      <c r="M53" s="201" t="e">
        <f>RANK(K53, K$47:$K$61)</f>
        <v>#N/A</v>
      </c>
      <c r="N53" s="668"/>
      <c r="O53" s="668"/>
      <c r="P53" s="569"/>
      <c r="Q53" s="569"/>
      <c r="R53" s="569"/>
      <c r="S53" s="334" t="e">
        <f t="shared" si="49"/>
        <v>#N/A</v>
      </c>
      <c r="T53" s="690"/>
      <c r="U53" s="569"/>
      <c r="V53" s="569"/>
      <c r="W53" s="569"/>
      <c r="X53" s="475" t="e">
        <f t="shared" si="37"/>
        <v>#N/A</v>
      </c>
      <c r="Y53" s="690"/>
      <c r="Z53" s="569"/>
      <c r="AA53" s="569"/>
      <c r="AB53" s="569"/>
      <c r="AC53" s="475" t="e">
        <f t="shared" si="39"/>
        <v>#N/A</v>
      </c>
      <c r="AD53" s="690"/>
      <c r="AE53" s="569"/>
      <c r="AF53" s="569"/>
      <c r="AG53" s="569"/>
      <c r="AH53" s="475" t="e">
        <f t="shared" si="41"/>
        <v>#N/A</v>
      </c>
      <c r="AI53" s="690"/>
      <c r="AJ53" s="569"/>
      <c r="AK53" s="569"/>
      <c r="AL53" s="569"/>
      <c r="AM53" s="475" t="e">
        <f t="shared" si="43"/>
        <v>#N/A</v>
      </c>
      <c r="AN53" s="690"/>
      <c r="AO53" s="569"/>
      <c r="AP53" s="569"/>
      <c r="AQ53" s="569"/>
      <c r="AR53" s="475" t="e">
        <f t="shared" si="45"/>
        <v>#N/A</v>
      </c>
      <c r="AS53" s="690"/>
      <c r="AT53" s="569"/>
      <c r="AU53" s="569"/>
      <c r="AV53" s="569"/>
      <c r="AW53" s="475" t="e">
        <f t="shared" si="47"/>
        <v>#N/A</v>
      </c>
      <c r="AX53" s="690"/>
    </row>
    <row r="54" spans="2:50">
      <c r="B54" s="676"/>
      <c r="C54" s="327">
        <v>8</v>
      </c>
      <c r="D54" s="227"/>
      <c r="E54" s="182"/>
      <c r="F54" s="569"/>
      <c r="G54" s="570"/>
      <c r="H54" s="718"/>
      <c r="I54" s="199"/>
      <c r="J54" s="199"/>
      <c r="K54" s="200"/>
      <c r="L54" s="650"/>
      <c r="M54" s="201" t="e">
        <f>RANK(K54, K$47:$K$61)</f>
        <v>#N/A</v>
      </c>
      <c r="N54" s="668"/>
      <c r="O54" s="668"/>
      <c r="P54" s="569"/>
      <c r="Q54" s="569"/>
      <c r="R54" s="569"/>
      <c r="S54" s="334" t="e">
        <f t="shared" si="49"/>
        <v>#N/A</v>
      </c>
      <c r="T54" s="690"/>
      <c r="U54" s="569"/>
      <c r="V54" s="569"/>
      <c r="W54" s="569"/>
      <c r="X54" s="475" t="e">
        <f t="shared" si="37"/>
        <v>#N/A</v>
      </c>
      <c r="Y54" s="690"/>
      <c r="Z54" s="569"/>
      <c r="AA54" s="569"/>
      <c r="AB54" s="569"/>
      <c r="AC54" s="475" t="e">
        <f t="shared" si="39"/>
        <v>#N/A</v>
      </c>
      <c r="AD54" s="690"/>
      <c r="AE54" s="569"/>
      <c r="AF54" s="569"/>
      <c r="AG54" s="569"/>
      <c r="AH54" s="475" t="e">
        <f t="shared" si="41"/>
        <v>#N/A</v>
      </c>
      <c r="AI54" s="690"/>
      <c r="AJ54" s="569"/>
      <c r="AK54" s="569"/>
      <c r="AL54" s="569"/>
      <c r="AM54" s="475" t="e">
        <f t="shared" si="43"/>
        <v>#N/A</v>
      </c>
      <c r="AN54" s="690"/>
      <c r="AO54" s="569"/>
      <c r="AP54" s="569"/>
      <c r="AQ54" s="569"/>
      <c r="AR54" s="475" t="e">
        <f t="shared" si="45"/>
        <v>#N/A</v>
      </c>
      <c r="AS54" s="690"/>
      <c r="AT54" s="569"/>
      <c r="AU54" s="569"/>
      <c r="AV54" s="569"/>
      <c r="AW54" s="475" t="e">
        <f t="shared" si="47"/>
        <v>#N/A</v>
      </c>
      <c r="AX54" s="690"/>
    </row>
    <row r="55" spans="2:50">
      <c r="B55" s="676"/>
      <c r="C55" s="327">
        <v>9</v>
      </c>
      <c r="D55" s="227"/>
      <c r="E55" s="182"/>
      <c r="F55" s="569"/>
      <c r="G55" s="570"/>
      <c r="H55" s="718"/>
      <c r="I55" s="199"/>
      <c r="J55" s="199"/>
      <c r="K55" s="200"/>
      <c r="L55" s="650"/>
      <c r="M55" s="201" t="e">
        <f>RANK(K55, K$47:$K$61)</f>
        <v>#N/A</v>
      </c>
      <c r="N55" s="668"/>
      <c r="O55" s="668"/>
      <c r="P55" s="569"/>
      <c r="Q55" s="569"/>
      <c r="R55" s="569"/>
      <c r="S55" s="334" t="e">
        <f t="shared" si="49"/>
        <v>#N/A</v>
      </c>
      <c r="T55" s="690"/>
      <c r="U55" s="569"/>
      <c r="V55" s="569"/>
      <c r="W55" s="569"/>
      <c r="X55" s="475" t="e">
        <f t="shared" si="37"/>
        <v>#N/A</v>
      </c>
      <c r="Y55" s="690"/>
      <c r="Z55" s="569"/>
      <c r="AA55" s="569"/>
      <c r="AB55" s="569"/>
      <c r="AC55" s="475" t="e">
        <f t="shared" si="39"/>
        <v>#N/A</v>
      </c>
      <c r="AD55" s="690"/>
      <c r="AE55" s="569"/>
      <c r="AF55" s="569"/>
      <c r="AG55" s="569"/>
      <c r="AH55" s="475" t="e">
        <f t="shared" si="41"/>
        <v>#N/A</v>
      </c>
      <c r="AI55" s="690"/>
      <c r="AJ55" s="569"/>
      <c r="AK55" s="569"/>
      <c r="AL55" s="569"/>
      <c r="AM55" s="475" t="e">
        <f t="shared" si="43"/>
        <v>#N/A</v>
      </c>
      <c r="AN55" s="690"/>
      <c r="AO55" s="569"/>
      <c r="AP55" s="569"/>
      <c r="AQ55" s="569"/>
      <c r="AR55" s="475" t="e">
        <f t="shared" si="45"/>
        <v>#N/A</v>
      </c>
      <c r="AS55" s="690"/>
      <c r="AT55" s="569"/>
      <c r="AU55" s="569"/>
      <c r="AV55" s="569"/>
      <c r="AW55" s="475" t="e">
        <f t="shared" si="47"/>
        <v>#N/A</v>
      </c>
      <c r="AX55" s="690"/>
    </row>
    <row r="56" spans="2:50">
      <c r="B56" s="676"/>
      <c r="C56" s="327">
        <v>10</v>
      </c>
      <c r="D56" s="227"/>
      <c r="E56" s="182"/>
      <c r="F56" s="569"/>
      <c r="G56" s="570"/>
      <c r="H56" s="718"/>
      <c r="I56" s="199"/>
      <c r="J56" s="199"/>
      <c r="K56" s="200"/>
      <c r="L56" s="650"/>
      <c r="M56" s="201" t="e">
        <f>RANK(K56, K$47:$K$61)</f>
        <v>#N/A</v>
      </c>
      <c r="N56" s="668"/>
      <c r="O56" s="668"/>
      <c r="P56" s="569"/>
      <c r="Q56" s="569"/>
      <c r="R56" s="569"/>
      <c r="S56" s="334" t="e">
        <f t="shared" si="49"/>
        <v>#N/A</v>
      </c>
      <c r="T56" s="690"/>
      <c r="U56" s="569"/>
      <c r="V56" s="569"/>
      <c r="W56" s="569"/>
      <c r="X56" s="475" t="e">
        <f t="shared" si="37"/>
        <v>#N/A</v>
      </c>
      <c r="Y56" s="690"/>
      <c r="Z56" s="569"/>
      <c r="AA56" s="569"/>
      <c r="AB56" s="569"/>
      <c r="AC56" s="475" t="e">
        <f t="shared" si="39"/>
        <v>#N/A</v>
      </c>
      <c r="AD56" s="690"/>
      <c r="AE56" s="569"/>
      <c r="AF56" s="569"/>
      <c r="AG56" s="569"/>
      <c r="AH56" s="475" t="e">
        <f t="shared" si="41"/>
        <v>#N/A</v>
      </c>
      <c r="AI56" s="690"/>
      <c r="AJ56" s="569"/>
      <c r="AK56" s="569"/>
      <c r="AL56" s="569"/>
      <c r="AM56" s="475" t="e">
        <f t="shared" si="43"/>
        <v>#N/A</v>
      </c>
      <c r="AN56" s="690"/>
      <c r="AO56" s="569"/>
      <c r="AP56" s="569"/>
      <c r="AQ56" s="569"/>
      <c r="AR56" s="475" t="e">
        <f t="shared" si="45"/>
        <v>#N/A</v>
      </c>
      <c r="AS56" s="690"/>
      <c r="AT56" s="569"/>
      <c r="AU56" s="569"/>
      <c r="AV56" s="569"/>
      <c r="AW56" s="475" t="e">
        <f t="shared" si="47"/>
        <v>#N/A</v>
      </c>
      <c r="AX56" s="690"/>
    </row>
    <row r="57" spans="2:50">
      <c r="B57" s="676"/>
      <c r="C57" s="327">
        <v>11</v>
      </c>
      <c r="D57" s="227"/>
      <c r="E57" s="182"/>
      <c r="F57" s="569"/>
      <c r="G57" s="570"/>
      <c r="H57" s="718"/>
      <c r="I57" s="202"/>
      <c r="J57" s="202"/>
      <c r="K57" s="202"/>
      <c r="L57" s="650"/>
      <c r="M57" s="201" t="e">
        <f>RANK(K57, K$47:$K$61)</f>
        <v>#N/A</v>
      </c>
      <c r="N57" s="668"/>
      <c r="O57" s="668"/>
      <c r="P57" s="569"/>
      <c r="Q57" s="569"/>
      <c r="R57" s="569"/>
      <c r="S57" s="334" t="e">
        <f t="shared" si="49"/>
        <v>#N/A</v>
      </c>
      <c r="T57" s="690"/>
      <c r="U57" s="569"/>
      <c r="V57" s="569"/>
      <c r="W57" s="569"/>
      <c r="X57" s="475" t="e">
        <f t="shared" si="37"/>
        <v>#N/A</v>
      </c>
      <c r="Y57" s="690"/>
      <c r="Z57" s="569"/>
      <c r="AA57" s="569"/>
      <c r="AB57" s="569"/>
      <c r="AC57" s="475" t="e">
        <f t="shared" si="39"/>
        <v>#N/A</v>
      </c>
      <c r="AD57" s="690"/>
      <c r="AE57" s="569"/>
      <c r="AF57" s="569"/>
      <c r="AG57" s="569"/>
      <c r="AH57" s="475" t="e">
        <f t="shared" si="41"/>
        <v>#N/A</v>
      </c>
      <c r="AI57" s="690"/>
      <c r="AJ57" s="569"/>
      <c r="AK57" s="569"/>
      <c r="AL57" s="569"/>
      <c r="AM57" s="475" t="e">
        <f t="shared" si="43"/>
        <v>#N/A</v>
      </c>
      <c r="AN57" s="690"/>
      <c r="AO57" s="569"/>
      <c r="AP57" s="569"/>
      <c r="AQ57" s="569"/>
      <c r="AR57" s="475" t="e">
        <f t="shared" si="45"/>
        <v>#N/A</v>
      </c>
      <c r="AS57" s="690"/>
      <c r="AT57" s="569"/>
      <c r="AU57" s="569"/>
      <c r="AV57" s="569"/>
      <c r="AW57" s="475" t="e">
        <f t="shared" si="47"/>
        <v>#N/A</v>
      </c>
      <c r="AX57" s="690"/>
    </row>
    <row r="58" spans="2:50">
      <c r="B58" s="676"/>
      <c r="C58" s="327">
        <v>12</v>
      </c>
      <c r="D58" s="227"/>
      <c r="E58" s="182"/>
      <c r="F58" s="569"/>
      <c r="G58" s="570"/>
      <c r="H58" s="718"/>
      <c r="I58" s="202"/>
      <c r="J58" s="202"/>
      <c r="K58" s="202"/>
      <c r="L58" s="650"/>
      <c r="M58" s="201" t="e">
        <f>RANK(K58, K$47:$K$61)</f>
        <v>#N/A</v>
      </c>
      <c r="N58" s="668"/>
      <c r="O58" s="668"/>
      <c r="P58" s="569"/>
      <c r="Q58" s="569"/>
      <c r="R58" s="569"/>
      <c r="S58" s="334" t="e">
        <f t="shared" si="49"/>
        <v>#N/A</v>
      </c>
      <c r="T58" s="690"/>
      <c r="U58" s="569"/>
      <c r="V58" s="569"/>
      <c r="W58" s="569"/>
      <c r="X58" s="475" t="e">
        <f t="shared" si="37"/>
        <v>#N/A</v>
      </c>
      <c r="Y58" s="690"/>
      <c r="Z58" s="569"/>
      <c r="AA58" s="569"/>
      <c r="AB58" s="569"/>
      <c r="AC58" s="475" t="e">
        <f t="shared" si="39"/>
        <v>#N/A</v>
      </c>
      <c r="AD58" s="690"/>
      <c r="AE58" s="569"/>
      <c r="AF58" s="569"/>
      <c r="AG58" s="569"/>
      <c r="AH58" s="475" t="e">
        <f t="shared" si="41"/>
        <v>#N/A</v>
      </c>
      <c r="AI58" s="690"/>
      <c r="AJ58" s="569"/>
      <c r="AK58" s="569"/>
      <c r="AL58" s="569"/>
      <c r="AM58" s="475" t="e">
        <f t="shared" si="43"/>
        <v>#N/A</v>
      </c>
      <c r="AN58" s="690"/>
      <c r="AO58" s="569"/>
      <c r="AP58" s="569"/>
      <c r="AQ58" s="569"/>
      <c r="AR58" s="475" t="e">
        <f t="shared" si="45"/>
        <v>#N/A</v>
      </c>
      <c r="AS58" s="690"/>
      <c r="AT58" s="569"/>
      <c r="AU58" s="569"/>
      <c r="AV58" s="569"/>
      <c r="AW58" s="475" t="e">
        <f t="shared" si="47"/>
        <v>#N/A</v>
      </c>
      <c r="AX58" s="690"/>
    </row>
    <row r="59" spans="2:50">
      <c r="B59" s="676"/>
      <c r="C59" s="327">
        <v>13</v>
      </c>
      <c r="D59" s="227"/>
      <c r="E59" s="182"/>
      <c r="F59" s="569"/>
      <c r="G59" s="570"/>
      <c r="H59" s="718"/>
      <c r="I59" s="202"/>
      <c r="J59" s="202"/>
      <c r="K59" s="202"/>
      <c r="L59" s="650"/>
      <c r="M59" s="201" t="e">
        <f>RANK(K59, K$47:$K$61)</f>
        <v>#N/A</v>
      </c>
      <c r="N59" s="668"/>
      <c r="O59" s="668"/>
      <c r="P59" s="569"/>
      <c r="Q59" s="569"/>
      <c r="R59" s="569"/>
      <c r="S59" s="334" t="e">
        <f t="shared" si="49"/>
        <v>#N/A</v>
      </c>
      <c r="T59" s="690"/>
      <c r="U59" s="569"/>
      <c r="V59" s="569"/>
      <c r="W59" s="569"/>
      <c r="X59" s="475" t="e">
        <f t="shared" si="37"/>
        <v>#N/A</v>
      </c>
      <c r="Y59" s="690"/>
      <c r="Z59" s="569"/>
      <c r="AA59" s="569"/>
      <c r="AB59" s="569"/>
      <c r="AC59" s="475" t="e">
        <f t="shared" si="39"/>
        <v>#N/A</v>
      </c>
      <c r="AD59" s="690"/>
      <c r="AE59" s="569"/>
      <c r="AF59" s="569"/>
      <c r="AG59" s="569"/>
      <c r="AH59" s="475" t="e">
        <f t="shared" si="41"/>
        <v>#N/A</v>
      </c>
      <c r="AI59" s="690"/>
      <c r="AJ59" s="569"/>
      <c r="AK59" s="569"/>
      <c r="AL59" s="569"/>
      <c r="AM59" s="475" t="e">
        <f t="shared" si="43"/>
        <v>#N/A</v>
      </c>
      <c r="AN59" s="690"/>
      <c r="AO59" s="569"/>
      <c r="AP59" s="569"/>
      <c r="AQ59" s="569"/>
      <c r="AR59" s="475" t="e">
        <f t="shared" si="45"/>
        <v>#N/A</v>
      </c>
      <c r="AS59" s="690"/>
      <c r="AT59" s="569"/>
      <c r="AU59" s="569"/>
      <c r="AV59" s="569"/>
      <c r="AW59" s="475" t="e">
        <f t="shared" si="47"/>
        <v>#N/A</v>
      </c>
      <c r="AX59" s="690"/>
    </row>
    <row r="60" spans="2:50">
      <c r="B60" s="676"/>
      <c r="C60" s="327">
        <v>14</v>
      </c>
      <c r="D60" s="227"/>
      <c r="E60" s="182"/>
      <c r="F60" s="569"/>
      <c r="G60" s="570"/>
      <c r="H60" s="718"/>
      <c r="I60" s="202"/>
      <c r="J60" s="202"/>
      <c r="K60" s="202"/>
      <c r="L60" s="650"/>
      <c r="M60" s="201" t="e">
        <f>RANK(K60, K$47:$K$61)</f>
        <v>#N/A</v>
      </c>
      <c r="N60" s="668"/>
      <c r="O60" s="668"/>
      <c r="P60" s="569"/>
      <c r="Q60" s="569"/>
      <c r="R60" s="569"/>
      <c r="S60" s="334" t="e">
        <f t="shared" si="49"/>
        <v>#N/A</v>
      </c>
      <c r="T60" s="690"/>
      <c r="U60" s="569"/>
      <c r="V60" s="569"/>
      <c r="W60" s="569"/>
      <c r="X60" s="475" t="e">
        <f t="shared" si="37"/>
        <v>#N/A</v>
      </c>
      <c r="Y60" s="690"/>
      <c r="Z60" s="569"/>
      <c r="AA60" s="569"/>
      <c r="AB60" s="569"/>
      <c r="AC60" s="475" t="e">
        <f t="shared" si="39"/>
        <v>#N/A</v>
      </c>
      <c r="AD60" s="690"/>
      <c r="AE60" s="569"/>
      <c r="AF60" s="569"/>
      <c r="AG60" s="569"/>
      <c r="AH60" s="475" t="e">
        <f t="shared" si="41"/>
        <v>#N/A</v>
      </c>
      <c r="AI60" s="690"/>
      <c r="AJ60" s="569"/>
      <c r="AK60" s="569"/>
      <c r="AL60" s="569"/>
      <c r="AM60" s="475" t="e">
        <f t="shared" si="43"/>
        <v>#N/A</v>
      </c>
      <c r="AN60" s="690"/>
      <c r="AO60" s="569"/>
      <c r="AP60" s="569"/>
      <c r="AQ60" s="569"/>
      <c r="AR60" s="475" t="e">
        <f t="shared" si="45"/>
        <v>#N/A</v>
      </c>
      <c r="AS60" s="690"/>
      <c r="AT60" s="569"/>
      <c r="AU60" s="569"/>
      <c r="AV60" s="569"/>
      <c r="AW60" s="475" t="e">
        <f t="shared" si="47"/>
        <v>#N/A</v>
      </c>
      <c r="AX60" s="690"/>
    </row>
    <row r="61" spans="2:50">
      <c r="B61" s="676"/>
      <c r="C61" s="327">
        <v>15</v>
      </c>
      <c r="D61" s="227"/>
      <c r="E61" s="182"/>
      <c r="F61" s="569"/>
      <c r="G61" s="570"/>
      <c r="H61" s="719"/>
      <c r="I61" s="202"/>
      <c r="J61" s="202"/>
      <c r="K61" s="202"/>
      <c r="L61" s="651"/>
      <c r="M61" s="201" t="e">
        <f>RANK(K61, K$47:$K$61)</f>
        <v>#N/A</v>
      </c>
      <c r="N61" s="668"/>
      <c r="O61" s="668"/>
      <c r="P61" s="569"/>
      <c r="Q61" s="569"/>
      <c r="R61" s="569"/>
      <c r="S61" s="334" t="e">
        <f t="shared" si="49"/>
        <v>#N/A</v>
      </c>
      <c r="T61" s="690"/>
      <c r="U61" s="569"/>
      <c r="V61" s="569"/>
      <c r="W61" s="569"/>
      <c r="X61" s="475" t="e">
        <f t="shared" si="37"/>
        <v>#N/A</v>
      </c>
      <c r="Y61" s="690"/>
      <c r="Z61" s="569"/>
      <c r="AA61" s="569"/>
      <c r="AB61" s="569"/>
      <c r="AC61" s="475" t="e">
        <f t="shared" si="39"/>
        <v>#N/A</v>
      </c>
      <c r="AD61" s="690"/>
      <c r="AE61" s="569"/>
      <c r="AF61" s="569"/>
      <c r="AG61" s="569"/>
      <c r="AH61" s="475" t="e">
        <f t="shared" si="41"/>
        <v>#N/A</v>
      </c>
      <c r="AI61" s="690"/>
      <c r="AJ61" s="569"/>
      <c r="AK61" s="569"/>
      <c r="AL61" s="569"/>
      <c r="AM61" s="475" t="e">
        <f t="shared" si="43"/>
        <v>#N/A</v>
      </c>
      <c r="AN61" s="690"/>
      <c r="AO61" s="569"/>
      <c r="AP61" s="569"/>
      <c r="AQ61" s="569"/>
      <c r="AR61" s="475" t="e">
        <f t="shared" si="45"/>
        <v>#N/A</v>
      </c>
      <c r="AS61" s="690"/>
      <c r="AT61" s="569"/>
      <c r="AU61" s="569"/>
      <c r="AV61" s="569"/>
      <c r="AW61" s="475" t="e">
        <f t="shared" si="47"/>
        <v>#N/A</v>
      </c>
      <c r="AX61" s="690"/>
    </row>
    <row r="62" spans="2:50" ht="15.75">
      <c r="B62" s="680" t="s">
        <v>163</v>
      </c>
      <c r="C62" s="681"/>
      <c r="D62" s="681"/>
      <c r="E62" s="681"/>
      <c r="F62" s="681"/>
      <c r="G62" s="681"/>
      <c r="H62" s="682"/>
      <c r="I62" s="208"/>
      <c r="J62" s="208"/>
      <c r="K62" s="208"/>
      <c r="L62" s="208"/>
      <c r="M62" s="207"/>
      <c r="N62" s="669" t="s">
        <v>156</v>
      </c>
      <c r="O62" s="669" t="s">
        <v>105</v>
      </c>
      <c r="P62" s="675">
        <f>P42+7</f>
        <v>46105</v>
      </c>
      <c r="Q62" s="676"/>
      <c r="R62" s="676"/>
      <c r="S62" s="676"/>
      <c r="T62" s="676"/>
      <c r="U62" s="672">
        <f>P62+1</f>
        <v>46106</v>
      </c>
      <c r="V62" s="673"/>
      <c r="W62" s="673"/>
      <c r="X62" s="673"/>
      <c r="Y62" s="674"/>
      <c r="Z62" s="672">
        <f>U62+1</f>
        <v>46107</v>
      </c>
      <c r="AA62" s="673"/>
      <c r="AB62" s="673"/>
      <c r="AC62" s="673"/>
      <c r="AD62" s="674"/>
      <c r="AE62" s="672">
        <f>Z62+1</f>
        <v>46108</v>
      </c>
      <c r="AF62" s="673"/>
      <c r="AG62" s="673"/>
      <c r="AH62" s="673"/>
      <c r="AI62" s="674"/>
      <c r="AJ62" s="672">
        <f>AE62+1</f>
        <v>46109</v>
      </c>
      <c r="AK62" s="673"/>
      <c r="AL62" s="673"/>
      <c r="AM62" s="673"/>
      <c r="AN62" s="674"/>
      <c r="AO62" s="672">
        <f>AJ62+1</f>
        <v>46110</v>
      </c>
      <c r="AP62" s="673"/>
      <c r="AQ62" s="673"/>
      <c r="AR62" s="673"/>
      <c r="AS62" s="674"/>
      <c r="AT62" s="672">
        <f>AO62+1</f>
        <v>46111</v>
      </c>
      <c r="AU62" s="673"/>
      <c r="AV62" s="673"/>
      <c r="AW62" s="673"/>
      <c r="AX62" s="674"/>
    </row>
    <row r="63" spans="2:50" ht="15.75">
      <c r="B63" s="683"/>
      <c r="C63" s="683"/>
      <c r="D63" s="683"/>
      <c r="E63" s="683"/>
      <c r="F63" s="683"/>
      <c r="G63" s="683"/>
      <c r="H63" s="683"/>
      <c r="I63" s="205"/>
      <c r="J63" s="205"/>
      <c r="K63" s="205"/>
      <c r="L63" s="205"/>
      <c r="M63" s="206"/>
      <c r="N63" s="671"/>
      <c r="O63" s="671"/>
      <c r="P63" s="675" t="s">
        <v>336</v>
      </c>
      <c r="Q63" s="676"/>
      <c r="R63" s="676"/>
      <c r="S63" s="676"/>
      <c r="T63" s="676"/>
      <c r="U63" s="675" t="s">
        <v>337</v>
      </c>
      <c r="V63" s="676"/>
      <c r="W63" s="676"/>
      <c r="X63" s="676"/>
      <c r="Y63" s="676"/>
      <c r="Z63" s="675" t="s">
        <v>338</v>
      </c>
      <c r="AA63" s="676"/>
      <c r="AB63" s="676"/>
      <c r="AC63" s="676"/>
      <c r="AD63" s="676"/>
      <c r="AE63" s="675" t="s">
        <v>339</v>
      </c>
      <c r="AF63" s="676"/>
      <c r="AG63" s="676"/>
      <c r="AH63" s="676"/>
      <c r="AI63" s="676"/>
      <c r="AJ63" s="675" t="s">
        <v>340</v>
      </c>
      <c r="AK63" s="676"/>
      <c r="AL63" s="676"/>
      <c r="AM63" s="676"/>
      <c r="AN63" s="676"/>
      <c r="AO63" s="675" t="s">
        <v>341</v>
      </c>
      <c r="AP63" s="676"/>
      <c r="AQ63" s="676"/>
      <c r="AR63" s="676"/>
      <c r="AS63" s="676"/>
      <c r="AT63" s="675" t="s">
        <v>342</v>
      </c>
      <c r="AU63" s="676"/>
      <c r="AV63" s="676"/>
      <c r="AW63" s="676"/>
      <c r="AX63" s="676"/>
    </row>
    <row r="64" spans="2:50">
      <c r="B64" s="668" t="s">
        <v>419</v>
      </c>
      <c r="C64" s="668" t="s">
        <v>429</v>
      </c>
      <c r="D64" s="668"/>
      <c r="E64" s="668" t="s">
        <v>420</v>
      </c>
      <c r="F64" s="668"/>
      <c r="G64" s="668"/>
      <c r="H64" s="684" t="s">
        <v>416</v>
      </c>
      <c r="I64" s="652" t="s">
        <v>421</v>
      </c>
      <c r="J64" s="652"/>
      <c r="K64" s="652"/>
      <c r="L64" s="653" t="s">
        <v>416</v>
      </c>
      <c r="M64" s="659" t="s">
        <v>417</v>
      </c>
      <c r="N64" s="668"/>
      <c r="O64" s="668" t="s">
        <v>422</v>
      </c>
      <c r="P64" s="665" t="s">
        <v>418</v>
      </c>
      <c r="Q64" s="666"/>
      <c r="R64" s="666"/>
      <c r="S64" s="667"/>
      <c r="T64" s="668" t="s">
        <v>416</v>
      </c>
      <c r="U64" s="665" t="s">
        <v>418</v>
      </c>
      <c r="V64" s="666"/>
      <c r="W64" s="666"/>
      <c r="X64" s="667"/>
      <c r="Y64" s="668" t="s">
        <v>416</v>
      </c>
      <c r="Z64" s="665" t="s">
        <v>418</v>
      </c>
      <c r="AA64" s="666"/>
      <c r="AB64" s="666"/>
      <c r="AC64" s="667"/>
      <c r="AD64" s="668" t="s">
        <v>416</v>
      </c>
      <c r="AE64" s="665" t="s">
        <v>418</v>
      </c>
      <c r="AF64" s="666"/>
      <c r="AG64" s="666"/>
      <c r="AH64" s="667"/>
      <c r="AI64" s="668" t="s">
        <v>416</v>
      </c>
      <c r="AJ64" s="665" t="s">
        <v>418</v>
      </c>
      <c r="AK64" s="666"/>
      <c r="AL64" s="666"/>
      <c r="AM64" s="667"/>
      <c r="AN64" s="668" t="s">
        <v>416</v>
      </c>
      <c r="AO64" s="665" t="s">
        <v>418</v>
      </c>
      <c r="AP64" s="666"/>
      <c r="AQ64" s="666"/>
      <c r="AR64" s="667"/>
      <c r="AS64" s="668" t="s">
        <v>416</v>
      </c>
      <c r="AT64" s="665" t="s">
        <v>418</v>
      </c>
      <c r="AU64" s="666"/>
      <c r="AV64" s="666"/>
      <c r="AW64" s="667"/>
      <c r="AX64" s="668" t="s">
        <v>416</v>
      </c>
    </row>
    <row r="65" spans="2:50">
      <c r="B65" s="668"/>
      <c r="C65" s="668"/>
      <c r="D65" s="668"/>
      <c r="E65" s="668" t="s">
        <v>423</v>
      </c>
      <c r="F65" s="668"/>
      <c r="G65" s="668"/>
      <c r="H65" s="685"/>
      <c r="I65" s="652" t="s">
        <v>423</v>
      </c>
      <c r="J65" s="652"/>
      <c r="K65" s="652"/>
      <c r="L65" s="654"/>
      <c r="M65" s="660"/>
      <c r="N65" s="668"/>
      <c r="O65" s="668"/>
      <c r="P65" s="665" t="s">
        <v>424</v>
      </c>
      <c r="Q65" s="666"/>
      <c r="R65" s="666"/>
      <c r="S65" s="667"/>
      <c r="T65" s="668"/>
      <c r="U65" s="665" t="s">
        <v>424</v>
      </c>
      <c r="V65" s="666"/>
      <c r="W65" s="666"/>
      <c r="X65" s="667"/>
      <c r="Y65" s="668"/>
      <c r="Z65" s="665" t="s">
        <v>424</v>
      </c>
      <c r="AA65" s="666"/>
      <c r="AB65" s="666"/>
      <c r="AC65" s="667"/>
      <c r="AD65" s="668"/>
      <c r="AE65" s="665" t="s">
        <v>424</v>
      </c>
      <c r="AF65" s="666"/>
      <c r="AG65" s="666"/>
      <c r="AH65" s="667"/>
      <c r="AI65" s="668"/>
      <c r="AJ65" s="665" t="s">
        <v>424</v>
      </c>
      <c r="AK65" s="666"/>
      <c r="AL65" s="666"/>
      <c r="AM65" s="667"/>
      <c r="AN65" s="668"/>
      <c r="AO65" s="665" t="s">
        <v>424</v>
      </c>
      <c r="AP65" s="666"/>
      <c r="AQ65" s="666"/>
      <c r="AR65" s="667"/>
      <c r="AS65" s="668"/>
      <c r="AT65" s="665" t="s">
        <v>424</v>
      </c>
      <c r="AU65" s="666"/>
      <c r="AV65" s="666"/>
      <c r="AW65" s="667"/>
      <c r="AX65" s="668"/>
    </row>
    <row r="66" spans="2:50">
      <c r="B66" s="668"/>
      <c r="C66" s="668"/>
      <c r="D66" s="668"/>
      <c r="E66" s="308" t="s">
        <v>425</v>
      </c>
      <c r="F66" s="308" t="s">
        <v>426</v>
      </c>
      <c r="G66" s="308" t="s">
        <v>427</v>
      </c>
      <c r="H66" s="686"/>
      <c r="I66" s="307" t="s">
        <v>425</v>
      </c>
      <c r="J66" s="307" t="s">
        <v>426</v>
      </c>
      <c r="K66" s="307" t="s">
        <v>427</v>
      </c>
      <c r="L66" s="655"/>
      <c r="M66" s="661"/>
      <c r="N66" s="668"/>
      <c r="O66" s="668"/>
      <c r="P66" s="308" t="s">
        <v>425</v>
      </c>
      <c r="Q66" s="308" t="s">
        <v>426</v>
      </c>
      <c r="R66" s="308" t="s">
        <v>427</v>
      </c>
      <c r="S66" s="308" t="s">
        <v>417</v>
      </c>
      <c r="T66" s="668"/>
      <c r="U66" s="308" t="s">
        <v>425</v>
      </c>
      <c r="V66" s="308" t="s">
        <v>426</v>
      </c>
      <c r="W66" s="308" t="s">
        <v>427</v>
      </c>
      <c r="X66" s="308" t="s">
        <v>417</v>
      </c>
      <c r="Y66" s="668"/>
      <c r="Z66" s="308" t="s">
        <v>425</v>
      </c>
      <c r="AA66" s="308" t="s">
        <v>426</v>
      </c>
      <c r="AB66" s="308" t="s">
        <v>427</v>
      </c>
      <c r="AC66" s="308" t="s">
        <v>417</v>
      </c>
      <c r="AD66" s="668"/>
      <c r="AE66" s="308" t="s">
        <v>425</v>
      </c>
      <c r="AF66" s="308" t="s">
        <v>426</v>
      </c>
      <c r="AG66" s="308" t="s">
        <v>427</v>
      </c>
      <c r="AH66" s="308" t="s">
        <v>417</v>
      </c>
      <c r="AI66" s="668"/>
      <c r="AJ66" s="308" t="s">
        <v>425</v>
      </c>
      <c r="AK66" s="308" t="s">
        <v>426</v>
      </c>
      <c r="AL66" s="308" t="s">
        <v>427</v>
      </c>
      <c r="AM66" s="308" t="s">
        <v>417</v>
      </c>
      <c r="AN66" s="668"/>
      <c r="AO66" s="308" t="s">
        <v>425</v>
      </c>
      <c r="AP66" s="308" t="s">
        <v>426</v>
      </c>
      <c r="AQ66" s="308" t="s">
        <v>427</v>
      </c>
      <c r="AR66" s="308" t="s">
        <v>417</v>
      </c>
      <c r="AS66" s="668"/>
      <c r="AT66" s="308" t="s">
        <v>425</v>
      </c>
      <c r="AU66" s="308" t="s">
        <v>426</v>
      </c>
      <c r="AV66" s="308" t="s">
        <v>427</v>
      </c>
      <c r="AW66" s="308" t="s">
        <v>417</v>
      </c>
      <c r="AX66" s="668"/>
    </row>
    <row r="67" spans="2:50">
      <c r="B67" s="668" t="s">
        <v>430</v>
      </c>
      <c r="C67" s="309">
        <v>1</v>
      </c>
      <c r="D67" s="227" t="s">
        <v>870</v>
      </c>
      <c r="E67" s="182">
        <v>13</v>
      </c>
      <c r="F67" s="569">
        <v>1500</v>
      </c>
      <c r="G67" s="570">
        <v>115.38461538461539</v>
      </c>
      <c r="H67" s="717">
        <f>AVERAGE(G67:G81)</f>
        <v>107.69230769230769</v>
      </c>
      <c r="I67" s="199">
        <f t="shared" ref="I67:K67" si="50">AVERAGE(P67,U67,Z67,AE67,AJ67,AO67,AT67)</f>
        <v>13</v>
      </c>
      <c r="J67" s="199">
        <f t="shared" si="50"/>
        <v>1337.4285714285732</v>
      </c>
      <c r="K67" s="200">
        <f t="shared" si="50"/>
        <v>102.87912087912102</v>
      </c>
      <c r="L67" s="649">
        <f>IFERROR(AVERAGE(K67:K81),"-")</f>
        <v>112.12612003381241</v>
      </c>
      <c r="M67" s="201">
        <f>RANK(K67, K$67:$K$81)</f>
        <v>2</v>
      </c>
      <c r="N67" s="668"/>
      <c r="O67" s="668"/>
      <c r="P67" s="182">
        <v>13</v>
      </c>
      <c r="Q67" s="182">
        <v>1278.0000000000045</v>
      </c>
      <c r="R67" s="570">
        <v>98.307692307692662</v>
      </c>
      <c r="S67" s="309">
        <f>RANK(R67, R$67:R$81)</f>
        <v>2</v>
      </c>
      <c r="T67" s="690">
        <f>AVERAGE(R67:R81)</f>
        <v>106.84615384615404</v>
      </c>
      <c r="U67" s="182">
        <v>13</v>
      </c>
      <c r="V67" s="182">
        <v>1248.0000000000045</v>
      </c>
      <c r="W67" s="570">
        <v>96.000000000000355</v>
      </c>
      <c r="X67" s="475">
        <f t="shared" ref="X67:X81" si="51">RANK(W67, W$67:W$81)</f>
        <v>2</v>
      </c>
      <c r="Y67" s="690">
        <f t="shared" ref="Y67" si="52">AVERAGE(W67:W81)</f>
        <v>107.96153846153859</v>
      </c>
      <c r="Z67" s="182">
        <v>13</v>
      </c>
      <c r="AA67" s="182">
        <v>1263.0000000000045</v>
      </c>
      <c r="AB67" s="570">
        <v>97.153846153846501</v>
      </c>
      <c r="AC67" s="475">
        <f t="shared" ref="AC67:AC81" si="53">RANK(AB67, AB$67:AB$81)</f>
        <v>2</v>
      </c>
      <c r="AD67" s="690">
        <f t="shared" ref="AD67" si="54">AVERAGE(AB67:AB81)</f>
        <v>107.12130177514807</v>
      </c>
      <c r="AE67" s="182">
        <v>13</v>
      </c>
      <c r="AF67" s="182">
        <v>1451.9999999999975</v>
      </c>
      <c r="AG67" s="570">
        <v>111.69230769230749</v>
      </c>
      <c r="AH67" s="475">
        <f t="shared" ref="AH67:AH81" si="55">RANK(AG67, AG$67:AG$81)</f>
        <v>2</v>
      </c>
      <c r="AI67" s="690">
        <f t="shared" ref="AI67" si="56">AVERAGE(AG67:AG81)</f>
        <v>113.07692307692304</v>
      </c>
      <c r="AJ67" s="182">
        <v>13</v>
      </c>
      <c r="AK67" s="182">
        <v>1301.9999999999995</v>
      </c>
      <c r="AL67" s="570">
        <v>100.15384615384612</v>
      </c>
      <c r="AM67" s="475">
        <f t="shared" ref="AM67:AM81" si="57">RANK(AL67, AL$67:AL$81)</f>
        <v>2</v>
      </c>
      <c r="AN67" s="690">
        <f t="shared" ref="AN67" si="58">AVERAGE(AL67:AL81)</f>
        <v>110.95384615384611</v>
      </c>
      <c r="AO67" s="182">
        <v>13</v>
      </c>
      <c r="AP67" s="182">
        <v>1471.9999999999973</v>
      </c>
      <c r="AQ67" s="570">
        <v>113.23076923076903</v>
      </c>
      <c r="AR67" s="475">
        <f t="shared" ref="AR67:AR81" si="59">RANK(AQ67, AQ$67:AQ$81)</f>
        <v>2</v>
      </c>
      <c r="AS67" s="690">
        <f t="shared" ref="AS67" si="60">AVERAGE(AQ67:AQ81)</f>
        <v>124.15384615384605</v>
      </c>
      <c r="AT67" s="182">
        <v>13</v>
      </c>
      <c r="AU67" s="182">
        <v>1347.0000000000048</v>
      </c>
      <c r="AV67" s="570">
        <v>103.61538461538498</v>
      </c>
      <c r="AW67" s="475">
        <f t="shared" ref="AW67:AW81" si="61">RANK(AV67, AV$67:AV$81)</f>
        <v>2</v>
      </c>
      <c r="AX67" s="690">
        <f t="shared" ref="AX67" si="62">AVERAGE(AV67:AV81)</f>
        <v>114.76923076923096</v>
      </c>
    </row>
    <row r="68" spans="2:50">
      <c r="B68" s="676"/>
      <c r="C68" s="309">
        <v>2</v>
      </c>
      <c r="D68" s="227" t="s">
        <v>926</v>
      </c>
      <c r="E68" s="182">
        <v>15</v>
      </c>
      <c r="F68" s="569">
        <v>1500</v>
      </c>
      <c r="G68" s="570">
        <v>100</v>
      </c>
      <c r="H68" s="718"/>
      <c r="I68" s="563">
        <f t="shared" ref="I68" si="63">AVERAGE(P68,U68,Z68,AE68,AJ68,AO68,AT68)</f>
        <v>13</v>
      </c>
      <c r="J68" s="563">
        <f t="shared" ref="J68" si="64">AVERAGE(Q68,V68,AA68,AF68,AK68,AP68,AU68)</f>
        <v>1577.8505494505494</v>
      </c>
      <c r="K68" s="200">
        <f t="shared" ref="K68" si="65">AVERAGE(R68,W68,AB68,AG68,AL68,AQ68,AV68)</f>
        <v>121.37311918850379</v>
      </c>
      <c r="L68" s="650"/>
      <c r="M68" s="201">
        <f>RANK(K68, K$67:$K$81)</f>
        <v>1</v>
      </c>
      <c r="N68" s="668"/>
      <c r="O68" s="668"/>
      <c r="P68" s="569">
        <v>13</v>
      </c>
      <c r="Q68" s="182">
        <v>1500.0000000000005</v>
      </c>
      <c r="R68" s="570">
        <v>115.38461538461542</v>
      </c>
      <c r="S68" s="339">
        <f t="shared" ref="S68:S81" si="66">RANK(R68, R$67:R$81)</f>
        <v>1</v>
      </c>
      <c r="T68" s="690"/>
      <c r="U68" s="569">
        <v>13</v>
      </c>
      <c r="V68" s="182">
        <v>1558.9999999999991</v>
      </c>
      <c r="W68" s="570">
        <v>119.92307692307685</v>
      </c>
      <c r="X68" s="475">
        <f t="shared" si="51"/>
        <v>1</v>
      </c>
      <c r="Y68" s="690"/>
      <c r="Z68" s="569">
        <v>13</v>
      </c>
      <c r="AA68" s="182">
        <v>1522.1538461538453</v>
      </c>
      <c r="AB68" s="570">
        <v>117.08875739644964</v>
      </c>
      <c r="AC68" s="475">
        <f t="shared" si="53"/>
        <v>1</v>
      </c>
      <c r="AD68" s="690"/>
      <c r="AE68" s="569">
        <v>13</v>
      </c>
      <c r="AF68" s="182">
        <v>1488.0000000000014</v>
      </c>
      <c r="AG68" s="570">
        <v>114.46153846153857</v>
      </c>
      <c r="AH68" s="475">
        <f t="shared" si="55"/>
        <v>1</v>
      </c>
      <c r="AI68" s="690"/>
      <c r="AJ68" s="569">
        <v>13</v>
      </c>
      <c r="AK68" s="182">
        <v>1582.7999999999993</v>
      </c>
      <c r="AL68" s="570">
        <v>121.7538461538461</v>
      </c>
      <c r="AM68" s="475">
        <f t="shared" si="57"/>
        <v>1</v>
      </c>
      <c r="AN68" s="690"/>
      <c r="AO68" s="569">
        <v>13</v>
      </c>
      <c r="AP68" s="182">
        <v>1756</v>
      </c>
      <c r="AQ68" s="570">
        <v>135.07692307692307</v>
      </c>
      <c r="AR68" s="475">
        <f t="shared" si="59"/>
        <v>1</v>
      </c>
      <c r="AS68" s="690"/>
      <c r="AT68" s="569">
        <v>13</v>
      </c>
      <c r="AU68" s="182">
        <v>1637.0000000000002</v>
      </c>
      <c r="AV68" s="570">
        <v>125.92307692307693</v>
      </c>
      <c r="AW68" s="475">
        <f t="shared" si="61"/>
        <v>1</v>
      </c>
      <c r="AX68" s="690"/>
    </row>
    <row r="69" spans="2:50">
      <c r="B69" s="676"/>
      <c r="C69" s="309">
        <v>3</v>
      </c>
      <c r="D69" s="227"/>
      <c r="E69" s="182"/>
      <c r="F69" s="569"/>
      <c r="G69" s="570"/>
      <c r="H69" s="718"/>
      <c r="I69" s="199"/>
      <c r="J69" s="199"/>
      <c r="K69" s="200"/>
      <c r="L69" s="650"/>
      <c r="M69" s="201" t="e">
        <f>RANK(K69, K$67:$K$81)</f>
        <v>#N/A</v>
      </c>
      <c r="N69" s="668"/>
      <c r="O69" s="668"/>
      <c r="P69" s="569"/>
      <c r="Q69" s="569"/>
      <c r="R69" s="569"/>
      <c r="S69" s="339" t="e">
        <f t="shared" si="66"/>
        <v>#N/A</v>
      </c>
      <c r="T69" s="690"/>
      <c r="U69" s="569"/>
      <c r="V69" s="569"/>
      <c r="W69" s="569"/>
      <c r="X69" s="475" t="e">
        <f t="shared" si="51"/>
        <v>#N/A</v>
      </c>
      <c r="Y69" s="690"/>
      <c r="Z69" s="569"/>
      <c r="AA69" s="569"/>
      <c r="AB69" s="569"/>
      <c r="AC69" s="475" t="e">
        <f t="shared" si="53"/>
        <v>#N/A</v>
      </c>
      <c r="AD69" s="690"/>
      <c r="AE69" s="569"/>
      <c r="AF69" s="569"/>
      <c r="AG69" s="569"/>
      <c r="AH69" s="475" t="e">
        <f t="shared" si="55"/>
        <v>#N/A</v>
      </c>
      <c r="AI69" s="690"/>
      <c r="AJ69" s="569"/>
      <c r="AK69" s="569"/>
      <c r="AL69" s="569"/>
      <c r="AM69" s="475" t="e">
        <f t="shared" si="57"/>
        <v>#N/A</v>
      </c>
      <c r="AN69" s="690"/>
      <c r="AO69" s="569"/>
      <c r="AP69" s="569"/>
      <c r="AQ69" s="569"/>
      <c r="AR69" s="475" t="e">
        <f t="shared" si="59"/>
        <v>#N/A</v>
      </c>
      <c r="AS69" s="690"/>
      <c r="AT69" s="569"/>
      <c r="AU69" s="569"/>
      <c r="AV69" s="569"/>
      <c r="AW69" s="475" t="e">
        <f t="shared" si="61"/>
        <v>#N/A</v>
      </c>
      <c r="AX69" s="690"/>
    </row>
    <row r="70" spans="2:50">
      <c r="B70" s="676"/>
      <c r="C70" s="309">
        <v>4</v>
      </c>
      <c r="D70" s="227"/>
      <c r="E70" s="182"/>
      <c r="F70" s="569"/>
      <c r="G70" s="570"/>
      <c r="H70" s="718"/>
      <c r="I70" s="199"/>
      <c r="J70" s="199"/>
      <c r="K70" s="200"/>
      <c r="L70" s="650"/>
      <c r="M70" s="201" t="e">
        <f>RANK(K70, K$67:$K$81)</f>
        <v>#N/A</v>
      </c>
      <c r="N70" s="668"/>
      <c r="O70" s="668"/>
      <c r="P70" s="569"/>
      <c r="Q70" s="569"/>
      <c r="R70" s="569"/>
      <c r="S70" s="339" t="e">
        <f t="shared" si="66"/>
        <v>#N/A</v>
      </c>
      <c r="T70" s="690"/>
      <c r="U70" s="569"/>
      <c r="V70" s="569"/>
      <c r="W70" s="569"/>
      <c r="X70" s="475" t="e">
        <f t="shared" si="51"/>
        <v>#N/A</v>
      </c>
      <c r="Y70" s="690"/>
      <c r="Z70" s="569"/>
      <c r="AA70" s="569"/>
      <c r="AB70" s="569"/>
      <c r="AC70" s="475" t="e">
        <f t="shared" si="53"/>
        <v>#N/A</v>
      </c>
      <c r="AD70" s="690"/>
      <c r="AE70" s="569"/>
      <c r="AF70" s="569"/>
      <c r="AG70" s="569"/>
      <c r="AH70" s="475" t="e">
        <f t="shared" si="55"/>
        <v>#N/A</v>
      </c>
      <c r="AI70" s="690"/>
      <c r="AJ70" s="569"/>
      <c r="AK70" s="569"/>
      <c r="AL70" s="569"/>
      <c r="AM70" s="475" t="e">
        <f t="shared" si="57"/>
        <v>#N/A</v>
      </c>
      <c r="AN70" s="690"/>
      <c r="AO70" s="569"/>
      <c r="AP70" s="569"/>
      <c r="AQ70" s="569"/>
      <c r="AR70" s="475" t="e">
        <f t="shared" si="59"/>
        <v>#N/A</v>
      </c>
      <c r="AS70" s="690"/>
      <c r="AT70" s="569"/>
      <c r="AU70" s="569"/>
      <c r="AV70" s="569"/>
      <c r="AW70" s="475" t="e">
        <f t="shared" si="61"/>
        <v>#N/A</v>
      </c>
      <c r="AX70" s="690"/>
    </row>
    <row r="71" spans="2:50">
      <c r="B71" s="676"/>
      <c r="C71" s="309">
        <v>5</v>
      </c>
      <c r="D71" s="227"/>
      <c r="E71" s="182"/>
      <c r="F71" s="569"/>
      <c r="G71" s="570"/>
      <c r="H71" s="718"/>
      <c r="I71" s="199"/>
      <c r="J71" s="199"/>
      <c r="K71" s="200"/>
      <c r="L71" s="650"/>
      <c r="M71" s="201" t="e">
        <f>RANK(K71, K$67:$K$81)</f>
        <v>#N/A</v>
      </c>
      <c r="N71" s="668"/>
      <c r="O71" s="668"/>
      <c r="P71" s="569"/>
      <c r="Q71" s="569"/>
      <c r="R71" s="569"/>
      <c r="S71" s="339" t="e">
        <f t="shared" si="66"/>
        <v>#N/A</v>
      </c>
      <c r="T71" s="690"/>
      <c r="U71" s="569"/>
      <c r="V71" s="569"/>
      <c r="W71" s="569"/>
      <c r="X71" s="475" t="e">
        <f t="shared" si="51"/>
        <v>#N/A</v>
      </c>
      <c r="Y71" s="690"/>
      <c r="Z71" s="569"/>
      <c r="AA71" s="569"/>
      <c r="AB71" s="569"/>
      <c r="AC71" s="475" t="e">
        <f t="shared" si="53"/>
        <v>#N/A</v>
      </c>
      <c r="AD71" s="690"/>
      <c r="AE71" s="569"/>
      <c r="AF71" s="569"/>
      <c r="AG71" s="569"/>
      <c r="AH71" s="475" t="e">
        <f t="shared" si="55"/>
        <v>#N/A</v>
      </c>
      <c r="AI71" s="690"/>
      <c r="AJ71" s="569"/>
      <c r="AK71" s="569"/>
      <c r="AL71" s="569"/>
      <c r="AM71" s="475" t="e">
        <f t="shared" si="57"/>
        <v>#N/A</v>
      </c>
      <c r="AN71" s="690"/>
      <c r="AO71" s="569"/>
      <c r="AP71" s="569"/>
      <c r="AQ71" s="569"/>
      <c r="AR71" s="475" t="e">
        <f t="shared" si="59"/>
        <v>#N/A</v>
      </c>
      <c r="AS71" s="690"/>
      <c r="AT71" s="569"/>
      <c r="AU71" s="569"/>
      <c r="AV71" s="569"/>
      <c r="AW71" s="475" t="e">
        <f t="shared" si="61"/>
        <v>#N/A</v>
      </c>
      <c r="AX71" s="690"/>
    </row>
    <row r="72" spans="2:50">
      <c r="B72" s="676"/>
      <c r="C72" s="309">
        <v>6</v>
      </c>
      <c r="D72" s="227"/>
      <c r="E72" s="182"/>
      <c r="F72" s="569"/>
      <c r="G72" s="570"/>
      <c r="H72" s="718"/>
      <c r="I72" s="199"/>
      <c r="J72" s="199"/>
      <c r="K72" s="200"/>
      <c r="L72" s="650"/>
      <c r="M72" s="201" t="e">
        <f>RANK(K72, K$67:$K$81)</f>
        <v>#N/A</v>
      </c>
      <c r="N72" s="668"/>
      <c r="O72" s="668"/>
      <c r="P72" s="569"/>
      <c r="Q72" s="569"/>
      <c r="R72" s="569"/>
      <c r="S72" s="339" t="e">
        <f t="shared" si="66"/>
        <v>#N/A</v>
      </c>
      <c r="T72" s="690"/>
      <c r="U72" s="569"/>
      <c r="V72" s="569"/>
      <c r="W72" s="569"/>
      <c r="X72" s="475" t="e">
        <f t="shared" si="51"/>
        <v>#N/A</v>
      </c>
      <c r="Y72" s="690"/>
      <c r="Z72" s="569"/>
      <c r="AA72" s="569"/>
      <c r="AB72" s="569"/>
      <c r="AC72" s="475" t="e">
        <f t="shared" si="53"/>
        <v>#N/A</v>
      </c>
      <c r="AD72" s="690"/>
      <c r="AE72" s="569"/>
      <c r="AF72" s="569"/>
      <c r="AG72" s="569"/>
      <c r="AH72" s="475" t="e">
        <f t="shared" si="55"/>
        <v>#N/A</v>
      </c>
      <c r="AI72" s="690"/>
      <c r="AJ72" s="569"/>
      <c r="AK72" s="569"/>
      <c r="AL72" s="569"/>
      <c r="AM72" s="475" t="e">
        <f t="shared" si="57"/>
        <v>#N/A</v>
      </c>
      <c r="AN72" s="690"/>
      <c r="AO72" s="569"/>
      <c r="AP72" s="569"/>
      <c r="AQ72" s="569"/>
      <c r="AR72" s="475" t="e">
        <f t="shared" si="59"/>
        <v>#N/A</v>
      </c>
      <c r="AS72" s="690"/>
      <c r="AT72" s="569"/>
      <c r="AU72" s="569"/>
      <c r="AV72" s="569"/>
      <c r="AW72" s="475" t="e">
        <f t="shared" si="61"/>
        <v>#N/A</v>
      </c>
      <c r="AX72" s="690"/>
    </row>
    <row r="73" spans="2:50">
      <c r="B73" s="676"/>
      <c r="C73" s="309">
        <v>7</v>
      </c>
      <c r="D73" s="227"/>
      <c r="E73" s="182"/>
      <c r="F73" s="569"/>
      <c r="G73" s="570"/>
      <c r="H73" s="718"/>
      <c r="I73" s="199"/>
      <c r="J73" s="199"/>
      <c r="K73" s="200"/>
      <c r="L73" s="650"/>
      <c r="M73" s="201" t="e">
        <f>RANK(K73, K$67:$K$81)</f>
        <v>#N/A</v>
      </c>
      <c r="N73" s="668"/>
      <c r="O73" s="668"/>
      <c r="P73" s="569"/>
      <c r="Q73" s="569"/>
      <c r="R73" s="569"/>
      <c r="S73" s="339" t="e">
        <f t="shared" si="66"/>
        <v>#N/A</v>
      </c>
      <c r="T73" s="690"/>
      <c r="U73" s="569"/>
      <c r="V73" s="569"/>
      <c r="W73" s="569"/>
      <c r="X73" s="475" t="e">
        <f t="shared" si="51"/>
        <v>#N/A</v>
      </c>
      <c r="Y73" s="690"/>
      <c r="Z73" s="569"/>
      <c r="AA73" s="569"/>
      <c r="AB73" s="569"/>
      <c r="AC73" s="475" t="e">
        <f t="shared" si="53"/>
        <v>#N/A</v>
      </c>
      <c r="AD73" s="690"/>
      <c r="AE73" s="569"/>
      <c r="AF73" s="569"/>
      <c r="AG73" s="569"/>
      <c r="AH73" s="475" t="e">
        <f t="shared" si="55"/>
        <v>#N/A</v>
      </c>
      <c r="AI73" s="690"/>
      <c r="AJ73" s="569"/>
      <c r="AK73" s="569"/>
      <c r="AL73" s="569"/>
      <c r="AM73" s="475" t="e">
        <f t="shared" si="57"/>
        <v>#N/A</v>
      </c>
      <c r="AN73" s="690"/>
      <c r="AO73" s="569"/>
      <c r="AP73" s="569"/>
      <c r="AQ73" s="569"/>
      <c r="AR73" s="475" t="e">
        <f t="shared" si="59"/>
        <v>#N/A</v>
      </c>
      <c r="AS73" s="690"/>
      <c r="AT73" s="569"/>
      <c r="AU73" s="569"/>
      <c r="AV73" s="569"/>
      <c r="AW73" s="475" t="e">
        <f t="shared" si="61"/>
        <v>#N/A</v>
      </c>
      <c r="AX73" s="690"/>
    </row>
    <row r="74" spans="2:50">
      <c r="B74" s="676"/>
      <c r="C74" s="309">
        <v>8</v>
      </c>
      <c r="D74" s="227"/>
      <c r="E74" s="182"/>
      <c r="F74" s="569"/>
      <c r="G74" s="570"/>
      <c r="H74" s="718"/>
      <c r="I74" s="199"/>
      <c r="J74" s="199"/>
      <c r="K74" s="200"/>
      <c r="L74" s="650"/>
      <c r="M74" s="201" t="e">
        <f>RANK(K74, K$67:$K$81)</f>
        <v>#N/A</v>
      </c>
      <c r="N74" s="668"/>
      <c r="O74" s="668"/>
      <c r="P74" s="569"/>
      <c r="Q74" s="569"/>
      <c r="R74" s="569"/>
      <c r="S74" s="339" t="e">
        <f t="shared" si="66"/>
        <v>#N/A</v>
      </c>
      <c r="T74" s="690"/>
      <c r="U74" s="569"/>
      <c r="V74" s="569"/>
      <c r="W74" s="569"/>
      <c r="X74" s="475" t="e">
        <f t="shared" si="51"/>
        <v>#N/A</v>
      </c>
      <c r="Y74" s="690"/>
      <c r="Z74" s="569"/>
      <c r="AA74" s="569"/>
      <c r="AB74" s="569"/>
      <c r="AC74" s="475" t="e">
        <f t="shared" si="53"/>
        <v>#N/A</v>
      </c>
      <c r="AD74" s="690"/>
      <c r="AE74" s="569"/>
      <c r="AF74" s="569"/>
      <c r="AG74" s="569"/>
      <c r="AH74" s="475" t="e">
        <f t="shared" si="55"/>
        <v>#N/A</v>
      </c>
      <c r="AI74" s="690"/>
      <c r="AJ74" s="569"/>
      <c r="AK74" s="569"/>
      <c r="AL74" s="569"/>
      <c r="AM74" s="475" t="e">
        <f t="shared" si="57"/>
        <v>#N/A</v>
      </c>
      <c r="AN74" s="690"/>
      <c r="AO74" s="569"/>
      <c r="AP74" s="569"/>
      <c r="AQ74" s="569"/>
      <c r="AR74" s="475" t="e">
        <f t="shared" si="59"/>
        <v>#N/A</v>
      </c>
      <c r="AS74" s="690"/>
      <c r="AT74" s="569"/>
      <c r="AU74" s="569"/>
      <c r="AV74" s="569"/>
      <c r="AW74" s="475" t="e">
        <f t="shared" si="61"/>
        <v>#N/A</v>
      </c>
      <c r="AX74" s="690"/>
    </row>
    <row r="75" spans="2:50">
      <c r="B75" s="676"/>
      <c r="C75" s="309">
        <v>9</v>
      </c>
      <c r="D75" s="227"/>
      <c r="E75" s="182"/>
      <c r="F75" s="569"/>
      <c r="G75" s="570"/>
      <c r="H75" s="718"/>
      <c r="I75" s="199"/>
      <c r="J75" s="199"/>
      <c r="K75" s="200"/>
      <c r="L75" s="650"/>
      <c r="M75" s="201" t="e">
        <f>RANK(K75, K$67:$K$81)</f>
        <v>#N/A</v>
      </c>
      <c r="N75" s="668"/>
      <c r="O75" s="668"/>
      <c r="P75" s="569"/>
      <c r="Q75" s="569"/>
      <c r="R75" s="569"/>
      <c r="S75" s="339" t="e">
        <f t="shared" si="66"/>
        <v>#N/A</v>
      </c>
      <c r="T75" s="690"/>
      <c r="U75" s="569"/>
      <c r="V75" s="569"/>
      <c r="W75" s="569"/>
      <c r="X75" s="475" t="e">
        <f t="shared" si="51"/>
        <v>#N/A</v>
      </c>
      <c r="Y75" s="690"/>
      <c r="Z75" s="569"/>
      <c r="AA75" s="569"/>
      <c r="AB75" s="569"/>
      <c r="AC75" s="475" t="e">
        <f t="shared" si="53"/>
        <v>#N/A</v>
      </c>
      <c r="AD75" s="690"/>
      <c r="AE75" s="569"/>
      <c r="AF75" s="569"/>
      <c r="AG75" s="569"/>
      <c r="AH75" s="475" t="e">
        <f t="shared" si="55"/>
        <v>#N/A</v>
      </c>
      <c r="AI75" s="690"/>
      <c r="AJ75" s="569"/>
      <c r="AK75" s="569"/>
      <c r="AL75" s="569"/>
      <c r="AM75" s="475" t="e">
        <f t="shared" si="57"/>
        <v>#N/A</v>
      </c>
      <c r="AN75" s="690"/>
      <c r="AO75" s="569"/>
      <c r="AP75" s="569"/>
      <c r="AQ75" s="569"/>
      <c r="AR75" s="475" t="e">
        <f t="shared" si="59"/>
        <v>#N/A</v>
      </c>
      <c r="AS75" s="690"/>
      <c r="AT75" s="569"/>
      <c r="AU75" s="569"/>
      <c r="AV75" s="569"/>
      <c r="AW75" s="475" t="e">
        <f t="shared" si="61"/>
        <v>#N/A</v>
      </c>
      <c r="AX75" s="690"/>
    </row>
    <row r="76" spans="2:50">
      <c r="B76" s="676"/>
      <c r="C76" s="309">
        <v>10</v>
      </c>
      <c r="D76" s="227"/>
      <c r="E76" s="182"/>
      <c r="F76" s="569"/>
      <c r="G76" s="570"/>
      <c r="H76" s="718"/>
      <c r="I76" s="199"/>
      <c r="J76" s="199"/>
      <c r="K76" s="200"/>
      <c r="L76" s="650"/>
      <c r="M76" s="201" t="e">
        <f>RANK(K76, K$67:$K$81)</f>
        <v>#N/A</v>
      </c>
      <c r="N76" s="668"/>
      <c r="O76" s="668"/>
      <c r="P76" s="569"/>
      <c r="Q76" s="569"/>
      <c r="R76" s="569"/>
      <c r="S76" s="339" t="e">
        <f t="shared" si="66"/>
        <v>#N/A</v>
      </c>
      <c r="T76" s="690"/>
      <c r="U76" s="569"/>
      <c r="V76" s="569"/>
      <c r="W76" s="569"/>
      <c r="X76" s="475" t="e">
        <f t="shared" si="51"/>
        <v>#N/A</v>
      </c>
      <c r="Y76" s="690"/>
      <c r="Z76" s="569"/>
      <c r="AA76" s="569"/>
      <c r="AB76" s="569"/>
      <c r="AC76" s="475" t="e">
        <f t="shared" si="53"/>
        <v>#N/A</v>
      </c>
      <c r="AD76" s="690"/>
      <c r="AE76" s="569"/>
      <c r="AF76" s="569"/>
      <c r="AG76" s="569"/>
      <c r="AH76" s="475" t="e">
        <f t="shared" si="55"/>
        <v>#N/A</v>
      </c>
      <c r="AI76" s="690"/>
      <c r="AJ76" s="569"/>
      <c r="AK76" s="569"/>
      <c r="AL76" s="569"/>
      <c r="AM76" s="475" t="e">
        <f t="shared" si="57"/>
        <v>#N/A</v>
      </c>
      <c r="AN76" s="690"/>
      <c r="AO76" s="569"/>
      <c r="AP76" s="569"/>
      <c r="AQ76" s="569"/>
      <c r="AR76" s="475" t="e">
        <f t="shared" si="59"/>
        <v>#N/A</v>
      </c>
      <c r="AS76" s="690"/>
      <c r="AT76" s="569"/>
      <c r="AU76" s="569"/>
      <c r="AV76" s="569"/>
      <c r="AW76" s="475" t="e">
        <f t="shared" si="61"/>
        <v>#N/A</v>
      </c>
      <c r="AX76" s="690"/>
    </row>
    <row r="77" spans="2:50">
      <c r="B77" s="676"/>
      <c r="C77" s="309">
        <v>11</v>
      </c>
      <c r="D77" s="227"/>
      <c r="E77" s="182"/>
      <c r="F77" s="569"/>
      <c r="G77" s="570"/>
      <c r="H77" s="718"/>
      <c r="I77" s="202"/>
      <c r="J77" s="202"/>
      <c r="K77" s="202"/>
      <c r="L77" s="650"/>
      <c r="M77" s="201" t="e">
        <f>RANK(K77, K$67:$K$81)</f>
        <v>#N/A</v>
      </c>
      <c r="N77" s="668"/>
      <c r="O77" s="668"/>
      <c r="P77" s="569"/>
      <c r="Q77" s="569"/>
      <c r="R77" s="569"/>
      <c r="S77" s="339" t="e">
        <f t="shared" si="66"/>
        <v>#N/A</v>
      </c>
      <c r="T77" s="690"/>
      <c r="U77" s="569"/>
      <c r="V77" s="569"/>
      <c r="W77" s="569"/>
      <c r="X77" s="475" t="e">
        <f t="shared" si="51"/>
        <v>#N/A</v>
      </c>
      <c r="Y77" s="690"/>
      <c r="Z77" s="569"/>
      <c r="AA77" s="569"/>
      <c r="AB77" s="569"/>
      <c r="AC77" s="475" t="e">
        <f t="shared" si="53"/>
        <v>#N/A</v>
      </c>
      <c r="AD77" s="690"/>
      <c r="AE77" s="569"/>
      <c r="AF77" s="569"/>
      <c r="AG77" s="569"/>
      <c r="AH77" s="475" t="e">
        <f t="shared" si="55"/>
        <v>#N/A</v>
      </c>
      <c r="AI77" s="690"/>
      <c r="AJ77" s="569"/>
      <c r="AK77" s="569"/>
      <c r="AL77" s="569"/>
      <c r="AM77" s="475" t="e">
        <f t="shared" si="57"/>
        <v>#N/A</v>
      </c>
      <c r="AN77" s="690"/>
      <c r="AO77" s="569"/>
      <c r="AP77" s="569"/>
      <c r="AQ77" s="569"/>
      <c r="AR77" s="475" t="e">
        <f t="shared" si="59"/>
        <v>#N/A</v>
      </c>
      <c r="AS77" s="690"/>
      <c r="AT77" s="569"/>
      <c r="AU77" s="569"/>
      <c r="AV77" s="569"/>
      <c r="AW77" s="475" t="e">
        <f t="shared" si="61"/>
        <v>#N/A</v>
      </c>
      <c r="AX77" s="690"/>
    </row>
    <row r="78" spans="2:50">
      <c r="B78" s="676"/>
      <c r="C78" s="309">
        <v>12</v>
      </c>
      <c r="D78" s="227"/>
      <c r="E78" s="182"/>
      <c r="F78" s="569"/>
      <c r="G78" s="570"/>
      <c r="H78" s="718"/>
      <c r="I78" s="202"/>
      <c r="J78" s="202"/>
      <c r="K78" s="202"/>
      <c r="L78" s="650"/>
      <c r="M78" s="201" t="e">
        <f>RANK(K78, K$67:$K$81)</f>
        <v>#N/A</v>
      </c>
      <c r="N78" s="668"/>
      <c r="O78" s="668"/>
      <c r="P78" s="569"/>
      <c r="Q78" s="569"/>
      <c r="R78" s="569"/>
      <c r="S78" s="339" t="e">
        <f t="shared" si="66"/>
        <v>#N/A</v>
      </c>
      <c r="T78" s="690"/>
      <c r="U78" s="569"/>
      <c r="V78" s="569"/>
      <c r="W78" s="569"/>
      <c r="X78" s="475" t="e">
        <f t="shared" si="51"/>
        <v>#N/A</v>
      </c>
      <c r="Y78" s="690"/>
      <c r="Z78" s="569"/>
      <c r="AA78" s="569"/>
      <c r="AB78" s="569"/>
      <c r="AC78" s="475" t="e">
        <f t="shared" si="53"/>
        <v>#N/A</v>
      </c>
      <c r="AD78" s="690"/>
      <c r="AE78" s="569"/>
      <c r="AF78" s="569"/>
      <c r="AG78" s="569"/>
      <c r="AH78" s="475" t="e">
        <f t="shared" si="55"/>
        <v>#N/A</v>
      </c>
      <c r="AI78" s="690"/>
      <c r="AJ78" s="569"/>
      <c r="AK78" s="569"/>
      <c r="AL78" s="569"/>
      <c r="AM78" s="475" t="e">
        <f t="shared" si="57"/>
        <v>#N/A</v>
      </c>
      <c r="AN78" s="690"/>
      <c r="AO78" s="569"/>
      <c r="AP78" s="569"/>
      <c r="AQ78" s="569"/>
      <c r="AR78" s="475" t="e">
        <f t="shared" si="59"/>
        <v>#N/A</v>
      </c>
      <c r="AS78" s="690"/>
      <c r="AT78" s="569"/>
      <c r="AU78" s="569"/>
      <c r="AV78" s="569"/>
      <c r="AW78" s="475" t="e">
        <f t="shared" si="61"/>
        <v>#N/A</v>
      </c>
      <c r="AX78" s="690"/>
    </row>
    <row r="79" spans="2:50">
      <c r="B79" s="676"/>
      <c r="C79" s="309">
        <v>13</v>
      </c>
      <c r="D79" s="227"/>
      <c r="E79" s="182"/>
      <c r="F79" s="569"/>
      <c r="G79" s="570"/>
      <c r="H79" s="718"/>
      <c r="I79" s="202"/>
      <c r="J79" s="202"/>
      <c r="K79" s="202"/>
      <c r="L79" s="650"/>
      <c r="M79" s="201" t="e">
        <f>RANK(K79, K$67:$K$81)</f>
        <v>#N/A</v>
      </c>
      <c r="N79" s="668"/>
      <c r="O79" s="668"/>
      <c r="P79" s="569"/>
      <c r="Q79" s="569"/>
      <c r="R79" s="569"/>
      <c r="S79" s="339" t="e">
        <f t="shared" si="66"/>
        <v>#N/A</v>
      </c>
      <c r="T79" s="690"/>
      <c r="U79" s="569"/>
      <c r="V79" s="569"/>
      <c r="W79" s="569"/>
      <c r="X79" s="475" t="e">
        <f t="shared" si="51"/>
        <v>#N/A</v>
      </c>
      <c r="Y79" s="690"/>
      <c r="Z79" s="569"/>
      <c r="AA79" s="569"/>
      <c r="AB79" s="569"/>
      <c r="AC79" s="475" t="e">
        <f t="shared" si="53"/>
        <v>#N/A</v>
      </c>
      <c r="AD79" s="690"/>
      <c r="AE79" s="569"/>
      <c r="AF79" s="569"/>
      <c r="AG79" s="569"/>
      <c r="AH79" s="475" t="e">
        <f t="shared" si="55"/>
        <v>#N/A</v>
      </c>
      <c r="AI79" s="690"/>
      <c r="AJ79" s="569"/>
      <c r="AK79" s="569"/>
      <c r="AL79" s="569"/>
      <c r="AM79" s="475" t="e">
        <f t="shared" si="57"/>
        <v>#N/A</v>
      </c>
      <c r="AN79" s="690"/>
      <c r="AO79" s="569"/>
      <c r="AP79" s="569"/>
      <c r="AQ79" s="569"/>
      <c r="AR79" s="475" t="e">
        <f t="shared" si="59"/>
        <v>#N/A</v>
      </c>
      <c r="AS79" s="690"/>
      <c r="AT79" s="569"/>
      <c r="AU79" s="569"/>
      <c r="AV79" s="569"/>
      <c r="AW79" s="475" t="e">
        <f t="shared" si="61"/>
        <v>#N/A</v>
      </c>
      <c r="AX79" s="690"/>
    </row>
    <row r="80" spans="2:50">
      <c r="B80" s="676"/>
      <c r="C80" s="309">
        <v>14</v>
      </c>
      <c r="D80" s="227"/>
      <c r="E80" s="182"/>
      <c r="F80" s="569"/>
      <c r="G80" s="570"/>
      <c r="H80" s="718"/>
      <c r="I80" s="202"/>
      <c r="J80" s="202"/>
      <c r="K80" s="202"/>
      <c r="L80" s="650"/>
      <c r="M80" s="201" t="e">
        <f>RANK(K80, K$67:$K$81)</f>
        <v>#N/A</v>
      </c>
      <c r="N80" s="668"/>
      <c r="O80" s="668"/>
      <c r="P80" s="569"/>
      <c r="Q80" s="569"/>
      <c r="R80" s="569"/>
      <c r="S80" s="339" t="e">
        <f t="shared" si="66"/>
        <v>#N/A</v>
      </c>
      <c r="T80" s="690"/>
      <c r="U80" s="569"/>
      <c r="V80" s="569"/>
      <c r="W80" s="569"/>
      <c r="X80" s="475" t="e">
        <f t="shared" si="51"/>
        <v>#N/A</v>
      </c>
      <c r="Y80" s="690"/>
      <c r="Z80" s="569"/>
      <c r="AA80" s="569"/>
      <c r="AB80" s="569"/>
      <c r="AC80" s="475" t="e">
        <f t="shared" si="53"/>
        <v>#N/A</v>
      </c>
      <c r="AD80" s="690"/>
      <c r="AE80" s="569"/>
      <c r="AF80" s="569"/>
      <c r="AG80" s="569"/>
      <c r="AH80" s="475" t="e">
        <f t="shared" si="55"/>
        <v>#N/A</v>
      </c>
      <c r="AI80" s="690"/>
      <c r="AJ80" s="569"/>
      <c r="AK80" s="569"/>
      <c r="AL80" s="569"/>
      <c r="AM80" s="475" t="e">
        <f t="shared" si="57"/>
        <v>#N/A</v>
      </c>
      <c r="AN80" s="690"/>
      <c r="AO80" s="569"/>
      <c r="AP80" s="569"/>
      <c r="AQ80" s="569"/>
      <c r="AR80" s="475" t="e">
        <f t="shared" si="59"/>
        <v>#N/A</v>
      </c>
      <c r="AS80" s="690"/>
      <c r="AT80" s="569"/>
      <c r="AU80" s="569"/>
      <c r="AV80" s="569"/>
      <c r="AW80" s="475" t="e">
        <f t="shared" si="61"/>
        <v>#N/A</v>
      </c>
      <c r="AX80" s="690"/>
    </row>
    <row r="81" spans="2:50">
      <c r="B81" s="676"/>
      <c r="C81" s="309">
        <v>15</v>
      </c>
      <c r="D81" s="227"/>
      <c r="E81" s="182"/>
      <c r="F81" s="569"/>
      <c r="G81" s="570"/>
      <c r="H81" s="719"/>
      <c r="I81" s="202"/>
      <c r="J81" s="202"/>
      <c r="K81" s="202"/>
      <c r="L81" s="651"/>
      <c r="M81" s="201" t="e">
        <f>RANK(K81, K$67:$K$81)</f>
        <v>#N/A</v>
      </c>
      <c r="N81" s="668"/>
      <c r="O81" s="668"/>
      <c r="P81" s="569"/>
      <c r="Q81" s="569"/>
      <c r="R81" s="569"/>
      <c r="S81" s="339" t="e">
        <f t="shared" si="66"/>
        <v>#N/A</v>
      </c>
      <c r="T81" s="690"/>
      <c r="U81" s="569"/>
      <c r="V81" s="569"/>
      <c r="W81" s="569"/>
      <c r="X81" s="475" t="e">
        <f t="shared" si="51"/>
        <v>#N/A</v>
      </c>
      <c r="Y81" s="690"/>
      <c r="Z81" s="569"/>
      <c r="AA81" s="569"/>
      <c r="AB81" s="569"/>
      <c r="AC81" s="475" t="e">
        <f t="shared" si="53"/>
        <v>#N/A</v>
      </c>
      <c r="AD81" s="690"/>
      <c r="AE81" s="569"/>
      <c r="AF81" s="569"/>
      <c r="AG81" s="569"/>
      <c r="AH81" s="475" t="e">
        <f t="shared" si="55"/>
        <v>#N/A</v>
      </c>
      <c r="AI81" s="690"/>
      <c r="AJ81" s="569"/>
      <c r="AK81" s="569"/>
      <c r="AL81" s="569"/>
      <c r="AM81" s="475" t="e">
        <f t="shared" si="57"/>
        <v>#N/A</v>
      </c>
      <c r="AN81" s="690"/>
      <c r="AO81" s="569"/>
      <c r="AP81" s="569"/>
      <c r="AQ81" s="569"/>
      <c r="AR81" s="475" t="e">
        <f t="shared" si="59"/>
        <v>#N/A</v>
      </c>
      <c r="AS81" s="690"/>
      <c r="AT81" s="569"/>
      <c r="AU81" s="569"/>
      <c r="AV81" s="569"/>
      <c r="AW81" s="475" t="e">
        <f t="shared" si="61"/>
        <v>#N/A</v>
      </c>
      <c r="AX81" s="690"/>
    </row>
    <row r="82" spans="2:50" ht="15.75">
      <c r="B82" s="680" t="s">
        <v>163</v>
      </c>
      <c r="C82" s="681"/>
      <c r="D82" s="681"/>
      <c r="E82" s="681"/>
      <c r="F82" s="681"/>
      <c r="G82" s="681"/>
      <c r="H82" s="682"/>
      <c r="I82" s="208"/>
      <c r="J82" s="208"/>
      <c r="K82" s="208"/>
      <c r="L82" s="208"/>
      <c r="M82" s="207"/>
      <c r="N82" s="669" t="s">
        <v>156</v>
      </c>
      <c r="O82" s="669" t="s">
        <v>105</v>
      </c>
      <c r="P82" s="675">
        <f>P62+7</f>
        <v>46112</v>
      </c>
      <c r="Q82" s="676"/>
      <c r="R82" s="676"/>
      <c r="S82" s="676"/>
      <c r="T82" s="676"/>
      <c r="U82" s="672">
        <f>P82+1</f>
        <v>46113</v>
      </c>
      <c r="V82" s="673"/>
      <c r="W82" s="673"/>
      <c r="X82" s="673"/>
      <c r="Y82" s="674"/>
      <c r="Z82" s="672">
        <f>U82+1</f>
        <v>46114</v>
      </c>
      <c r="AA82" s="673"/>
      <c r="AB82" s="673"/>
      <c r="AC82" s="673"/>
      <c r="AD82" s="674"/>
      <c r="AE82" s="672">
        <f>Z82+1</f>
        <v>46115</v>
      </c>
      <c r="AF82" s="673"/>
      <c r="AG82" s="673"/>
      <c r="AH82" s="673"/>
      <c r="AI82" s="674"/>
      <c r="AJ82" s="672">
        <f>AE82+1</f>
        <v>46116</v>
      </c>
      <c r="AK82" s="673"/>
      <c r="AL82" s="673"/>
      <c r="AM82" s="673"/>
      <c r="AN82" s="674"/>
      <c r="AO82" s="672">
        <f>AJ82+1</f>
        <v>46117</v>
      </c>
      <c r="AP82" s="673"/>
      <c r="AQ82" s="673"/>
      <c r="AR82" s="673"/>
      <c r="AS82" s="674"/>
      <c r="AT82" s="672">
        <f>AO82+1</f>
        <v>46118</v>
      </c>
      <c r="AU82" s="673"/>
      <c r="AV82" s="673"/>
      <c r="AW82" s="673"/>
      <c r="AX82" s="674"/>
    </row>
    <row r="83" spans="2:50" ht="15.75">
      <c r="B83" s="683"/>
      <c r="C83" s="683"/>
      <c r="D83" s="683"/>
      <c r="E83" s="683"/>
      <c r="F83" s="683"/>
      <c r="G83" s="683"/>
      <c r="H83" s="683"/>
      <c r="I83" s="205"/>
      <c r="J83" s="205"/>
      <c r="K83" s="205"/>
      <c r="L83" s="205"/>
      <c r="M83" s="206"/>
      <c r="N83" s="671"/>
      <c r="O83" s="671"/>
      <c r="P83" s="675" t="s">
        <v>336</v>
      </c>
      <c r="Q83" s="676"/>
      <c r="R83" s="676"/>
      <c r="S83" s="676"/>
      <c r="T83" s="676"/>
      <c r="U83" s="675" t="s">
        <v>337</v>
      </c>
      <c r="V83" s="676"/>
      <c r="W83" s="676"/>
      <c r="X83" s="676"/>
      <c r="Y83" s="676"/>
      <c r="Z83" s="675" t="s">
        <v>338</v>
      </c>
      <c r="AA83" s="676"/>
      <c r="AB83" s="676"/>
      <c r="AC83" s="676"/>
      <c r="AD83" s="676"/>
      <c r="AE83" s="675" t="s">
        <v>339</v>
      </c>
      <c r="AF83" s="676"/>
      <c r="AG83" s="676"/>
      <c r="AH83" s="676"/>
      <c r="AI83" s="676"/>
      <c r="AJ83" s="675" t="s">
        <v>340</v>
      </c>
      <c r="AK83" s="676"/>
      <c r="AL83" s="676"/>
      <c r="AM83" s="676"/>
      <c r="AN83" s="676"/>
      <c r="AO83" s="675" t="s">
        <v>341</v>
      </c>
      <c r="AP83" s="676"/>
      <c r="AQ83" s="676"/>
      <c r="AR83" s="676"/>
      <c r="AS83" s="676"/>
      <c r="AT83" s="675" t="s">
        <v>342</v>
      </c>
      <c r="AU83" s="676"/>
      <c r="AV83" s="676"/>
      <c r="AW83" s="676"/>
      <c r="AX83" s="676"/>
    </row>
    <row r="84" spans="2:50">
      <c r="B84" s="668" t="s">
        <v>459</v>
      </c>
      <c r="C84" s="668" t="s">
        <v>460</v>
      </c>
      <c r="D84" s="668"/>
      <c r="E84" s="668" t="s">
        <v>461</v>
      </c>
      <c r="F84" s="668"/>
      <c r="G84" s="668"/>
      <c r="H84" s="684" t="s">
        <v>462</v>
      </c>
      <c r="I84" s="652" t="s">
        <v>463</v>
      </c>
      <c r="J84" s="652"/>
      <c r="K84" s="652"/>
      <c r="L84" s="653" t="s">
        <v>462</v>
      </c>
      <c r="M84" s="659" t="s">
        <v>464</v>
      </c>
      <c r="N84" s="668"/>
      <c r="O84" s="668" t="s">
        <v>465</v>
      </c>
      <c r="P84" s="665" t="s">
        <v>466</v>
      </c>
      <c r="Q84" s="666"/>
      <c r="R84" s="666"/>
      <c r="S84" s="667"/>
      <c r="T84" s="668" t="s">
        <v>462</v>
      </c>
      <c r="U84" s="665" t="s">
        <v>466</v>
      </c>
      <c r="V84" s="666"/>
      <c r="W84" s="666"/>
      <c r="X84" s="667"/>
      <c r="Y84" s="668" t="s">
        <v>462</v>
      </c>
      <c r="Z84" s="665" t="s">
        <v>466</v>
      </c>
      <c r="AA84" s="666"/>
      <c r="AB84" s="666"/>
      <c r="AC84" s="667"/>
      <c r="AD84" s="668" t="s">
        <v>462</v>
      </c>
      <c r="AE84" s="665" t="s">
        <v>466</v>
      </c>
      <c r="AF84" s="666"/>
      <c r="AG84" s="666"/>
      <c r="AH84" s="667"/>
      <c r="AI84" s="668" t="s">
        <v>462</v>
      </c>
      <c r="AJ84" s="665" t="s">
        <v>466</v>
      </c>
      <c r="AK84" s="666"/>
      <c r="AL84" s="666"/>
      <c r="AM84" s="667"/>
      <c r="AN84" s="668" t="s">
        <v>462</v>
      </c>
      <c r="AO84" s="665" t="s">
        <v>466</v>
      </c>
      <c r="AP84" s="666"/>
      <c r="AQ84" s="666"/>
      <c r="AR84" s="667"/>
      <c r="AS84" s="668" t="s">
        <v>462</v>
      </c>
      <c r="AT84" s="665" t="s">
        <v>466</v>
      </c>
      <c r="AU84" s="666"/>
      <c r="AV84" s="666"/>
      <c r="AW84" s="667"/>
      <c r="AX84" s="668" t="s">
        <v>462</v>
      </c>
    </row>
    <row r="85" spans="2:50">
      <c r="B85" s="668"/>
      <c r="C85" s="668"/>
      <c r="D85" s="668"/>
      <c r="E85" s="668" t="s">
        <v>467</v>
      </c>
      <c r="F85" s="668"/>
      <c r="G85" s="668"/>
      <c r="H85" s="685"/>
      <c r="I85" s="652" t="s">
        <v>467</v>
      </c>
      <c r="J85" s="652"/>
      <c r="K85" s="652"/>
      <c r="L85" s="654"/>
      <c r="M85" s="660"/>
      <c r="N85" s="668"/>
      <c r="O85" s="668"/>
      <c r="P85" s="665" t="s">
        <v>468</v>
      </c>
      <c r="Q85" s="666"/>
      <c r="R85" s="666"/>
      <c r="S85" s="667"/>
      <c r="T85" s="668"/>
      <c r="U85" s="665" t="s">
        <v>468</v>
      </c>
      <c r="V85" s="666"/>
      <c r="W85" s="666"/>
      <c r="X85" s="667"/>
      <c r="Y85" s="668"/>
      <c r="Z85" s="665" t="s">
        <v>468</v>
      </c>
      <c r="AA85" s="666"/>
      <c r="AB85" s="666"/>
      <c r="AC85" s="667"/>
      <c r="AD85" s="668"/>
      <c r="AE85" s="665" t="s">
        <v>468</v>
      </c>
      <c r="AF85" s="666"/>
      <c r="AG85" s="666"/>
      <c r="AH85" s="667"/>
      <c r="AI85" s="668"/>
      <c r="AJ85" s="665" t="s">
        <v>468</v>
      </c>
      <c r="AK85" s="666"/>
      <c r="AL85" s="666"/>
      <c r="AM85" s="667"/>
      <c r="AN85" s="668"/>
      <c r="AO85" s="665" t="s">
        <v>468</v>
      </c>
      <c r="AP85" s="666"/>
      <c r="AQ85" s="666"/>
      <c r="AR85" s="667"/>
      <c r="AS85" s="668"/>
      <c r="AT85" s="665" t="s">
        <v>468</v>
      </c>
      <c r="AU85" s="666"/>
      <c r="AV85" s="666"/>
      <c r="AW85" s="667"/>
      <c r="AX85" s="668"/>
    </row>
    <row r="86" spans="2:50">
      <c r="B86" s="668"/>
      <c r="C86" s="668"/>
      <c r="D86" s="668"/>
      <c r="E86" s="302" t="s">
        <v>469</v>
      </c>
      <c r="F86" s="302" t="s">
        <v>470</v>
      </c>
      <c r="G86" s="302" t="s">
        <v>471</v>
      </c>
      <c r="H86" s="686"/>
      <c r="I86" s="303" t="s">
        <v>469</v>
      </c>
      <c r="J86" s="303" t="s">
        <v>470</v>
      </c>
      <c r="K86" s="303" t="s">
        <v>471</v>
      </c>
      <c r="L86" s="655"/>
      <c r="M86" s="661"/>
      <c r="N86" s="668"/>
      <c r="O86" s="668"/>
      <c r="P86" s="302" t="s">
        <v>469</v>
      </c>
      <c r="Q86" s="302" t="s">
        <v>470</v>
      </c>
      <c r="R86" s="302" t="s">
        <v>471</v>
      </c>
      <c r="S86" s="302" t="s">
        <v>464</v>
      </c>
      <c r="T86" s="668"/>
      <c r="U86" s="302" t="s">
        <v>469</v>
      </c>
      <c r="V86" s="302" t="s">
        <v>470</v>
      </c>
      <c r="W86" s="302" t="s">
        <v>471</v>
      </c>
      <c r="X86" s="302" t="s">
        <v>464</v>
      </c>
      <c r="Y86" s="668"/>
      <c r="Z86" s="302" t="s">
        <v>469</v>
      </c>
      <c r="AA86" s="302" t="s">
        <v>470</v>
      </c>
      <c r="AB86" s="302" t="s">
        <v>471</v>
      </c>
      <c r="AC86" s="302" t="s">
        <v>464</v>
      </c>
      <c r="AD86" s="668"/>
      <c r="AE86" s="302" t="s">
        <v>469</v>
      </c>
      <c r="AF86" s="302" t="s">
        <v>470</v>
      </c>
      <c r="AG86" s="302" t="s">
        <v>471</v>
      </c>
      <c r="AH86" s="302" t="s">
        <v>464</v>
      </c>
      <c r="AI86" s="668"/>
      <c r="AJ86" s="302" t="s">
        <v>469</v>
      </c>
      <c r="AK86" s="302" t="s">
        <v>470</v>
      </c>
      <c r="AL86" s="302" t="s">
        <v>471</v>
      </c>
      <c r="AM86" s="302" t="s">
        <v>464</v>
      </c>
      <c r="AN86" s="668"/>
      <c r="AO86" s="302" t="s">
        <v>469</v>
      </c>
      <c r="AP86" s="302" t="s">
        <v>470</v>
      </c>
      <c r="AQ86" s="302" t="s">
        <v>471</v>
      </c>
      <c r="AR86" s="302" t="s">
        <v>464</v>
      </c>
      <c r="AS86" s="668"/>
      <c r="AT86" s="302" t="s">
        <v>469</v>
      </c>
      <c r="AU86" s="302" t="s">
        <v>470</v>
      </c>
      <c r="AV86" s="302" t="s">
        <v>471</v>
      </c>
      <c r="AW86" s="302" t="s">
        <v>464</v>
      </c>
      <c r="AX86" s="668"/>
    </row>
    <row r="87" spans="2:50">
      <c r="B87" s="668" t="s">
        <v>474</v>
      </c>
      <c r="C87" s="301">
        <v>1</v>
      </c>
      <c r="D87" s="227"/>
      <c r="E87" s="182"/>
      <c r="F87" s="447"/>
      <c r="G87" s="448"/>
      <c r="H87" s="717" t="e">
        <f>AVERAGE(G87:G101)</f>
        <v>#DIV/0!</v>
      </c>
      <c r="I87" s="199" t="e">
        <f t="shared" ref="I87:K88" si="67">AVERAGE(P87,U87,Z87,AE87,AJ87,AO87,AT87)</f>
        <v>#DIV/0!</v>
      </c>
      <c r="J87" s="199" t="e">
        <f t="shared" si="67"/>
        <v>#DIV/0!</v>
      </c>
      <c r="K87" s="200" t="e">
        <f t="shared" si="67"/>
        <v>#DIV/0!</v>
      </c>
      <c r="L87" s="649" t="str">
        <f>IFERROR(AVERAGE(K87:K101),"-")</f>
        <v>-</v>
      </c>
      <c r="M87" s="201" t="e">
        <f>RANK(K87, K$87:$K$101)</f>
        <v>#DIV/0!</v>
      </c>
      <c r="N87" s="668"/>
      <c r="O87" s="668"/>
      <c r="P87" s="182"/>
      <c r="Q87" s="182"/>
      <c r="R87" s="570"/>
      <c r="S87" s="301" t="e">
        <f>RANK(R87, R$87:R$101)</f>
        <v>#N/A</v>
      </c>
      <c r="T87" s="690" t="e">
        <f>AVERAGE(R87:R101)</f>
        <v>#DIV/0!</v>
      </c>
      <c r="U87" s="182"/>
      <c r="V87" s="182"/>
      <c r="W87" s="570"/>
      <c r="X87" s="541">
        <v>1</v>
      </c>
      <c r="Y87" s="690" t="e">
        <f t="shared" ref="Y87" si="68">AVERAGE(W87:W101)</f>
        <v>#DIV/0!</v>
      </c>
      <c r="Z87" s="182"/>
      <c r="AA87" s="182"/>
      <c r="AB87" s="570"/>
      <c r="AC87" s="475" t="e">
        <f t="shared" ref="AC87:AC101" si="69">RANK(AB87, AB$87:AB$101)</f>
        <v>#N/A</v>
      </c>
      <c r="AD87" s="690" t="e">
        <f t="shared" ref="AD87" si="70">AVERAGE(AB87:AB101)</f>
        <v>#DIV/0!</v>
      </c>
      <c r="AE87" s="182"/>
      <c r="AF87" s="182"/>
      <c r="AG87" s="570"/>
      <c r="AH87" s="475" t="e">
        <f t="shared" ref="AH87:AH101" si="71">RANK(AG87, AG$87:AG$101)</f>
        <v>#N/A</v>
      </c>
      <c r="AI87" s="690" t="e">
        <f t="shared" ref="AI87" si="72">AVERAGE(AG87:AG101)</f>
        <v>#DIV/0!</v>
      </c>
      <c r="AJ87" s="182"/>
      <c r="AK87" s="182"/>
      <c r="AL87" s="570"/>
      <c r="AM87" s="475" t="e">
        <f t="shared" ref="AM87:AM101" si="73">RANK(AL87, AL$87:AL$101)</f>
        <v>#N/A</v>
      </c>
      <c r="AN87" s="690" t="e">
        <f t="shared" ref="AN87" si="74">AVERAGE(AL87:AL101)</f>
        <v>#DIV/0!</v>
      </c>
      <c r="AO87" s="182"/>
      <c r="AP87" s="182"/>
      <c r="AQ87" s="570"/>
      <c r="AR87" s="475" t="e">
        <f t="shared" ref="AR87:AR101" si="75">RANK(AQ87, AQ$87:AQ$101)</f>
        <v>#N/A</v>
      </c>
      <c r="AS87" s="690" t="e">
        <f t="shared" ref="AS87" si="76">AVERAGE(AQ87:AQ101)</f>
        <v>#DIV/0!</v>
      </c>
      <c r="AT87" s="182"/>
      <c r="AU87" s="182"/>
      <c r="AV87" s="570"/>
      <c r="AW87" s="475" t="e">
        <f t="shared" ref="AW87:AW101" si="77">RANK(AV87, AV$87:AV$101)</f>
        <v>#N/A</v>
      </c>
      <c r="AX87" s="690" t="e">
        <f t="shared" ref="AX87" si="78">AVERAGE(AV87:AV101)</f>
        <v>#DIV/0!</v>
      </c>
    </row>
    <row r="88" spans="2:50">
      <c r="B88" s="676"/>
      <c r="C88" s="301">
        <v>2</v>
      </c>
      <c r="D88" s="227"/>
      <c r="E88" s="182"/>
      <c r="F88" s="447"/>
      <c r="G88" s="448"/>
      <c r="H88" s="718"/>
      <c r="I88" s="446" t="e">
        <f t="shared" si="67"/>
        <v>#DIV/0!</v>
      </c>
      <c r="J88" s="446" t="e">
        <f t="shared" si="67"/>
        <v>#DIV/0!</v>
      </c>
      <c r="K88" s="200" t="e">
        <f t="shared" si="67"/>
        <v>#DIV/0!</v>
      </c>
      <c r="L88" s="650"/>
      <c r="M88" s="201" t="e">
        <f>RANK(K88, K$87:$K$101)</f>
        <v>#DIV/0!</v>
      </c>
      <c r="N88" s="668"/>
      <c r="O88" s="668"/>
      <c r="P88" s="569"/>
      <c r="Q88" s="182"/>
      <c r="R88" s="570"/>
      <c r="S88" s="301" t="e">
        <f t="shared" ref="S88:S101" si="79">RANK(R88, R$87:R$101)</f>
        <v>#N/A</v>
      </c>
      <c r="T88" s="690"/>
      <c r="U88" s="569"/>
      <c r="V88" s="182"/>
      <c r="W88" s="570"/>
      <c r="X88" s="541">
        <v>2</v>
      </c>
      <c r="Y88" s="690"/>
      <c r="Z88" s="569"/>
      <c r="AA88" s="182"/>
      <c r="AB88" s="570"/>
      <c r="AC88" s="475" t="e">
        <f t="shared" si="69"/>
        <v>#N/A</v>
      </c>
      <c r="AD88" s="690"/>
      <c r="AE88" s="569"/>
      <c r="AF88" s="182"/>
      <c r="AG88" s="570"/>
      <c r="AH88" s="475" t="e">
        <f t="shared" si="71"/>
        <v>#N/A</v>
      </c>
      <c r="AI88" s="690"/>
      <c r="AJ88" s="569"/>
      <c r="AK88" s="182"/>
      <c r="AL88" s="570"/>
      <c r="AM88" s="475" t="e">
        <f t="shared" si="73"/>
        <v>#N/A</v>
      </c>
      <c r="AN88" s="690"/>
      <c r="AO88" s="569"/>
      <c r="AP88" s="182"/>
      <c r="AQ88" s="570"/>
      <c r="AR88" s="475" t="e">
        <f t="shared" si="75"/>
        <v>#N/A</v>
      </c>
      <c r="AS88" s="690"/>
      <c r="AT88" s="569"/>
      <c r="AU88" s="182"/>
      <c r="AV88" s="570"/>
      <c r="AW88" s="475" t="e">
        <f t="shared" si="77"/>
        <v>#N/A</v>
      </c>
      <c r="AX88" s="690"/>
    </row>
    <row r="89" spans="2:50">
      <c r="B89" s="676"/>
      <c r="C89" s="301">
        <v>3</v>
      </c>
      <c r="D89" s="227"/>
      <c r="E89" s="182"/>
      <c r="F89" s="447"/>
      <c r="G89" s="448"/>
      <c r="H89" s="718"/>
      <c r="I89" s="199"/>
      <c r="J89" s="199"/>
      <c r="K89" s="200"/>
      <c r="L89" s="650"/>
      <c r="M89" s="201" t="e">
        <f>RANK(K89, K$87:$K$101)</f>
        <v>#DIV/0!</v>
      </c>
      <c r="N89" s="668"/>
      <c r="O89" s="668"/>
      <c r="P89" s="569"/>
      <c r="Q89" s="569"/>
      <c r="R89" s="569"/>
      <c r="S89" s="301" t="e">
        <f t="shared" si="79"/>
        <v>#N/A</v>
      </c>
      <c r="T89" s="690"/>
      <c r="U89" s="569"/>
      <c r="V89" s="569"/>
      <c r="W89" s="569"/>
      <c r="X89" s="475" t="e">
        <f t="shared" ref="X89:X101" si="80">RANK(W89, W$87:W$101)</f>
        <v>#N/A</v>
      </c>
      <c r="Y89" s="690"/>
      <c r="Z89" s="569"/>
      <c r="AA89" s="569"/>
      <c r="AB89" s="569"/>
      <c r="AC89" s="475" t="e">
        <f t="shared" si="69"/>
        <v>#N/A</v>
      </c>
      <c r="AD89" s="690"/>
      <c r="AE89" s="569"/>
      <c r="AF89" s="569"/>
      <c r="AG89" s="569"/>
      <c r="AH89" s="475" t="e">
        <f t="shared" si="71"/>
        <v>#N/A</v>
      </c>
      <c r="AI89" s="690"/>
      <c r="AJ89" s="569"/>
      <c r="AK89" s="569"/>
      <c r="AL89" s="569"/>
      <c r="AM89" s="475" t="e">
        <f t="shared" si="73"/>
        <v>#N/A</v>
      </c>
      <c r="AN89" s="690"/>
      <c r="AO89" s="569"/>
      <c r="AP89" s="569"/>
      <c r="AQ89" s="569"/>
      <c r="AR89" s="475" t="e">
        <f t="shared" si="75"/>
        <v>#N/A</v>
      </c>
      <c r="AS89" s="690"/>
      <c r="AT89" s="569"/>
      <c r="AU89" s="569"/>
      <c r="AV89" s="569"/>
      <c r="AW89" s="475" t="e">
        <f t="shared" si="77"/>
        <v>#N/A</v>
      </c>
      <c r="AX89" s="690"/>
    </row>
    <row r="90" spans="2:50">
      <c r="B90" s="676"/>
      <c r="C90" s="301">
        <v>4</v>
      </c>
      <c r="D90" s="227"/>
      <c r="E90" s="182"/>
      <c r="F90" s="447"/>
      <c r="G90" s="448"/>
      <c r="H90" s="718"/>
      <c r="I90" s="199"/>
      <c r="J90" s="199"/>
      <c r="K90" s="200"/>
      <c r="L90" s="650"/>
      <c r="M90" s="201" t="e">
        <f>RANK(K90, K$87:$K$101)</f>
        <v>#DIV/0!</v>
      </c>
      <c r="N90" s="668"/>
      <c r="O90" s="668"/>
      <c r="P90" s="569"/>
      <c r="Q90" s="569"/>
      <c r="R90" s="569"/>
      <c r="S90" s="301" t="e">
        <f t="shared" si="79"/>
        <v>#N/A</v>
      </c>
      <c r="T90" s="690"/>
      <c r="U90" s="569"/>
      <c r="V90" s="569"/>
      <c r="W90" s="569"/>
      <c r="X90" s="475" t="e">
        <f t="shared" si="80"/>
        <v>#N/A</v>
      </c>
      <c r="Y90" s="690"/>
      <c r="Z90" s="569"/>
      <c r="AA90" s="569"/>
      <c r="AB90" s="569"/>
      <c r="AC90" s="475" t="e">
        <f t="shared" si="69"/>
        <v>#N/A</v>
      </c>
      <c r="AD90" s="690"/>
      <c r="AE90" s="569"/>
      <c r="AF90" s="569"/>
      <c r="AG90" s="569"/>
      <c r="AH90" s="475" t="e">
        <f t="shared" si="71"/>
        <v>#N/A</v>
      </c>
      <c r="AI90" s="690"/>
      <c r="AJ90" s="569"/>
      <c r="AK90" s="569"/>
      <c r="AL90" s="569"/>
      <c r="AM90" s="475" t="e">
        <f t="shared" si="73"/>
        <v>#N/A</v>
      </c>
      <c r="AN90" s="690"/>
      <c r="AO90" s="569"/>
      <c r="AP90" s="569"/>
      <c r="AQ90" s="569"/>
      <c r="AR90" s="475" t="e">
        <f t="shared" si="75"/>
        <v>#N/A</v>
      </c>
      <c r="AS90" s="690"/>
      <c r="AT90" s="569"/>
      <c r="AU90" s="569"/>
      <c r="AV90" s="569"/>
      <c r="AW90" s="475" t="e">
        <f t="shared" si="77"/>
        <v>#N/A</v>
      </c>
      <c r="AX90" s="690"/>
    </row>
    <row r="91" spans="2:50">
      <c r="B91" s="676"/>
      <c r="C91" s="301">
        <v>5</v>
      </c>
      <c r="D91" s="227"/>
      <c r="E91" s="182"/>
      <c r="F91" s="447"/>
      <c r="G91" s="448"/>
      <c r="H91" s="718"/>
      <c r="I91" s="199"/>
      <c r="J91" s="199"/>
      <c r="K91" s="200"/>
      <c r="L91" s="650"/>
      <c r="M91" s="201" t="e">
        <f>RANK(K91, K$87:$K$101)</f>
        <v>#DIV/0!</v>
      </c>
      <c r="N91" s="668"/>
      <c r="O91" s="668"/>
      <c r="P91" s="569"/>
      <c r="Q91" s="569"/>
      <c r="R91" s="569"/>
      <c r="S91" s="301" t="e">
        <f t="shared" si="79"/>
        <v>#N/A</v>
      </c>
      <c r="T91" s="690"/>
      <c r="U91" s="569"/>
      <c r="V91" s="569"/>
      <c r="W91" s="569"/>
      <c r="X91" s="475" t="e">
        <f t="shared" si="80"/>
        <v>#N/A</v>
      </c>
      <c r="Y91" s="690"/>
      <c r="Z91" s="569"/>
      <c r="AA91" s="569"/>
      <c r="AB91" s="569"/>
      <c r="AC91" s="475" t="e">
        <f t="shared" si="69"/>
        <v>#N/A</v>
      </c>
      <c r="AD91" s="690"/>
      <c r="AE91" s="569"/>
      <c r="AF91" s="569"/>
      <c r="AG91" s="569"/>
      <c r="AH91" s="475" t="e">
        <f t="shared" si="71"/>
        <v>#N/A</v>
      </c>
      <c r="AI91" s="690"/>
      <c r="AJ91" s="569"/>
      <c r="AK91" s="569"/>
      <c r="AL91" s="569"/>
      <c r="AM91" s="475" t="e">
        <f t="shared" si="73"/>
        <v>#N/A</v>
      </c>
      <c r="AN91" s="690"/>
      <c r="AO91" s="569"/>
      <c r="AP91" s="569"/>
      <c r="AQ91" s="569"/>
      <c r="AR91" s="475" t="e">
        <f t="shared" si="75"/>
        <v>#N/A</v>
      </c>
      <c r="AS91" s="690"/>
      <c r="AT91" s="569"/>
      <c r="AU91" s="569"/>
      <c r="AV91" s="569"/>
      <c r="AW91" s="475" t="e">
        <f t="shared" si="77"/>
        <v>#N/A</v>
      </c>
      <c r="AX91" s="690"/>
    </row>
    <row r="92" spans="2:50">
      <c r="B92" s="676"/>
      <c r="C92" s="301">
        <v>6</v>
      </c>
      <c r="D92" s="227"/>
      <c r="E92" s="182"/>
      <c r="F92" s="447"/>
      <c r="G92" s="448"/>
      <c r="H92" s="718"/>
      <c r="I92" s="199"/>
      <c r="J92" s="199"/>
      <c r="K92" s="200"/>
      <c r="L92" s="650"/>
      <c r="M92" s="201" t="e">
        <f>RANK(K92, K$87:$K$101)</f>
        <v>#DIV/0!</v>
      </c>
      <c r="N92" s="668"/>
      <c r="O92" s="668"/>
      <c r="P92" s="569"/>
      <c r="Q92" s="569"/>
      <c r="R92" s="569"/>
      <c r="S92" s="301" t="e">
        <f t="shared" si="79"/>
        <v>#N/A</v>
      </c>
      <c r="T92" s="690"/>
      <c r="U92" s="569"/>
      <c r="V92" s="569"/>
      <c r="W92" s="569"/>
      <c r="X92" s="475" t="e">
        <f t="shared" si="80"/>
        <v>#N/A</v>
      </c>
      <c r="Y92" s="690"/>
      <c r="Z92" s="569"/>
      <c r="AA92" s="569"/>
      <c r="AB92" s="569"/>
      <c r="AC92" s="475" t="e">
        <f t="shared" si="69"/>
        <v>#N/A</v>
      </c>
      <c r="AD92" s="690"/>
      <c r="AE92" s="569"/>
      <c r="AF92" s="569"/>
      <c r="AG92" s="569"/>
      <c r="AH92" s="475" t="e">
        <f t="shared" si="71"/>
        <v>#N/A</v>
      </c>
      <c r="AI92" s="690"/>
      <c r="AJ92" s="569"/>
      <c r="AK92" s="569"/>
      <c r="AL92" s="569"/>
      <c r="AM92" s="475" t="e">
        <f t="shared" si="73"/>
        <v>#N/A</v>
      </c>
      <c r="AN92" s="690"/>
      <c r="AO92" s="569"/>
      <c r="AP92" s="569"/>
      <c r="AQ92" s="569"/>
      <c r="AR92" s="475" t="e">
        <f t="shared" si="75"/>
        <v>#N/A</v>
      </c>
      <c r="AS92" s="690"/>
      <c r="AT92" s="569"/>
      <c r="AU92" s="569"/>
      <c r="AV92" s="569"/>
      <c r="AW92" s="475" t="e">
        <f t="shared" si="77"/>
        <v>#N/A</v>
      </c>
      <c r="AX92" s="690"/>
    </row>
    <row r="93" spans="2:50">
      <c r="B93" s="676"/>
      <c r="C93" s="301">
        <v>7</v>
      </c>
      <c r="D93" s="227"/>
      <c r="E93" s="182"/>
      <c r="F93" s="447"/>
      <c r="G93" s="448"/>
      <c r="H93" s="718"/>
      <c r="I93" s="199"/>
      <c r="J93" s="199"/>
      <c r="K93" s="200"/>
      <c r="L93" s="650"/>
      <c r="M93" s="201" t="e">
        <f>RANK(K93, K$87:$K$101)</f>
        <v>#DIV/0!</v>
      </c>
      <c r="N93" s="668"/>
      <c r="O93" s="668"/>
      <c r="P93" s="569"/>
      <c r="Q93" s="569"/>
      <c r="R93" s="569"/>
      <c r="S93" s="301" t="e">
        <f t="shared" si="79"/>
        <v>#N/A</v>
      </c>
      <c r="T93" s="690"/>
      <c r="U93" s="569"/>
      <c r="V93" s="569"/>
      <c r="W93" s="569"/>
      <c r="X93" s="475" t="e">
        <f t="shared" si="80"/>
        <v>#N/A</v>
      </c>
      <c r="Y93" s="690"/>
      <c r="Z93" s="569"/>
      <c r="AA93" s="569"/>
      <c r="AB93" s="569"/>
      <c r="AC93" s="475" t="e">
        <f t="shared" si="69"/>
        <v>#N/A</v>
      </c>
      <c r="AD93" s="690"/>
      <c r="AE93" s="569"/>
      <c r="AF93" s="569"/>
      <c r="AG93" s="569"/>
      <c r="AH93" s="475" t="e">
        <f t="shared" si="71"/>
        <v>#N/A</v>
      </c>
      <c r="AI93" s="690"/>
      <c r="AJ93" s="569"/>
      <c r="AK93" s="569"/>
      <c r="AL93" s="569"/>
      <c r="AM93" s="475" t="e">
        <f t="shared" si="73"/>
        <v>#N/A</v>
      </c>
      <c r="AN93" s="690"/>
      <c r="AO93" s="569"/>
      <c r="AP93" s="569"/>
      <c r="AQ93" s="569"/>
      <c r="AR93" s="475" t="e">
        <f t="shared" si="75"/>
        <v>#N/A</v>
      </c>
      <c r="AS93" s="690"/>
      <c r="AT93" s="569"/>
      <c r="AU93" s="569"/>
      <c r="AV93" s="569"/>
      <c r="AW93" s="475" t="e">
        <f t="shared" si="77"/>
        <v>#N/A</v>
      </c>
      <c r="AX93" s="690"/>
    </row>
    <row r="94" spans="2:50">
      <c r="B94" s="676"/>
      <c r="C94" s="301">
        <v>8</v>
      </c>
      <c r="D94" s="227"/>
      <c r="E94" s="182"/>
      <c r="F94" s="447"/>
      <c r="G94" s="448"/>
      <c r="H94" s="718"/>
      <c r="I94" s="199"/>
      <c r="J94" s="199"/>
      <c r="K94" s="200"/>
      <c r="L94" s="650"/>
      <c r="M94" s="201" t="e">
        <f>RANK(K94, K$87:$K$101)</f>
        <v>#DIV/0!</v>
      </c>
      <c r="N94" s="668"/>
      <c r="O94" s="668"/>
      <c r="P94" s="569"/>
      <c r="Q94" s="569"/>
      <c r="R94" s="569"/>
      <c r="S94" s="301" t="e">
        <f t="shared" si="79"/>
        <v>#N/A</v>
      </c>
      <c r="T94" s="690"/>
      <c r="U94" s="569"/>
      <c r="V94" s="569"/>
      <c r="W94" s="569"/>
      <c r="X94" s="475" t="e">
        <f t="shared" si="80"/>
        <v>#N/A</v>
      </c>
      <c r="Y94" s="690"/>
      <c r="Z94" s="569"/>
      <c r="AA94" s="569"/>
      <c r="AB94" s="569"/>
      <c r="AC94" s="475" t="e">
        <f t="shared" si="69"/>
        <v>#N/A</v>
      </c>
      <c r="AD94" s="690"/>
      <c r="AE94" s="569"/>
      <c r="AF94" s="569"/>
      <c r="AG94" s="569"/>
      <c r="AH94" s="475" t="e">
        <f t="shared" si="71"/>
        <v>#N/A</v>
      </c>
      <c r="AI94" s="690"/>
      <c r="AJ94" s="569"/>
      <c r="AK94" s="569"/>
      <c r="AL94" s="569"/>
      <c r="AM94" s="475" t="e">
        <f t="shared" si="73"/>
        <v>#N/A</v>
      </c>
      <c r="AN94" s="690"/>
      <c r="AO94" s="569"/>
      <c r="AP94" s="569"/>
      <c r="AQ94" s="569"/>
      <c r="AR94" s="475" t="e">
        <f t="shared" si="75"/>
        <v>#N/A</v>
      </c>
      <c r="AS94" s="690"/>
      <c r="AT94" s="569"/>
      <c r="AU94" s="569"/>
      <c r="AV94" s="569"/>
      <c r="AW94" s="475" t="e">
        <f t="shared" si="77"/>
        <v>#N/A</v>
      </c>
      <c r="AX94" s="690"/>
    </row>
    <row r="95" spans="2:50">
      <c r="B95" s="676"/>
      <c r="C95" s="301">
        <v>9</v>
      </c>
      <c r="D95" s="227"/>
      <c r="E95" s="182"/>
      <c r="F95" s="447"/>
      <c r="G95" s="448"/>
      <c r="H95" s="718"/>
      <c r="I95" s="199"/>
      <c r="J95" s="199"/>
      <c r="K95" s="200"/>
      <c r="L95" s="650"/>
      <c r="M95" s="201" t="e">
        <f>RANK(K95, K$87:$K$101)</f>
        <v>#DIV/0!</v>
      </c>
      <c r="N95" s="668"/>
      <c r="O95" s="668"/>
      <c r="P95" s="569"/>
      <c r="Q95" s="569"/>
      <c r="R95" s="569"/>
      <c r="S95" s="301" t="e">
        <f t="shared" si="79"/>
        <v>#N/A</v>
      </c>
      <c r="T95" s="690"/>
      <c r="U95" s="569"/>
      <c r="V95" s="569"/>
      <c r="W95" s="569"/>
      <c r="X95" s="475" t="e">
        <f t="shared" si="80"/>
        <v>#N/A</v>
      </c>
      <c r="Y95" s="690"/>
      <c r="Z95" s="569"/>
      <c r="AA95" s="569"/>
      <c r="AB95" s="569"/>
      <c r="AC95" s="475" t="e">
        <f t="shared" si="69"/>
        <v>#N/A</v>
      </c>
      <c r="AD95" s="690"/>
      <c r="AE95" s="569"/>
      <c r="AF95" s="569"/>
      <c r="AG95" s="569"/>
      <c r="AH95" s="475" t="e">
        <f t="shared" si="71"/>
        <v>#N/A</v>
      </c>
      <c r="AI95" s="690"/>
      <c r="AJ95" s="569"/>
      <c r="AK95" s="569"/>
      <c r="AL95" s="569"/>
      <c r="AM95" s="475" t="e">
        <f t="shared" si="73"/>
        <v>#N/A</v>
      </c>
      <c r="AN95" s="690"/>
      <c r="AO95" s="569"/>
      <c r="AP95" s="569"/>
      <c r="AQ95" s="569"/>
      <c r="AR95" s="475" t="e">
        <f t="shared" si="75"/>
        <v>#N/A</v>
      </c>
      <c r="AS95" s="690"/>
      <c r="AT95" s="569"/>
      <c r="AU95" s="569"/>
      <c r="AV95" s="569"/>
      <c r="AW95" s="475" t="e">
        <f t="shared" si="77"/>
        <v>#N/A</v>
      </c>
      <c r="AX95" s="690"/>
    </row>
    <row r="96" spans="2:50">
      <c r="B96" s="676"/>
      <c r="C96" s="301">
        <v>10</v>
      </c>
      <c r="D96" s="227"/>
      <c r="E96" s="182"/>
      <c r="F96" s="447"/>
      <c r="G96" s="448"/>
      <c r="H96" s="718"/>
      <c r="I96" s="199"/>
      <c r="J96" s="199"/>
      <c r="K96" s="200"/>
      <c r="L96" s="650"/>
      <c r="M96" s="201" t="e">
        <f>RANK(K96, K$87:$K$101)</f>
        <v>#DIV/0!</v>
      </c>
      <c r="N96" s="668"/>
      <c r="O96" s="668"/>
      <c r="P96" s="569"/>
      <c r="Q96" s="569"/>
      <c r="R96" s="569"/>
      <c r="S96" s="301" t="e">
        <f t="shared" si="79"/>
        <v>#N/A</v>
      </c>
      <c r="T96" s="690"/>
      <c r="U96" s="569"/>
      <c r="V96" s="569"/>
      <c r="W96" s="569"/>
      <c r="X96" s="475" t="e">
        <f t="shared" si="80"/>
        <v>#N/A</v>
      </c>
      <c r="Y96" s="690"/>
      <c r="Z96" s="569"/>
      <c r="AA96" s="569"/>
      <c r="AB96" s="569"/>
      <c r="AC96" s="475" t="e">
        <f t="shared" si="69"/>
        <v>#N/A</v>
      </c>
      <c r="AD96" s="690"/>
      <c r="AE96" s="569"/>
      <c r="AF96" s="569"/>
      <c r="AG96" s="569"/>
      <c r="AH96" s="475" t="e">
        <f t="shared" si="71"/>
        <v>#N/A</v>
      </c>
      <c r="AI96" s="690"/>
      <c r="AJ96" s="569"/>
      <c r="AK96" s="569"/>
      <c r="AL96" s="569"/>
      <c r="AM96" s="475" t="e">
        <f t="shared" si="73"/>
        <v>#N/A</v>
      </c>
      <c r="AN96" s="690"/>
      <c r="AO96" s="569"/>
      <c r="AP96" s="569"/>
      <c r="AQ96" s="569"/>
      <c r="AR96" s="475" t="e">
        <f t="shared" si="75"/>
        <v>#N/A</v>
      </c>
      <c r="AS96" s="690"/>
      <c r="AT96" s="569"/>
      <c r="AU96" s="569"/>
      <c r="AV96" s="569"/>
      <c r="AW96" s="475" t="e">
        <f t="shared" si="77"/>
        <v>#N/A</v>
      </c>
      <c r="AX96" s="690"/>
    </row>
    <row r="97" spans="2:50">
      <c r="B97" s="676"/>
      <c r="C97" s="301">
        <v>11</v>
      </c>
      <c r="D97" s="227"/>
      <c r="E97" s="182"/>
      <c r="F97" s="447"/>
      <c r="G97" s="448"/>
      <c r="H97" s="718"/>
      <c r="I97" s="202"/>
      <c r="J97" s="202"/>
      <c r="K97" s="202"/>
      <c r="L97" s="650"/>
      <c r="M97" s="201" t="e">
        <f>RANK(K97, K$87:$K$101)</f>
        <v>#DIV/0!</v>
      </c>
      <c r="N97" s="668"/>
      <c r="O97" s="668"/>
      <c r="P97" s="569"/>
      <c r="Q97" s="569"/>
      <c r="R97" s="569"/>
      <c r="S97" s="301" t="e">
        <f t="shared" si="79"/>
        <v>#N/A</v>
      </c>
      <c r="T97" s="690"/>
      <c r="U97" s="569"/>
      <c r="V97" s="569"/>
      <c r="W97" s="569"/>
      <c r="X97" s="475" t="e">
        <f t="shared" si="80"/>
        <v>#N/A</v>
      </c>
      <c r="Y97" s="690"/>
      <c r="Z97" s="569"/>
      <c r="AA97" s="569"/>
      <c r="AB97" s="569"/>
      <c r="AC97" s="475" t="e">
        <f t="shared" si="69"/>
        <v>#N/A</v>
      </c>
      <c r="AD97" s="690"/>
      <c r="AE97" s="569"/>
      <c r="AF97" s="569"/>
      <c r="AG97" s="569"/>
      <c r="AH97" s="475" t="e">
        <f t="shared" si="71"/>
        <v>#N/A</v>
      </c>
      <c r="AI97" s="690"/>
      <c r="AJ97" s="569"/>
      <c r="AK97" s="569"/>
      <c r="AL97" s="569"/>
      <c r="AM97" s="475" t="e">
        <f t="shared" si="73"/>
        <v>#N/A</v>
      </c>
      <c r="AN97" s="690"/>
      <c r="AO97" s="569"/>
      <c r="AP97" s="569"/>
      <c r="AQ97" s="569"/>
      <c r="AR97" s="475" t="e">
        <f t="shared" si="75"/>
        <v>#N/A</v>
      </c>
      <c r="AS97" s="690"/>
      <c r="AT97" s="569"/>
      <c r="AU97" s="569"/>
      <c r="AV97" s="569"/>
      <c r="AW97" s="475" t="e">
        <f t="shared" si="77"/>
        <v>#N/A</v>
      </c>
      <c r="AX97" s="690"/>
    </row>
    <row r="98" spans="2:50">
      <c r="B98" s="676"/>
      <c r="C98" s="301">
        <v>12</v>
      </c>
      <c r="D98" s="227"/>
      <c r="E98" s="182"/>
      <c r="F98" s="447"/>
      <c r="G98" s="448"/>
      <c r="H98" s="718"/>
      <c r="I98" s="202"/>
      <c r="J98" s="202"/>
      <c r="K98" s="202"/>
      <c r="L98" s="650"/>
      <c r="M98" s="201" t="e">
        <f>RANK(K98, K$87:$K$101)</f>
        <v>#DIV/0!</v>
      </c>
      <c r="N98" s="668"/>
      <c r="O98" s="668"/>
      <c r="P98" s="569"/>
      <c r="Q98" s="569"/>
      <c r="R98" s="569"/>
      <c r="S98" s="301" t="e">
        <f t="shared" si="79"/>
        <v>#N/A</v>
      </c>
      <c r="T98" s="690"/>
      <c r="U98" s="569"/>
      <c r="V98" s="569"/>
      <c r="W98" s="569"/>
      <c r="X98" s="475" t="e">
        <f t="shared" si="80"/>
        <v>#N/A</v>
      </c>
      <c r="Y98" s="690"/>
      <c r="Z98" s="569"/>
      <c r="AA98" s="569"/>
      <c r="AB98" s="569"/>
      <c r="AC98" s="475" t="e">
        <f t="shared" si="69"/>
        <v>#N/A</v>
      </c>
      <c r="AD98" s="690"/>
      <c r="AE98" s="569"/>
      <c r="AF98" s="569"/>
      <c r="AG98" s="569"/>
      <c r="AH98" s="475" t="e">
        <f t="shared" si="71"/>
        <v>#N/A</v>
      </c>
      <c r="AI98" s="690"/>
      <c r="AJ98" s="569"/>
      <c r="AK98" s="569"/>
      <c r="AL98" s="569"/>
      <c r="AM98" s="475" t="e">
        <f t="shared" si="73"/>
        <v>#N/A</v>
      </c>
      <c r="AN98" s="690"/>
      <c r="AO98" s="569"/>
      <c r="AP98" s="569"/>
      <c r="AQ98" s="569"/>
      <c r="AR98" s="475" t="e">
        <f t="shared" si="75"/>
        <v>#N/A</v>
      </c>
      <c r="AS98" s="690"/>
      <c r="AT98" s="569"/>
      <c r="AU98" s="569"/>
      <c r="AV98" s="569"/>
      <c r="AW98" s="475" t="e">
        <f t="shared" si="77"/>
        <v>#N/A</v>
      </c>
      <c r="AX98" s="690"/>
    </row>
    <row r="99" spans="2:50">
      <c r="B99" s="676"/>
      <c r="C99" s="301">
        <v>13</v>
      </c>
      <c r="D99" s="227"/>
      <c r="E99" s="182"/>
      <c r="F99" s="447"/>
      <c r="G99" s="448"/>
      <c r="H99" s="718"/>
      <c r="I99" s="202"/>
      <c r="J99" s="202"/>
      <c r="K99" s="202"/>
      <c r="L99" s="650"/>
      <c r="M99" s="201" t="e">
        <f>RANK(K99, K$87:$K$101)</f>
        <v>#DIV/0!</v>
      </c>
      <c r="N99" s="668"/>
      <c r="O99" s="668"/>
      <c r="P99" s="569"/>
      <c r="Q99" s="569"/>
      <c r="R99" s="569"/>
      <c r="S99" s="301" t="e">
        <f t="shared" si="79"/>
        <v>#N/A</v>
      </c>
      <c r="T99" s="690"/>
      <c r="U99" s="569"/>
      <c r="V99" s="569"/>
      <c r="W99" s="569"/>
      <c r="X99" s="475" t="e">
        <f t="shared" si="80"/>
        <v>#N/A</v>
      </c>
      <c r="Y99" s="690"/>
      <c r="Z99" s="569"/>
      <c r="AA99" s="569"/>
      <c r="AB99" s="569"/>
      <c r="AC99" s="475" t="e">
        <f t="shared" si="69"/>
        <v>#N/A</v>
      </c>
      <c r="AD99" s="690"/>
      <c r="AE99" s="569"/>
      <c r="AF99" s="569"/>
      <c r="AG99" s="569"/>
      <c r="AH99" s="475" t="e">
        <f t="shared" si="71"/>
        <v>#N/A</v>
      </c>
      <c r="AI99" s="690"/>
      <c r="AJ99" s="569"/>
      <c r="AK99" s="569"/>
      <c r="AL99" s="569"/>
      <c r="AM99" s="475" t="e">
        <f t="shared" si="73"/>
        <v>#N/A</v>
      </c>
      <c r="AN99" s="690"/>
      <c r="AO99" s="569"/>
      <c r="AP99" s="569"/>
      <c r="AQ99" s="569"/>
      <c r="AR99" s="475" t="e">
        <f t="shared" si="75"/>
        <v>#N/A</v>
      </c>
      <c r="AS99" s="690"/>
      <c r="AT99" s="569"/>
      <c r="AU99" s="569"/>
      <c r="AV99" s="569"/>
      <c r="AW99" s="475" t="e">
        <f t="shared" si="77"/>
        <v>#N/A</v>
      </c>
      <c r="AX99" s="690"/>
    </row>
    <row r="100" spans="2:50">
      <c r="B100" s="676"/>
      <c r="C100" s="301">
        <v>14</v>
      </c>
      <c r="D100" s="227"/>
      <c r="E100" s="182"/>
      <c r="F100" s="447"/>
      <c r="G100" s="448"/>
      <c r="H100" s="718"/>
      <c r="I100" s="202"/>
      <c r="J100" s="202"/>
      <c r="K100" s="202"/>
      <c r="L100" s="650"/>
      <c r="M100" s="201" t="e">
        <f>RANK(K100, K$87:$K$101)</f>
        <v>#DIV/0!</v>
      </c>
      <c r="N100" s="668"/>
      <c r="O100" s="668"/>
      <c r="P100" s="569"/>
      <c r="Q100" s="569"/>
      <c r="R100" s="569"/>
      <c r="S100" s="301" t="e">
        <f t="shared" si="79"/>
        <v>#N/A</v>
      </c>
      <c r="T100" s="690"/>
      <c r="U100" s="569"/>
      <c r="V100" s="569"/>
      <c r="W100" s="569"/>
      <c r="X100" s="475" t="e">
        <f t="shared" si="80"/>
        <v>#N/A</v>
      </c>
      <c r="Y100" s="690"/>
      <c r="Z100" s="569"/>
      <c r="AA100" s="569"/>
      <c r="AB100" s="569"/>
      <c r="AC100" s="475" t="e">
        <f t="shared" si="69"/>
        <v>#N/A</v>
      </c>
      <c r="AD100" s="690"/>
      <c r="AE100" s="569"/>
      <c r="AF100" s="569"/>
      <c r="AG100" s="569"/>
      <c r="AH100" s="475" t="e">
        <f t="shared" si="71"/>
        <v>#N/A</v>
      </c>
      <c r="AI100" s="690"/>
      <c r="AJ100" s="569"/>
      <c r="AK100" s="569"/>
      <c r="AL100" s="569"/>
      <c r="AM100" s="475" t="e">
        <f t="shared" si="73"/>
        <v>#N/A</v>
      </c>
      <c r="AN100" s="690"/>
      <c r="AO100" s="569"/>
      <c r="AP100" s="569"/>
      <c r="AQ100" s="569"/>
      <c r="AR100" s="475" t="e">
        <f t="shared" si="75"/>
        <v>#N/A</v>
      </c>
      <c r="AS100" s="690"/>
      <c r="AT100" s="569"/>
      <c r="AU100" s="569"/>
      <c r="AV100" s="569"/>
      <c r="AW100" s="475" t="e">
        <f t="shared" si="77"/>
        <v>#N/A</v>
      </c>
      <c r="AX100" s="690"/>
    </row>
    <row r="101" spans="2:50">
      <c r="B101" s="676"/>
      <c r="C101" s="301">
        <v>15</v>
      </c>
      <c r="D101" s="227"/>
      <c r="E101" s="182"/>
      <c r="F101" s="447"/>
      <c r="G101" s="448"/>
      <c r="H101" s="719"/>
      <c r="I101" s="202"/>
      <c r="J101" s="202"/>
      <c r="K101" s="202"/>
      <c r="L101" s="651"/>
      <c r="M101" s="199" t="e">
        <f>RANK(K101, K$87:$K$101)</f>
        <v>#DIV/0!</v>
      </c>
      <c r="N101" s="668"/>
      <c r="O101" s="668"/>
      <c r="P101" s="569"/>
      <c r="Q101" s="569"/>
      <c r="R101" s="569"/>
      <c r="S101" s="301" t="e">
        <f t="shared" si="79"/>
        <v>#N/A</v>
      </c>
      <c r="T101" s="690"/>
      <c r="U101" s="569"/>
      <c r="V101" s="569"/>
      <c r="W101" s="569"/>
      <c r="X101" s="475" t="e">
        <f t="shared" si="80"/>
        <v>#N/A</v>
      </c>
      <c r="Y101" s="690"/>
      <c r="Z101" s="569"/>
      <c r="AA101" s="569"/>
      <c r="AB101" s="569"/>
      <c r="AC101" s="475" t="e">
        <f t="shared" si="69"/>
        <v>#N/A</v>
      </c>
      <c r="AD101" s="690"/>
      <c r="AE101" s="569"/>
      <c r="AF101" s="569"/>
      <c r="AG101" s="569"/>
      <c r="AH101" s="475" t="e">
        <f t="shared" si="71"/>
        <v>#N/A</v>
      </c>
      <c r="AI101" s="690"/>
      <c r="AJ101" s="569"/>
      <c r="AK101" s="569"/>
      <c r="AL101" s="569"/>
      <c r="AM101" s="475" t="e">
        <f t="shared" si="73"/>
        <v>#N/A</v>
      </c>
      <c r="AN101" s="690"/>
      <c r="AO101" s="569"/>
      <c r="AP101" s="569"/>
      <c r="AQ101" s="569"/>
      <c r="AR101" s="475" t="e">
        <f t="shared" si="75"/>
        <v>#N/A</v>
      </c>
      <c r="AS101" s="690"/>
      <c r="AT101" s="569"/>
      <c r="AU101" s="569"/>
      <c r="AV101" s="569"/>
      <c r="AW101" s="475" t="e">
        <f t="shared" si="77"/>
        <v>#N/A</v>
      </c>
      <c r="AX101" s="690"/>
    </row>
    <row r="102" spans="2:50" ht="15.75">
      <c r="B102" s="680" t="s">
        <v>163</v>
      </c>
      <c r="C102" s="681"/>
      <c r="D102" s="681"/>
      <c r="E102" s="681"/>
      <c r="F102" s="681"/>
      <c r="G102" s="681"/>
      <c r="H102" s="682"/>
      <c r="I102" s="208"/>
      <c r="J102" s="208"/>
      <c r="K102" s="208"/>
      <c r="L102" s="208"/>
      <c r="M102" s="207"/>
      <c r="N102" s="669" t="s">
        <v>156</v>
      </c>
      <c r="O102" s="669" t="s">
        <v>105</v>
      </c>
      <c r="P102" s="675">
        <f>P82+7</f>
        <v>46119</v>
      </c>
      <c r="Q102" s="676"/>
      <c r="R102" s="676"/>
      <c r="S102" s="676"/>
      <c r="T102" s="676"/>
      <c r="U102" s="672">
        <f>P102+1</f>
        <v>46120</v>
      </c>
      <c r="V102" s="673"/>
      <c r="W102" s="673"/>
      <c r="X102" s="673"/>
      <c r="Y102" s="674"/>
      <c r="Z102" s="672">
        <f>U102+1</f>
        <v>46121</v>
      </c>
      <c r="AA102" s="673"/>
      <c r="AB102" s="673"/>
      <c r="AC102" s="673"/>
      <c r="AD102" s="674"/>
      <c r="AE102" s="672">
        <f>Z102+1</f>
        <v>46122</v>
      </c>
      <c r="AF102" s="673"/>
      <c r="AG102" s="673"/>
      <c r="AH102" s="673"/>
      <c r="AI102" s="674"/>
      <c r="AJ102" s="672">
        <f>AE102+1</f>
        <v>46123</v>
      </c>
      <c r="AK102" s="673"/>
      <c r="AL102" s="673"/>
      <c r="AM102" s="673"/>
      <c r="AN102" s="674"/>
      <c r="AO102" s="672">
        <f>AJ102+1</f>
        <v>46124</v>
      </c>
      <c r="AP102" s="673"/>
      <c r="AQ102" s="673"/>
      <c r="AR102" s="673"/>
      <c r="AS102" s="674"/>
      <c r="AT102" s="672">
        <f>AO102+1</f>
        <v>46125</v>
      </c>
      <c r="AU102" s="673"/>
      <c r="AV102" s="673"/>
      <c r="AW102" s="673"/>
      <c r="AX102" s="674"/>
    </row>
    <row r="103" spans="2:50" ht="15.75">
      <c r="B103" s="683"/>
      <c r="C103" s="683"/>
      <c r="D103" s="683"/>
      <c r="E103" s="683"/>
      <c r="F103" s="683"/>
      <c r="G103" s="683"/>
      <c r="H103" s="683"/>
      <c r="I103" s="205"/>
      <c r="J103" s="205"/>
      <c r="K103" s="205"/>
      <c r="L103" s="205"/>
      <c r="M103" s="206"/>
      <c r="N103" s="671"/>
      <c r="O103" s="671"/>
      <c r="P103" s="675" t="s">
        <v>158</v>
      </c>
      <c r="Q103" s="676"/>
      <c r="R103" s="676"/>
      <c r="S103" s="676"/>
      <c r="T103" s="676"/>
      <c r="U103" s="675" t="s">
        <v>114</v>
      </c>
      <c r="V103" s="676"/>
      <c r="W103" s="676"/>
      <c r="X103" s="676"/>
      <c r="Y103" s="676"/>
      <c r="Z103" s="675" t="s">
        <v>159</v>
      </c>
      <c r="AA103" s="676"/>
      <c r="AB103" s="676"/>
      <c r="AC103" s="676"/>
      <c r="AD103" s="676"/>
      <c r="AE103" s="675" t="s">
        <v>157</v>
      </c>
      <c r="AF103" s="676"/>
      <c r="AG103" s="676"/>
      <c r="AH103" s="676"/>
      <c r="AI103" s="676"/>
      <c r="AJ103" s="675" t="s">
        <v>160</v>
      </c>
      <c r="AK103" s="676"/>
      <c r="AL103" s="676"/>
      <c r="AM103" s="676"/>
      <c r="AN103" s="676"/>
      <c r="AO103" s="675" t="s">
        <v>115</v>
      </c>
      <c r="AP103" s="676"/>
      <c r="AQ103" s="676"/>
      <c r="AR103" s="676"/>
      <c r="AS103" s="676"/>
      <c r="AT103" s="675" t="s">
        <v>162</v>
      </c>
      <c r="AU103" s="676"/>
      <c r="AV103" s="676"/>
      <c r="AW103" s="676"/>
      <c r="AX103" s="676"/>
    </row>
    <row r="104" spans="2:50">
      <c r="B104" s="668" t="s">
        <v>154</v>
      </c>
      <c r="C104" s="668" t="s">
        <v>429</v>
      </c>
      <c r="D104" s="668"/>
      <c r="E104" s="668" t="s">
        <v>420</v>
      </c>
      <c r="F104" s="668"/>
      <c r="G104" s="668"/>
      <c r="H104" s="684" t="s">
        <v>416</v>
      </c>
      <c r="I104" s="652" t="s">
        <v>421</v>
      </c>
      <c r="J104" s="652"/>
      <c r="K104" s="652"/>
      <c r="L104" s="653" t="s">
        <v>416</v>
      </c>
      <c r="M104" s="659" t="s">
        <v>417</v>
      </c>
      <c r="N104" s="668"/>
      <c r="O104" s="668" t="s">
        <v>422</v>
      </c>
      <c r="P104" s="665" t="s">
        <v>418</v>
      </c>
      <c r="Q104" s="666"/>
      <c r="R104" s="666"/>
      <c r="S104" s="667"/>
      <c r="T104" s="668" t="s">
        <v>416</v>
      </c>
      <c r="U104" s="665" t="s">
        <v>418</v>
      </c>
      <c r="V104" s="666"/>
      <c r="W104" s="666"/>
      <c r="X104" s="667"/>
      <c r="Y104" s="668" t="s">
        <v>416</v>
      </c>
      <c r="Z104" s="665" t="s">
        <v>418</v>
      </c>
      <c r="AA104" s="666"/>
      <c r="AB104" s="666"/>
      <c r="AC104" s="667"/>
      <c r="AD104" s="668" t="s">
        <v>416</v>
      </c>
      <c r="AE104" s="665" t="s">
        <v>418</v>
      </c>
      <c r="AF104" s="666"/>
      <c r="AG104" s="666"/>
      <c r="AH104" s="667"/>
      <c r="AI104" s="668" t="s">
        <v>416</v>
      </c>
      <c r="AJ104" s="665" t="s">
        <v>418</v>
      </c>
      <c r="AK104" s="666"/>
      <c r="AL104" s="666"/>
      <c r="AM104" s="667"/>
      <c r="AN104" s="668" t="s">
        <v>416</v>
      </c>
      <c r="AO104" s="665" t="s">
        <v>418</v>
      </c>
      <c r="AP104" s="666"/>
      <c r="AQ104" s="666"/>
      <c r="AR104" s="667"/>
      <c r="AS104" s="668" t="s">
        <v>416</v>
      </c>
      <c r="AT104" s="665" t="s">
        <v>418</v>
      </c>
      <c r="AU104" s="666"/>
      <c r="AV104" s="666"/>
      <c r="AW104" s="667"/>
      <c r="AX104" s="668" t="s">
        <v>416</v>
      </c>
    </row>
    <row r="105" spans="2:50">
      <c r="B105" s="668"/>
      <c r="C105" s="668"/>
      <c r="D105" s="668"/>
      <c r="E105" s="668" t="s">
        <v>423</v>
      </c>
      <c r="F105" s="668"/>
      <c r="G105" s="668"/>
      <c r="H105" s="685"/>
      <c r="I105" s="652" t="s">
        <v>423</v>
      </c>
      <c r="J105" s="652"/>
      <c r="K105" s="652"/>
      <c r="L105" s="654"/>
      <c r="M105" s="660"/>
      <c r="N105" s="668"/>
      <c r="O105" s="668"/>
      <c r="P105" s="665" t="s">
        <v>424</v>
      </c>
      <c r="Q105" s="666"/>
      <c r="R105" s="666"/>
      <c r="S105" s="667"/>
      <c r="T105" s="668"/>
      <c r="U105" s="665" t="s">
        <v>424</v>
      </c>
      <c r="V105" s="666"/>
      <c r="W105" s="666"/>
      <c r="X105" s="667"/>
      <c r="Y105" s="668"/>
      <c r="Z105" s="665" t="s">
        <v>424</v>
      </c>
      <c r="AA105" s="666"/>
      <c r="AB105" s="666"/>
      <c r="AC105" s="667"/>
      <c r="AD105" s="668"/>
      <c r="AE105" s="665" t="s">
        <v>424</v>
      </c>
      <c r="AF105" s="666"/>
      <c r="AG105" s="666"/>
      <c r="AH105" s="667"/>
      <c r="AI105" s="668"/>
      <c r="AJ105" s="665" t="s">
        <v>424</v>
      </c>
      <c r="AK105" s="666"/>
      <c r="AL105" s="666"/>
      <c r="AM105" s="667"/>
      <c r="AN105" s="668"/>
      <c r="AO105" s="665" t="s">
        <v>424</v>
      </c>
      <c r="AP105" s="666"/>
      <c r="AQ105" s="666"/>
      <c r="AR105" s="667"/>
      <c r="AS105" s="668"/>
      <c r="AT105" s="665" t="s">
        <v>424</v>
      </c>
      <c r="AU105" s="666"/>
      <c r="AV105" s="666"/>
      <c r="AW105" s="667"/>
      <c r="AX105" s="668"/>
    </row>
    <row r="106" spans="2:50">
      <c r="B106" s="668"/>
      <c r="C106" s="668"/>
      <c r="D106" s="668"/>
      <c r="E106" s="344" t="s">
        <v>425</v>
      </c>
      <c r="F106" s="344" t="s">
        <v>426</v>
      </c>
      <c r="G106" s="344" t="s">
        <v>427</v>
      </c>
      <c r="H106" s="686"/>
      <c r="I106" s="345" t="s">
        <v>425</v>
      </c>
      <c r="J106" s="345" t="s">
        <v>426</v>
      </c>
      <c r="K106" s="345" t="s">
        <v>427</v>
      </c>
      <c r="L106" s="655"/>
      <c r="M106" s="661"/>
      <c r="N106" s="668"/>
      <c r="O106" s="668"/>
      <c r="P106" s="344" t="s">
        <v>425</v>
      </c>
      <c r="Q106" s="344" t="s">
        <v>426</v>
      </c>
      <c r="R106" s="344" t="s">
        <v>427</v>
      </c>
      <c r="S106" s="344" t="s">
        <v>417</v>
      </c>
      <c r="T106" s="668"/>
      <c r="U106" s="344" t="s">
        <v>425</v>
      </c>
      <c r="V106" s="344" t="s">
        <v>426</v>
      </c>
      <c r="W106" s="344" t="s">
        <v>427</v>
      </c>
      <c r="X106" s="344" t="s">
        <v>417</v>
      </c>
      <c r="Y106" s="668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68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68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68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68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68"/>
    </row>
    <row r="107" spans="2:50">
      <c r="B107" s="668" t="s">
        <v>430</v>
      </c>
      <c r="C107" s="343">
        <v>1</v>
      </c>
      <c r="D107" s="227"/>
      <c r="E107" s="182"/>
      <c r="F107" s="343"/>
      <c r="G107" s="346"/>
      <c r="H107" s="717" t="e">
        <f>AVERAGE(G107:G121)</f>
        <v>#DIV/0!</v>
      </c>
      <c r="I107" s="199" t="e">
        <f t="shared" ref="I107:K108" si="81">AVERAGE(P107,U107,Z107,AE107,AJ107,AO107,AT107)</f>
        <v>#DIV/0!</v>
      </c>
      <c r="J107" s="199" t="e">
        <f t="shared" si="81"/>
        <v>#DIV/0!</v>
      </c>
      <c r="K107" s="200" t="e">
        <f t="shared" si="81"/>
        <v>#DIV/0!</v>
      </c>
      <c r="L107" s="649" t="str">
        <f>IFERROR(AVERAGE(K107:K121),"-")</f>
        <v>-</v>
      </c>
      <c r="M107" s="201" t="e">
        <f>RANK(K107, K$87:$K$101)</f>
        <v>#DIV/0!</v>
      </c>
      <c r="N107" s="668"/>
      <c r="O107" s="668"/>
      <c r="P107" s="182"/>
      <c r="Q107" s="182"/>
      <c r="R107" s="346"/>
      <c r="S107" s="343" t="e">
        <f>RANK(R107, R$107:R$121)</f>
        <v>#N/A</v>
      </c>
      <c r="T107" s="690" t="e">
        <f>AVERAGE(R107:R121)</f>
        <v>#DIV/0!</v>
      </c>
      <c r="U107" s="182"/>
      <c r="V107" s="182"/>
      <c r="W107" s="360"/>
      <c r="X107" s="355" t="e">
        <f>RANK(W107, W$107:W$121)</f>
        <v>#N/A</v>
      </c>
      <c r="Y107" s="690" t="e">
        <f>AVERAGE(W107:W121)</f>
        <v>#DIV/0!</v>
      </c>
      <c r="Z107" s="182"/>
      <c r="AA107" s="182"/>
      <c r="AB107" s="360"/>
      <c r="AC107" s="355" t="e">
        <f>RANK(AB107, AB$107:AB$121)</f>
        <v>#N/A</v>
      </c>
      <c r="AD107" s="690" t="e">
        <f>AVERAGE(AB107:AB121)</f>
        <v>#DIV/0!</v>
      </c>
      <c r="AE107" s="182"/>
      <c r="AF107" s="182"/>
      <c r="AG107" s="360"/>
      <c r="AH107" s="355" t="e">
        <f>RANK(AG107, AG$107:AG$121)</f>
        <v>#N/A</v>
      </c>
      <c r="AI107" s="690" t="e">
        <f>AVERAGE(AG107:AG121)</f>
        <v>#DIV/0!</v>
      </c>
      <c r="AJ107" s="182"/>
      <c r="AK107" s="182"/>
      <c r="AL107" s="360"/>
      <c r="AM107" s="355" t="e">
        <f>RANK(AL107, AL$107:AL$121)</f>
        <v>#N/A</v>
      </c>
      <c r="AN107" s="690" t="e">
        <f>AVERAGE(AL107:AL121)</f>
        <v>#DIV/0!</v>
      </c>
      <c r="AO107" s="182"/>
      <c r="AP107" s="182"/>
      <c r="AQ107" s="360"/>
      <c r="AR107" s="355" t="e">
        <f>RANK(AQ107, AQ$107:AQ$121)</f>
        <v>#N/A</v>
      </c>
      <c r="AS107" s="690" t="e">
        <f>AVERAGE(AQ107:AQ121)</f>
        <v>#DIV/0!</v>
      </c>
      <c r="AT107" s="182"/>
      <c r="AU107" s="182"/>
      <c r="AV107" s="360"/>
      <c r="AW107" s="355" t="e">
        <f>RANK(AV107, AV$107:AV$121)</f>
        <v>#N/A</v>
      </c>
      <c r="AX107" s="690" t="e">
        <f>AVERAGE(AV107:AV121)</f>
        <v>#DIV/0!</v>
      </c>
    </row>
    <row r="108" spans="2:50">
      <c r="B108" s="676"/>
      <c r="C108" s="343">
        <v>2</v>
      </c>
      <c r="D108" s="227"/>
      <c r="E108" s="182"/>
      <c r="F108" s="343"/>
      <c r="G108" s="346"/>
      <c r="H108" s="718"/>
      <c r="I108" s="357" t="e">
        <f t="shared" si="81"/>
        <v>#DIV/0!</v>
      </c>
      <c r="J108" s="357" t="e">
        <f t="shared" si="81"/>
        <v>#DIV/0!</v>
      </c>
      <c r="K108" s="200" t="e">
        <f t="shared" si="81"/>
        <v>#DIV/0!</v>
      </c>
      <c r="L108" s="650"/>
      <c r="M108" s="201" t="e">
        <f>RANK(K108, K$87:$K$101)</f>
        <v>#DIV/0!</v>
      </c>
      <c r="N108" s="668"/>
      <c r="O108" s="668"/>
      <c r="P108" s="343"/>
      <c r="Q108" s="182"/>
      <c r="R108" s="356"/>
      <c r="S108" s="355" t="e">
        <f t="shared" ref="S108:S121" si="82">RANK(R108, R$107:R$121)</f>
        <v>#N/A</v>
      </c>
      <c r="T108" s="690"/>
      <c r="U108" s="359"/>
      <c r="V108" s="182"/>
      <c r="W108" s="360"/>
      <c r="X108" s="355" t="e">
        <f t="shared" ref="X108:X121" si="83">RANK(W108, W$107:W$121)</f>
        <v>#N/A</v>
      </c>
      <c r="Y108" s="690"/>
      <c r="Z108" s="359"/>
      <c r="AA108" s="182"/>
      <c r="AB108" s="360"/>
      <c r="AC108" s="355" t="e">
        <f t="shared" ref="AC108:AC121" si="84">RANK(AB108, AB$107:AB$121)</f>
        <v>#N/A</v>
      </c>
      <c r="AD108" s="690"/>
      <c r="AE108" s="359"/>
      <c r="AF108" s="182"/>
      <c r="AG108" s="360"/>
      <c r="AH108" s="355" t="e">
        <f t="shared" ref="AH108:AH121" si="85">RANK(AG108, AG$107:AG$121)</f>
        <v>#N/A</v>
      </c>
      <c r="AI108" s="690"/>
      <c r="AJ108" s="359"/>
      <c r="AK108" s="182"/>
      <c r="AL108" s="360"/>
      <c r="AM108" s="355" t="e">
        <f t="shared" ref="AM108:AM121" si="86">RANK(AL108, AL$107:AL$121)</f>
        <v>#N/A</v>
      </c>
      <c r="AN108" s="690"/>
      <c r="AO108" s="359"/>
      <c r="AP108" s="182"/>
      <c r="AQ108" s="360"/>
      <c r="AR108" s="355" t="e">
        <f t="shared" ref="AR108:AR121" si="87">RANK(AQ108, AQ$107:AQ$121)</f>
        <v>#N/A</v>
      </c>
      <c r="AS108" s="690"/>
      <c r="AT108" s="359"/>
      <c r="AU108" s="182"/>
      <c r="AV108" s="360"/>
      <c r="AW108" s="355" t="e">
        <f t="shared" ref="AW108:AW121" si="88">RANK(AV108, AV$107:AV$121)</f>
        <v>#N/A</v>
      </c>
      <c r="AX108" s="690"/>
    </row>
    <row r="109" spans="2:50">
      <c r="B109" s="676"/>
      <c r="C109" s="343">
        <v>3</v>
      </c>
      <c r="D109" s="227"/>
      <c r="E109" s="182"/>
      <c r="F109" s="343"/>
      <c r="G109" s="346"/>
      <c r="H109" s="718"/>
      <c r="I109" s="199"/>
      <c r="J109" s="199"/>
      <c r="K109" s="200"/>
      <c r="L109" s="650"/>
      <c r="M109" s="201" t="e">
        <f>RANK(K109, K$87:$K$101)</f>
        <v>#DIV/0!</v>
      </c>
      <c r="N109" s="668"/>
      <c r="O109" s="668"/>
      <c r="P109" s="343"/>
      <c r="Q109" s="343"/>
      <c r="R109" s="343"/>
      <c r="S109" s="355" t="e">
        <f t="shared" si="82"/>
        <v>#N/A</v>
      </c>
      <c r="T109" s="690"/>
      <c r="U109" s="359"/>
      <c r="V109" s="359"/>
      <c r="W109" s="359"/>
      <c r="X109" s="355" t="e">
        <f t="shared" si="83"/>
        <v>#N/A</v>
      </c>
      <c r="Y109" s="690"/>
      <c r="Z109" s="359"/>
      <c r="AA109" s="359"/>
      <c r="AB109" s="359"/>
      <c r="AC109" s="355" t="e">
        <f t="shared" si="84"/>
        <v>#N/A</v>
      </c>
      <c r="AD109" s="690"/>
      <c r="AE109" s="359"/>
      <c r="AF109" s="359"/>
      <c r="AG109" s="359"/>
      <c r="AH109" s="355" t="e">
        <f t="shared" si="85"/>
        <v>#N/A</v>
      </c>
      <c r="AI109" s="690"/>
      <c r="AJ109" s="359"/>
      <c r="AK109" s="359"/>
      <c r="AL109" s="359"/>
      <c r="AM109" s="355" t="e">
        <f t="shared" si="86"/>
        <v>#N/A</v>
      </c>
      <c r="AN109" s="690"/>
      <c r="AO109" s="359"/>
      <c r="AP109" s="359"/>
      <c r="AQ109" s="359"/>
      <c r="AR109" s="355" t="e">
        <f t="shared" si="87"/>
        <v>#N/A</v>
      </c>
      <c r="AS109" s="690"/>
      <c r="AT109" s="359"/>
      <c r="AU109" s="359"/>
      <c r="AV109" s="359"/>
      <c r="AW109" s="355" t="e">
        <f t="shared" si="88"/>
        <v>#N/A</v>
      </c>
      <c r="AX109" s="690"/>
    </row>
    <row r="110" spans="2:50">
      <c r="B110" s="676"/>
      <c r="C110" s="343">
        <v>4</v>
      </c>
      <c r="D110" s="227"/>
      <c r="E110" s="182"/>
      <c r="F110" s="343"/>
      <c r="G110" s="346"/>
      <c r="H110" s="718"/>
      <c r="I110" s="199"/>
      <c r="J110" s="199"/>
      <c r="K110" s="200"/>
      <c r="L110" s="650"/>
      <c r="M110" s="201" t="e">
        <f>RANK(K110, K$87:$K$101)</f>
        <v>#DIV/0!</v>
      </c>
      <c r="N110" s="668"/>
      <c r="O110" s="668"/>
      <c r="P110" s="343"/>
      <c r="Q110" s="343"/>
      <c r="R110" s="343"/>
      <c r="S110" s="355" t="e">
        <f t="shared" si="82"/>
        <v>#N/A</v>
      </c>
      <c r="T110" s="690"/>
      <c r="U110" s="359"/>
      <c r="V110" s="359"/>
      <c r="W110" s="359"/>
      <c r="X110" s="355" t="e">
        <f t="shared" si="83"/>
        <v>#N/A</v>
      </c>
      <c r="Y110" s="690"/>
      <c r="Z110" s="359"/>
      <c r="AA110" s="359"/>
      <c r="AB110" s="359"/>
      <c r="AC110" s="355" t="e">
        <f t="shared" si="84"/>
        <v>#N/A</v>
      </c>
      <c r="AD110" s="690"/>
      <c r="AE110" s="359"/>
      <c r="AF110" s="359"/>
      <c r="AG110" s="359"/>
      <c r="AH110" s="355" t="e">
        <f t="shared" si="85"/>
        <v>#N/A</v>
      </c>
      <c r="AI110" s="690"/>
      <c r="AJ110" s="359"/>
      <c r="AK110" s="359"/>
      <c r="AL110" s="359"/>
      <c r="AM110" s="355" t="e">
        <f t="shared" si="86"/>
        <v>#N/A</v>
      </c>
      <c r="AN110" s="690"/>
      <c r="AO110" s="359"/>
      <c r="AP110" s="359"/>
      <c r="AQ110" s="359"/>
      <c r="AR110" s="355" t="e">
        <f t="shared" si="87"/>
        <v>#N/A</v>
      </c>
      <c r="AS110" s="690"/>
      <c r="AT110" s="359"/>
      <c r="AU110" s="359"/>
      <c r="AV110" s="359"/>
      <c r="AW110" s="355" t="e">
        <f t="shared" si="88"/>
        <v>#N/A</v>
      </c>
      <c r="AX110" s="690"/>
    </row>
    <row r="111" spans="2:50">
      <c r="B111" s="676"/>
      <c r="C111" s="343">
        <v>5</v>
      </c>
      <c r="D111" s="227"/>
      <c r="E111" s="182"/>
      <c r="F111" s="343"/>
      <c r="G111" s="346"/>
      <c r="H111" s="718"/>
      <c r="I111" s="199"/>
      <c r="J111" s="199"/>
      <c r="K111" s="200"/>
      <c r="L111" s="650"/>
      <c r="M111" s="201" t="e">
        <f>RANK(K111, K$87:$K$101)</f>
        <v>#DIV/0!</v>
      </c>
      <c r="N111" s="668"/>
      <c r="O111" s="668"/>
      <c r="P111" s="343"/>
      <c r="Q111" s="343"/>
      <c r="R111" s="343"/>
      <c r="S111" s="355" t="e">
        <f t="shared" si="82"/>
        <v>#N/A</v>
      </c>
      <c r="T111" s="690"/>
      <c r="U111" s="359"/>
      <c r="V111" s="359"/>
      <c r="W111" s="359"/>
      <c r="X111" s="355" t="e">
        <f t="shared" si="83"/>
        <v>#N/A</v>
      </c>
      <c r="Y111" s="690"/>
      <c r="Z111" s="359"/>
      <c r="AA111" s="359"/>
      <c r="AB111" s="359"/>
      <c r="AC111" s="355" t="e">
        <f t="shared" si="84"/>
        <v>#N/A</v>
      </c>
      <c r="AD111" s="690"/>
      <c r="AE111" s="359"/>
      <c r="AF111" s="359"/>
      <c r="AG111" s="359"/>
      <c r="AH111" s="355" t="e">
        <f t="shared" si="85"/>
        <v>#N/A</v>
      </c>
      <c r="AI111" s="690"/>
      <c r="AJ111" s="359"/>
      <c r="AK111" s="359"/>
      <c r="AL111" s="359"/>
      <c r="AM111" s="355" t="e">
        <f t="shared" si="86"/>
        <v>#N/A</v>
      </c>
      <c r="AN111" s="690"/>
      <c r="AO111" s="359"/>
      <c r="AP111" s="359"/>
      <c r="AQ111" s="359"/>
      <c r="AR111" s="355" t="e">
        <f t="shared" si="87"/>
        <v>#N/A</v>
      </c>
      <c r="AS111" s="690"/>
      <c r="AT111" s="359"/>
      <c r="AU111" s="359"/>
      <c r="AV111" s="359"/>
      <c r="AW111" s="355" t="e">
        <f t="shared" si="88"/>
        <v>#N/A</v>
      </c>
      <c r="AX111" s="690"/>
    </row>
    <row r="112" spans="2:50">
      <c r="B112" s="676"/>
      <c r="C112" s="343">
        <v>6</v>
      </c>
      <c r="D112" s="227"/>
      <c r="E112" s="182"/>
      <c r="F112" s="343"/>
      <c r="G112" s="346"/>
      <c r="H112" s="718"/>
      <c r="I112" s="199"/>
      <c r="J112" s="199"/>
      <c r="K112" s="200"/>
      <c r="L112" s="650"/>
      <c r="M112" s="201" t="e">
        <f>RANK(K112, K$87:$K$101)</f>
        <v>#DIV/0!</v>
      </c>
      <c r="N112" s="668"/>
      <c r="O112" s="668"/>
      <c r="P112" s="343"/>
      <c r="Q112" s="343"/>
      <c r="R112" s="343"/>
      <c r="S112" s="355" t="e">
        <f t="shared" si="82"/>
        <v>#N/A</v>
      </c>
      <c r="T112" s="690"/>
      <c r="U112" s="359"/>
      <c r="V112" s="359"/>
      <c r="W112" s="359"/>
      <c r="X112" s="355" t="e">
        <f t="shared" si="83"/>
        <v>#N/A</v>
      </c>
      <c r="Y112" s="690"/>
      <c r="Z112" s="359"/>
      <c r="AA112" s="359"/>
      <c r="AB112" s="359"/>
      <c r="AC112" s="355" t="e">
        <f t="shared" si="84"/>
        <v>#N/A</v>
      </c>
      <c r="AD112" s="690"/>
      <c r="AE112" s="359"/>
      <c r="AF112" s="359"/>
      <c r="AG112" s="359"/>
      <c r="AH112" s="355" t="e">
        <f t="shared" si="85"/>
        <v>#N/A</v>
      </c>
      <c r="AI112" s="690"/>
      <c r="AJ112" s="359"/>
      <c r="AK112" s="359"/>
      <c r="AL112" s="359"/>
      <c r="AM112" s="355" t="e">
        <f t="shared" si="86"/>
        <v>#N/A</v>
      </c>
      <c r="AN112" s="690"/>
      <c r="AO112" s="359"/>
      <c r="AP112" s="359"/>
      <c r="AQ112" s="359"/>
      <c r="AR112" s="355" t="e">
        <f t="shared" si="87"/>
        <v>#N/A</v>
      </c>
      <c r="AS112" s="690"/>
      <c r="AT112" s="359"/>
      <c r="AU112" s="359"/>
      <c r="AV112" s="359"/>
      <c r="AW112" s="355" t="e">
        <f t="shared" si="88"/>
        <v>#N/A</v>
      </c>
      <c r="AX112" s="690"/>
    </row>
    <row r="113" spans="2:50">
      <c r="B113" s="676"/>
      <c r="C113" s="343">
        <v>7</v>
      </c>
      <c r="D113" s="227"/>
      <c r="E113" s="182"/>
      <c r="F113" s="343"/>
      <c r="G113" s="346"/>
      <c r="H113" s="718"/>
      <c r="I113" s="199"/>
      <c r="J113" s="199"/>
      <c r="K113" s="200"/>
      <c r="L113" s="650"/>
      <c r="M113" s="201" t="e">
        <f>RANK(K113, K$87:$K$101)</f>
        <v>#DIV/0!</v>
      </c>
      <c r="N113" s="668"/>
      <c r="O113" s="668"/>
      <c r="P113" s="343"/>
      <c r="Q113" s="343"/>
      <c r="R113" s="343"/>
      <c r="S113" s="355" t="e">
        <f t="shared" si="82"/>
        <v>#N/A</v>
      </c>
      <c r="T113" s="690"/>
      <c r="U113" s="359"/>
      <c r="V113" s="359"/>
      <c r="W113" s="359"/>
      <c r="X113" s="355" t="e">
        <f t="shared" si="83"/>
        <v>#N/A</v>
      </c>
      <c r="Y113" s="690"/>
      <c r="Z113" s="359"/>
      <c r="AA113" s="359"/>
      <c r="AB113" s="359"/>
      <c r="AC113" s="355" t="e">
        <f t="shared" si="84"/>
        <v>#N/A</v>
      </c>
      <c r="AD113" s="690"/>
      <c r="AE113" s="359"/>
      <c r="AF113" s="359"/>
      <c r="AG113" s="359"/>
      <c r="AH113" s="355" t="e">
        <f t="shared" si="85"/>
        <v>#N/A</v>
      </c>
      <c r="AI113" s="690"/>
      <c r="AJ113" s="359"/>
      <c r="AK113" s="359"/>
      <c r="AL113" s="359"/>
      <c r="AM113" s="355" t="e">
        <f t="shared" si="86"/>
        <v>#N/A</v>
      </c>
      <c r="AN113" s="690"/>
      <c r="AO113" s="359"/>
      <c r="AP113" s="359"/>
      <c r="AQ113" s="359"/>
      <c r="AR113" s="355" t="e">
        <f t="shared" si="87"/>
        <v>#N/A</v>
      </c>
      <c r="AS113" s="690"/>
      <c r="AT113" s="359"/>
      <c r="AU113" s="359"/>
      <c r="AV113" s="359"/>
      <c r="AW113" s="355" t="e">
        <f t="shared" si="88"/>
        <v>#N/A</v>
      </c>
      <c r="AX113" s="690"/>
    </row>
    <row r="114" spans="2:50">
      <c r="B114" s="676"/>
      <c r="C114" s="343">
        <v>8</v>
      </c>
      <c r="D114" s="227"/>
      <c r="E114" s="182"/>
      <c r="F114" s="343"/>
      <c r="G114" s="346"/>
      <c r="H114" s="718"/>
      <c r="I114" s="199"/>
      <c r="J114" s="199"/>
      <c r="K114" s="200"/>
      <c r="L114" s="650"/>
      <c r="M114" s="201" t="e">
        <f>RANK(K114, K$87:$K$101)</f>
        <v>#DIV/0!</v>
      </c>
      <c r="N114" s="668"/>
      <c r="O114" s="668"/>
      <c r="P114" s="343"/>
      <c r="Q114" s="343"/>
      <c r="R114" s="343"/>
      <c r="S114" s="355" t="e">
        <f t="shared" si="82"/>
        <v>#N/A</v>
      </c>
      <c r="T114" s="690"/>
      <c r="U114" s="359"/>
      <c r="V114" s="359"/>
      <c r="W114" s="359"/>
      <c r="X114" s="355" t="e">
        <f t="shared" si="83"/>
        <v>#N/A</v>
      </c>
      <c r="Y114" s="690"/>
      <c r="Z114" s="359"/>
      <c r="AA114" s="359"/>
      <c r="AB114" s="359"/>
      <c r="AC114" s="355" t="e">
        <f t="shared" si="84"/>
        <v>#N/A</v>
      </c>
      <c r="AD114" s="690"/>
      <c r="AE114" s="359"/>
      <c r="AF114" s="359"/>
      <c r="AG114" s="359"/>
      <c r="AH114" s="355" t="e">
        <f t="shared" si="85"/>
        <v>#N/A</v>
      </c>
      <c r="AI114" s="690"/>
      <c r="AJ114" s="359"/>
      <c r="AK114" s="359"/>
      <c r="AL114" s="359"/>
      <c r="AM114" s="355" t="e">
        <f t="shared" si="86"/>
        <v>#N/A</v>
      </c>
      <c r="AN114" s="690"/>
      <c r="AO114" s="359"/>
      <c r="AP114" s="359"/>
      <c r="AQ114" s="359"/>
      <c r="AR114" s="355" t="e">
        <f t="shared" si="87"/>
        <v>#N/A</v>
      </c>
      <c r="AS114" s="690"/>
      <c r="AT114" s="359"/>
      <c r="AU114" s="359"/>
      <c r="AV114" s="359"/>
      <c r="AW114" s="355" t="e">
        <f t="shared" si="88"/>
        <v>#N/A</v>
      </c>
      <c r="AX114" s="690"/>
    </row>
    <row r="115" spans="2:50">
      <c r="B115" s="676"/>
      <c r="C115" s="343">
        <v>9</v>
      </c>
      <c r="D115" s="227"/>
      <c r="E115" s="182"/>
      <c r="F115" s="343"/>
      <c r="G115" s="346"/>
      <c r="H115" s="718"/>
      <c r="I115" s="199"/>
      <c r="J115" s="199"/>
      <c r="K115" s="200"/>
      <c r="L115" s="650"/>
      <c r="M115" s="201" t="e">
        <f>RANK(K115, K$87:$K$101)</f>
        <v>#DIV/0!</v>
      </c>
      <c r="N115" s="668"/>
      <c r="O115" s="668"/>
      <c r="P115" s="343"/>
      <c r="Q115" s="343"/>
      <c r="R115" s="343"/>
      <c r="S115" s="355" t="e">
        <f t="shared" si="82"/>
        <v>#N/A</v>
      </c>
      <c r="T115" s="690"/>
      <c r="U115" s="359"/>
      <c r="V115" s="359"/>
      <c r="W115" s="359"/>
      <c r="X115" s="355" t="e">
        <f t="shared" si="83"/>
        <v>#N/A</v>
      </c>
      <c r="Y115" s="690"/>
      <c r="Z115" s="359"/>
      <c r="AA115" s="359"/>
      <c r="AB115" s="359"/>
      <c r="AC115" s="355" t="e">
        <f t="shared" si="84"/>
        <v>#N/A</v>
      </c>
      <c r="AD115" s="690"/>
      <c r="AE115" s="359"/>
      <c r="AF115" s="359"/>
      <c r="AG115" s="359"/>
      <c r="AH115" s="355" t="e">
        <f t="shared" si="85"/>
        <v>#N/A</v>
      </c>
      <c r="AI115" s="690"/>
      <c r="AJ115" s="359"/>
      <c r="AK115" s="359"/>
      <c r="AL115" s="359"/>
      <c r="AM115" s="355" t="e">
        <f t="shared" si="86"/>
        <v>#N/A</v>
      </c>
      <c r="AN115" s="690"/>
      <c r="AO115" s="359"/>
      <c r="AP115" s="359"/>
      <c r="AQ115" s="359"/>
      <c r="AR115" s="355" t="e">
        <f t="shared" si="87"/>
        <v>#N/A</v>
      </c>
      <c r="AS115" s="690"/>
      <c r="AT115" s="359"/>
      <c r="AU115" s="359"/>
      <c r="AV115" s="359"/>
      <c r="AW115" s="355" t="e">
        <f t="shared" si="88"/>
        <v>#N/A</v>
      </c>
      <c r="AX115" s="690"/>
    </row>
    <row r="116" spans="2:50">
      <c r="B116" s="676"/>
      <c r="C116" s="343">
        <v>10</v>
      </c>
      <c r="D116" s="227"/>
      <c r="E116" s="182"/>
      <c r="F116" s="343"/>
      <c r="G116" s="346"/>
      <c r="H116" s="718"/>
      <c r="I116" s="199"/>
      <c r="J116" s="199"/>
      <c r="K116" s="200"/>
      <c r="L116" s="650"/>
      <c r="M116" s="201" t="e">
        <f>RANK(K116, K$87:$K$101)</f>
        <v>#DIV/0!</v>
      </c>
      <c r="N116" s="668"/>
      <c r="O116" s="668"/>
      <c r="P116" s="343"/>
      <c r="Q116" s="343"/>
      <c r="R116" s="343"/>
      <c r="S116" s="355" t="e">
        <f t="shared" si="82"/>
        <v>#N/A</v>
      </c>
      <c r="T116" s="690"/>
      <c r="U116" s="359"/>
      <c r="V116" s="359"/>
      <c r="W116" s="359"/>
      <c r="X116" s="355" t="e">
        <f t="shared" si="83"/>
        <v>#N/A</v>
      </c>
      <c r="Y116" s="690"/>
      <c r="Z116" s="359"/>
      <c r="AA116" s="359"/>
      <c r="AB116" s="359"/>
      <c r="AC116" s="355" t="e">
        <f t="shared" si="84"/>
        <v>#N/A</v>
      </c>
      <c r="AD116" s="690"/>
      <c r="AE116" s="359"/>
      <c r="AF116" s="359"/>
      <c r="AG116" s="359"/>
      <c r="AH116" s="355" t="e">
        <f t="shared" si="85"/>
        <v>#N/A</v>
      </c>
      <c r="AI116" s="690"/>
      <c r="AJ116" s="359"/>
      <c r="AK116" s="359"/>
      <c r="AL116" s="359"/>
      <c r="AM116" s="355" t="e">
        <f t="shared" si="86"/>
        <v>#N/A</v>
      </c>
      <c r="AN116" s="690"/>
      <c r="AO116" s="359"/>
      <c r="AP116" s="359"/>
      <c r="AQ116" s="359"/>
      <c r="AR116" s="355" t="e">
        <f t="shared" si="87"/>
        <v>#N/A</v>
      </c>
      <c r="AS116" s="690"/>
      <c r="AT116" s="359"/>
      <c r="AU116" s="359"/>
      <c r="AV116" s="359"/>
      <c r="AW116" s="355" t="e">
        <f t="shared" si="88"/>
        <v>#N/A</v>
      </c>
      <c r="AX116" s="690"/>
    </row>
    <row r="117" spans="2:50">
      <c r="B117" s="676"/>
      <c r="C117" s="343">
        <v>11</v>
      </c>
      <c r="D117" s="227"/>
      <c r="E117" s="182"/>
      <c r="F117" s="343"/>
      <c r="G117" s="346"/>
      <c r="H117" s="718"/>
      <c r="I117" s="202"/>
      <c r="J117" s="202"/>
      <c r="K117" s="202"/>
      <c r="L117" s="650"/>
      <c r="M117" s="201" t="e">
        <f>RANK(K117, K$87:$K$101)</f>
        <v>#DIV/0!</v>
      </c>
      <c r="N117" s="668"/>
      <c r="O117" s="668"/>
      <c r="P117" s="343"/>
      <c r="Q117" s="343"/>
      <c r="R117" s="343"/>
      <c r="S117" s="355" t="e">
        <f t="shared" si="82"/>
        <v>#N/A</v>
      </c>
      <c r="T117" s="690"/>
      <c r="U117" s="359"/>
      <c r="V117" s="359"/>
      <c r="W117" s="359"/>
      <c r="X117" s="355" t="e">
        <f t="shared" si="83"/>
        <v>#N/A</v>
      </c>
      <c r="Y117" s="690"/>
      <c r="Z117" s="359"/>
      <c r="AA117" s="359"/>
      <c r="AB117" s="359"/>
      <c r="AC117" s="355" t="e">
        <f t="shared" si="84"/>
        <v>#N/A</v>
      </c>
      <c r="AD117" s="690"/>
      <c r="AE117" s="359"/>
      <c r="AF117" s="359"/>
      <c r="AG117" s="359"/>
      <c r="AH117" s="355" t="e">
        <f t="shared" si="85"/>
        <v>#N/A</v>
      </c>
      <c r="AI117" s="690"/>
      <c r="AJ117" s="359"/>
      <c r="AK117" s="359"/>
      <c r="AL117" s="359"/>
      <c r="AM117" s="355" t="e">
        <f t="shared" si="86"/>
        <v>#N/A</v>
      </c>
      <c r="AN117" s="690"/>
      <c r="AO117" s="359"/>
      <c r="AP117" s="359"/>
      <c r="AQ117" s="359"/>
      <c r="AR117" s="355" t="e">
        <f t="shared" si="87"/>
        <v>#N/A</v>
      </c>
      <c r="AS117" s="690"/>
      <c r="AT117" s="359"/>
      <c r="AU117" s="359"/>
      <c r="AV117" s="359"/>
      <c r="AW117" s="355" t="e">
        <f t="shared" si="88"/>
        <v>#N/A</v>
      </c>
      <c r="AX117" s="690"/>
    </row>
    <row r="118" spans="2:50">
      <c r="B118" s="676"/>
      <c r="C118" s="343">
        <v>12</v>
      </c>
      <c r="D118" s="227"/>
      <c r="E118" s="182"/>
      <c r="F118" s="343"/>
      <c r="G118" s="346"/>
      <c r="H118" s="718"/>
      <c r="I118" s="202"/>
      <c r="J118" s="202"/>
      <c r="K118" s="202"/>
      <c r="L118" s="650"/>
      <c r="M118" s="201" t="e">
        <f>RANK(K118, K$87:$K$101)</f>
        <v>#DIV/0!</v>
      </c>
      <c r="N118" s="668"/>
      <c r="O118" s="668"/>
      <c r="P118" s="343"/>
      <c r="Q118" s="343"/>
      <c r="R118" s="343"/>
      <c r="S118" s="355" t="e">
        <f t="shared" si="82"/>
        <v>#N/A</v>
      </c>
      <c r="T118" s="690"/>
      <c r="U118" s="359"/>
      <c r="V118" s="359"/>
      <c r="W118" s="359"/>
      <c r="X118" s="355" t="e">
        <f t="shared" si="83"/>
        <v>#N/A</v>
      </c>
      <c r="Y118" s="690"/>
      <c r="Z118" s="359"/>
      <c r="AA118" s="359"/>
      <c r="AB118" s="359"/>
      <c r="AC118" s="355" t="e">
        <f t="shared" si="84"/>
        <v>#N/A</v>
      </c>
      <c r="AD118" s="690"/>
      <c r="AE118" s="359"/>
      <c r="AF118" s="359"/>
      <c r="AG118" s="359"/>
      <c r="AH118" s="355" t="e">
        <f t="shared" si="85"/>
        <v>#N/A</v>
      </c>
      <c r="AI118" s="690"/>
      <c r="AJ118" s="359"/>
      <c r="AK118" s="359"/>
      <c r="AL118" s="359"/>
      <c r="AM118" s="355" t="e">
        <f t="shared" si="86"/>
        <v>#N/A</v>
      </c>
      <c r="AN118" s="690"/>
      <c r="AO118" s="359"/>
      <c r="AP118" s="359"/>
      <c r="AQ118" s="359"/>
      <c r="AR118" s="355" t="e">
        <f t="shared" si="87"/>
        <v>#N/A</v>
      </c>
      <c r="AS118" s="690"/>
      <c r="AT118" s="359"/>
      <c r="AU118" s="359"/>
      <c r="AV118" s="359"/>
      <c r="AW118" s="355" t="e">
        <f t="shared" si="88"/>
        <v>#N/A</v>
      </c>
      <c r="AX118" s="690"/>
    </row>
    <row r="119" spans="2:50">
      <c r="B119" s="676"/>
      <c r="C119" s="343">
        <v>13</v>
      </c>
      <c r="D119" s="227"/>
      <c r="E119" s="182"/>
      <c r="F119" s="343"/>
      <c r="G119" s="346"/>
      <c r="H119" s="718"/>
      <c r="I119" s="202"/>
      <c r="J119" s="202"/>
      <c r="K119" s="202"/>
      <c r="L119" s="650"/>
      <c r="M119" s="201" t="e">
        <f>RANK(K119, K$87:$K$101)</f>
        <v>#DIV/0!</v>
      </c>
      <c r="N119" s="668"/>
      <c r="O119" s="668"/>
      <c r="P119" s="343"/>
      <c r="Q119" s="343"/>
      <c r="R119" s="343"/>
      <c r="S119" s="355" t="e">
        <f t="shared" si="82"/>
        <v>#N/A</v>
      </c>
      <c r="T119" s="690"/>
      <c r="U119" s="359"/>
      <c r="V119" s="359"/>
      <c r="W119" s="359"/>
      <c r="X119" s="355" t="e">
        <f t="shared" si="83"/>
        <v>#N/A</v>
      </c>
      <c r="Y119" s="690"/>
      <c r="Z119" s="359"/>
      <c r="AA119" s="359"/>
      <c r="AB119" s="359"/>
      <c r="AC119" s="355" t="e">
        <f t="shared" si="84"/>
        <v>#N/A</v>
      </c>
      <c r="AD119" s="690"/>
      <c r="AE119" s="359"/>
      <c r="AF119" s="359"/>
      <c r="AG119" s="359"/>
      <c r="AH119" s="355" t="e">
        <f t="shared" si="85"/>
        <v>#N/A</v>
      </c>
      <c r="AI119" s="690"/>
      <c r="AJ119" s="359"/>
      <c r="AK119" s="359"/>
      <c r="AL119" s="359"/>
      <c r="AM119" s="355" t="e">
        <f t="shared" si="86"/>
        <v>#N/A</v>
      </c>
      <c r="AN119" s="690"/>
      <c r="AO119" s="359"/>
      <c r="AP119" s="359"/>
      <c r="AQ119" s="359"/>
      <c r="AR119" s="355" t="e">
        <f t="shared" si="87"/>
        <v>#N/A</v>
      </c>
      <c r="AS119" s="690"/>
      <c r="AT119" s="359"/>
      <c r="AU119" s="359"/>
      <c r="AV119" s="359"/>
      <c r="AW119" s="355" t="e">
        <f t="shared" si="88"/>
        <v>#N/A</v>
      </c>
      <c r="AX119" s="690"/>
    </row>
    <row r="120" spans="2:50">
      <c r="B120" s="676"/>
      <c r="C120" s="343">
        <v>14</v>
      </c>
      <c r="D120" s="227"/>
      <c r="E120" s="182"/>
      <c r="F120" s="343"/>
      <c r="G120" s="346"/>
      <c r="H120" s="718"/>
      <c r="I120" s="202"/>
      <c r="J120" s="202"/>
      <c r="K120" s="202"/>
      <c r="L120" s="650"/>
      <c r="M120" s="201" t="e">
        <f>RANK(K120, K$87:$K$101)</f>
        <v>#DIV/0!</v>
      </c>
      <c r="N120" s="668"/>
      <c r="O120" s="668"/>
      <c r="P120" s="343"/>
      <c r="Q120" s="343"/>
      <c r="R120" s="343"/>
      <c r="S120" s="355" t="e">
        <f t="shared" si="82"/>
        <v>#N/A</v>
      </c>
      <c r="T120" s="690"/>
      <c r="U120" s="359"/>
      <c r="V120" s="359"/>
      <c r="W120" s="359"/>
      <c r="X120" s="355" t="e">
        <f t="shared" si="83"/>
        <v>#N/A</v>
      </c>
      <c r="Y120" s="690"/>
      <c r="Z120" s="359"/>
      <c r="AA120" s="359"/>
      <c r="AB120" s="359"/>
      <c r="AC120" s="355" t="e">
        <f t="shared" si="84"/>
        <v>#N/A</v>
      </c>
      <c r="AD120" s="690"/>
      <c r="AE120" s="359"/>
      <c r="AF120" s="359"/>
      <c r="AG120" s="359"/>
      <c r="AH120" s="355" t="e">
        <f t="shared" si="85"/>
        <v>#N/A</v>
      </c>
      <c r="AI120" s="690"/>
      <c r="AJ120" s="359"/>
      <c r="AK120" s="359"/>
      <c r="AL120" s="359"/>
      <c r="AM120" s="355" t="e">
        <f t="shared" si="86"/>
        <v>#N/A</v>
      </c>
      <c r="AN120" s="690"/>
      <c r="AO120" s="359"/>
      <c r="AP120" s="359"/>
      <c r="AQ120" s="359"/>
      <c r="AR120" s="355" t="e">
        <f t="shared" si="87"/>
        <v>#N/A</v>
      </c>
      <c r="AS120" s="690"/>
      <c r="AT120" s="359"/>
      <c r="AU120" s="359"/>
      <c r="AV120" s="359"/>
      <c r="AW120" s="355" t="e">
        <f t="shared" si="88"/>
        <v>#N/A</v>
      </c>
      <c r="AX120" s="690"/>
    </row>
    <row r="121" spans="2:50">
      <c r="B121" s="676"/>
      <c r="C121" s="343">
        <v>15</v>
      </c>
      <c r="D121" s="227"/>
      <c r="E121" s="182"/>
      <c r="F121" s="343"/>
      <c r="G121" s="346"/>
      <c r="H121" s="719"/>
      <c r="I121" s="202"/>
      <c r="J121" s="202"/>
      <c r="K121" s="202"/>
      <c r="L121" s="651"/>
      <c r="M121" s="199" t="e">
        <f>RANK(K121, K$87:$K$101)</f>
        <v>#DIV/0!</v>
      </c>
      <c r="N121" s="668"/>
      <c r="O121" s="668"/>
      <c r="P121" s="343"/>
      <c r="Q121" s="343"/>
      <c r="R121" s="343"/>
      <c r="S121" s="355" t="e">
        <f t="shared" si="82"/>
        <v>#N/A</v>
      </c>
      <c r="T121" s="690"/>
      <c r="U121" s="359"/>
      <c r="V121" s="359"/>
      <c r="W121" s="359"/>
      <c r="X121" s="355" t="e">
        <f t="shared" si="83"/>
        <v>#N/A</v>
      </c>
      <c r="Y121" s="690"/>
      <c r="Z121" s="359"/>
      <c r="AA121" s="359"/>
      <c r="AB121" s="359"/>
      <c r="AC121" s="355" t="e">
        <f t="shared" si="84"/>
        <v>#N/A</v>
      </c>
      <c r="AD121" s="690"/>
      <c r="AE121" s="359"/>
      <c r="AF121" s="359"/>
      <c r="AG121" s="359"/>
      <c r="AH121" s="355" t="e">
        <f t="shared" si="85"/>
        <v>#N/A</v>
      </c>
      <c r="AI121" s="690"/>
      <c r="AJ121" s="359"/>
      <c r="AK121" s="359"/>
      <c r="AL121" s="359"/>
      <c r="AM121" s="355" t="e">
        <f t="shared" si="86"/>
        <v>#N/A</v>
      </c>
      <c r="AN121" s="690"/>
      <c r="AO121" s="359"/>
      <c r="AP121" s="359"/>
      <c r="AQ121" s="359"/>
      <c r="AR121" s="355" t="e">
        <f t="shared" si="87"/>
        <v>#N/A</v>
      </c>
      <c r="AS121" s="690"/>
      <c r="AT121" s="359"/>
      <c r="AU121" s="359"/>
      <c r="AV121" s="359"/>
      <c r="AW121" s="355" t="e">
        <f t="shared" si="88"/>
        <v>#N/A</v>
      </c>
      <c r="AX121" s="690"/>
    </row>
    <row r="123" spans="2:50" ht="15.75">
      <c r="B123" s="707" t="s">
        <v>660</v>
      </c>
      <c r="C123" s="708"/>
      <c r="D123" s="708"/>
      <c r="E123" s="708"/>
      <c r="F123" s="708"/>
      <c r="G123" s="708"/>
      <c r="H123" s="709"/>
      <c r="I123" s="347"/>
      <c r="J123" s="347"/>
      <c r="K123" s="347"/>
      <c r="L123" s="347"/>
      <c r="M123" s="348"/>
    </row>
    <row r="124" spans="2:50" ht="15.75">
      <c r="B124" s="710"/>
      <c r="C124" s="710"/>
      <c r="D124" s="710"/>
      <c r="E124" s="710"/>
      <c r="F124" s="710"/>
      <c r="G124" s="710"/>
      <c r="H124" s="710"/>
      <c r="I124" s="349"/>
      <c r="J124" s="349"/>
      <c r="K124" s="349"/>
      <c r="L124" s="349"/>
      <c r="M124" s="350"/>
    </row>
    <row r="125" spans="2:50">
      <c r="B125" s="668" t="s">
        <v>661</v>
      </c>
      <c r="C125" s="668" t="s">
        <v>662</v>
      </c>
      <c r="D125" s="668"/>
      <c r="E125" s="668" t="s">
        <v>663</v>
      </c>
      <c r="F125" s="668"/>
      <c r="G125" s="668"/>
      <c r="H125" s="684" t="s">
        <v>664</v>
      </c>
      <c r="I125" s="711" t="s">
        <v>665</v>
      </c>
      <c r="J125" s="711"/>
      <c r="K125" s="711"/>
      <c r="L125" s="727" t="s">
        <v>664</v>
      </c>
      <c r="M125" s="730" t="s">
        <v>666</v>
      </c>
    </row>
    <row r="126" spans="2:50">
      <c r="B126" s="668"/>
      <c r="C126" s="668"/>
      <c r="D126" s="668"/>
      <c r="E126" s="668" t="s">
        <v>667</v>
      </c>
      <c r="F126" s="668"/>
      <c r="G126" s="668"/>
      <c r="H126" s="685"/>
      <c r="I126" s="711" t="s">
        <v>667</v>
      </c>
      <c r="J126" s="711"/>
      <c r="K126" s="711"/>
      <c r="L126" s="728"/>
      <c r="M126" s="731"/>
    </row>
    <row r="127" spans="2:50">
      <c r="B127" s="668"/>
      <c r="C127" s="668"/>
      <c r="D127" s="668"/>
      <c r="E127" s="344" t="s">
        <v>668</v>
      </c>
      <c r="F127" s="344" t="s">
        <v>669</v>
      </c>
      <c r="G127" s="344" t="s">
        <v>670</v>
      </c>
      <c r="H127" s="686"/>
      <c r="I127" s="351" t="s">
        <v>668</v>
      </c>
      <c r="J127" s="351" t="s">
        <v>669</v>
      </c>
      <c r="K127" s="351" t="s">
        <v>670</v>
      </c>
      <c r="L127" s="729"/>
      <c r="M127" s="732"/>
    </row>
    <row r="128" spans="2:50">
      <c r="B128" s="668" t="s">
        <v>674</v>
      </c>
      <c r="C128" s="343">
        <v>1</v>
      </c>
      <c r="D128" s="227"/>
      <c r="E128" s="182"/>
      <c r="F128" s="343"/>
      <c r="G128" s="346"/>
      <c r="H128" s="717" t="e">
        <f>AVERAGE(G128:G142)</f>
        <v>#DIV/0!</v>
      </c>
      <c r="I128" s="199" t="e">
        <f t="shared" ref="I128:J128" si="89">AVERAGEIF($D$7:$D$121,$D128,I$7:I$121)</f>
        <v>#DIV/0!</v>
      </c>
      <c r="J128" s="199" t="e">
        <f t="shared" si="89"/>
        <v>#DIV/0!</v>
      </c>
      <c r="K128" s="199" t="e">
        <f>AVERAGEIF($D$7:$D$121,$D128,K$7:K$121)</f>
        <v>#DIV/0!</v>
      </c>
      <c r="L128" s="724" t="e">
        <f>AVERAGE(K128:K142)</f>
        <v>#DIV/0!</v>
      </c>
      <c r="M128" s="199" t="e">
        <f>RANK(K128, K$128:$K$142)</f>
        <v>#DIV/0!</v>
      </c>
    </row>
    <row r="129" spans="2:13" s="108" customFormat="1">
      <c r="B129" s="676"/>
      <c r="C129" s="343">
        <v>2</v>
      </c>
      <c r="D129" s="227"/>
      <c r="E129" s="182"/>
      <c r="F129" s="343"/>
      <c r="G129" s="346"/>
      <c r="H129" s="718"/>
      <c r="I129" s="199"/>
      <c r="J129" s="199"/>
      <c r="K129" s="199"/>
      <c r="L129" s="725"/>
      <c r="M129" s="199" t="e">
        <f>RANK(K129, K$128:$K$142)</f>
        <v>#DIV/0!</v>
      </c>
    </row>
    <row r="130" spans="2:13" s="108" customFormat="1">
      <c r="B130" s="676"/>
      <c r="C130" s="343">
        <v>3</v>
      </c>
      <c r="D130" s="227"/>
      <c r="E130" s="182"/>
      <c r="F130" s="343"/>
      <c r="G130" s="346"/>
      <c r="H130" s="718"/>
      <c r="I130" s="199"/>
      <c r="J130" s="199"/>
      <c r="K130" s="199"/>
      <c r="L130" s="725"/>
      <c r="M130" s="199" t="e">
        <f>RANK(K130, K$128:$K$142)</f>
        <v>#DIV/0!</v>
      </c>
    </row>
    <row r="131" spans="2:13" s="108" customFormat="1">
      <c r="B131" s="676"/>
      <c r="C131" s="343">
        <v>4</v>
      </c>
      <c r="D131" s="227"/>
      <c r="E131" s="182"/>
      <c r="F131" s="343"/>
      <c r="G131" s="346"/>
      <c r="H131" s="718"/>
      <c r="I131" s="199"/>
      <c r="J131" s="199"/>
      <c r="K131" s="199"/>
      <c r="L131" s="725"/>
      <c r="M131" s="199" t="e">
        <f>RANK(K131, K$128:$K$142)</f>
        <v>#DIV/0!</v>
      </c>
    </row>
    <row r="132" spans="2:13" s="108" customFormat="1">
      <c r="B132" s="676"/>
      <c r="C132" s="343">
        <v>5</v>
      </c>
      <c r="D132" s="227"/>
      <c r="E132" s="182"/>
      <c r="F132" s="343"/>
      <c r="G132" s="346"/>
      <c r="H132" s="718"/>
      <c r="I132" s="199"/>
      <c r="J132" s="199"/>
      <c r="K132" s="199"/>
      <c r="L132" s="725"/>
      <c r="M132" s="199" t="e">
        <f>RANK(K132, K$128:$K$142)</f>
        <v>#DIV/0!</v>
      </c>
    </row>
    <row r="133" spans="2:13" s="108" customFormat="1">
      <c r="B133" s="676"/>
      <c r="C133" s="343">
        <v>6</v>
      </c>
      <c r="D133" s="352"/>
      <c r="E133" s="182"/>
      <c r="F133" s="343"/>
      <c r="G133" s="346"/>
      <c r="H133" s="718"/>
      <c r="I133" s="199"/>
      <c r="J133" s="199"/>
      <c r="K133" s="199"/>
      <c r="L133" s="725"/>
      <c r="M133" s="199" t="e">
        <f>RANK(K133, K$128:$K$142)</f>
        <v>#DIV/0!</v>
      </c>
    </row>
    <row r="134" spans="2:13" s="108" customFormat="1">
      <c r="B134" s="676"/>
      <c r="C134" s="343">
        <v>7</v>
      </c>
      <c r="D134" s="227"/>
      <c r="E134" s="182"/>
      <c r="F134" s="343"/>
      <c r="G134" s="346"/>
      <c r="H134" s="718"/>
      <c r="I134" s="199"/>
      <c r="J134" s="199"/>
      <c r="K134" s="199"/>
      <c r="L134" s="725"/>
      <c r="M134" s="199" t="e">
        <f>RANK(K134, K$128:$K$142)</f>
        <v>#DIV/0!</v>
      </c>
    </row>
    <row r="135" spans="2:13" s="108" customFormat="1">
      <c r="B135" s="676"/>
      <c r="C135" s="343">
        <v>8</v>
      </c>
      <c r="D135" s="227"/>
      <c r="E135" s="182"/>
      <c r="F135" s="343"/>
      <c r="G135" s="346"/>
      <c r="H135" s="718"/>
      <c r="I135" s="199"/>
      <c r="J135" s="199"/>
      <c r="K135" s="199"/>
      <c r="L135" s="725"/>
      <c r="M135" s="199" t="e">
        <f>RANK(K135, K$128:$K$142)</f>
        <v>#DIV/0!</v>
      </c>
    </row>
    <row r="136" spans="2:13" s="108" customFormat="1">
      <c r="B136" s="676"/>
      <c r="C136" s="343">
        <v>9</v>
      </c>
      <c r="D136" s="227"/>
      <c r="E136" s="343"/>
      <c r="F136" s="343"/>
      <c r="G136" s="343"/>
      <c r="H136" s="718"/>
      <c r="I136" s="199"/>
      <c r="J136" s="199"/>
      <c r="K136" s="199"/>
      <c r="L136" s="725"/>
      <c r="M136" s="199" t="e">
        <f>RANK(K136, K$128:$K$142)</f>
        <v>#DIV/0!</v>
      </c>
    </row>
    <row r="137" spans="2:13" s="108" customFormat="1">
      <c r="B137" s="676"/>
      <c r="C137" s="343">
        <v>10</v>
      </c>
      <c r="D137" s="227"/>
      <c r="E137" s="343"/>
      <c r="F137" s="343"/>
      <c r="G137" s="343"/>
      <c r="H137" s="718"/>
      <c r="I137" s="199"/>
      <c r="J137" s="199"/>
      <c r="K137" s="199"/>
      <c r="L137" s="725"/>
      <c r="M137" s="199" t="e">
        <f>RANK(K137, K$128:$K$142)</f>
        <v>#DIV/0!</v>
      </c>
    </row>
    <row r="138" spans="2:13" s="108" customFormat="1">
      <c r="B138" s="676"/>
      <c r="C138" s="343">
        <v>11</v>
      </c>
      <c r="D138" s="227"/>
      <c r="E138" s="343"/>
      <c r="F138" s="343"/>
      <c r="G138" s="343"/>
      <c r="H138" s="718"/>
      <c r="I138" s="199"/>
      <c r="J138" s="199"/>
      <c r="K138" s="199"/>
      <c r="L138" s="725"/>
      <c r="M138" s="199" t="e">
        <f>RANK(K138, K$128:$K$142)</f>
        <v>#DIV/0!</v>
      </c>
    </row>
    <row r="139" spans="2:13" s="108" customFormat="1">
      <c r="B139" s="676"/>
      <c r="C139" s="343">
        <v>12</v>
      </c>
      <c r="D139" s="227"/>
      <c r="E139" s="343"/>
      <c r="F139" s="343"/>
      <c r="G139" s="343"/>
      <c r="H139" s="718"/>
      <c r="I139" s="199"/>
      <c r="J139" s="199"/>
      <c r="K139" s="199"/>
      <c r="L139" s="725"/>
      <c r="M139" s="199" t="e">
        <f>RANK(K139, K$128:$K$142)</f>
        <v>#DIV/0!</v>
      </c>
    </row>
    <row r="140" spans="2:13" s="108" customFormat="1">
      <c r="B140" s="676"/>
      <c r="C140" s="343">
        <v>13</v>
      </c>
      <c r="D140" s="227"/>
      <c r="E140" s="343"/>
      <c r="F140" s="343"/>
      <c r="G140" s="343"/>
      <c r="H140" s="718"/>
      <c r="I140" s="199"/>
      <c r="J140" s="199"/>
      <c r="K140" s="199"/>
      <c r="L140" s="725"/>
      <c r="M140" s="199" t="e">
        <f>RANK(K140, K$128:$K$142)</f>
        <v>#DIV/0!</v>
      </c>
    </row>
    <row r="141" spans="2:13" s="108" customFormat="1">
      <c r="B141" s="676"/>
      <c r="C141" s="343">
        <v>14</v>
      </c>
      <c r="D141" s="227"/>
      <c r="E141" s="343"/>
      <c r="F141" s="343"/>
      <c r="G141" s="343"/>
      <c r="H141" s="718"/>
      <c r="I141" s="199"/>
      <c r="J141" s="199"/>
      <c r="K141" s="199"/>
      <c r="L141" s="725"/>
      <c r="M141" s="199" t="e">
        <f>RANK(K141, K$128:$K$142)</f>
        <v>#DIV/0!</v>
      </c>
    </row>
    <row r="142" spans="2:13" s="108" customFormat="1">
      <c r="B142" s="676"/>
      <c r="C142" s="343">
        <v>15</v>
      </c>
      <c r="D142" s="227"/>
      <c r="E142" s="343"/>
      <c r="F142" s="343"/>
      <c r="G142" s="343"/>
      <c r="H142" s="719"/>
      <c r="I142" s="199"/>
      <c r="J142" s="199"/>
      <c r="K142" s="199"/>
      <c r="L142" s="726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97" zoomScale="40" zoomScaleNormal="40" workbookViewId="0">
      <pane xSplit="15" topLeftCell="P1" activePane="topRight" state="frozen"/>
      <selection activeCell="D18" sqref="D18"/>
      <selection pane="topRight" activeCell="AT112" sqref="AT112:AV13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AVERAGE(L7,L42,L77,L112,L147,L182)</f>
        <v>84.263993080329229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2" t="s">
        <v>158</v>
      </c>
      <c r="Q3" s="673"/>
      <c r="R3" s="673"/>
      <c r="S3" s="673"/>
      <c r="T3" s="674"/>
      <c r="U3" s="672" t="s">
        <v>114</v>
      </c>
      <c r="V3" s="673"/>
      <c r="W3" s="673"/>
      <c r="X3" s="673"/>
      <c r="Y3" s="674"/>
      <c r="Z3" s="672" t="s">
        <v>159</v>
      </c>
      <c r="AA3" s="673"/>
      <c r="AB3" s="673"/>
      <c r="AC3" s="673"/>
      <c r="AD3" s="674"/>
      <c r="AE3" s="672" t="s">
        <v>157</v>
      </c>
      <c r="AF3" s="673"/>
      <c r="AG3" s="673"/>
      <c r="AH3" s="673"/>
      <c r="AI3" s="674"/>
      <c r="AJ3" s="672" t="s">
        <v>160</v>
      </c>
      <c r="AK3" s="673"/>
      <c r="AL3" s="673"/>
      <c r="AM3" s="673"/>
      <c r="AN3" s="674"/>
      <c r="AO3" s="672" t="s">
        <v>161</v>
      </c>
      <c r="AP3" s="673"/>
      <c r="AQ3" s="673"/>
      <c r="AR3" s="673"/>
      <c r="AS3" s="674"/>
      <c r="AT3" s="672" t="s">
        <v>162</v>
      </c>
      <c r="AU3" s="673"/>
      <c r="AV3" s="673"/>
      <c r="AW3" s="673"/>
      <c r="AX3" s="674"/>
    </row>
    <row r="4" spans="1:54" ht="14.25">
      <c r="A4" s="81"/>
      <c r="B4" s="668" t="s">
        <v>154</v>
      </c>
      <c r="C4" s="668" t="s">
        <v>429</v>
      </c>
      <c r="D4" s="668"/>
      <c r="E4" s="668" t="s">
        <v>420</v>
      </c>
      <c r="F4" s="668"/>
      <c r="G4" s="668"/>
      <c r="H4" s="684" t="s">
        <v>416</v>
      </c>
      <c r="I4" s="652" t="s">
        <v>421</v>
      </c>
      <c r="J4" s="652"/>
      <c r="K4" s="652"/>
      <c r="L4" s="653" t="s">
        <v>416</v>
      </c>
      <c r="M4" s="659" t="s">
        <v>417</v>
      </c>
      <c r="N4" s="668"/>
      <c r="O4" s="668" t="s">
        <v>422</v>
      </c>
      <c r="P4" s="665" t="s">
        <v>418</v>
      </c>
      <c r="Q4" s="666"/>
      <c r="R4" s="666"/>
      <c r="S4" s="667"/>
      <c r="T4" s="668" t="s">
        <v>416</v>
      </c>
      <c r="U4" s="665" t="s">
        <v>418</v>
      </c>
      <c r="V4" s="666"/>
      <c r="W4" s="666"/>
      <c r="X4" s="667"/>
      <c r="Y4" s="668" t="s">
        <v>416</v>
      </c>
      <c r="Z4" s="665" t="s">
        <v>418</v>
      </c>
      <c r="AA4" s="666"/>
      <c r="AB4" s="666"/>
      <c r="AC4" s="667"/>
      <c r="AD4" s="668" t="s">
        <v>416</v>
      </c>
      <c r="AE4" s="665" t="s">
        <v>418</v>
      </c>
      <c r="AF4" s="666"/>
      <c r="AG4" s="666"/>
      <c r="AH4" s="667"/>
      <c r="AI4" s="668" t="s">
        <v>416</v>
      </c>
      <c r="AJ4" s="665" t="s">
        <v>418</v>
      </c>
      <c r="AK4" s="666"/>
      <c r="AL4" s="666"/>
      <c r="AM4" s="667"/>
      <c r="AN4" s="668" t="s">
        <v>416</v>
      </c>
      <c r="AO4" s="665" t="s">
        <v>418</v>
      </c>
      <c r="AP4" s="666"/>
      <c r="AQ4" s="666"/>
      <c r="AR4" s="667"/>
      <c r="AS4" s="668" t="s">
        <v>416</v>
      </c>
      <c r="AT4" s="665" t="s">
        <v>418</v>
      </c>
      <c r="AU4" s="666"/>
      <c r="AV4" s="666"/>
      <c r="AW4" s="667"/>
      <c r="AX4" s="668" t="s">
        <v>416</v>
      </c>
    </row>
    <row r="5" spans="1:54" ht="14.25">
      <c r="A5" s="81"/>
      <c r="B5" s="668"/>
      <c r="C5" s="668"/>
      <c r="D5" s="668"/>
      <c r="E5" s="668" t="s">
        <v>423</v>
      </c>
      <c r="F5" s="668"/>
      <c r="G5" s="668"/>
      <c r="H5" s="685"/>
      <c r="I5" s="652" t="s">
        <v>423</v>
      </c>
      <c r="J5" s="652"/>
      <c r="K5" s="652"/>
      <c r="L5" s="654"/>
      <c r="M5" s="660"/>
      <c r="N5" s="668"/>
      <c r="O5" s="668"/>
      <c r="P5" s="665" t="s">
        <v>424</v>
      </c>
      <c r="Q5" s="666"/>
      <c r="R5" s="666"/>
      <c r="S5" s="667"/>
      <c r="T5" s="668"/>
      <c r="U5" s="665" t="s">
        <v>424</v>
      </c>
      <c r="V5" s="666"/>
      <c r="W5" s="666"/>
      <c r="X5" s="667"/>
      <c r="Y5" s="668"/>
      <c r="Z5" s="665" t="s">
        <v>424</v>
      </c>
      <c r="AA5" s="666"/>
      <c r="AB5" s="666"/>
      <c r="AC5" s="667"/>
      <c r="AD5" s="668"/>
      <c r="AE5" s="665" t="s">
        <v>424</v>
      </c>
      <c r="AF5" s="666"/>
      <c r="AG5" s="666"/>
      <c r="AH5" s="667"/>
      <c r="AI5" s="668"/>
      <c r="AJ5" s="665" t="s">
        <v>424</v>
      </c>
      <c r="AK5" s="666"/>
      <c r="AL5" s="666"/>
      <c r="AM5" s="667"/>
      <c r="AN5" s="668"/>
      <c r="AO5" s="665" t="s">
        <v>424</v>
      </c>
      <c r="AP5" s="666"/>
      <c r="AQ5" s="666"/>
      <c r="AR5" s="667"/>
      <c r="AS5" s="668"/>
      <c r="AT5" s="665" t="s">
        <v>424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14" t="s">
        <v>425</v>
      </c>
      <c r="F6" s="514" t="s">
        <v>426</v>
      </c>
      <c r="G6" s="514" t="s">
        <v>427</v>
      </c>
      <c r="H6" s="686"/>
      <c r="I6" s="516" t="s">
        <v>425</v>
      </c>
      <c r="J6" s="516" t="s">
        <v>426</v>
      </c>
      <c r="K6" s="516" t="s">
        <v>427</v>
      </c>
      <c r="L6" s="655"/>
      <c r="M6" s="661"/>
      <c r="N6" s="668"/>
      <c r="O6" s="668"/>
      <c r="P6" s="514" t="s">
        <v>425</v>
      </c>
      <c r="Q6" s="514" t="s">
        <v>426</v>
      </c>
      <c r="R6" s="514" t="s">
        <v>427</v>
      </c>
      <c r="S6" s="514" t="s">
        <v>417</v>
      </c>
      <c r="T6" s="668"/>
      <c r="U6" s="514" t="s">
        <v>425</v>
      </c>
      <c r="V6" s="514" t="s">
        <v>426</v>
      </c>
      <c r="W6" s="514" t="s">
        <v>427</v>
      </c>
      <c r="X6" s="514" t="s">
        <v>417</v>
      </c>
      <c r="Y6" s="668"/>
      <c r="Z6" s="514" t="s">
        <v>425</v>
      </c>
      <c r="AA6" s="514" t="s">
        <v>426</v>
      </c>
      <c r="AB6" s="514" t="s">
        <v>427</v>
      </c>
      <c r="AC6" s="514" t="s">
        <v>417</v>
      </c>
      <c r="AD6" s="668"/>
      <c r="AE6" s="514" t="s">
        <v>425</v>
      </c>
      <c r="AF6" s="514" t="s">
        <v>426</v>
      </c>
      <c r="AG6" s="514" t="s">
        <v>427</v>
      </c>
      <c r="AH6" s="514" t="s">
        <v>417</v>
      </c>
      <c r="AI6" s="668"/>
      <c r="AJ6" s="514" t="s">
        <v>425</v>
      </c>
      <c r="AK6" s="514" t="s">
        <v>426</v>
      </c>
      <c r="AL6" s="514" t="s">
        <v>427</v>
      </c>
      <c r="AM6" s="514" t="s">
        <v>417</v>
      </c>
      <c r="AN6" s="668"/>
      <c r="AO6" s="514" t="s">
        <v>425</v>
      </c>
      <c r="AP6" s="514" t="s">
        <v>426</v>
      </c>
      <c r="AQ6" s="514" t="s">
        <v>427</v>
      </c>
      <c r="AR6" s="514" t="s">
        <v>417</v>
      </c>
      <c r="AS6" s="668"/>
      <c r="AT6" s="514" t="s">
        <v>425</v>
      </c>
      <c r="AU6" s="514" t="s">
        <v>426</v>
      </c>
      <c r="AV6" s="514" t="s">
        <v>427</v>
      </c>
      <c r="AW6" s="514" t="s">
        <v>417</v>
      </c>
      <c r="AX6" s="668"/>
    </row>
    <row r="7" spans="1:54" ht="14.25">
      <c r="A7" s="81"/>
      <c r="B7" s="668" t="s">
        <v>134</v>
      </c>
      <c r="C7" s="510">
        <v>1</v>
      </c>
      <c r="D7" s="227" t="s">
        <v>367</v>
      </c>
      <c r="E7" s="182">
        <v>6</v>
      </c>
      <c r="F7" s="569">
        <v>1500</v>
      </c>
      <c r="G7" s="570">
        <v>250</v>
      </c>
      <c r="H7" s="717">
        <f>AVERAGE(G7:G36)</f>
        <v>95.946666666666687</v>
      </c>
      <c r="I7" s="512">
        <f>AVERAGE(P7,U7,Z7,AE7,AJ7,AO7,AT7)</f>
        <v>6</v>
      </c>
      <c r="J7" s="512">
        <f>AVERAGE(Q7,V7,AA7,AF7,AK7,AP7,AU7)</f>
        <v>1450.1697223730735</v>
      </c>
      <c r="K7" s="200">
        <f>AVERAGE(R7,W7,AB7,AG7,AL7,AQ7,AV7)</f>
        <v>241.69495372884555</v>
      </c>
      <c r="L7" s="649">
        <f>IFERROR(AVERAGE(K7:K36),"-")</f>
        <v>84.814846048052473</v>
      </c>
      <c r="M7" s="517">
        <f>RANK(K7, K$7:$K$36)</f>
        <v>1</v>
      </c>
      <c r="N7" s="668"/>
      <c r="O7" s="668"/>
      <c r="P7" s="182">
        <v>6</v>
      </c>
      <c r="Q7" s="182">
        <v>1435.7647058823525</v>
      </c>
      <c r="R7" s="182">
        <v>239.29411764705875</v>
      </c>
      <c r="S7" s="510">
        <f>RANK(R7, R$7:R$36)</f>
        <v>1</v>
      </c>
      <c r="T7" s="690">
        <f>AVERAGE(R7:R36)</f>
        <v>84.802658106200184</v>
      </c>
      <c r="U7" s="182">
        <v>6</v>
      </c>
      <c r="V7" s="182">
        <v>1461.9801980198026</v>
      </c>
      <c r="W7" s="182">
        <v>243.66336633663377</v>
      </c>
      <c r="X7" s="510">
        <f>RANK(W7, W$7:W$36)</f>
        <v>1</v>
      </c>
      <c r="Y7" s="690">
        <f>AVERAGE(W7:W36)</f>
        <v>84.976246741981697</v>
      </c>
      <c r="Z7" s="182">
        <v>6</v>
      </c>
      <c r="AA7" s="182">
        <v>1455.0857142857139</v>
      </c>
      <c r="AB7" s="182">
        <v>242.51428571428565</v>
      </c>
      <c r="AC7" s="510">
        <f>RANK(AB7, AB$7:AB$36)</f>
        <v>1</v>
      </c>
      <c r="AD7" s="690">
        <f>AVERAGE(AB7:AB36)</f>
        <v>84.811703015501763</v>
      </c>
      <c r="AE7" s="182">
        <v>6</v>
      </c>
      <c r="AF7" s="182">
        <v>1449.1199999999997</v>
      </c>
      <c r="AG7" s="182">
        <v>241.51999999999995</v>
      </c>
      <c r="AH7" s="510">
        <f>RANK(AG7, AG$7:AG$36)</f>
        <v>1</v>
      </c>
      <c r="AI7" s="690">
        <f>AVERAGE(AG7:AG36)</f>
        <v>85.208695782018339</v>
      </c>
      <c r="AJ7" s="182">
        <v>6</v>
      </c>
      <c r="AK7" s="182">
        <v>1445.3999999999994</v>
      </c>
      <c r="AL7" s="182">
        <v>240.89999999999989</v>
      </c>
      <c r="AM7" s="510">
        <f>RANK(AL7, AL$7:AL$36)</f>
        <v>1</v>
      </c>
      <c r="AN7" s="690">
        <f>AVERAGE(AL7:AL36)</f>
        <v>85.171562269680422</v>
      </c>
      <c r="AO7" s="182">
        <v>6</v>
      </c>
      <c r="AP7" s="182">
        <v>1459.5517241379312</v>
      </c>
      <c r="AQ7" s="182">
        <v>243.2586206896552</v>
      </c>
      <c r="AR7" s="510">
        <f>RANK(AQ7, AQ$7:AQ$36)</f>
        <v>1</v>
      </c>
      <c r="AS7" s="690">
        <f>AVERAGE(AQ7:AQ36)</f>
        <v>84.343149180909876</v>
      </c>
      <c r="AT7" s="182">
        <v>6</v>
      </c>
      <c r="AU7" s="182">
        <v>1444.2857142857131</v>
      </c>
      <c r="AV7" s="182">
        <v>240.71428571428552</v>
      </c>
      <c r="AW7" s="510">
        <f>RANK(AV7, AV$7:AV$36)</f>
        <v>1</v>
      </c>
      <c r="AX7" s="690">
        <f>AVERAGE(AV7:AV36)</f>
        <v>85.468496024278721</v>
      </c>
      <c r="AZ7" s="362" t="e">
        <f>RANK(AX7, $K$7:AX$36)</f>
        <v>#VALUE!</v>
      </c>
      <c r="BB7" s="359" t="e">
        <f t="shared" ref="BB7:BB36" si="0">RANK(BA7, BA$7:BA$36)</f>
        <v>#N/A</v>
      </c>
    </row>
    <row r="8" spans="1:54" ht="15" customHeight="1">
      <c r="A8" s="81"/>
      <c r="B8" s="676"/>
      <c r="C8" s="510">
        <v>2</v>
      </c>
      <c r="D8" s="227" t="s">
        <v>382</v>
      </c>
      <c r="E8" s="182">
        <v>7</v>
      </c>
      <c r="F8" s="569">
        <v>1636</v>
      </c>
      <c r="G8" s="570">
        <v>233.8</v>
      </c>
      <c r="H8" s="718"/>
      <c r="I8" s="547">
        <f t="shared" ref="I8:I36" si="1">AVERAGE(P8,U8,Z8,AE8,AJ8,AO8,AT8)</f>
        <v>7</v>
      </c>
      <c r="J8" s="547">
        <f t="shared" ref="J8:J36" si="2">AVERAGE(Q8,V8,AA8,AF8,AK8,AP8,AU8)</f>
        <v>1463.4435287914241</v>
      </c>
      <c r="K8" s="200">
        <f t="shared" ref="K8:K36" si="3">AVERAGE(R8,W8,AB8,AG8,AL8,AQ8,AV8)</f>
        <v>209.06336125591775</v>
      </c>
      <c r="L8" s="650"/>
      <c r="M8" s="517">
        <f>RANK(K8, K$7:$K$36)</f>
        <v>2</v>
      </c>
      <c r="N8" s="668"/>
      <c r="O8" s="668"/>
      <c r="P8" s="182">
        <v>7</v>
      </c>
      <c r="Q8" s="182">
        <v>1446.666666666667</v>
      </c>
      <c r="R8" s="182">
        <v>206.66666666666671</v>
      </c>
      <c r="S8" s="510">
        <f t="shared" ref="S8:S36" si="4">RANK(R8, R$7:R$36)</f>
        <v>2</v>
      </c>
      <c r="T8" s="690"/>
      <c r="U8" s="182">
        <v>7</v>
      </c>
      <c r="V8" s="182">
        <v>1462.8865979381446</v>
      </c>
      <c r="W8" s="182">
        <v>208.98379970544923</v>
      </c>
      <c r="X8" s="510">
        <f t="shared" ref="X8:X36" si="5">RANK(W8, W$7:W$36)</f>
        <v>2</v>
      </c>
      <c r="Y8" s="690"/>
      <c r="Z8" s="182">
        <v>7</v>
      </c>
      <c r="AA8" s="182">
        <v>1482.5000000000005</v>
      </c>
      <c r="AB8" s="182">
        <v>211.78571428571436</v>
      </c>
      <c r="AC8" s="510">
        <f t="shared" ref="AC8:AC36" si="6">RANK(AB8, AB$7:AB$36)</f>
        <v>2</v>
      </c>
      <c r="AD8" s="690"/>
      <c r="AE8" s="182">
        <v>7</v>
      </c>
      <c r="AF8" s="182">
        <v>1472.7906976744184</v>
      </c>
      <c r="AG8" s="182">
        <v>210.39867109634548</v>
      </c>
      <c r="AH8" s="510">
        <f t="shared" ref="AH8:AH36" si="7">RANK(AG8, AG$7:AG$36)</f>
        <v>2</v>
      </c>
      <c r="AI8" s="690"/>
      <c r="AJ8" s="182">
        <v>7</v>
      </c>
      <c r="AK8" s="182">
        <v>1460.4395604395604</v>
      </c>
      <c r="AL8" s="182">
        <v>208.6342229199372</v>
      </c>
      <c r="AM8" s="510">
        <f t="shared" ref="AM8:AM36" si="8">RANK(AL8, AL$7:AL$36)</f>
        <v>2</v>
      </c>
      <c r="AN8" s="690"/>
      <c r="AO8" s="182">
        <v>7</v>
      </c>
      <c r="AP8" s="182">
        <v>1447.9120879120878</v>
      </c>
      <c r="AQ8" s="182">
        <v>206.84458398744113</v>
      </c>
      <c r="AR8" s="510">
        <f t="shared" ref="AR8:AR36" si="9">RANK(AQ8, AQ$7:AQ$36)</f>
        <v>2</v>
      </c>
      <c r="AS8" s="690"/>
      <c r="AT8" s="182">
        <v>7</v>
      </c>
      <c r="AU8" s="182">
        <v>1470.9090909090903</v>
      </c>
      <c r="AV8" s="182">
        <v>210.12987012987006</v>
      </c>
      <c r="AW8" s="510">
        <f t="shared" ref="AW8:AW36" si="10">RANK(AV8, AV$7:AV$36)</f>
        <v>2</v>
      </c>
      <c r="AX8" s="690"/>
      <c r="AZ8" s="362" t="e">
        <f>RANK(AX8, $K$7:AX$36)</f>
        <v>#VALUE!</v>
      </c>
      <c r="BB8" s="359" t="e">
        <f t="shared" si="0"/>
        <v>#N/A</v>
      </c>
    </row>
    <row r="9" spans="1:54" ht="14.25">
      <c r="A9" s="81"/>
      <c r="B9" s="676"/>
      <c r="C9" s="510">
        <v>3</v>
      </c>
      <c r="D9" s="227" t="s">
        <v>368</v>
      </c>
      <c r="E9" s="182">
        <v>18</v>
      </c>
      <c r="F9" s="569">
        <v>1500</v>
      </c>
      <c r="G9" s="570">
        <v>83.3</v>
      </c>
      <c r="H9" s="718"/>
      <c r="I9" s="547">
        <f t="shared" si="1"/>
        <v>18</v>
      </c>
      <c r="J9" s="547">
        <f t="shared" si="2"/>
        <v>1323.4333773529327</v>
      </c>
      <c r="K9" s="200">
        <f t="shared" si="3"/>
        <v>73.524076519607362</v>
      </c>
      <c r="L9" s="650"/>
      <c r="M9" s="517">
        <f>RANK(K9, K$7:$K$36)</f>
        <v>19</v>
      </c>
      <c r="N9" s="668"/>
      <c r="O9" s="668"/>
      <c r="P9" s="182">
        <v>18</v>
      </c>
      <c r="Q9" s="182">
        <v>1331.9999999999998</v>
      </c>
      <c r="R9" s="182">
        <v>73.999999999999986</v>
      </c>
      <c r="S9" s="510">
        <f t="shared" si="4"/>
        <v>19</v>
      </c>
      <c r="T9" s="690"/>
      <c r="U9" s="182">
        <v>18</v>
      </c>
      <c r="V9" s="182">
        <v>1326.3157894736833</v>
      </c>
      <c r="W9" s="182">
        <v>73.684210526315738</v>
      </c>
      <c r="X9" s="510">
        <f t="shared" si="5"/>
        <v>20</v>
      </c>
      <c r="Y9" s="690"/>
      <c r="Z9" s="182">
        <v>18</v>
      </c>
      <c r="AA9" s="182">
        <v>1311.1111111111118</v>
      </c>
      <c r="AB9" s="182">
        <v>72.839506172839549</v>
      </c>
      <c r="AC9" s="510">
        <f t="shared" si="6"/>
        <v>19</v>
      </c>
      <c r="AD9" s="690"/>
      <c r="AE9" s="182">
        <v>18</v>
      </c>
      <c r="AF9" s="182">
        <v>1331.2500000000005</v>
      </c>
      <c r="AG9" s="182">
        <v>73.958333333333357</v>
      </c>
      <c r="AH9" s="510">
        <f t="shared" si="7"/>
        <v>18</v>
      </c>
      <c r="AI9" s="690"/>
      <c r="AJ9" s="182">
        <v>18</v>
      </c>
      <c r="AK9" s="182">
        <v>1316.9999999999993</v>
      </c>
      <c r="AL9" s="182">
        <v>73.166666666666629</v>
      </c>
      <c r="AM9" s="510">
        <f t="shared" si="8"/>
        <v>19</v>
      </c>
      <c r="AN9" s="690"/>
      <c r="AO9" s="182">
        <v>18</v>
      </c>
      <c r="AP9" s="182">
        <v>1320.9836065573766</v>
      </c>
      <c r="AQ9" s="182">
        <v>73.387978142076477</v>
      </c>
      <c r="AR9" s="510">
        <f t="shared" si="9"/>
        <v>17</v>
      </c>
      <c r="AS9" s="690"/>
      <c r="AT9" s="182">
        <v>18</v>
      </c>
      <c r="AU9" s="182">
        <v>1325.3731343283582</v>
      </c>
      <c r="AV9" s="182">
        <v>73.631840796019901</v>
      </c>
      <c r="AW9" s="510">
        <f t="shared" si="10"/>
        <v>16</v>
      </c>
      <c r="AX9" s="690"/>
      <c r="AZ9" s="362" t="e">
        <f>RANK(AX9, $K$7:AX$36)</f>
        <v>#VALUE!</v>
      </c>
      <c r="BB9" s="359" t="e">
        <f t="shared" si="0"/>
        <v>#N/A</v>
      </c>
    </row>
    <row r="10" spans="1:54" ht="14.25">
      <c r="A10" s="81"/>
      <c r="B10" s="676"/>
      <c r="C10" s="510">
        <v>4</v>
      </c>
      <c r="D10" s="227" t="s">
        <v>871</v>
      </c>
      <c r="E10" s="182">
        <v>18</v>
      </c>
      <c r="F10" s="569">
        <v>1500</v>
      </c>
      <c r="G10" s="570">
        <v>83.3</v>
      </c>
      <c r="H10" s="718"/>
      <c r="I10" s="547">
        <f t="shared" si="1"/>
        <v>18</v>
      </c>
      <c r="J10" s="547">
        <f t="shared" si="2"/>
        <v>1342.8038899909573</v>
      </c>
      <c r="K10" s="200">
        <f t="shared" si="3"/>
        <v>74.600216110608741</v>
      </c>
      <c r="L10" s="650"/>
      <c r="M10" s="517">
        <f>RANK(K10, K$7:$K$36)</f>
        <v>17</v>
      </c>
      <c r="N10" s="668"/>
      <c r="O10" s="668"/>
      <c r="P10" s="182">
        <v>18</v>
      </c>
      <c r="Q10" s="182">
        <v>1391.2500000000005</v>
      </c>
      <c r="R10" s="182">
        <v>77.291666666666686</v>
      </c>
      <c r="S10" s="510">
        <f t="shared" si="4"/>
        <v>12</v>
      </c>
      <c r="T10" s="690"/>
      <c r="U10" s="182">
        <v>18</v>
      </c>
      <c r="V10" s="182">
        <v>1366.8292682926826</v>
      </c>
      <c r="W10" s="182">
        <v>75.934959349593484</v>
      </c>
      <c r="X10" s="510">
        <f t="shared" si="5"/>
        <v>17</v>
      </c>
      <c r="Y10" s="690"/>
      <c r="Z10" s="182">
        <v>18</v>
      </c>
      <c r="AA10" s="182">
        <v>1381.4285714285709</v>
      </c>
      <c r="AB10" s="182">
        <v>76.746031746031719</v>
      </c>
      <c r="AC10" s="510">
        <f t="shared" si="6"/>
        <v>13</v>
      </c>
      <c r="AD10" s="690"/>
      <c r="AE10" s="182">
        <v>18</v>
      </c>
      <c r="AF10" s="182">
        <v>1364.6511627906975</v>
      </c>
      <c r="AG10" s="182">
        <v>75.813953488372078</v>
      </c>
      <c r="AH10" s="510">
        <f t="shared" si="7"/>
        <v>15</v>
      </c>
      <c r="AI10" s="690"/>
      <c r="AJ10" s="182">
        <v>18</v>
      </c>
      <c r="AK10" s="182">
        <v>1377.391304347826</v>
      </c>
      <c r="AL10" s="182">
        <v>76.521739130434781</v>
      </c>
      <c r="AM10" s="510">
        <f t="shared" si="8"/>
        <v>16</v>
      </c>
      <c r="AN10" s="690"/>
      <c r="AO10" s="182">
        <v>18</v>
      </c>
      <c r="AP10" s="182">
        <v>1265.0000000000005</v>
      </c>
      <c r="AQ10" s="182">
        <v>70.2777777777778</v>
      </c>
      <c r="AR10" s="510">
        <f t="shared" si="9"/>
        <v>21</v>
      </c>
      <c r="AS10" s="690"/>
      <c r="AT10" s="182">
        <v>18</v>
      </c>
      <c r="AU10" s="182">
        <v>1253.0769230769238</v>
      </c>
      <c r="AV10" s="182">
        <v>69.615384615384656</v>
      </c>
      <c r="AW10" s="510">
        <f t="shared" si="10"/>
        <v>22</v>
      </c>
      <c r="AX10" s="690"/>
      <c r="AZ10" s="362" t="e">
        <f>RANK(AX10, $K$7:AX$36)</f>
        <v>#VALUE!</v>
      </c>
      <c r="BB10" s="359" t="e">
        <f t="shared" si="0"/>
        <v>#N/A</v>
      </c>
    </row>
    <row r="11" spans="1:54" ht="14.25">
      <c r="A11" s="81"/>
      <c r="B11" s="676"/>
      <c r="C11" s="510">
        <v>5</v>
      </c>
      <c r="D11" s="227" t="s">
        <v>353</v>
      </c>
      <c r="E11" s="182">
        <v>16</v>
      </c>
      <c r="F11" s="569">
        <v>1500</v>
      </c>
      <c r="G11" s="570">
        <v>93.8</v>
      </c>
      <c r="H11" s="718"/>
      <c r="I11" s="547">
        <f t="shared" si="1"/>
        <v>16</v>
      </c>
      <c r="J11" s="547">
        <f t="shared" si="2"/>
        <v>1381.1379655422206</v>
      </c>
      <c r="K11" s="200">
        <f t="shared" si="3"/>
        <v>86.321122846388789</v>
      </c>
      <c r="L11" s="650"/>
      <c r="M11" s="517">
        <f>RANK(K11, K$7:$K$36)</f>
        <v>5</v>
      </c>
      <c r="N11" s="668"/>
      <c r="O11" s="668"/>
      <c r="P11" s="182">
        <v>16</v>
      </c>
      <c r="Q11" s="182">
        <v>1384</v>
      </c>
      <c r="R11" s="182">
        <v>86.5</v>
      </c>
      <c r="S11" s="510">
        <f t="shared" si="4"/>
        <v>5</v>
      </c>
      <c r="T11" s="690"/>
      <c r="U11" s="182">
        <v>16</v>
      </c>
      <c r="V11" s="182">
        <v>1402.7027027027016</v>
      </c>
      <c r="W11" s="182">
        <v>87.668918918918848</v>
      </c>
      <c r="X11" s="510">
        <f t="shared" si="5"/>
        <v>5</v>
      </c>
      <c r="Y11" s="690"/>
      <c r="Z11" s="182">
        <v>16</v>
      </c>
      <c r="AA11" s="182">
        <v>1375.4999999999995</v>
      </c>
      <c r="AB11" s="182">
        <v>85.968749999999972</v>
      </c>
      <c r="AC11" s="510">
        <f t="shared" si="6"/>
        <v>5</v>
      </c>
      <c r="AD11" s="690"/>
      <c r="AE11" s="182">
        <v>16</v>
      </c>
      <c r="AF11" s="182">
        <v>1393.4999999999995</v>
      </c>
      <c r="AG11" s="182">
        <v>87.093749999999972</v>
      </c>
      <c r="AH11" s="510">
        <f t="shared" si="7"/>
        <v>5</v>
      </c>
      <c r="AI11" s="690"/>
      <c r="AJ11" s="182">
        <v>16</v>
      </c>
      <c r="AK11" s="182">
        <v>1362.1276595744685</v>
      </c>
      <c r="AL11" s="182">
        <v>85.132978723404278</v>
      </c>
      <c r="AM11" s="510">
        <f t="shared" si="8"/>
        <v>6</v>
      </c>
      <c r="AN11" s="690"/>
      <c r="AO11" s="182">
        <v>16</v>
      </c>
      <c r="AP11" s="182">
        <v>1385.4545454545455</v>
      </c>
      <c r="AQ11" s="182">
        <v>86.590909090909093</v>
      </c>
      <c r="AR11" s="510">
        <f t="shared" si="9"/>
        <v>5</v>
      </c>
      <c r="AS11" s="690"/>
      <c r="AT11" s="182">
        <v>16</v>
      </c>
      <c r="AU11" s="182">
        <v>1364.68085106383</v>
      </c>
      <c r="AV11" s="182">
        <v>85.292553191489375</v>
      </c>
      <c r="AW11" s="510">
        <f t="shared" si="10"/>
        <v>7</v>
      </c>
      <c r="AX11" s="690"/>
      <c r="AZ11" s="362" t="e">
        <f>RANK(AX11, $K$7:AX$36)</f>
        <v>#VALUE!</v>
      </c>
      <c r="BB11" s="359" t="e">
        <f t="shared" si="0"/>
        <v>#N/A</v>
      </c>
    </row>
    <row r="12" spans="1:54" ht="14.25">
      <c r="A12" s="81"/>
      <c r="B12" s="676"/>
      <c r="C12" s="510">
        <v>6</v>
      </c>
      <c r="D12" s="227" t="s">
        <v>370</v>
      </c>
      <c r="E12" s="182">
        <v>16</v>
      </c>
      <c r="F12" s="569">
        <v>1565</v>
      </c>
      <c r="G12" s="570">
        <v>97.8</v>
      </c>
      <c r="H12" s="718"/>
      <c r="I12" s="547">
        <f t="shared" si="1"/>
        <v>16</v>
      </c>
      <c r="J12" s="547">
        <f t="shared" si="2"/>
        <v>1369.2171423537707</v>
      </c>
      <c r="K12" s="200">
        <f t="shared" si="3"/>
        <v>85.576071397110667</v>
      </c>
      <c r="L12" s="650"/>
      <c r="M12" s="517">
        <f>RANK(K12, K$7:$K$36)</f>
        <v>6</v>
      </c>
      <c r="N12" s="668"/>
      <c r="O12" s="668"/>
      <c r="P12" s="182">
        <v>16</v>
      </c>
      <c r="Q12" s="182">
        <v>1361.0624999999995</v>
      </c>
      <c r="R12" s="182">
        <v>85.066406249999972</v>
      </c>
      <c r="S12" s="510">
        <f t="shared" si="4"/>
        <v>6</v>
      </c>
      <c r="T12" s="690"/>
      <c r="U12" s="182">
        <v>16</v>
      </c>
      <c r="V12" s="182">
        <v>1386.5625000000005</v>
      </c>
      <c r="W12" s="182">
        <v>86.660156250000028</v>
      </c>
      <c r="X12" s="510">
        <f t="shared" si="5"/>
        <v>6</v>
      </c>
      <c r="Y12" s="690"/>
      <c r="Z12" s="182">
        <v>16</v>
      </c>
      <c r="AA12" s="182">
        <v>1355.1428571428582</v>
      </c>
      <c r="AB12" s="182">
        <v>84.69642857142864</v>
      </c>
      <c r="AC12" s="510">
        <f t="shared" si="6"/>
        <v>6</v>
      </c>
      <c r="AD12" s="690"/>
      <c r="AE12" s="182">
        <v>16</v>
      </c>
      <c r="AF12" s="182">
        <v>1366.8571428571443</v>
      </c>
      <c r="AG12" s="182">
        <v>85.428571428571516</v>
      </c>
      <c r="AH12" s="510">
        <f t="shared" si="7"/>
        <v>6</v>
      </c>
      <c r="AI12" s="690"/>
      <c r="AJ12" s="182">
        <v>16</v>
      </c>
      <c r="AK12" s="182">
        <v>1378.1818181818196</v>
      </c>
      <c r="AL12" s="182">
        <v>86.136363636363726</v>
      </c>
      <c r="AM12" s="510">
        <f t="shared" si="8"/>
        <v>5</v>
      </c>
      <c r="AN12" s="690"/>
      <c r="AO12" s="182">
        <v>16</v>
      </c>
      <c r="AP12" s="182">
        <v>1370.6666666666656</v>
      </c>
      <c r="AQ12" s="182">
        <v>85.6666666666666</v>
      </c>
      <c r="AR12" s="510">
        <f t="shared" si="9"/>
        <v>6</v>
      </c>
      <c r="AS12" s="690"/>
      <c r="AT12" s="182">
        <v>16</v>
      </c>
      <c r="AU12" s="182">
        <v>1366.0465116279067</v>
      </c>
      <c r="AV12" s="182">
        <v>85.377906976744171</v>
      </c>
      <c r="AW12" s="510">
        <f t="shared" si="10"/>
        <v>6</v>
      </c>
      <c r="AX12" s="690"/>
      <c r="AZ12" s="362" t="e">
        <f>RANK(AX12, $K$7:AX$36)</f>
        <v>#VALUE!</v>
      </c>
      <c r="BB12" s="359" t="e">
        <f t="shared" si="0"/>
        <v>#N/A</v>
      </c>
    </row>
    <row r="13" spans="1:54" ht="14.25">
      <c r="A13" s="81"/>
      <c r="B13" s="676"/>
      <c r="C13" s="510">
        <v>7</v>
      </c>
      <c r="D13" s="227" t="s">
        <v>345</v>
      </c>
      <c r="E13" s="182">
        <v>14</v>
      </c>
      <c r="F13" s="569">
        <v>1440</v>
      </c>
      <c r="G13" s="570">
        <v>102.9</v>
      </c>
      <c r="H13" s="718"/>
      <c r="I13" s="547">
        <f t="shared" si="1"/>
        <v>15.571428571428571</v>
      </c>
      <c r="J13" s="547">
        <f t="shared" si="2"/>
        <v>1204.6465111243408</v>
      </c>
      <c r="K13" s="200">
        <f t="shared" si="3"/>
        <v>77.56791277169792</v>
      </c>
      <c r="L13" s="650"/>
      <c r="M13" s="517">
        <f>RANK(K13, K$7:$K$36)</f>
        <v>12</v>
      </c>
      <c r="N13" s="668"/>
      <c r="O13" s="668"/>
      <c r="P13" s="182">
        <v>15</v>
      </c>
      <c r="Q13" s="182">
        <v>1146.2068965517219</v>
      </c>
      <c r="R13" s="182">
        <v>76.413793103448128</v>
      </c>
      <c r="S13" s="510">
        <f t="shared" si="4"/>
        <v>17</v>
      </c>
      <c r="T13" s="690"/>
      <c r="U13" s="182">
        <v>15</v>
      </c>
      <c r="V13" s="182">
        <v>1154.9999999999975</v>
      </c>
      <c r="W13" s="182">
        <v>76.999999999999829</v>
      </c>
      <c r="X13" s="510">
        <f t="shared" si="5"/>
        <v>15</v>
      </c>
      <c r="Y13" s="690"/>
      <c r="Z13" s="182">
        <v>15</v>
      </c>
      <c r="AA13" s="182">
        <v>1135.3846153846125</v>
      </c>
      <c r="AB13" s="182">
        <v>75.692307692307494</v>
      </c>
      <c r="AC13" s="510">
        <f t="shared" si="6"/>
        <v>17</v>
      </c>
      <c r="AD13" s="690"/>
      <c r="AE13" s="182">
        <v>15</v>
      </c>
      <c r="AF13" s="182">
        <v>1137.8571428571404</v>
      </c>
      <c r="AG13" s="182">
        <v>75.857142857142691</v>
      </c>
      <c r="AH13" s="510">
        <f t="shared" si="7"/>
        <v>14</v>
      </c>
      <c r="AI13" s="690"/>
      <c r="AJ13" s="182">
        <v>15</v>
      </c>
      <c r="AK13" s="182">
        <v>1133.0769230769201</v>
      </c>
      <c r="AL13" s="182">
        <v>75.538461538461348</v>
      </c>
      <c r="AM13" s="510">
        <f t="shared" si="8"/>
        <v>17</v>
      </c>
      <c r="AN13" s="690"/>
      <c r="AO13" s="182">
        <v>19</v>
      </c>
      <c r="AP13" s="182">
        <v>1367.4999999999959</v>
      </c>
      <c r="AQ13" s="182">
        <v>71.973684210526102</v>
      </c>
      <c r="AR13" s="510">
        <f t="shared" si="9"/>
        <v>18</v>
      </c>
      <c r="AS13" s="690"/>
      <c r="AT13" s="182">
        <v>15</v>
      </c>
      <c r="AU13" s="182">
        <v>1357.4999999999957</v>
      </c>
      <c r="AV13" s="182">
        <v>90.499999999999716</v>
      </c>
      <c r="AW13" s="510">
        <f t="shared" si="10"/>
        <v>3</v>
      </c>
      <c r="AX13" s="690"/>
      <c r="AZ13" s="362" t="e">
        <f>RANK(AX13, $K$7:AX$36)</f>
        <v>#VALUE!</v>
      </c>
      <c r="BB13" s="359" t="e">
        <f t="shared" si="0"/>
        <v>#N/A</v>
      </c>
    </row>
    <row r="14" spans="1:54" ht="14.25">
      <c r="A14" s="81"/>
      <c r="B14" s="676"/>
      <c r="C14" s="510">
        <v>8</v>
      </c>
      <c r="D14" s="227" t="s">
        <v>927</v>
      </c>
      <c r="E14" s="182">
        <v>16</v>
      </c>
      <c r="F14" s="569">
        <v>1440</v>
      </c>
      <c r="G14" s="570">
        <v>90</v>
      </c>
      <c r="H14" s="718"/>
      <c r="I14" s="547">
        <f t="shared" si="1"/>
        <v>16</v>
      </c>
      <c r="J14" s="547">
        <f t="shared" si="2"/>
        <v>1323.3033992398555</v>
      </c>
      <c r="K14" s="200">
        <f t="shared" si="3"/>
        <v>82.706462452490968</v>
      </c>
      <c r="L14" s="650"/>
      <c r="M14" s="517">
        <f>RANK(K14, K$7:$K$36)</f>
        <v>9</v>
      </c>
      <c r="N14" s="668"/>
      <c r="O14" s="668"/>
      <c r="P14" s="182">
        <v>16</v>
      </c>
      <c r="Q14" s="182">
        <v>1308.2926829268288</v>
      </c>
      <c r="R14" s="182">
        <v>81.768292682926798</v>
      </c>
      <c r="S14" s="510">
        <f t="shared" si="4"/>
        <v>9</v>
      </c>
      <c r="T14" s="690"/>
      <c r="U14" s="182">
        <v>16</v>
      </c>
      <c r="V14" s="182">
        <v>1316.9230769230762</v>
      </c>
      <c r="W14" s="182">
        <v>82.307692307692264</v>
      </c>
      <c r="X14" s="510">
        <f t="shared" si="5"/>
        <v>9</v>
      </c>
      <c r="Y14" s="690"/>
      <c r="Z14" s="182">
        <v>16</v>
      </c>
      <c r="AA14" s="182">
        <v>1321.8181818181802</v>
      </c>
      <c r="AB14" s="182">
        <v>82.61363636363626</v>
      </c>
      <c r="AC14" s="510">
        <f t="shared" si="6"/>
        <v>8</v>
      </c>
      <c r="AD14" s="690"/>
      <c r="AE14" s="182">
        <v>16</v>
      </c>
      <c r="AF14" s="182">
        <v>1341.0810810810799</v>
      </c>
      <c r="AG14" s="182">
        <v>83.817567567567494</v>
      </c>
      <c r="AH14" s="510">
        <f t="shared" si="7"/>
        <v>8</v>
      </c>
      <c r="AI14" s="690"/>
      <c r="AJ14" s="182">
        <v>16</v>
      </c>
      <c r="AK14" s="182">
        <v>1336.6666666666656</v>
      </c>
      <c r="AL14" s="182">
        <v>83.5416666666666</v>
      </c>
      <c r="AM14" s="510">
        <f t="shared" si="8"/>
        <v>9</v>
      </c>
      <c r="AN14" s="690"/>
      <c r="AO14" s="182">
        <v>16</v>
      </c>
      <c r="AP14" s="182">
        <v>1321.4999999999995</v>
      </c>
      <c r="AQ14" s="182">
        <v>82.593749999999972</v>
      </c>
      <c r="AR14" s="510">
        <f t="shared" si="9"/>
        <v>9</v>
      </c>
      <c r="AS14" s="690"/>
      <c r="AT14" s="182">
        <v>16</v>
      </c>
      <c r="AU14" s="182">
        <v>1316.842105263157</v>
      </c>
      <c r="AV14" s="182">
        <v>82.302631578947313</v>
      </c>
      <c r="AW14" s="510">
        <f t="shared" si="10"/>
        <v>11</v>
      </c>
      <c r="AX14" s="690"/>
      <c r="AZ14" s="362" t="e">
        <f>RANK(AX14, $K$7:AX$36)</f>
        <v>#VALUE!</v>
      </c>
      <c r="BB14" s="359" t="e">
        <f t="shared" si="0"/>
        <v>#N/A</v>
      </c>
    </row>
    <row r="15" spans="1:54" ht="14.25">
      <c r="A15" s="81"/>
      <c r="B15" s="676"/>
      <c r="C15" s="510">
        <v>9</v>
      </c>
      <c r="D15" s="227" t="s">
        <v>928</v>
      </c>
      <c r="E15" s="182">
        <v>16</v>
      </c>
      <c r="F15" s="569">
        <v>1440</v>
      </c>
      <c r="G15" s="570">
        <v>90</v>
      </c>
      <c r="H15" s="718"/>
      <c r="I15" s="547">
        <f t="shared" si="1"/>
        <v>17</v>
      </c>
      <c r="J15" s="547">
        <f t="shared" si="2"/>
        <v>1193.0316790209483</v>
      </c>
      <c r="K15" s="200">
        <f t="shared" si="3"/>
        <v>70.178334060055789</v>
      </c>
      <c r="L15" s="650"/>
      <c r="M15" s="517">
        <f>RANK(K15, K$7:$K$36)</f>
        <v>23</v>
      </c>
      <c r="N15" s="668"/>
      <c r="O15" s="668"/>
      <c r="P15" s="182">
        <v>17</v>
      </c>
      <c r="Q15" s="182">
        <v>1189.2000000000005</v>
      </c>
      <c r="R15" s="182">
        <v>69.952941176470617</v>
      </c>
      <c r="S15" s="510">
        <f t="shared" si="4"/>
        <v>23</v>
      </c>
      <c r="T15" s="690"/>
      <c r="U15" s="182">
        <v>17</v>
      </c>
      <c r="V15" s="182">
        <v>1192.3404255319151</v>
      </c>
      <c r="W15" s="182">
        <v>70.137672090112659</v>
      </c>
      <c r="X15" s="510">
        <f t="shared" si="5"/>
        <v>22</v>
      </c>
      <c r="Y15" s="690"/>
      <c r="Z15" s="182">
        <v>17</v>
      </c>
      <c r="AA15" s="182">
        <v>1183.3333333333323</v>
      </c>
      <c r="AB15" s="182">
        <v>69.607843137254847</v>
      </c>
      <c r="AC15" s="510">
        <f t="shared" si="6"/>
        <v>23</v>
      </c>
      <c r="AD15" s="690"/>
      <c r="AE15" s="182">
        <v>17</v>
      </c>
      <c r="AF15" s="182">
        <v>1208.9999999999995</v>
      </c>
      <c r="AG15" s="182">
        <v>71.117647058823508</v>
      </c>
      <c r="AH15" s="510">
        <f t="shared" si="7"/>
        <v>20</v>
      </c>
      <c r="AI15" s="690"/>
      <c r="AJ15" s="182">
        <v>17</v>
      </c>
      <c r="AK15" s="182">
        <v>1187.7272727272727</v>
      </c>
      <c r="AL15" s="182">
        <v>69.866310160427815</v>
      </c>
      <c r="AM15" s="510">
        <f t="shared" si="8"/>
        <v>22</v>
      </c>
      <c r="AN15" s="690"/>
      <c r="AO15" s="182">
        <v>17</v>
      </c>
      <c r="AP15" s="182">
        <v>1197.4468085106384</v>
      </c>
      <c r="AQ15" s="182">
        <v>70.438047559449316</v>
      </c>
      <c r="AR15" s="510">
        <f t="shared" si="9"/>
        <v>19</v>
      </c>
      <c r="AS15" s="690"/>
      <c r="AT15" s="182">
        <v>17</v>
      </c>
      <c r="AU15" s="182">
        <v>1192.1739130434783</v>
      </c>
      <c r="AV15" s="182">
        <v>70.127877237851663</v>
      </c>
      <c r="AW15" s="510">
        <f t="shared" si="10"/>
        <v>21</v>
      </c>
      <c r="AX15" s="690"/>
      <c r="AZ15" s="362" t="e">
        <f>RANK(AX15, $K$7:AX$36)</f>
        <v>#VALUE!</v>
      </c>
      <c r="BB15" s="359" t="e">
        <f t="shared" si="0"/>
        <v>#N/A</v>
      </c>
    </row>
    <row r="16" spans="1:54" ht="14.25">
      <c r="A16" s="81"/>
      <c r="B16" s="676"/>
      <c r="C16" s="510">
        <v>10</v>
      </c>
      <c r="D16" s="227" t="s">
        <v>929</v>
      </c>
      <c r="E16" s="182">
        <v>18</v>
      </c>
      <c r="F16" s="569">
        <v>1636</v>
      </c>
      <c r="G16" s="570">
        <v>90.9</v>
      </c>
      <c r="H16" s="718"/>
      <c r="I16" s="547">
        <f t="shared" si="1"/>
        <v>18</v>
      </c>
      <c r="J16" s="547">
        <f t="shared" si="2"/>
        <v>1514.6433962862543</v>
      </c>
      <c r="K16" s="200">
        <f t="shared" si="3"/>
        <v>84.146855349236333</v>
      </c>
      <c r="L16" s="650"/>
      <c r="M16" s="517">
        <f>RANK(K16, K$7:$K$36)</f>
        <v>7</v>
      </c>
      <c r="N16" s="668"/>
      <c r="O16" s="668"/>
      <c r="P16" s="182">
        <v>18</v>
      </c>
      <c r="Q16" s="182">
        <v>1505.357142857144</v>
      </c>
      <c r="R16" s="182">
        <v>83.630952380952451</v>
      </c>
      <c r="S16" s="510">
        <f t="shared" si="4"/>
        <v>8</v>
      </c>
      <c r="T16" s="690"/>
      <c r="U16" s="182">
        <v>18</v>
      </c>
      <c r="V16" s="182">
        <v>1505.5555555555563</v>
      </c>
      <c r="W16" s="182">
        <v>83.641975308642017</v>
      </c>
      <c r="X16" s="510">
        <f t="shared" si="5"/>
        <v>8</v>
      </c>
      <c r="Y16" s="690"/>
      <c r="Z16" s="182">
        <v>18</v>
      </c>
      <c r="AA16" s="182">
        <v>1521.3333333333333</v>
      </c>
      <c r="AB16" s="182">
        <v>84.518518518518519</v>
      </c>
      <c r="AC16" s="510">
        <f t="shared" si="6"/>
        <v>7</v>
      </c>
      <c r="AD16" s="690"/>
      <c r="AE16" s="182">
        <v>18</v>
      </c>
      <c r="AF16" s="182">
        <v>1528</v>
      </c>
      <c r="AG16" s="182">
        <v>84.888888888888886</v>
      </c>
      <c r="AH16" s="510">
        <f t="shared" si="7"/>
        <v>7</v>
      </c>
      <c r="AI16" s="690"/>
      <c r="AJ16" s="182">
        <v>18</v>
      </c>
      <c r="AK16" s="182">
        <v>1516.1538461538471</v>
      </c>
      <c r="AL16" s="182">
        <v>84.230769230769283</v>
      </c>
      <c r="AM16" s="510">
        <f t="shared" si="8"/>
        <v>8</v>
      </c>
      <c r="AN16" s="690"/>
      <c r="AO16" s="182">
        <v>18</v>
      </c>
      <c r="AP16" s="182">
        <v>1504.2857142857154</v>
      </c>
      <c r="AQ16" s="182">
        <v>83.571428571428626</v>
      </c>
      <c r="AR16" s="510">
        <f t="shared" si="9"/>
        <v>8</v>
      </c>
      <c r="AS16" s="690"/>
      <c r="AT16" s="182">
        <v>18</v>
      </c>
      <c r="AU16" s="182">
        <v>1521.8181818181829</v>
      </c>
      <c r="AV16" s="182">
        <v>84.545454545454604</v>
      </c>
      <c r="AW16" s="510">
        <f t="shared" si="10"/>
        <v>8</v>
      </c>
      <c r="AX16" s="690"/>
      <c r="AZ16" s="362" t="e">
        <f>RANK(AX16, $K$7:AX$36)</f>
        <v>#VALUE!</v>
      </c>
      <c r="BB16" s="359" t="e">
        <f t="shared" si="0"/>
        <v>#N/A</v>
      </c>
    </row>
    <row r="17" spans="2:54">
      <c r="B17" s="676"/>
      <c r="C17" s="510">
        <v>11</v>
      </c>
      <c r="D17" s="227" t="s">
        <v>930</v>
      </c>
      <c r="E17" s="182">
        <v>18</v>
      </c>
      <c r="F17" s="569">
        <v>1636</v>
      </c>
      <c r="G17" s="570">
        <v>90.9</v>
      </c>
      <c r="H17" s="718"/>
      <c r="I17" s="547">
        <f t="shared" si="1"/>
        <v>18</v>
      </c>
      <c r="J17" s="547">
        <f t="shared" si="2"/>
        <v>1508.6187736580728</v>
      </c>
      <c r="K17" s="200">
        <f t="shared" si="3"/>
        <v>83.812154092115165</v>
      </c>
      <c r="L17" s="650"/>
      <c r="M17" s="517">
        <f>RANK(K17, K$7:$K$36)</f>
        <v>8</v>
      </c>
      <c r="N17" s="668"/>
      <c r="O17" s="668"/>
      <c r="P17" s="182">
        <v>18</v>
      </c>
      <c r="Q17" s="182">
        <v>1515.348837209302</v>
      </c>
      <c r="R17" s="182">
        <v>84.186046511627893</v>
      </c>
      <c r="S17" s="510">
        <f t="shared" si="4"/>
        <v>7</v>
      </c>
      <c r="T17" s="690"/>
      <c r="U17" s="182">
        <v>18</v>
      </c>
      <c r="V17" s="182">
        <v>1529.2682926829261</v>
      </c>
      <c r="W17" s="182">
        <v>84.959349593495901</v>
      </c>
      <c r="X17" s="510">
        <f t="shared" si="5"/>
        <v>7</v>
      </c>
      <c r="Y17" s="690"/>
      <c r="Z17" s="182">
        <v>18</v>
      </c>
      <c r="AA17" s="182">
        <v>1481.1428571428557</v>
      </c>
      <c r="AB17" s="182">
        <v>82.285714285714207</v>
      </c>
      <c r="AC17" s="510">
        <f t="shared" si="6"/>
        <v>9</v>
      </c>
      <c r="AD17" s="690"/>
      <c r="AE17" s="182">
        <v>18</v>
      </c>
      <c r="AF17" s="182">
        <v>1494.9999999999989</v>
      </c>
      <c r="AG17" s="182">
        <v>83.055555555555486</v>
      </c>
      <c r="AH17" s="510">
        <f t="shared" si="7"/>
        <v>9</v>
      </c>
      <c r="AI17" s="690"/>
      <c r="AJ17" s="182">
        <v>18</v>
      </c>
      <c r="AK17" s="182">
        <v>1520.9999999999995</v>
      </c>
      <c r="AL17" s="182">
        <v>84.499999999999972</v>
      </c>
      <c r="AM17" s="510">
        <f t="shared" si="8"/>
        <v>7</v>
      </c>
      <c r="AN17" s="690"/>
      <c r="AO17" s="182">
        <v>18</v>
      </c>
      <c r="AP17" s="182">
        <v>1508.5714285714282</v>
      </c>
      <c r="AQ17" s="182">
        <v>83.809523809523796</v>
      </c>
      <c r="AR17" s="510">
        <f t="shared" si="9"/>
        <v>7</v>
      </c>
      <c r="AS17" s="690"/>
      <c r="AT17" s="182">
        <v>18</v>
      </c>
      <c r="AU17" s="182">
        <v>1509.9999999999995</v>
      </c>
      <c r="AV17" s="182">
        <v>83.888888888888857</v>
      </c>
      <c r="AW17" s="510">
        <f t="shared" si="10"/>
        <v>9</v>
      </c>
      <c r="AX17" s="690"/>
      <c r="AZ17" s="362" t="e">
        <f>RANK(AX17, $K$7:AX$36)</f>
        <v>#VALUE!</v>
      </c>
      <c r="BB17" s="359" t="e">
        <f t="shared" si="0"/>
        <v>#N/A</v>
      </c>
    </row>
    <row r="18" spans="2:54">
      <c r="B18" s="676"/>
      <c r="C18" s="510">
        <v>12</v>
      </c>
      <c r="D18" s="227" t="s">
        <v>355</v>
      </c>
      <c r="E18" s="182">
        <v>17</v>
      </c>
      <c r="F18" s="569">
        <v>1500</v>
      </c>
      <c r="G18" s="570">
        <v>88.2</v>
      </c>
      <c r="H18" s="718"/>
      <c r="I18" s="547">
        <f t="shared" si="1"/>
        <v>17</v>
      </c>
      <c r="J18" s="547">
        <f t="shared" si="2"/>
        <v>1381.3708572282412</v>
      </c>
      <c r="K18" s="200">
        <f t="shared" si="3"/>
        <v>81.257109248720099</v>
      </c>
      <c r="L18" s="650"/>
      <c r="M18" s="517">
        <f>RANK(K18, K$7:$K$36)</f>
        <v>10</v>
      </c>
      <c r="N18" s="668"/>
      <c r="O18" s="668"/>
      <c r="P18" s="182">
        <v>17</v>
      </c>
      <c r="Q18" s="182">
        <v>1386.1538461538455</v>
      </c>
      <c r="R18" s="182">
        <v>81.538461538461505</v>
      </c>
      <c r="S18" s="510">
        <f t="shared" si="4"/>
        <v>10</v>
      </c>
      <c r="T18" s="690"/>
      <c r="U18" s="182">
        <v>17</v>
      </c>
      <c r="V18" s="182">
        <v>1378.3783783783772</v>
      </c>
      <c r="W18" s="182">
        <v>81.08108108108101</v>
      </c>
      <c r="X18" s="510">
        <f t="shared" si="5"/>
        <v>10</v>
      </c>
      <c r="Y18" s="690"/>
      <c r="Z18" s="182">
        <v>17</v>
      </c>
      <c r="AA18" s="182">
        <v>1362.580645161288</v>
      </c>
      <c r="AB18" s="182">
        <v>80.151802656546351</v>
      </c>
      <c r="AC18" s="510">
        <f t="shared" si="6"/>
        <v>10</v>
      </c>
      <c r="AD18" s="690"/>
      <c r="AE18" s="182">
        <v>17</v>
      </c>
      <c r="AF18" s="182">
        <v>1383.3333333333321</v>
      </c>
      <c r="AG18" s="182">
        <v>81.372549019607774</v>
      </c>
      <c r="AH18" s="510">
        <f t="shared" si="7"/>
        <v>10</v>
      </c>
      <c r="AI18" s="690"/>
      <c r="AJ18" s="182">
        <v>17</v>
      </c>
      <c r="AK18" s="182">
        <v>1379.9999999999989</v>
      </c>
      <c r="AL18" s="182">
        <v>81.176470588235233</v>
      </c>
      <c r="AM18" s="510">
        <f t="shared" si="8"/>
        <v>10</v>
      </c>
      <c r="AN18" s="690"/>
      <c r="AO18" s="182">
        <v>17</v>
      </c>
      <c r="AP18" s="182">
        <v>1372.3076923076915</v>
      </c>
      <c r="AQ18" s="182">
        <v>80.723981900452443</v>
      </c>
      <c r="AR18" s="510">
        <f t="shared" si="9"/>
        <v>10</v>
      </c>
      <c r="AS18" s="690"/>
      <c r="AT18" s="182">
        <v>17</v>
      </c>
      <c r="AU18" s="182">
        <v>1406.8421052631568</v>
      </c>
      <c r="AV18" s="182">
        <v>82.755417956656288</v>
      </c>
      <c r="AW18" s="510">
        <f t="shared" si="10"/>
        <v>10</v>
      </c>
      <c r="AX18" s="690"/>
      <c r="AZ18" s="362" t="e">
        <f>RANK(AX18, $K$7:AX$36)</f>
        <v>#VALUE!</v>
      </c>
      <c r="BB18" s="359" t="e">
        <f t="shared" si="0"/>
        <v>#N/A</v>
      </c>
    </row>
    <row r="19" spans="2:54">
      <c r="B19" s="676"/>
      <c r="C19" s="510">
        <v>13</v>
      </c>
      <c r="D19" s="227" t="s">
        <v>785</v>
      </c>
      <c r="E19" s="182">
        <v>20</v>
      </c>
      <c r="F19" s="569">
        <v>1440</v>
      </c>
      <c r="G19" s="570">
        <v>72</v>
      </c>
      <c r="H19" s="718"/>
      <c r="I19" s="547">
        <f t="shared" si="1"/>
        <v>20</v>
      </c>
      <c r="J19" s="547">
        <f t="shared" si="2"/>
        <v>1332.3704572556003</v>
      </c>
      <c r="K19" s="200">
        <f t="shared" si="3"/>
        <v>66.618522862780011</v>
      </c>
      <c r="L19" s="650"/>
      <c r="M19" s="517">
        <f>RANK(K19, K$7:$K$36)</f>
        <v>25</v>
      </c>
      <c r="N19" s="668"/>
      <c r="O19" s="668"/>
      <c r="P19" s="182">
        <v>20</v>
      </c>
      <c r="Q19" s="182">
        <v>1344.799999999999</v>
      </c>
      <c r="R19" s="182">
        <v>67.239999999999952</v>
      </c>
      <c r="S19" s="510">
        <f t="shared" si="4"/>
        <v>25</v>
      </c>
      <c r="T19" s="690"/>
      <c r="U19" s="182">
        <v>20</v>
      </c>
      <c r="V19" s="182">
        <v>1317.3529411764689</v>
      </c>
      <c r="W19" s="182">
        <v>65.867647058823451</v>
      </c>
      <c r="X19" s="510">
        <f t="shared" si="5"/>
        <v>26</v>
      </c>
      <c r="Y19" s="690"/>
      <c r="Z19" s="182">
        <v>20</v>
      </c>
      <c r="AA19" s="182">
        <v>1324.6875000000016</v>
      </c>
      <c r="AB19" s="182">
        <v>66.234375000000085</v>
      </c>
      <c r="AC19" s="510">
        <f t="shared" si="6"/>
        <v>25</v>
      </c>
      <c r="AD19" s="690"/>
      <c r="AE19" s="182">
        <v>20</v>
      </c>
      <c r="AF19" s="182">
        <v>1335.2238805970132</v>
      </c>
      <c r="AG19" s="182">
        <v>66.761194029850657</v>
      </c>
      <c r="AH19" s="510">
        <f t="shared" si="7"/>
        <v>24</v>
      </c>
      <c r="AI19" s="690"/>
      <c r="AJ19" s="182">
        <v>20</v>
      </c>
      <c r="AK19" s="182">
        <v>1334.8051948051939</v>
      </c>
      <c r="AL19" s="182">
        <v>66.740259740259688</v>
      </c>
      <c r="AM19" s="510">
        <f t="shared" si="8"/>
        <v>24</v>
      </c>
      <c r="AN19" s="690"/>
      <c r="AO19" s="182">
        <v>20</v>
      </c>
      <c r="AP19" s="182">
        <v>1325.2499999999995</v>
      </c>
      <c r="AQ19" s="182">
        <v>66.262499999999974</v>
      </c>
      <c r="AR19" s="510">
        <f t="shared" si="9"/>
        <v>24</v>
      </c>
      <c r="AS19" s="690"/>
      <c r="AT19" s="182">
        <v>20</v>
      </c>
      <c r="AU19" s="182">
        <v>1344.4736842105253</v>
      </c>
      <c r="AV19" s="182">
        <v>67.223684210526272</v>
      </c>
      <c r="AW19" s="510">
        <f t="shared" si="10"/>
        <v>24</v>
      </c>
      <c r="AX19" s="690"/>
      <c r="AZ19" s="362" t="e">
        <f>RANK(AX19, $K$7:AX$36)</f>
        <v>#VALUE!</v>
      </c>
      <c r="BB19" s="359" t="e">
        <f t="shared" si="0"/>
        <v>#N/A</v>
      </c>
    </row>
    <row r="20" spans="2:54">
      <c r="B20" s="676"/>
      <c r="C20" s="510">
        <v>14</v>
      </c>
      <c r="D20" s="227" t="s">
        <v>371</v>
      </c>
      <c r="E20" s="182">
        <v>14</v>
      </c>
      <c r="F20" s="569">
        <v>1440</v>
      </c>
      <c r="G20" s="570">
        <v>102.9</v>
      </c>
      <c r="H20" s="718"/>
      <c r="I20" s="547">
        <f t="shared" si="1"/>
        <v>15</v>
      </c>
      <c r="J20" s="547">
        <f t="shared" si="2"/>
        <v>1318.5709757191637</v>
      </c>
      <c r="K20" s="200">
        <f t="shared" si="3"/>
        <v>87.904731714610918</v>
      </c>
      <c r="L20" s="650"/>
      <c r="M20" s="517">
        <f>RANK(K20, K$7:$K$36)</f>
        <v>4</v>
      </c>
      <c r="N20" s="668"/>
      <c r="O20" s="668"/>
      <c r="P20" s="182">
        <v>15</v>
      </c>
      <c r="Q20" s="182">
        <v>1309.5238095238108</v>
      </c>
      <c r="R20" s="182">
        <v>87.301587301587389</v>
      </c>
      <c r="S20" s="510">
        <f t="shared" si="4"/>
        <v>4</v>
      </c>
      <c r="T20" s="690"/>
      <c r="U20" s="182">
        <v>15</v>
      </c>
      <c r="V20" s="182">
        <v>1328.1355932203401</v>
      </c>
      <c r="W20" s="182">
        <v>88.542372881356002</v>
      </c>
      <c r="X20" s="510">
        <f t="shared" si="5"/>
        <v>4</v>
      </c>
      <c r="Y20" s="690"/>
      <c r="Z20" s="182">
        <v>15</v>
      </c>
      <c r="AA20" s="182">
        <v>1322.5531914893618</v>
      </c>
      <c r="AB20" s="182">
        <v>88.170212765957459</v>
      </c>
      <c r="AC20" s="510">
        <f t="shared" si="6"/>
        <v>4</v>
      </c>
      <c r="AD20" s="690"/>
      <c r="AE20" s="182">
        <v>15</v>
      </c>
      <c r="AF20" s="182">
        <v>1313.4545454545464</v>
      </c>
      <c r="AG20" s="182">
        <v>87.563636363636434</v>
      </c>
      <c r="AH20" s="510">
        <f t="shared" si="7"/>
        <v>4</v>
      </c>
      <c r="AI20" s="690"/>
      <c r="AJ20" s="182">
        <v>15</v>
      </c>
      <c r="AK20" s="182">
        <v>1304.444444444445</v>
      </c>
      <c r="AL20" s="182">
        <v>86.962962962963005</v>
      </c>
      <c r="AM20" s="510">
        <f t="shared" si="8"/>
        <v>4</v>
      </c>
      <c r="AN20" s="690"/>
      <c r="AO20" s="182">
        <v>15</v>
      </c>
      <c r="AP20" s="182">
        <v>1325.0000000000011</v>
      </c>
      <c r="AQ20" s="182">
        <v>88.333333333333414</v>
      </c>
      <c r="AR20" s="510">
        <f t="shared" si="9"/>
        <v>4</v>
      </c>
      <c r="AS20" s="690"/>
      <c r="AT20" s="182">
        <v>15</v>
      </c>
      <c r="AU20" s="182">
        <v>1326.8852459016407</v>
      </c>
      <c r="AV20" s="182">
        <v>88.45901639344271</v>
      </c>
      <c r="AW20" s="510">
        <f t="shared" si="10"/>
        <v>5</v>
      </c>
      <c r="AX20" s="690"/>
      <c r="AZ20" s="362" t="e">
        <f>RANK(AX20, $K$7:AX$36)</f>
        <v>#VALUE!</v>
      </c>
      <c r="BB20" s="359" t="e">
        <f t="shared" si="0"/>
        <v>#N/A</v>
      </c>
    </row>
    <row r="21" spans="2:54">
      <c r="B21" s="676"/>
      <c r="C21" s="510">
        <v>15</v>
      </c>
      <c r="D21" s="227" t="s">
        <v>347</v>
      </c>
      <c r="E21" s="182">
        <v>19</v>
      </c>
      <c r="F21" s="569">
        <v>1440</v>
      </c>
      <c r="G21" s="570">
        <v>75.8</v>
      </c>
      <c r="H21" s="718"/>
      <c r="I21" s="547">
        <f t="shared" si="1"/>
        <v>19</v>
      </c>
      <c r="J21" s="547">
        <f t="shared" si="2"/>
        <v>1335.1337657342178</v>
      </c>
      <c r="K21" s="200">
        <f t="shared" si="3"/>
        <v>70.270198196537777</v>
      </c>
      <c r="L21" s="650"/>
      <c r="M21" s="517">
        <f>RANK(K21, K$7:$K$36)</f>
        <v>22</v>
      </c>
      <c r="N21" s="668"/>
      <c r="O21" s="668"/>
      <c r="P21" s="182">
        <v>19</v>
      </c>
      <c r="Q21" s="182">
        <v>1330.4651162790694</v>
      </c>
      <c r="R21" s="182">
        <v>70.024479804161544</v>
      </c>
      <c r="S21" s="510">
        <f t="shared" si="4"/>
        <v>22</v>
      </c>
      <c r="T21" s="690"/>
      <c r="U21" s="182">
        <v>19</v>
      </c>
      <c r="V21" s="182">
        <v>1337.1428571428564</v>
      </c>
      <c r="W21" s="182">
        <v>70.375939849624018</v>
      </c>
      <c r="X21" s="510">
        <f t="shared" si="5"/>
        <v>21</v>
      </c>
      <c r="Y21" s="690"/>
      <c r="Z21" s="182">
        <v>19</v>
      </c>
      <c r="AA21" s="182">
        <v>1325.1428571428557</v>
      </c>
      <c r="AB21" s="182">
        <v>69.744360902255565</v>
      </c>
      <c r="AC21" s="510">
        <f t="shared" si="6"/>
        <v>22</v>
      </c>
      <c r="AD21" s="690"/>
      <c r="AE21" s="182">
        <v>19</v>
      </c>
      <c r="AF21" s="182">
        <v>1341.0389610389602</v>
      </c>
      <c r="AG21" s="182">
        <v>70.580997949418958</v>
      </c>
      <c r="AH21" s="510">
        <f t="shared" si="7"/>
        <v>21</v>
      </c>
      <c r="AI21" s="690"/>
      <c r="AJ21" s="182">
        <v>19</v>
      </c>
      <c r="AK21" s="182">
        <v>1339.7560975609751</v>
      </c>
      <c r="AL21" s="182">
        <v>70.513478818998692</v>
      </c>
      <c r="AM21" s="510">
        <f t="shared" si="8"/>
        <v>21</v>
      </c>
      <c r="AN21" s="690"/>
      <c r="AO21" s="182">
        <v>19</v>
      </c>
      <c r="AP21" s="182">
        <v>1338.0722891566261</v>
      </c>
      <c r="AQ21" s="182">
        <v>70.424857324032956</v>
      </c>
      <c r="AR21" s="510">
        <f t="shared" si="9"/>
        <v>20</v>
      </c>
      <c r="AS21" s="690"/>
      <c r="AT21" s="182">
        <v>19</v>
      </c>
      <c r="AU21" s="182">
        <v>1334.3181818181818</v>
      </c>
      <c r="AV21" s="182">
        <v>70.22727272727272</v>
      </c>
      <c r="AW21" s="510">
        <f t="shared" si="10"/>
        <v>20</v>
      </c>
      <c r="AX21" s="690"/>
      <c r="AZ21" s="361" t="e">
        <f>RANK(AX21, $K$7:AX$36)</f>
        <v>#VALUE!</v>
      </c>
      <c r="BB21" s="359" t="e">
        <f t="shared" si="0"/>
        <v>#N/A</v>
      </c>
    </row>
    <row r="22" spans="2:54">
      <c r="B22" s="676"/>
      <c r="C22" s="510">
        <v>16</v>
      </c>
      <c r="D22" s="227" t="s">
        <v>369</v>
      </c>
      <c r="E22" s="182">
        <v>19</v>
      </c>
      <c r="F22" s="569">
        <v>1440</v>
      </c>
      <c r="G22" s="570">
        <v>75.8</v>
      </c>
      <c r="H22" s="718"/>
      <c r="I22" s="547">
        <f t="shared" si="1"/>
        <v>19</v>
      </c>
      <c r="J22" s="547">
        <f t="shared" si="2"/>
        <v>1329.7479451328857</v>
      </c>
      <c r="K22" s="200">
        <f t="shared" si="3"/>
        <v>69.986733954362407</v>
      </c>
      <c r="L22" s="650"/>
      <c r="M22" s="517">
        <f>RANK(K22, K$7:$K$36)</f>
        <v>24</v>
      </c>
      <c r="N22" s="668"/>
      <c r="O22" s="668"/>
      <c r="P22" s="182">
        <v>19</v>
      </c>
      <c r="Q22" s="182">
        <v>1352.7272727272741</v>
      </c>
      <c r="R22" s="182">
        <v>71.196172248803904</v>
      </c>
      <c r="S22" s="510">
        <f t="shared" si="4"/>
        <v>21</v>
      </c>
      <c r="T22" s="690"/>
      <c r="U22" s="182">
        <v>19</v>
      </c>
      <c r="V22" s="182">
        <v>1331.4285714285729</v>
      </c>
      <c r="W22" s="182">
        <v>70.075187969924897</v>
      </c>
      <c r="X22" s="510">
        <f t="shared" si="5"/>
        <v>23</v>
      </c>
      <c r="Y22" s="690"/>
      <c r="Z22" s="182">
        <v>19</v>
      </c>
      <c r="AA22" s="182">
        <v>1343.773584905661</v>
      </c>
      <c r="AB22" s="182">
        <v>70.724925521350585</v>
      </c>
      <c r="AC22" s="510">
        <f t="shared" si="6"/>
        <v>21</v>
      </c>
      <c r="AD22" s="690"/>
      <c r="AE22" s="182">
        <v>19</v>
      </c>
      <c r="AF22" s="182">
        <v>1327.7777777777785</v>
      </c>
      <c r="AG22" s="182">
        <v>69.883040935672554</v>
      </c>
      <c r="AH22" s="510">
        <f t="shared" si="7"/>
        <v>22</v>
      </c>
      <c r="AI22" s="690"/>
      <c r="AJ22" s="182">
        <v>19</v>
      </c>
      <c r="AK22" s="182">
        <v>1320.0000000000011</v>
      </c>
      <c r="AL22" s="182">
        <v>69.473684210526372</v>
      </c>
      <c r="AM22" s="510">
        <f t="shared" si="8"/>
        <v>23</v>
      </c>
      <c r="AN22" s="690"/>
      <c r="AO22" s="182">
        <v>19</v>
      </c>
      <c r="AP22" s="182">
        <v>1319.0909090909106</v>
      </c>
      <c r="AQ22" s="182">
        <v>69.425837320574246</v>
      </c>
      <c r="AR22" s="510">
        <f t="shared" si="9"/>
        <v>22</v>
      </c>
      <c r="AS22" s="690"/>
      <c r="AT22" s="182">
        <v>19</v>
      </c>
      <c r="AU22" s="182">
        <v>1313.4375000000016</v>
      </c>
      <c r="AV22" s="182">
        <v>69.128289473684291</v>
      </c>
      <c r="AW22" s="510">
        <f t="shared" si="10"/>
        <v>23</v>
      </c>
      <c r="AX22" s="690"/>
      <c r="AZ22" s="361" t="e">
        <f>RANK(AX22, $K$7:AX$36)</f>
        <v>#VALUE!</v>
      </c>
      <c r="BB22" s="359" t="e">
        <f t="shared" si="0"/>
        <v>#N/A</v>
      </c>
    </row>
    <row r="23" spans="2:54">
      <c r="B23" s="676"/>
      <c r="C23" s="510">
        <v>17</v>
      </c>
      <c r="D23" s="227" t="s">
        <v>931</v>
      </c>
      <c r="E23" s="182">
        <v>19</v>
      </c>
      <c r="F23" s="569">
        <v>1500</v>
      </c>
      <c r="G23" s="570">
        <v>78.900000000000006</v>
      </c>
      <c r="H23" s="718"/>
      <c r="I23" s="547">
        <f t="shared" si="1"/>
        <v>19</v>
      </c>
      <c r="J23" s="547">
        <f t="shared" si="2"/>
        <v>1388.8418540375376</v>
      </c>
      <c r="K23" s="200">
        <f t="shared" si="3"/>
        <v>73.096939686186175</v>
      </c>
      <c r="L23" s="650"/>
      <c r="M23" s="517">
        <f>RANK(K23, K$7:$K$36)</f>
        <v>20</v>
      </c>
      <c r="N23" s="668"/>
      <c r="O23" s="668"/>
      <c r="P23" s="182">
        <v>19</v>
      </c>
      <c r="Q23" s="182">
        <v>1382.7906976744184</v>
      </c>
      <c r="R23" s="182">
        <v>72.778457772337816</v>
      </c>
      <c r="S23" s="510">
        <f t="shared" si="4"/>
        <v>20</v>
      </c>
      <c r="T23" s="690"/>
      <c r="U23" s="182">
        <v>19</v>
      </c>
      <c r="V23" s="182">
        <v>1403.0769230769224</v>
      </c>
      <c r="W23" s="182">
        <v>73.846153846153811</v>
      </c>
      <c r="X23" s="510">
        <f t="shared" si="5"/>
        <v>19</v>
      </c>
      <c r="Y23" s="690"/>
      <c r="Z23" s="182">
        <v>19</v>
      </c>
      <c r="AA23" s="182">
        <v>1381.7647058823511</v>
      </c>
      <c r="AB23" s="182">
        <v>72.724458204334269</v>
      </c>
      <c r="AC23" s="510">
        <f t="shared" si="6"/>
        <v>20</v>
      </c>
      <c r="AD23" s="690"/>
      <c r="AE23" s="182">
        <v>19</v>
      </c>
      <c r="AF23" s="182">
        <v>1384.7368421052622</v>
      </c>
      <c r="AG23" s="182">
        <v>72.880886426592753</v>
      </c>
      <c r="AH23" s="510">
        <f t="shared" si="7"/>
        <v>19</v>
      </c>
      <c r="AI23" s="690"/>
      <c r="AJ23" s="182">
        <v>19</v>
      </c>
      <c r="AK23" s="182">
        <v>1371.6666666666656</v>
      </c>
      <c r="AL23" s="182">
        <v>72.1929824561403</v>
      </c>
      <c r="AM23" s="510">
        <f t="shared" si="8"/>
        <v>20</v>
      </c>
      <c r="AN23" s="690"/>
      <c r="AO23" s="182">
        <v>19</v>
      </c>
      <c r="AP23" s="182">
        <v>1402.8571428571424</v>
      </c>
      <c r="AQ23" s="182">
        <v>73.834586466165391</v>
      </c>
      <c r="AR23" s="510">
        <f t="shared" si="9"/>
        <v>15</v>
      </c>
      <c r="AS23" s="690"/>
      <c r="AT23" s="182">
        <v>19</v>
      </c>
      <c r="AU23" s="182">
        <v>1394.9999999999995</v>
      </c>
      <c r="AV23" s="182">
        <v>73.421052631578917</v>
      </c>
      <c r="AW23" s="510">
        <f t="shared" si="10"/>
        <v>18</v>
      </c>
      <c r="AX23" s="690"/>
      <c r="AZ23" s="361" t="e">
        <f>RANK(AX23, $K$7:AX$36)</f>
        <v>#VALUE!</v>
      </c>
      <c r="BB23" s="359" t="e">
        <f t="shared" si="0"/>
        <v>#N/A</v>
      </c>
    </row>
    <row r="24" spans="2:54">
      <c r="B24" s="676"/>
      <c r="C24" s="510">
        <v>18</v>
      </c>
      <c r="D24" s="227" t="s">
        <v>932</v>
      </c>
      <c r="E24" s="182">
        <v>18</v>
      </c>
      <c r="F24" s="569">
        <v>1500</v>
      </c>
      <c r="G24" s="570">
        <v>83.3</v>
      </c>
      <c r="H24" s="718"/>
      <c r="I24" s="547">
        <f t="shared" si="1"/>
        <v>18</v>
      </c>
      <c r="J24" s="547">
        <f t="shared" si="2"/>
        <v>1368.7906457398408</v>
      </c>
      <c r="K24" s="200">
        <f t="shared" si="3"/>
        <v>76.043924763324483</v>
      </c>
      <c r="L24" s="650"/>
      <c r="M24" s="517">
        <f>RANK(K24, K$7:$K$36)</f>
        <v>16</v>
      </c>
      <c r="N24" s="668"/>
      <c r="O24" s="668"/>
      <c r="P24" s="182">
        <v>18</v>
      </c>
      <c r="Q24" s="182">
        <v>1385.9999999999993</v>
      </c>
      <c r="R24" s="182">
        <v>76.999999999999957</v>
      </c>
      <c r="S24" s="510">
        <f t="shared" si="4"/>
        <v>15</v>
      </c>
      <c r="T24" s="690"/>
      <c r="U24" s="182">
        <v>18</v>
      </c>
      <c r="V24" s="182">
        <v>1397.3538461538476</v>
      </c>
      <c r="W24" s="182">
        <v>77.630769230769317</v>
      </c>
      <c r="X24" s="510">
        <f t="shared" si="5"/>
        <v>12</v>
      </c>
      <c r="Y24" s="690"/>
      <c r="Z24" s="182">
        <v>18</v>
      </c>
      <c r="AA24" s="182">
        <v>1408.499999999998</v>
      </c>
      <c r="AB24" s="182">
        <v>78.249999999999886</v>
      </c>
      <c r="AC24" s="510">
        <f t="shared" si="6"/>
        <v>11</v>
      </c>
      <c r="AD24" s="690"/>
      <c r="AE24" s="182">
        <v>18</v>
      </c>
      <c r="AF24" s="182">
        <v>1374.3749999999982</v>
      </c>
      <c r="AG24" s="182">
        <v>76.354166666666572</v>
      </c>
      <c r="AH24" s="510">
        <f t="shared" si="7"/>
        <v>12</v>
      </c>
      <c r="AI24" s="690"/>
      <c r="AJ24" s="182">
        <v>18</v>
      </c>
      <c r="AK24" s="182">
        <v>1386.8571428571415</v>
      </c>
      <c r="AL24" s="182">
        <v>77.04761904761898</v>
      </c>
      <c r="AM24" s="510">
        <f t="shared" si="8"/>
        <v>12</v>
      </c>
      <c r="AN24" s="690"/>
      <c r="AO24" s="182">
        <v>18</v>
      </c>
      <c r="AP24" s="182">
        <v>1321.132075471699</v>
      </c>
      <c r="AQ24" s="182">
        <v>73.396226415094389</v>
      </c>
      <c r="AR24" s="510">
        <f t="shared" si="9"/>
        <v>16</v>
      </c>
      <c r="AS24" s="690"/>
      <c r="AT24" s="182">
        <v>18</v>
      </c>
      <c r="AU24" s="182">
        <v>1307.3164556962017</v>
      </c>
      <c r="AV24" s="182">
        <v>72.628691983122323</v>
      </c>
      <c r="AW24" s="510">
        <f t="shared" si="10"/>
        <v>19</v>
      </c>
      <c r="AX24" s="690"/>
      <c r="AZ24" s="361" t="e">
        <f>RANK(AX24, $K$7:AX$36)</f>
        <v>#VALUE!</v>
      </c>
      <c r="BB24" s="359" t="e">
        <f t="shared" si="0"/>
        <v>#N/A</v>
      </c>
    </row>
    <row r="25" spans="2:54">
      <c r="B25" s="676"/>
      <c r="C25" s="510">
        <v>19</v>
      </c>
      <c r="D25" s="227" t="s">
        <v>933</v>
      </c>
      <c r="E25" s="182">
        <v>17</v>
      </c>
      <c r="F25" s="569">
        <v>1385</v>
      </c>
      <c r="G25" s="570">
        <v>81.400000000000006</v>
      </c>
      <c r="H25" s="718"/>
      <c r="I25" s="547">
        <f t="shared" si="1"/>
        <v>17</v>
      </c>
      <c r="J25" s="547">
        <f t="shared" si="2"/>
        <v>1250.0812461348171</v>
      </c>
      <c r="K25" s="200">
        <f t="shared" si="3"/>
        <v>73.534190949106872</v>
      </c>
      <c r="L25" s="650"/>
      <c r="M25" s="517">
        <f>RANK(K25, K$7:$K$36)</f>
        <v>18</v>
      </c>
      <c r="N25" s="668"/>
      <c r="O25" s="668"/>
      <c r="P25" s="182">
        <v>17</v>
      </c>
      <c r="Q25" s="182">
        <v>1300.0000000000002</v>
      </c>
      <c r="R25" s="182">
        <v>76.47058823529413</v>
      </c>
      <c r="S25" s="510">
        <f t="shared" si="4"/>
        <v>16</v>
      </c>
      <c r="T25" s="690"/>
      <c r="U25" s="182">
        <v>17</v>
      </c>
      <c r="V25" s="182">
        <v>1277.9999999999995</v>
      </c>
      <c r="W25" s="182">
        <v>75.176470588235262</v>
      </c>
      <c r="X25" s="510">
        <f t="shared" si="5"/>
        <v>18</v>
      </c>
      <c r="Y25" s="690"/>
      <c r="Z25" s="182">
        <v>17</v>
      </c>
      <c r="AA25" s="182">
        <v>1102.4999999999984</v>
      </c>
      <c r="AB25" s="182">
        <v>64.852941176470495</v>
      </c>
      <c r="AC25" s="510">
        <f t="shared" si="6"/>
        <v>27</v>
      </c>
      <c r="AD25" s="690"/>
      <c r="AE25" s="182">
        <v>17</v>
      </c>
      <c r="AF25" s="182">
        <v>1273.1249999999982</v>
      </c>
      <c r="AG25" s="182">
        <v>74.889705882352828</v>
      </c>
      <c r="AH25" s="510">
        <f t="shared" si="7"/>
        <v>17</v>
      </c>
      <c r="AI25" s="690"/>
      <c r="AJ25" s="182">
        <v>17</v>
      </c>
      <c r="AK25" s="182">
        <v>1263.4285714285702</v>
      </c>
      <c r="AL25" s="182">
        <v>74.319327731092358</v>
      </c>
      <c r="AM25" s="510">
        <f t="shared" si="8"/>
        <v>18</v>
      </c>
      <c r="AN25" s="690"/>
      <c r="AO25" s="182">
        <v>17</v>
      </c>
      <c r="AP25" s="182">
        <v>1265.3333333333333</v>
      </c>
      <c r="AQ25" s="182">
        <v>74.431372549019599</v>
      </c>
      <c r="AR25" s="510">
        <f t="shared" si="9"/>
        <v>14</v>
      </c>
      <c r="AS25" s="690"/>
      <c r="AT25" s="182">
        <v>17</v>
      </c>
      <c r="AU25" s="182">
        <v>1268.1818181818182</v>
      </c>
      <c r="AV25" s="182">
        <v>74.598930481283432</v>
      </c>
      <c r="AW25" s="510">
        <f t="shared" si="10"/>
        <v>15</v>
      </c>
      <c r="AX25" s="690"/>
      <c r="AZ25" s="361" t="e">
        <f>RANK(AX25, $K$7:AX$36)</f>
        <v>#VALUE!</v>
      </c>
      <c r="BB25" s="359" t="e">
        <f t="shared" si="0"/>
        <v>#N/A</v>
      </c>
    </row>
    <row r="26" spans="2:54">
      <c r="B26" s="676"/>
      <c r="C26" s="510">
        <v>20</v>
      </c>
      <c r="D26" s="227" t="s">
        <v>761</v>
      </c>
      <c r="E26" s="182">
        <v>17</v>
      </c>
      <c r="F26" s="569">
        <v>1440</v>
      </c>
      <c r="G26" s="570">
        <v>84.7</v>
      </c>
      <c r="H26" s="718"/>
      <c r="I26" s="547">
        <f t="shared" si="1"/>
        <v>17</v>
      </c>
      <c r="J26" s="547">
        <f t="shared" si="2"/>
        <v>1326.963625094488</v>
      </c>
      <c r="K26" s="200">
        <f t="shared" si="3"/>
        <v>78.056683829087561</v>
      </c>
      <c r="L26" s="650"/>
      <c r="M26" s="517">
        <f>RANK(K26, K$7:$K$36)</f>
        <v>11</v>
      </c>
      <c r="N26" s="668"/>
      <c r="O26" s="668"/>
      <c r="P26" s="182">
        <v>17</v>
      </c>
      <c r="Q26" s="182">
        <v>1324.4444444444453</v>
      </c>
      <c r="R26" s="182">
        <v>77.908496732026194</v>
      </c>
      <c r="S26" s="510">
        <f t="shared" si="4"/>
        <v>11</v>
      </c>
      <c r="T26" s="690"/>
      <c r="U26" s="182">
        <v>17</v>
      </c>
      <c r="V26" s="182">
        <v>1340.0000000000005</v>
      </c>
      <c r="W26" s="182">
        <v>78.823529411764738</v>
      </c>
      <c r="X26" s="510">
        <f t="shared" si="5"/>
        <v>11</v>
      </c>
      <c r="Y26" s="690"/>
      <c r="Z26" s="182">
        <v>17</v>
      </c>
      <c r="AA26" s="182">
        <v>1323.1578947368412</v>
      </c>
      <c r="AB26" s="182">
        <v>77.83281733746125</v>
      </c>
      <c r="AC26" s="510">
        <f t="shared" si="6"/>
        <v>12</v>
      </c>
      <c r="AD26" s="690"/>
      <c r="AE26" s="182">
        <v>17</v>
      </c>
      <c r="AF26" s="182">
        <v>1335.348837209302</v>
      </c>
      <c r="AG26" s="182">
        <v>78.549931600547183</v>
      </c>
      <c r="AH26" s="510">
        <f t="shared" si="7"/>
        <v>11</v>
      </c>
      <c r="AI26" s="690"/>
      <c r="AJ26" s="182">
        <v>17</v>
      </c>
      <c r="AK26" s="182">
        <v>1301.7391304347825</v>
      </c>
      <c r="AL26" s="182">
        <v>76.572890025575447</v>
      </c>
      <c r="AM26" s="510">
        <f t="shared" si="8"/>
        <v>15</v>
      </c>
      <c r="AN26" s="690"/>
      <c r="AO26" s="182">
        <v>17</v>
      </c>
      <c r="AP26" s="182">
        <v>1322.3529411764712</v>
      </c>
      <c r="AQ26" s="182">
        <v>77.785467128027719</v>
      </c>
      <c r="AR26" s="510">
        <f t="shared" si="9"/>
        <v>11</v>
      </c>
      <c r="AS26" s="690"/>
      <c r="AT26" s="182">
        <v>17</v>
      </c>
      <c r="AU26" s="182">
        <v>1341.7021276595747</v>
      </c>
      <c r="AV26" s="182">
        <v>78.923654568210281</v>
      </c>
      <c r="AW26" s="510">
        <f t="shared" si="10"/>
        <v>13</v>
      </c>
      <c r="AX26" s="690"/>
      <c r="AZ26" s="361" t="e">
        <f>RANK(AX26, $K$7:AX$36)</f>
        <v>#VALUE!</v>
      </c>
      <c r="BB26" s="359" t="e">
        <f t="shared" si="0"/>
        <v>#N/A</v>
      </c>
    </row>
    <row r="27" spans="2:54">
      <c r="B27" s="676"/>
      <c r="C27" s="510">
        <v>21</v>
      </c>
      <c r="D27" s="227" t="s">
        <v>786</v>
      </c>
      <c r="E27" s="182">
        <v>18</v>
      </c>
      <c r="F27" s="569">
        <v>1500</v>
      </c>
      <c r="G27" s="570">
        <v>83.3</v>
      </c>
      <c r="H27" s="718"/>
      <c r="I27" s="547">
        <f t="shared" si="1"/>
        <v>18</v>
      </c>
      <c r="J27" s="547">
        <f t="shared" si="2"/>
        <v>1371.0511662674685</v>
      </c>
      <c r="K27" s="200">
        <f t="shared" si="3"/>
        <v>76.16950923708157</v>
      </c>
      <c r="L27" s="650"/>
      <c r="M27" s="517">
        <f>RANK(K27, K$7:$K$36)</f>
        <v>15</v>
      </c>
      <c r="N27" s="668"/>
      <c r="O27" s="668"/>
      <c r="P27" s="182">
        <v>18</v>
      </c>
      <c r="Q27" s="182">
        <v>1374.9295774647874</v>
      </c>
      <c r="R27" s="182">
        <v>76.384976525821514</v>
      </c>
      <c r="S27" s="510">
        <f t="shared" si="4"/>
        <v>18</v>
      </c>
      <c r="T27" s="690"/>
      <c r="U27" s="182">
        <v>18</v>
      </c>
      <c r="V27" s="182">
        <v>1372.2580645161304</v>
      </c>
      <c r="W27" s="182">
        <v>76.236559139785015</v>
      </c>
      <c r="X27" s="510">
        <f t="shared" si="5"/>
        <v>16</v>
      </c>
      <c r="Y27" s="690"/>
      <c r="Z27" s="182">
        <v>18</v>
      </c>
      <c r="AA27" s="182">
        <v>1380.0000000000007</v>
      </c>
      <c r="AB27" s="182">
        <v>76.6666666666667</v>
      </c>
      <c r="AC27" s="510">
        <f t="shared" si="6"/>
        <v>14</v>
      </c>
      <c r="AD27" s="690"/>
      <c r="AE27" s="182">
        <v>18</v>
      </c>
      <c r="AF27" s="182">
        <v>1351.0344827586218</v>
      </c>
      <c r="AG27" s="182">
        <v>75.057471264367877</v>
      </c>
      <c r="AH27" s="510">
        <f t="shared" si="7"/>
        <v>16</v>
      </c>
      <c r="AI27" s="690"/>
      <c r="AJ27" s="182">
        <v>18</v>
      </c>
      <c r="AK27" s="182">
        <v>1383.9344262295094</v>
      </c>
      <c r="AL27" s="182">
        <v>76.885245901639408</v>
      </c>
      <c r="AM27" s="510">
        <f t="shared" si="8"/>
        <v>13</v>
      </c>
      <c r="AN27" s="690"/>
      <c r="AO27" s="182">
        <v>18</v>
      </c>
      <c r="AP27" s="182">
        <v>1366.451612903227</v>
      </c>
      <c r="AQ27" s="182">
        <v>75.91397849462372</v>
      </c>
      <c r="AR27" s="510">
        <f t="shared" si="9"/>
        <v>13</v>
      </c>
      <c r="AS27" s="690"/>
      <c r="AT27" s="182">
        <v>18</v>
      </c>
      <c r="AU27" s="182">
        <v>1368.7500000000016</v>
      </c>
      <c r="AV27" s="182">
        <v>76.041666666666757</v>
      </c>
      <c r="AW27" s="510">
        <f t="shared" si="10"/>
        <v>14</v>
      </c>
      <c r="AX27" s="690"/>
      <c r="AZ27" s="361" t="e">
        <f>RANK(AX27, $K$7:AX$36)</f>
        <v>#VALUE!</v>
      </c>
      <c r="BB27" s="359" t="e">
        <f t="shared" si="0"/>
        <v>#N/A</v>
      </c>
    </row>
    <row r="28" spans="2:54">
      <c r="B28" s="676"/>
      <c r="C28" s="510">
        <v>22</v>
      </c>
      <c r="D28" s="227" t="s">
        <v>934</v>
      </c>
      <c r="E28" s="182">
        <v>17</v>
      </c>
      <c r="F28" s="569">
        <v>1500</v>
      </c>
      <c r="G28" s="570">
        <v>88.2</v>
      </c>
      <c r="H28" s="718"/>
      <c r="I28" s="547">
        <f t="shared" si="1"/>
        <v>17</v>
      </c>
      <c r="J28" s="547">
        <f t="shared" si="2"/>
        <v>1308.2955188557919</v>
      </c>
      <c r="K28" s="200">
        <f t="shared" si="3"/>
        <v>76.95855993269366</v>
      </c>
      <c r="L28" s="650"/>
      <c r="M28" s="517">
        <f>RANK(K28, K$7:$K$36)</f>
        <v>13</v>
      </c>
      <c r="N28" s="668"/>
      <c r="O28" s="668"/>
      <c r="P28" s="182">
        <v>17</v>
      </c>
      <c r="Q28" s="182">
        <v>1313.6842105263177</v>
      </c>
      <c r="R28" s="182">
        <v>77.275541795665745</v>
      </c>
      <c r="S28" s="510">
        <f t="shared" si="4"/>
        <v>13</v>
      </c>
      <c r="T28" s="690"/>
      <c r="U28" s="182">
        <v>17</v>
      </c>
      <c r="V28" s="182">
        <v>1316.3636363636379</v>
      </c>
      <c r="W28" s="182">
        <v>77.433155080213993</v>
      </c>
      <c r="X28" s="510">
        <f t="shared" si="5"/>
        <v>13</v>
      </c>
      <c r="Y28" s="690"/>
      <c r="Z28" s="182">
        <v>17</v>
      </c>
      <c r="AA28" s="182">
        <v>1294.8387096774204</v>
      </c>
      <c r="AB28" s="182">
        <v>76.1669829222012</v>
      </c>
      <c r="AC28" s="510">
        <f t="shared" si="6"/>
        <v>16</v>
      </c>
      <c r="AD28" s="690"/>
      <c r="AE28" s="182" t="s">
        <v>760</v>
      </c>
      <c r="AF28" s="182" t="s">
        <v>760</v>
      </c>
      <c r="AG28" s="182" t="s">
        <v>760</v>
      </c>
      <c r="AH28" s="510" t="e">
        <f t="shared" si="7"/>
        <v>#VALUE!</v>
      </c>
      <c r="AI28" s="690"/>
      <c r="AJ28" s="182" t="s">
        <v>760</v>
      </c>
      <c r="AK28" s="182" t="s">
        <v>760</v>
      </c>
      <c r="AL28" s="182" t="s">
        <v>760</v>
      </c>
      <c r="AM28" s="510" t="e">
        <f t="shared" si="8"/>
        <v>#VALUE!</v>
      </c>
      <c r="AN28" s="690"/>
      <c r="AO28" s="182" t="s">
        <v>760</v>
      </c>
      <c r="AP28" s="182" t="s">
        <v>760</v>
      </c>
      <c r="AQ28" s="182" t="s">
        <v>760</v>
      </c>
      <c r="AR28" s="510" t="e">
        <f t="shared" si="9"/>
        <v>#VALUE!</v>
      </c>
      <c r="AS28" s="690"/>
      <c r="AT28" s="182" t="s">
        <v>760</v>
      </c>
      <c r="AU28" s="182" t="s">
        <v>760</v>
      </c>
      <c r="AV28" s="182" t="s">
        <v>760</v>
      </c>
      <c r="AW28" s="510" t="e">
        <f t="shared" si="10"/>
        <v>#VALUE!</v>
      </c>
      <c r="AX28" s="690"/>
      <c r="AZ28" s="361" t="e">
        <f>RANK(AX28, $K$7:AX$36)</f>
        <v>#VALUE!</v>
      </c>
      <c r="BB28" s="359" t="e">
        <f t="shared" si="0"/>
        <v>#N/A</v>
      </c>
    </row>
    <row r="29" spans="2:54">
      <c r="B29" s="676"/>
      <c r="C29" s="510">
        <v>23</v>
      </c>
      <c r="D29" s="227" t="s">
        <v>789</v>
      </c>
      <c r="E29" s="182">
        <v>20</v>
      </c>
      <c r="F29" s="569">
        <v>1500</v>
      </c>
      <c r="G29" s="570">
        <v>75</v>
      </c>
      <c r="H29" s="718"/>
      <c r="I29" s="547">
        <f t="shared" si="1"/>
        <v>20</v>
      </c>
      <c r="J29" s="547">
        <f t="shared" si="2"/>
        <v>1181.322446498328</v>
      </c>
      <c r="K29" s="200">
        <f t="shared" si="3"/>
        <v>59.066122324916385</v>
      </c>
      <c r="L29" s="650"/>
      <c r="M29" s="517">
        <f>RANK(K29, K$7:$K$36)</f>
        <v>29</v>
      </c>
      <c r="N29" s="668"/>
      <c r="O29" s="668"/>
      <c r="P29" s="182">
        <v>20</v>
      </c>
      <c r="Q29" s="182">
        <v>1163.4782608695641</v>
      </c>
      <c r="R29" s="182">
        <v>58.173913043478208</v>
      </c>
      <c r="S29" s="510">
        <f t="shared" si="4"/>
        <v>30</v>
      </c>
      <c r="T29" s="690"/>
      <c r="U29" s="182">
        <v>20</v>
      </c>
      <c r="V29" s="182">
        <v>1168.5714285714298</v>
      </c>
      <c r="W29" s="182">
        <v>58.428571428571487</v>
      </c>
      <c r="X29" s="510">
        <f t="shared" si="5"/>
        <v>29</v>
      </c>
      <c r="Y29" s="690"/>
      <c r="Z29" s="182">
        <v>20</v>
      </c>
      <c r="AA29" s="182">
        <v>1164.2307692307697</v>
      </c>
      <c r="AB29" s="182">
        <v>58.211538461538488</v>
      </c>
      <c r="AC29" s="510">
        <f t="shared" si="6"/>
        <v>29</v>
      </c>
      <c r="AD29" s="690"/>
      <c r="AE29" s="182">
        <v>20</v>
      </c>
      <c r="AF29" s="182">
        <v>1179.6610169491535</v>
      </c>
      <c r="AG29" s="182">
        <v>58.983050847457676</v>
      </c>
      <c r="AH29" s="510">
        <f t="shared" si="7"/>
        <v>28</v>
      </c>
      <c r="AI29" s="690"/>
      <c r="AJ29" s="182">
        <v>20</v>
      </c>
      <c r="AK29" s="182">
        <v>1163.7931034482767</v>
      </c>
      <c r="AL29" s="182">
        <v>58.189655172413836</v>
      </c>
      <c r="AM29" s="510">
        <f t="shared" si="8"/>
        <v>28</v>
      </c>
      <c r="AN29" s="690"/>
      <c r="AO29" s="182">
        <v>20</v>
      </c>
      <c r="AP29" s="182">
        <v>1135.3846153846166</v>
      </c>
      <c r="AQ29" s="182">
        <v>56.76923076923083</v>
      </c>
      <c r="AR29" s="510">
        <f t="shared" si="9"/>
        <v>29</v>
      </c>
      <c r="AS29" s="690"/>
      <c r="AT29" s="182">
        <v>20</v>
      </c>
      <c r="AU29" s="182">
        <v>1294.1379310344837</v>
      </c>
      <c r="AV29" s="182">
        <v>64.706896551724185</v>
      </c>
      <c r="AW29" s="510">
        <f t="shared" si="10"/>
        <v>26</v>
      </c>
      <c r="AX29" s="690"/>
      <c r="AZ29" s="361" t="e">
        <f>RANK(AX29, $K$7:AX$36)</f>
        <v>#VALUE!</v>
      </c>
      <c r="BB29" s="359" t="e">
        <f t="shared" si="0"/>
        <v>#N/A</v>
      </c>
    </row>
    <row r="30" spans="2:54">
      <c r="B30" s="676"/>
      <c r="C30" s="510">
        <v>24</v>
      </c>
      <c r="D30" s="227" t="s">
        <v>935</v>
      </c>
      <c r="E30" s="182">
        <v>17</v>
      </c>
      <c r="F30" s="569">
        <v>1565</v>
      </c>
      <c r="G30" s="570">
        <v>92.1</v>
      </c>
      <c r="H30" s="718"/>
      <c r="I30" s="547">
        <f t="shared" si="1"/>
        <v>19.142857142857142</v>
      </c>
      <c r="J30" s="547">
        <f t="shared" si="2"/>
        <v>1376.8353291887909</v>
      </c>
      <c r="K30" s="200">
        <f t="shared" si="3"/>
        <v>72.302622362692787</v>
      </c>
      <c r="L30" s="650"/>
      <c r="M30" s="517">
        <f>RANK(K30, K$7:$K$36)</f>
        <v>21</v>
      </c>
      <c r="N30" s="668"/>
      <c r="O30" s="668"/>
      <c r="P30" s="510">
        <v>20</v>
      </c>
      <c r="Q30" s="511">
        <v>1383.0000000000014</v>
      </c>
      <c r="R30" s="511">
        <v>69.150000000000063</v>
      </c>
      <c r="S30" s="510">
        <f t="shared" si="4"/>
        <v>24</v>
      </c>
      <c r="T30" s="690"/>
      <c r="U30" s="510">
        <v>20</v>
      </c>
      <c r="V30" s="511">
        <v>1370.0000000000011</v>
      </c>
      <c r="W30" s="511">
        <v>68.500000000000057</v>
      </c>
      <c r="X30" s="510">
        <f t="shared" si="5"/>
        <v>24</v>
      </c>
      <c r="Y30" s="690"/>
      <c r="Z30" s="510">
        <v>20</v>
      </c>
      <c r="AA30" s="511">
        <v>1385.1063829787236</v>
      </c>
      <c r="AB30" s="511">
        <v>69.255319148936181</v>
      </c>
      <c r="AC30" s="510">
        <f t="shared" si="6"/>
        <v>24</v>
      </c>
      <c r="AD30" s="690"/>
      <c r="AE30" s="510">
        <v>20</v>
      </c>
      <c r="AF30" s="511">
        <v>1375.2000000000003</v>
      </c>
      <c r="AG30" s="511">
        <v>68.760000000000019</v>
      </c>
      <c r="AH30" s="510">
        <f t="shared" si="7"/>
        <v>23</v>
      </c>
      <c r="AI30" s="690"/>
      <c r="AJ30" s="510">
        <v>17</v>
      </c>
      <c r="AK30" s="511">
        <v>1374.3396226415102</v>
      </c>
      <c r="AL30" s="511">
        <v>80.843507214206483</v>
      </c>
      <c r="AM30" s="510">
        <f t="shared" si="8"/>
        <v>11</v>
      </c>
      <c r="AN30" s="690"/>
      <c r="AO30" s="182">
        <v>20</v>
      </c>
      <c r="AP30" s="182">
        <v>1378.9285714285725</v>
      </c>
      <c r="AQ30" s="182">
        <v>68.946428571428626</v>
      </c>
      <c r="AR30" s="510">
        <f t="shared" si="9"/>
        <v>23</v>
      </c>
      <c r="AS30" s="690"/>
      <c r="AT30" s="182">
        <v>17</v>
      </c>
      <c r="AU30" s="182">
        <v>1371.2727272727282</v>
      </c>
      <c r="AV30" s="182">
        <v>80.663101604278125</v>
      </c>
      <c r="AW30" s="510">
        <f t="shared" si="10"/>
        <v>12</v>
      </c>
      <c r="AX30" s="690"/>
      <c r="AZ30" s="361" t="e">
        <f>RANK(AX30, $K$7:AX$36)</f>
        <v>#VALUE!</v>
      </c>
      <c r="BB30" s="359" t="e">
        <f t="shared" si="0"/>
        <v>#N/A</v>
      </c>
    </row>
    <row r="31" spans="2:54">
      <c r="B31" s="676"/>
      <c r="C31" s="510">
        <v>25</v>
      </c>
      <c r="D31" s="227" t="s">
        <v>801</v>
      </c>
      <c r="E31" s="182">
        <v>19</v>
      </c>
      <c r="F31" s="569">
        <v>1385</v>
      </c>
      <c r="G31" s="570">
        <v>72.900000000000006</v>
      </c>
      <c r="H31" s="718"/>
      <c r="I31" s="547">
        <f t="shared" si="1"/>
        <v>19.714285714285715</v>
      </c>
      <c r="J31" s="547">
        <f t="shared" si="2"/>
        <v>1136.8515227948574</v>
      </c>
      <c r="K31" s="200">
        <f t="shared" si="3"/>
        <v>57.68947341539954</v>
      </c>
      <c r="L31" s="650"/>
      <c r="M31" s="517">
        <f>RANK(K31, K$7:$K$36)</f>
        <v>30</v>
      </c>
      <c r="N31" s="668"/>
      <c r="O31" s="668"/>
      <c r="P31" s="510">
        <v>19</v>
      </c>
      <c r="Q31" s="511">
        <v>1138.9285714285722</v>
      </c>
      <c r="R31" s="511">
        <v>59.943609022556437</v>
      </c>
      <c r="S31" s="510">
        <f t="shared" si="4"/>
        <v>29</v>
      </c>
      <c r="T31" s="690"/>
      <c r="U31" s="510">
        <v>20</v>
      </c>
      <c r="V31" s="511">
        <v>1134.33962264151</v>
      </c>
      <c r="W31" s="511">
        <v>56.716981132075503</v>
      </c>
      <c r="X31" s="510">
        <f t="shared" si="5"/>
        <v>30</v>
      </c>
      <c r="Y31" s="690"/>
      <c r="Z31" s="510">
        <v>20</v>
      </c>
      <c r="AA31" s="511">
        <v>1153.7500000000002</v>
      </c>
      <c r="AB31" s="511">
        <v>57.687500000000014</v>
      </c>
      <c r="AC31" s="510">
        <f t="shared" si="6"/>
        <v>30</v>
      </c>
      <c r="AD31" s="690"/>
      <c r="AE31" s="510">
        <v>20</v>
      </c>
      <c r="AF31" s="511">
        <v>1158.3673469387759</v>
      </c>
      <c r="AG31" s="511">
        <v>57.918367346938794</v>
      </c>
      <c r="AH31" s="510">
        <f t="shared" si="7"/>
        <v>29</v>
      </c>
      <c r="AI31" s="690"/>
      <c r="AJ31" s="510">
        <v>20</v>
      </c>
      <c r="AK31" s="511">
        <v>1147.0588235294122</v>
      </c>
      <c r="AL31" s="511">
        <v>57.352941176470608</v>
      </c>
      <c r="AM31" s="510">
        <f t="shared" si="8"/>
        <v>29</v>
      </c>
      <c r="AN31" s="690"/>
      <c r="AO31" s="182">
        <v>19</v>
      </c>
      <c r="AP31" s="182">
        <v>1113.8181818181827</v>
      </c>
      <c r="AQ31" s="182">
        <v>58.622009569378037</v>
      </c>
      <c r="AR31" s="510">
        <f t="shared" si="9"/>
        <v>28</v>
      </c>
      <c r="AS31" s="690"/>
      <c r="AT31" s="182">
        <v>20</v>
      </c>
      <c r="AU31" s="182">
        <v>1111.6981132075477</v>
      </c>
      <c r="AV31" s="182">
        <v>55.584905660377387</v>
      </c>
      <c r="AW31" s="510">
        <f t="shared" si="10"/>
        <v>29</v>
      </c>
      <c r="AX31" s="690"/>
      <c r="AZ31" s="361" t="e">
        <f>RANK(AX31, $K$7:AX$36)</f>
        <v>#VALUE!</v>
      </c>
      <c r="BB31" s="359" t="e">
        <f t="shared" si="0"/>
        <v>#N/A</v>
      </c>
    </row>
    <row r="32" spans="2:54">
      <c r="B32" s="676"/>
      <c r="C32" s="510">
        <v>26</v>
      </c>
      <c r="D32" s="227" t="s">
        <v>802</v>
      </c>
      <c r="E32" s="182">
        <v>18</v>
      </c>
      <c r="F32" s="569">
        <v>1440</v>
      </c>
      <c r="G32" s="570">
        <v>80</v>
      </c>
      <c r="H32" s="718"/>
      <c r="I32" s="547">
        <f t="shared" si="1"/>
        <v>18</v>
      </c>
      <c r="J32" s="547">
        <f t="shared" si="2"/>
        <v>1135.5700680272082</v>
      </c>
      <c r="K32" s="200">
        <f t="shared" si="3"/>
        <v>63.08722600151156</v>
      </c>
      <c r="L32" s="650"/>
      <c r="M32" s="517">
        <f>RANK(K32, K$7:$K$36)</f>
        <v>27</v>
      </c>
      <c r="N32" s="668"/>
      <c r="O32" s="668"/>
      <c r="P32" s="510">
        <v>18</v>
      </c>
      <c r="Q32" s="511">
        <v>1113.599999999997</v>
      </c>
      <c r="R32" s="511">
        <v>61.866666666666497</v>
      </c>
      <c r="S32" s="510">
        <f t="shared" si="4"/>
        <v>28</v>
      </c>
      <c r="T32" s="690"/>
      <c r="U32" s="510">
        <v>18</v>
      </c>
      <c r="V32" s="511">
        <v>1096.7999999999968</v>
      </c>
      <c r="W32" s="511">
        <v>60.933333333333152</v>
      </c>
      <c r="X32" s="510">
        <f t="shared" si="5"/>
        <v>28</v>
      </c>
      <c r="Y32" s="690"/>
      <c r="Z32" s="510">
        <v>18</v>
      </c>
      <c r="AA32" s="511">
        <v>1319.9999999999923</v>
      </c>
      <c r="AB32" s="511">
        <v>73.333333333332902</v>
      </c>
      <c r="AC32" s="510">
        <f t="shared" si="6"/>
        <v>18</v>
      </c>
      <c r="AD32" s="690"/>
      <c r="AE32" s="510">
        <v>18</v>
      </c>
      <c r="AF32" s="511">
        <v>1139.999999999997</v>
      </c>
      <c r="AG32" s="511">
        <v>63.333333333333172</v>
      </c>
      <c r="AH32" s="510">
        <f t="shared" si="7"/>
        <v>26</v>
      </c>
      <c r="AI32" s="690"/>
      <c r="AJ32" s="510">
        <v>18</v>
      </c>
      <c r="AK32" s="511">
        <v>1102.8571428571468</v>
      </c>
      <c r="AL32" s="511">
        <v>61.269841269841486</v>
      </c>
      <c r="AM32" s="510">
        <f t="shared" si="8"/>
        <v>27</v>
      </c>
      <c r="AN32" s="690"/>
      <c r="AO32" s="182">
        <v>18</v>
      </c>
      <c r="AP32" s="182">
        <v>1093.3333333333308</v>
      </c>
      <c r="AQ32" s="182">
        <v>60.740740740740598</v>
      </c>
      <c r="AR32" s="510">
        <f t="shared" si="9"/>
        <v>26</v>
      </c>
      <c r="AS32" s="690"/>
      <c r="AT32" s="182">
        <v>18</v>
      </c>
      <c r="AU32" s="182">
        <v>1082.3999999999969</v>
      </c>
      <c r="AV32" s="182">
        <v>60.133333333333162</v>
      </c>
      <c r="AW32" s="510">
        <f t="shared" si="10"/>
        <v>27</v>
      </c>
      <c r="AX32" s="690"/>
      <c r="AZ32" s="361" t="e">
        <f>RANK(AX32, $K$7:AX$36)</f>
        <v>#VALUE!</v>
      </c>
      <c r="BB32" s="359" t="e">
        <f t="shared" si="0"/>
        <v>#N/A</v>
      </c>
    </row>
    <row r="33" spans="2:54">
      <c r="B33" s="676"/>
      <c r="C33" s="510">
        <v>27</v>
      </c>
      <c r="D33" s="227" t="s">
        <v>936</v>
      </c>
      <c r="E33" s="182">
        <v>15</v>
      </c>
      <c r="F33" s="569">
        <v>1440</v>
      </c>
      <c r="G33" s="570">
        <v>96</v>
      </c>
      <c r="H33" s="718"/>
      <c r="I33" s="547">
        <f t="shared" si="1"/>
        <v>15</v>
      </c>
      <c r="J33" s="547">
        <f t="shared" si="2"/>
        <v>1338.4567701158737</v>
      </c>
      <c r="K33" s="200">
        <f t="shared" si="3"/>
        <v>89.230451341058242</v>
      </c>
      <c r="L33" s="650"/>
      <c r="M33" s="517">
        <f>RANK(K33, K$7:$K$36)</f>
        <v>3</v>
      </c>
      <c r="N33" s="668"/>
      <c r="O33" s="668"/>
      <c r="P33" s="510">
        <v>15</v>
      </c>
      <c r="Q33" s="511">
        <v>1341.8181818181818</v>
      </c>
      <c r="R33" s="511">
        <v>89.454545454545453</v>
      </c>
      <c r="S33" s="510">
        <f t="shared" si="4"/>
        <v>3</v>
      </c>
      <c r="T33" s="690"/>
      <c r="U33" s="510">
        <v>15</v>
      </c>
      <c r="V33" s="511">
        <v>1333.9534883720928</v>
      </c>
      <c r="W33" s="511">
        <v>88.930232558139522</v>
      </c>
      <c r="X33" s="510">
        <f t="shared" si="5"/>
        <v>3</v>
      </c>
      <c r="Y33" s="690"/>
      <c r="Z33" s="510">
        <v>15</v>
      </c>
      <c r="AA33" s="511">
        <v>1349.9999999999995</v>
      </c>
      <c r="AB33" s="511">
        <v>89.999999999999972</v>
      </c>
      <c r="AC33" s="510">
        <f t="shared" si="6"/>
        <v>3</v>
      </c>
      <c r="AD33" s="690"/>
      <c r="AE33" s="510">
        <v>15</v>
      </c>
      <c r="AF33" s="511">
        <v>1349.9999999999995</v>
      </c>
      <c r="AG33" s="511">
        <v>89.999999999999972</v>
      </c>
      <c r="AH33" s="510">
        <f t="shared" si="7"/>
        <v>3</v>
      </c>
      <c r="AI33" s="690"/>
      <c r="AJ33" s="510">
        <v>15</v>
      </c>
      <c r="AK33" s="511">
        <v>1314.1463414634143</v>
      </c>
      <c r="AL33" s="511">
        <v>87.609756097560947</v>
      </c>
      <c r="AM33" s="510">
        <f t="shared" si="8"/>
        <v>3</v>
      </c>
      <c r="AN33" s="690"/>
      <c r="AO33" s="182">
        <v>15</v>
      </c>
      <c r="AP33" s="182">
        <v>1343.1818181818182</v>
      </c>
      <c r="AQ33" s="182">
        <v>89.545454545454547</v>
      </c>
      <c r="AR33" s="510">
        <f t="shared" si="9"/>
        <v>3</v>
      </c>
      <c r="AS33" s="690"/>
      <c r="AT33" s="182">
        <v>15</v>
      </c>
      <c r="AU33" s="182">
        <v>1336.0975609756094</v>
      </c>
      <c r="AV33" s="182">
        <v>89.073170731707293</v>
      </c>
      <c r="AW33" s="510">
        <f t="shared" si="10"/>
        <v>4</v>
      </c>
      <c r="AX33" s="690"/>
      <c r="AZ33" s="361" t="e">
        <f>RANK(AX33, $K$7:AX$36)</f>
        <v>#VALUE!</v>
      </c>
      <c r="BB33" s="359" t="e">
        <f t="shared" si="0"/>
        <v>#N/A</v>
      </c>
    </row>
    <row r="34" spans="2:54">
      <c r="B34" s="676"/>
      <c r="C34" s="510">
        <v>28</v>
      </c>
      <c r="D34" s="227" t="s">
        <v>872</v>
      </c>
      <c r="E34" s="182">
        <v>21</v>
      </c>
      <c r="F34" s="569">
        <v>1500</v>
      </c>
      <c r="G34" s="570">
        <v>71.400000000000006</v>
      </c>
      <c r="H34" s="718"/>
      <c r="I34" s="547">
        <f t="shared" si="1"/>
        <v>21</v>
      </c>
      <c r="J34" s="547">
        <f t="shared" si="2"/>
        <v>1301.4458945272288</v>
      </c>
      <c r="K34" s="200">
        <f t="shared" si="3"/>
        <v>61.97361402510613</v>
      </c>
      <c r="L34" s="650"/>
      <c r="M34" s="517">
        <f>RANK(K34, K$7:$K$36)</f>
        <v>28</v>
      </c>
      <c r="N34" s="668"/>
      <c r="O34" s="668"/>
      <c r="P34" s="510">
        <v>21</v>
      </c>
      <c r="Q34" s="511">
        <v>1327.9245283018877</v>
      </c>
      <c r="R34" s="511">
        <v>63.234501347708935</v>
      </c>
      <c r="S34" s="510">
        <f t="shared" si="4"/>
        <v>27</v>
      </c>
      <c r="T34" s="690"/>
      <c r="U34" s="510">
        <v>21</v>
      </c>
      <c r="V34" s="511">
        <v>1317.4468085106384</v>
      </c>
      <c r="W34" s="511">
        <v>62.735562310030403</v>
      </c>
      <c r="X34" s="510">
        <f t="shared" si="5"/>
        <v>27</v>
      </c>
      <c r="Y34" s="690"/>
      <c r="Z34" s="510">
        <v>21</v>
      </c>
      <c r="AA34" s="511">
        <v>1313.4782608695652</v>
      </c>
      <c r="AB34" s="511">
        <v>62.546583850931675</v>
      </c>
      <c r="AC34" s="510">
        <f t="shared" si="6"/>
        <v>28</v>
      </c>
      <c r="AD34" s="690"/>
      <c r="AE34" s="510">
        <v>21</v>
      </c>
      <c r="AF34" s="511">
        <v>1314.0000000000005</v>
      </c>
      <c r="AG34" s="511">
        <v>62.571428571428591</v>
      </c>
      <c r="AH34" s="510">
        <f t="shared" si="7"/>
        <v>27</v>
      </c>
      <c r="AI34" s="690"/>
      <c r="AJ34" s="510">
        <v>21</v>
      </c>
      <c r="AK34" s="511">
        <v>1308.8888888888896</v>
      </c>
      <c r="AL34" s="511">
        <v>62.328042328042365</v>
      </c>
      <c r="AM34" s="510">
        <f t="shared" si="8"/>
        <v>26</v>
      </c>
      <c r="AN34" s="690"/>
      <c r="AO34" s="182">
        <v>21</v>
      </c>
      <c r="AP34" s="182">
        <v>1269.4736842105272</v>
      </c>
      <c r="AQ34" s="182">
        <v>60.451127819548915</v>
      </c>
      <c r="AR34" s="510">
        <f t="shared" si="9"/>
        <v>27</v>
      </c>
      <c r="AS34" s="690"/>
      <c r="AT34" s="182">
        <v>21</v>
      </c>
      <c r="AU34" s="182">
        <v>1258.9090909090917</v>
      </c>
      <c r="AV34" s="182">
        <v>59.948051948051983</v>
      </c>
      <c r="AW34" s="510">
        <f t="shared" si="10"/>
        <v>28</v>
      </c>
      <c r="AX34" s="690"/>
      <c r="AZ34" s="361" t="e">
        <f>RANK(AX34, $K$7:AX$36)</f>
        <v>#VALUE!</v>
      </c>
      <c r="BB34" s="359" t="e">
        <f t="shared" si="0"/>
        <v>#N/A</v>
      </c>
    </row>
    <row r="35" spans="2:54">
      <c r="B35" s="676"/>
      <c r="C35" s="510">
        <v>29</v>
      </c>
      <c r="D35" s="227" t="s">
        <v>937</v>
      </c>
      <c r="E35" s="182">
        <v>19</v>
      </c>
      <c r="F35" s="569">
        <v>1500</v>
      </c>
      <c r="G35" s="570">
        <v>78.900000000000006</v>
      </c>
      <c r="H35" s="718"/>
      <c r="I35" s="547">
        <f t="shared" si="1"/>
        <v>19</v>
      </c>
      <c r="J35" s="547">
        <f t="shared" si="2"/>
        <v>1249.4578968074093</v>
      </c>
      <c r="K35" s="200">
        <f t="shared" si="3"/>
        <v>65.760941937232076</v>
      </c>
      <c r="L35" s="650"/>
      <c r="M35" s="517">
        <f>RANK(K35, K$7:$K$36)</f>
        <v>26</v>
      </c>
      <c r="N35" s="668"/>
      <c r="O35" s="668"/>
      <c r="P35" s="510">
        <v>19</v>
      </c>
      <c r="Q35" s="510">
        <v>1240.5194805194808</v>
      </c>
      <c r="R35" s="510">
        <v>65.290498974709521</v>
      </c>
      <c r="S35" s="510">
        <f t="shared" si="4"/>
        <v>26</v>
      </c>
      <c r="T35" s="690"/>
      <c r="U35" s="510">
        <v>19</v>
      </c>
      <c r="V35" s="510">
        <v>1258.695652173913</v>
      </c>
      <c r="W35" s="510">
        <v>66.24713958810068</v>
      </c>
      <c r="X35" s="510">
        <f t="shared" si="5"/>
        <v>25</v>
      </c>
      <c r="Y35" s="690"/>
      <c r="Z35" s="510">
        <v>19</v>
      </c>
      <c r="AA35" s="510">
        <v>1255.1111111111111</v>
      </c>
      <c r="AB35" s="510">
        <v>66.058479532163744</v>
      </c>
      <c r="AC35" s="510">
        <f t="shared" si="6"/>
        <v>26</v>
      </c>
      <c r="AD35" s="690"/>
      <c r="AE35" s="510">
        <v>19</v>
      </c>
      <c r="AF35" s="510">
        <v>1260.6272727272717</v>
      </c>
      <c r="AG35" s="510">
        <v>66.348803827751141</v>
      </c>
      <c r="AH35" s="510">
        <f t="shared" si="7"/>
        <v>25</v>
      </c>
      <c r="AI35" s="690"/>
      <c r="AJ35" s="510">
        <v>19</v>
      </c>
      <c r="AK35" s="510">
        <v>1245.4017857142849</v>
      </c>
      <c r="AL35" s="510">
        <v>65.547462406014986</v>
      </c>
      <c r="AM35" s="510">
        <f t="shared" si="8"/>
        <v>25</v>
      </c>
      <c r="AN35" s="690"/>
      <c r="AO35" s="182">
        <v>19</v>
      </c>
      <c r="AP35" s="182">
        <v>1244.5789473684201</v>
      </c>
      <c r="AQ35" s="182">
        <v>65.504155124653693</v>
      </c>
      <c r="AR35" s="510">
        <f t="shared" si="9"/>
        <v>25</v>
      </c>
      <c r="AS35" s="690"/>
      <c r="AT35" s="182">
        <v>19</v>
      </c>
      <c r="AU35" s="182">
        <v>1241.271028037384</v>
      </c>
      <c r="AV35" s="182">
        <v>65.330054107230737</v>
      </c>
      <c r="AW35" s="510">
        <f t="shared" si="10"/>
        <v>25</v>
      </c>
      <c r="AX35" s="690"/>
      <c r="AZ35" s="361" t="e">
        <f>RANK(AX35, $K$7:AX$36)</f>
        <v>#VALUE!</v>
      </c>
      <c r="BB35" s="359" t="e">
        <f t="shared" si="0"/>
        <v>#N/A</v>
      </c>
    </row>
    <row r="36" spans="2:54">
      <c r="B36" s="676"/>
      <c r="C36" s="510">
        <v>30</v>
      </c>
      <c r="D36" s="227" t="s">
        <v>938</v>
      </c>
      <c r="E36" s="182">
        <v>18</v>
      </c>
      <c r="F36" s="569">
        <v>1636</v>
      </c>
      <c r="G36" s="570">
        <v>90.9</v>
      </c>
      <c r="H36" s="719"/>
      <c r="I36" s="547">
        <f t="shared" si="1"/>
        <v>18</v>
      </c>
      <c r="J36" s="547">
        <f t="shared" si="2"/>
        <v>1372.4334913516338</v>
      </c>
      <c r="K36" s="200">
        <f t="shared" si="3"/>
        <v>76.24630507509076</v>
      </c>
      <c r="L36" s="651"/>
      <c r="M36" s="517">
        <f>RANK(K36, K$7:$K$36)</f>
        <v>14</v>
      </c>
      <c r="N36" s="668"/>
      <c r="O36" s="668"/>
      <c r="P36" s="510">
        <v>18</v>
      </c>
      <c r="Q36" s="510">
        <v>1387.3745454545456</v>
      </c>
      <c r="R36" s="510">
        <v>77.076363636363638</v>
      </c>
      <c r="S36" s="510">
        <f t="shared" si="4"/>
        <v>14</v>
      </c>
      <c r="T36" s="690"/>
      <c r="U36" s="510">
        <v>18</v>
      </c>
      <c r="V36" s="510">
        <v>1387.1630769230769</v>
      </c>
      <c r="W36" s="510">
        <v>77.064615384615379</v>
      </c>
      <c r="X36" s="510">
        <f t="shared" si="5"/>
        <v>14</v>
      </c>
      <c r="Y36" s="690"/>
      <c r="Z36" s="510">
        <v>18</v>
      </c>
      <c r="AA36" s="510">
        <v>1376.4610169491521</v>
      </c>
      <c r="AB36" s="510">
        <v>76.470056497175108</v>
      </c>
      <c r="AC36" s="510">
        <f t="shared" si="6"/>
        <v>15</v>
      </c>
      <c r="AD36" s="690"/>
      <c r="AE36" s="510">
        <v>18</v>
      </c>
      <c r="AF36" s="510">
        <v>1373.2835820895523</v>
      </c>
      <c r="AG36" s="510">
        <v>76.293532338308466</v>
      </c>
      <c r="AH36" s="510">
        <f t="shared" si="7"/>
        <v>13</v>
      </c>
      <c r="AI36" s="690"/>
      <c r="AJ36" s="510">
        <v>18</v>
      </c>
      <c r="AK36" s="510">
        <v>1382.0400000000004</v>
      </c>
      <c r="AL36" s="510">
        <v>76.78000000000003</v>
      </c>
      <c r="AM36" s="510">
        <f t="shared" si="8"/>
        <v>14</v>
      </c>
      <c r="AN36" s="690"/>
      <c r="AO36" s="182">
        <v>18</v>
      </c>
      <c r="AP36" s="182">
        <v>1375.6872180451119</v>
      </c>
      <c r="AQ36" s="182">
        <v>76.427067669172885</v>
      </c>
      <c r="AR36" s="510">
        <f t="shared" si="9"/>
        <v>12</v>
      </c>
      <c r="AS36" s="690"/>
      <c r="AT36" s="182">
        <v>18</v>
      </c>
      <c r="AU36" s="182">
        <v>1325.0249999999983</v>
      </c>
      <c r="AV36" s="182">
        <v>73.612499999999898</v>
      </c>
      <c r="AW36" s="510">
        <f t="shared" si="10"/>
        <v>17</v>
      </c>
      <c r="AX36" s="690"/>
      <c r="AZ36" s="449" t="e">
        <f>RANK(AX36, $K$7:AX$36)</f>
        <v>#VALUE!</v>
      </c>
      <c r="BB36" s="359" t="e">
        <f t="shared" si="0"/>
        <v>#N/A</v>
      </c>
    </row>
    <row r="37" spans="2:54" ht="15.75">
      <c r="B37" s="694" t="s">
        <v>163</v>
      </c>
      <c r="C37" s="695"/>
      <c r="D37" s="695"/>
      <c r="E37" s="695"/>
      <c r="F37" s="695"/>
      <c r="G37" s="695"/>
      <c r="H37" s="695"/>
      <c r="I37" s="203"/>
      <c r="J37" s="203"/>
      <c r="K37" s="203"/>
      <c r="L37" s="203"/>
      <c r="M37" s="204"/>
      <c r="N37" s="669" t="s">
        <v>156</v>
      </c>
      <c r="O37" s="669" t="s">
        <v>105</v>
      </c>
      <c r="P37" s="675">
        <f>AT2+1</f>
        <v>46091</v>
      </c>
      <c r="Q37" s="676"/>
      <c r="R37" s="676"/>
      <c r="S37" s="676"/>
      <c r="T37" s="676"/>
      <c r="U37" s="675">
        <f>P37+1</f>
        <v>46092</v>
      </c>
      <c r="V37" s="676"/>
      <c r="W37" s="676"/>
      <c r="X37" s="676"/>
      <c r="Y37" s="676"/>
      <c r="Z37" s="675">
        <f>U37+1</f>
        <v>46093</v>
      </c>
      <c r="AA37" s="676"/>
      <c r="AB37" s="676"/>
      <c r="AC37" s="676"/>
      <c r="AD37" s="676"/>
      <c r="AE37" s="675">
        <f>Z37+1</f>
        <v>46094</v>
      </c>
      <c r="AF37" s="676"/>
      <c r="AG37" s="676"/>
      <c r="AH37" s="676"/>
      <c r="AI37" s="676"/>
      <c r="AJ37" s="675">
        <f>AE37+1</f>
        <v>46095</v>
      </c>
      <c r="AK37" s="676"/>
      <c r="AL37" s="676"/>
      <c r="AM37" s="676"/>
      <c r="AN37" s="676"/>
      <c r="AO37" s="675">
        <f>AJ37+1</f>
        <v>46096</v>
      </c>
      <c r="AP37" s="676"/>
      <c r="AQ37" s="676"/>
      <c r="AR37" s="676"/>
      <c r="AS37" s="676"/>
      <c r="AT37" s="675">
        <f>AO37+1</f>
        <v>46097</v>
      </c>
      <c r="AU37" s="676"/>
      <c r="AV37" s="676"/>
      <c r="AW37" s="676"/>
      <c r="AX37" s="676"/>
    </row>
    <row r="38" spans="2:54" ht="15.75">
      <c r="B38" s="683"/>
      <c r="C38" s="683"/>
      <c r="D38" s="683"/>
      <c r="E38" s="683"/>
      <c r="F38" s="683"/>
      <c r="G38" s="683"/>
      <c r="H38" s="683"/>
      <c r="I38" s="205"/>
      <c r="J38" s="205"/>
      <c r="K38" s="205"/>
      <c r="L38" s="205"/>
      <c r="M38" s="206"/>
      <c r="N38" s="671"/>
      <c r="O38" s="671"/>
      <c r="P38" s="675" t="s">
        <v>336</v>
      </c>
      <c r="Q38" s="676"/>
      <c r="R38" s="676"/>
      <c r="S38" s="676"/>
      <c r="T38" s="676"/>
      <c r="U38" s="675" t="s">
        <v>337</v>
      </c>
      <c r="V38" s="676"/>
      <c r="W38" s="676"/>
      <c r="X38" s="676"/>
      <c r="Y38" s="676"/>
      <c r="Z38" s="675" t="s">
        <v>338</v>
      </c>
      <c r="AA38" s="676"/>
      <c r="AB38" s="676"/>
      <c r="AC38" s="676"/>
      <c r="AD38" s="676"/>
      <c r="AE38" s="675" t="s">
        <v>339</v>
      </c>
      <c r="AF38" s="676"/>
      <c r="AG38" s="676"/>
      <c r="AH38" s="676"/>
      <c r="AI38" s="676"/>
      <c r="AJ38" s="675" t="s">
        <v>340</v>
      </c>
      <c r="AK38" s="676"/>
      <c r="AL38" s="676"/>
      <c r="AM38" s="676"/>
      <c r="AN38" s="676"/>
      <c r="AO38" s="675" t="s">
        <v>341</v>
      </c>
      <c r="AP38" s="676"/>
      <c r="AQ38" s="676"/>
      <c r="AR38" s="676"/>
      <c r="AS38" s="676"/>
      <c r="AT38" s="675" t="s">
        <v>342</v>
      </c>
      <c r="AU38" s="676"/>
      <c r="AV38" s="676"/>
      <c r="AW38" s="676"/>
      <c r="AX38" s="676"/>
    </row>
    <row r="39" spans="2:54">
      <c r="B39" s="668" t="s">
        <v>477</v>
      </c>
      <c r="C39" s="668" t="s">
        <v>478</v>
      </c>
      <c r="D39" s="668"/>
      <c r="E39" s="668" t="s">
        <v>479</v>
      </c>
      <c r="F39" s="668"/>
      <c r="G39" s="668"/>
      <c r="H39" s="684" t="s">
        <v>480</v>
      </c>
      <c r="I39" s="652" t="s">
        <v>481</v>
      </c>
      <c r="J39" s="652"/>
      <c r="K39" s="652"/>
      <c r="L39" s="653" t="s">
        <v>480</v>
      </c>
      <c r="M39" s="659" t="s">
        <v>482</v>
      </c>
      <c r="N39" s="668"/>
      <c r="O39" s="668" t="s">
        <v>483</v>
      </c>
      <c r="P39" s="665" t="s">
        <v>484</v>
      </c>
      <c r="Q39" s="666"/>
      <c r="R39" s="666"/>
      <c r="S39" s="667"/>
      <c r="T39" s="668" t="s">
        <v>480</v>
      </c>
      <c r="U39" s="665" t="s">
        <v>484</v>
      </c>
      <c r="V39" s="666"/>
      <c r="W39" s="666"/>
      <c r="X39" s="667"/>
      <c r="Y39" s="668" t="s">
        <v>480</v>
      </c>
      <c r="Z39" s="665" t="s">
        <v>484</v>
      </c>
      <c r="AA39" s="666"/>
      <c r="AB39" s="666"/>
      <c r="AC39" s="667"/>
      <c r="AD39" s="668" t="s">
        <v>480</v>
      </c>
      <c r="AE39" s="665" t="s">
        <v>484</v>
      </c>
      <c r="AF39" s="666"/>
      <c r="AG39" s="666"/>
      <c r="AH39" s="667"/>
      <c r="AI39" s="668" t="s">
        <v>480</v>
      </c>
      <c r="AJ39" s="665" t="s">
        <v>484</v>
      </c>
      <c r="AK39" s="666"/>
      <c r="AL39" s="666"/>
      <c r="AM39" s="667"/>
      <c r="AN39" s="668" t="s">
        <v>480</v>
      </c>
      <c r="AO39" s="665" t="s">
        <v>484</v>
      </c>
      <c r="AP39" s="666"/>
      <c r="AQ39" s="666"/>
      <c r="AR39" s="667"/>
      <c r="AS39" s="668" t="s">
        <v>480</v>
      </c>
      <c r="AT39" s="665" t="s">
        <v>484</v>
      </c>
      <c r="AU39" s="666"/>
      <c r="AV39" s="666"/>
      <c r="AW39" s="667"/>
      <c r="AX39" s="668" t="s">
        <v>480</v>
      </c>
    </row>
    <row r="40" spans="2:54">
      <c r="B40" s="668"/>
      <c r="C40" s="668"/>
      <c r="D40" s="668"/>
      <c r="E40" s="668" t="s">
        <v>485</v>
      </c>
      <c r="F40" s="668"/>
      <c r="G40" s="668"/>
      <c r="H40" s="685"/>
      <c r="I40" s="652" t="s">
        <v>485</v>
      </c>
      <c r="J40" s="652"/>
      <c r="K40" s="652"/>
      <c r="L40" s="654"/>
      <c r="M40" s="660"/>
      <c r="N40" s="668"/>
      <c r="O40" s="668"/>
      <c r="P40" s="665" t="s">
        <v>486</v>
      </c>
      <c r="Q40" s="666"/>
      <c r="R40" s="666"/>
      <c r="S40" s="667"/>
      <c r="T40" s="668"/>
      <c r="U40" s="665" t="s">
        <v>486</v>
      </c>
      <c r="V40" s="666"/>
      <c r="W40" s="666"/>
      <c r="X40" s="667"/>
      <c r="Y40" s="668"/>
      <c r="Z40" s="665" t="s">
        <v>486</v>
      </c>
      <c r="AA40" s="666"/>
      <c r="AB40" s="666"/>
      <c r="AC40" s="667"/>
      <c r="AD40" s="668"/>
      <c r="AE40" s="665" t="s">
        <v>486</v>
      </c>
      <c r="AF40" s="666"/>
      <c r="AG40" s="666"/>
      <c r="AH40" s="667"/>
      <c r="AI40" s="668"/>
      <c r="AJ40" s="665" t="s">
        <v>486</v>
      </c>
      <c r="AK40" s="666"/>
      <c r="AL40" s="666"/>
      <c r="AM40" s="667"/>
      <c r="AN40" s="668"/>
      <c r="AO40" s="665" t="s">
        <v>486</v>
      </c>
      <c r="AP40" s="666"/>
      <c r="AQ40" s="666"/>
      <c r="AR40" s="667"/>
      <c r="AS40" s="668"/>
      <c r="AT40" s="665" t="s">
        <v>486</v>
      </c>
      <c r="AU40" s="666"/>
      <c r="AV40" s="666"/>
      <c r="AW40" s="667"/>
      <c r="AX40" s="668"/>
    </row>
    <row r="41" spans="2:54">
      <c r="B41" s="668"/>
      <c r="C41" s="668"/>
      <c r="D41" s="668"/>
      <c r="E41" s="308" t="s">
        <v>487</v>
      </c>
      <c r="F41" s="308" t="s">
        <v>488</v>
      </c>
      <c r="G41" s="308" t="s">
        <v>489</v>
      </c>
      <c r="H41" s="686"/>
      <c r="I41" s="307" t="s">
        <v>487</v>
      </c>
      <c r="J41" s="307" t="s">
        <v>488</v>
      </c>
      <c r="K41" s="307" t="s">
        <v>489</v>
      </c>
      <c r="L41" s="655"/>
      <c r="M41" s="661"/>
      <c r="N41" s="668"/>
      <c r="O41" s="668"/>
      <c r="P41" s="308" t="s">
        <v>487</v>
      </c>
      <c r="Q41" s="308" t="s">
        <v>488</v>
      </c>
      <c r="R41" s="308" t="s">
        <v>489</v>
      </c>
      <c r="S41" s="308" t="s">
        <v>482</v>
      </c>
      <c r="T41" s="668"/>
      <c r="U41" s="308" t="s">
        <v>487</v>
      </c>
      <c r="V41" s="308" t="s">
        <v>488</v>
      </c>
      <c r="W41" s="308" t="s">
        <v>489</v>
      </c>
      <c r="X41" s="308" t="s">
        <v>482</v>
      </c>
      <c r="Y41" s="668"/>
      <c r="Z41" s="308" t="s">
        <v>487</v>
      </c>
      <c r="AA41" s="308" t="s">
        <v>488</v>
      </c>
      <c r="AB41" s="308" t="s">
        <v>489</v>
      </c>
      <c r="AC41" s="308" t="s">
        <v>482</v>
      </c>
      <c r="AD41" s="668"/>
      <c r="AE41" s="308" t="s">
        <v>487</v>
      </c>
      <c r="AF41" s="308" t="s">
        <v>488</v>
      </c>
      <c r="AG41" s="308" t="s">
        <v>489</v>
      </c>
      <c r="AH41" s="308" t="s">
        <v>482</v>
      </c>
      <c r="AI41" s="668"/>
      <c r="AJ41" s="308" t="s">
        <v>487</v>
      </c>
      <c r="AK41" s="308" t="s">
        <v>488</v>
      </c>
      <c r="AL41" s="308" t="s">
        <v>489</v>
      </c>
      <c r="AM41" s="308" t="s">
        <v>482</v>
      </c>
      <c r="AN41" s="668"/>
      <c r="AO41" s="308" t="s">
        <v>487</v>
      </c>
      <c r="AP41" s="308" t="s">
        <v>488</v>
      </c>
      <c r="AQ41" s="308" t="s">
        <v>489</v>
      </c>
      <c r="AR41" s="308" t="s">
        <v>482</v>
      </c>
      <c r="AS41" s="668"/>
      <c r="AT41" s="308" t="s">
        <v>487</v>
      </c>
      <c r="AU41" s="308" t="s">
        <v>488</v>
      </c>
      <c r="AV41" s="308" t="s">
        <v>489</v>
      </c>
      <c r="AW41" s="308" t="s">
        <v>482</v>
      </c>
      <c r="AX41" s="668"/>
    </row>
    <row r="42" spans="2:54">
      <c r="B42" s="668" t="s">
        <v>490</v>
      </c>
      <c r="C42" s="309">
        <v>1</v>
      </c>
      <c r="D42" s="227" t="s">
        <v>367</v>
      </c>
      <c r="E42" s="182">
        <v>6</v>
      </c>
      <c r="F42" s="569">
        <v>1500</v>
      </c>
      <c r="G42" s="570">
        <v>250</v>
      </c>
      <c r="H42" s="717">
        <f>AVERAGE(G42:G71)</f>
        <v>96.213793103448296</v>
      </c>
      <c r="I42" s="199">
        <f>AVERAGE(P42,U42,Z42,AE42,AJ42,AO42,AT42)</f>
        <v>7</v>
      </c>
      <c r="J42" s="199">
        <f>AVERAGE(Q42,V42,AA42,AF42,AK42,AP42,AU42)</f>
        <v>1460.2280081724223</v>
      </c>
      <c r="K42" s="200">
        <f>AVERAGE(R42,W42,AB42,AG42,AL42,AQ42,AV42)</f>
        <v>208.60400116748886</v>
      </c>
      <c r="L42" s="649">
        <f>IFERROR(AVERAGE(K42:K71),"-")</f>
        <v>83.171048588814884</v>
      </c>
      <c r="M42" s="201">
        <f>RANK(K42, K$42:$K$71)</f>
        <v>1</v>
      </c>
      <c r="N42" s="668"/>
      <c r="O42" s="668"/>
      <c r="P42" s="182">
        <v>7</v>
      </c>
      <c r="Q42" s="182">
        <v>1444.5913043478251</v>
      </c>
      <c r="R42" s="182">
        <v>206.37018633540359</v>
      </c>
      <c r="S42" s="309">
        <f t="shared" ref="S42:S71" si="11">RANK(R42, R$42:R$71)</f>
        <v>2</v>
      </c>
      <c r="T42" s="690">
        <f>AVERAGE(R42:R71)</f>
        <v>83.698699539325091</v>
      </c>
      <c r="U42" s="182">
        <v>7</v>
      </c>
      <c r="V42" s="182">
        <v>1469.7857142857133</v>
      </c>
      <c r="W42" s="182">
        <v>209.96938775510191</v>
      </c>
      <c r="X42" s="309">
        <f t="shared" ref="X42:X71" si="12">RANK(W42, W$42:W$71)</f>
        <v>1</v>
      </c>
      <c r="Y42" s="690">
        <f>AVERAGE(W42:W71)</f>
        <v>83.172694901012022</v>
      </c>
      <c r="Z42" s="182">
        <v>7</v>
      </c>
      <c r="AA42" s="182">
        <v>1470.8571428571433</v>
      </c>
      <c r="AB42" s="182">
        <v>210.12244897959189</v>
      </c>
      <c r="AC42" s="309">
        <f t="shared" ref="AC42:AC71" si="13">RANK(AB42, AB$42:AB$71)</f>
        <v>2</v>
      </c>
      <c r="AD42" s="690">
        <f>AVERAGE(AB42:AB71)</f>
        <v>83.203850411954775</v>
      </c>
      <c r="AE42" s="182">
        <v>7</v>
      </c>
      <c r="AF42" s="182">
        <v>1451.3394495412845</v>
      </c>
      <c r="AG42" s="182">
        <v>207.33420707732634</v>
      </c>
      <c r="AH42" s="309">
        <f t="shared" ref="AH42:AH71" si="14">RANK(AG42, AG$42:AG$71)</f>
        <v>1</v>
      </c>
      <c r="AI42" s="690">
        <f>AVERAGE(AG42:AG71)</f>
        <v>83.14508654612716</v>
      </c>
      <c r="AJ42" s="182">
        <v>7</v>
      </c>
      <c r="AK42" s="182">
        <v>1454.3783783783786</v>
      </c>
      <c r="AL42" s="182">
        <v>207.76833976833979</v>
      </c>
      <c r="AM42" s="309">
        <f t="shared" ref="AM42:AM71" si="15">RANK(AL42, AL$42:AL$71)</f>
        <v>1</v>
      </c>
      <c r="AN42" s="690">
        <f>AVERAGE(AL42:AL71)</f>
        <v>82.795727875235059</v>
      </c>
      <c r="AO42" s="182">
        <v>7</v>
      </c>
      <c r="AP42" s="182">
        <v>1457.9999999999995</v>
      </c>
      <c r="AQ42" s="182">
        <v>208.28571428571422</v>
      </c>
      <c r="AR42" s="309">
        <f t="shared" ref="AR42:AR71" si="16">RANK(AQ42, AQ$42:AQ$71)</f>
        <v>1</v>
      </c>
      <c r="AS42" s="690">
        <f>AVERAGE(AQ42:AQ71)</f>
        <v>83.569381609189108</v>
      </c>
      <c r="AT42" s="182">
        <v>7</v>
      </c>
      <c r="AU42" s="182">
        <v>1472.6440677966104</v>
      </c>
      <c r="AV42" s="182">
        <v>210.37772397094434</v>
      </c>
      <c r="AW42" s="309">
        <f t="shared" ref="AW42:AW71" si="17">RANK(AV42, AV$42:AV$71)</f>
        <v>1</v>
      </c>
      <c r="AX42" s="690">
        <f>AVERAGE(AV42:AV71)</f>
        <v>83.308507994747544</v>
      </c>
    </row>
    <row r="43" spans="2:54">
      <c r="B43" s="676"/>
      <c r="C43" s="309">
        <v>2</v>
      </c>
      <c r="D43" s="227" t="s">
        <v>382</v>
      </c>
      <c r="E43" s="182">
        <v>7</v>
      </c>
      <c r="F43" s="569">
        <v>1636</v>
      </c>
      <c r="G43" s="570">
        <v>233.8</v>
      </c>
      <c r="H43" s="718"/>
      <c r="I43" s="199">
        <f t="shared" ref="I43:I65" si="18">AVERAGE(P43,U43,Z43,AE43,AJ43,AO43,AT43)</f>
        <v>7</v>
      </c>
      <c r="J43" s="199">
        <f t="shared" ref="J43:J65" si="19">AVERAGE(Q43,V43,AA43,AF43,AK43,AP43,AU43)</f>
        <v>1456.3372700773728</v>
      </c>
      <c r="K43" s="200">
        <f t="shared" ref="K43:K65" si="20">AVERAGE(R43,W43,AB43,AG43,AL43,AQ43,AV43)</f>
        <v>208.04818143962467</v>
      </c>
      <c r="L43" s="650"/>
      <c r="M43" s="201">
        <f>RANK(K43, K$42:$K$71)</f>
        <v>2</v>
      </c>
      <c r="N43" s="668"/>
      <c r="O43" s="668"/>
      <c r="P43" s="182">
        <v>7</v>
      </c>
      <c r="Q43" s="182">
        <v>1472.1649484536088</v>
      </c>
      <c r="R43" s="182">
        <v>210.30927835051554</v>
      </c>
      <c r="S43" s="309">
        <f t="shared" si="11"/>
        <v>1</v>
      </c>
      <c r="T43" s="690"/>
      <c r="U43" s="182">
        <v>7</v>
      </c>
      <c r="V43" s="182">
        <v>1449.0000000000005</v>
      </c>
      <c r="W43" s="182">
        <v>207.00000000000006</v>
      </c>
      <c r="X43" s="309">
        <f t="shared" si="12"/>
        <v>2</v>
      </c>
      <c r="Y43" s="690"/>
      <c r="Z43" s="182">
        <v>7</v>
      </c>
      <c r="AA43" s="182">
        <v>1471.9148936170216</v>
      </c>
      <c r="AB43" s="182">
        <v>210.27355623100308</v>
      </c>
      <c r="AC43" s="309">
        <f t="shared" si="13"/>
        <v>1</v>
      </c>
      <c r="AD43" s="690"/>
      <c r="AE43" s="182">
        <v>7</v>
      </c>
      <c r="AF43" s="182">
        <v>1444.9999999999995</v>
      </c>
      <c r="AG43" s="182">
        <v>206.42857142857136</v>
      </c>
      <c r="AH43" s="309">
        <f t="shared" si="14"/>
        <v>2</v>
      </c>
      <c r="AI43" s="690"/>
      <c r="AJ43" s="182">
        <v>7</v>
      </c>
      <c r="AK43" s="182">
        <v>1445.8695652173915</v>
      </c>
      <c r="AL43" s="182">
        <v>206.55279503105592</v>
      </c>
      <c r="AM43" s="309">
        <f t="shared" si="15"/>
        <v>2</v>
      </c>
      <c r="AN43" s="690"/>
      <c r="AO43" s="182">
        <v>7</v>
      </c>
      <c r="AP43" s="182">
        <v>1457.6842105263149</v>
      </c>
      <c r="AQ43" s="182">
        <v>208.24060150375928</v>
      </c>
      <c r="AR43" s="309">
        <f t="shared" si="16"/>
        <v>2</v>
      </c>
      <c r="AS43" s="690"/>
      <c r="AT43" s="182">
        <v>7</v>
      </c>
      <c r="AU43" s="182">
        <v>1452.7272727272721</v>
      </c>
      <c r="AV43" s="182">
        <v>207.53246753246745</v>
      </c>
      <c r="AW43" s="309">
        <f t="shared" si="17"/>
        <v>2</v>
      </c>
      <c r="AX43" s="690"/>
    </row>
    <row r="44" spans="2:54">
      <c r="B44" s="676"/>
      <c r="C44" s="309">
        <v>3</v>
      </c>
      <c r="D44" s="227" t="s">
        <v>368</v>
      </c>
      <c r="E44" s="182">
        <v>18</v>
      </c>
      <c r="F44" s="569">
        <v>1500</v>
      </c>
      <c r="G44" s="570">
        <v>83.3</v>
      </c>
      <c r="H44" s="718"/>
      <c r="I44" s="199">
        <f t="shared" si="18"/>
        <v>18</v>
      </c>
      <c r="J44" s="199">
        <f t="shared" si="19"/>
        <v>1320.0861211489864</v>
      </c>
      <c r="K44" s="200">
        <f t="shared" si="20"/>
        <v>73.338117841610369</v>
      </c>
      <c r="L44" s="650"/>
      <c r="M44" s="201">
        <f>RANK(K44, K$42:$K$71)</f>
        <v>16</v>
      </c>
      <c r="N44" s="668"/>
      <c r="O44" s="668"/>
      <c r="P44" s="182">
        <v>18</v>
      </c>
      <c r="Q44" s="182">
        <v>1314.9999999999995</v>
      </c>
      <c r="R44" s="182">
        <v>73.055555555555529</v>
      </c>
      <c r="S44" s="309">
        <f t="shared" si="11"/>
        <v>18</v>
      </c>
      <c r="T44" s="690"/>
      <c r="U44" s="182">
        <v>18</v>
      </c>
      <c r="V44" s="182">
        <v>1329.8181818181827</v>
      </c>
      <c r="W44" s="182">
        <v>73.878787878787932</v>
      </c>
      <c r="X44" s="309">
        <f t="shared" si="12"/>
        <v>17</v>
      </c>
      <c r="Y44" s="690"/>
      <c r="Z44" s="182">
        <v>18</v>
      </c>
      <c r="AA44" s="182">
        <v>1325.7692307692314</v>
      </c>
      <c r="AB44" s="182">
        <v>73.653846153846189</v>
      </c>
      <c r="AC44" s="309">
        <f t="shared" si="13"/>
        <v>16</v>
      </c>
      <c r="AD44" s="690"/>
      <c r="AE44" s="182">
        <v>18</v>
      </c>
      <c r="AF44" s="182">
        <v>1318.695652173913</v>
      </c>
      <c r="AG44" s="182">
        <v>73.260869565217391</v>
      </c>
      <c r="AH44" s="309">
        <f t="shared" si="14"/>
        <v>18</v>
      </c>
      <c r="AI44" s="690"/>
      <c r="AJ44" s="182">
        <v>18</v>
      </c>
      <c r="AK44" s="182">
        <v>1311.1475409836062</v>
      </c>
      <c r="AL44" s="182">
        <v>72.841530054644792</v>
      </c>
      <c r="AM44" s="309">
        <f t="shared" si="15"/>
        <v>16</v>
      </c>
      <c r="AN44" s="690"/>
      <c r="AO44" s="182" t="s">
        <v>760</v>
      </c>
      <c r="AP44" s="182" t="s">
        <v>760</v>
      </c>
      <c r="AQ44" s="182" t="s">
        <v>760</v>
      </c>
      <c r="AR44" s="309" t="e">
        <f t="shared" si="16"/>
        <v>#VALUE!</v>
      </c>
      <c r="AS44" s="690"/>
      <c r="AT44" s="182" t="s">
        <v>760</v>
      </c>
      <c r="AU44" s="182" t="s">
        <v>760</v>
      </c>
      <c r="AV44" s="182" t="s">
        <v>760</v>
      </c>
      <c r="AW44" s="309" t="e">
        <f t="shared" si="17"/>
        <v>#VALUE!</v>
      </c>
      <c r="AX44" s="690"/>
    </row>
    <row r="45" spans="2:54">
      <c r="B45" s="676"/>
      <c r="C45" s="309">
        <v>4</v>
      </c>
      <c r="D45" s="227" t="s">
        <v>871</v>
      </c>
      <c r="E45" s="182">
        <v>18</v>
      </c>
      <c r="F45" s="569">
        <v>1500</v>
      </c>
      <c r="G45" s="570">
        <v>83.3</v>
      </c>
      <c r="H45" s="718"/>
      <c r="I45" s="199">
        <f t="shared" si="18"/>
        <v>18</v>
      </c>
      <c r="J45" s="199">
        <f t="shared" si="19"/>
        <v>1262.7195432586741</v>
      </c>
      <c r="K45" s="200">
        <f t="shared" si="20"/>
        <v>70.151085736592989</v>
      </c>
      <c r="L45" s="650"/>
      <c r="M45" s="201">
        <f>RANK(K45, K$42:$K$71)</f>
        <v>21</v>
      </c>
      <c r="N45" s="668"/>
      <c r="O45" s="668"/>
      <c r="P45" s="182">
        <v>18</v>
      </c>
      <c r="Q45" s="182">
        <v>1250.4000000000003</v>
      </c>
      <c r="R45" s="182">
        <v>69.466666666666683</v>
      </c>
      <c r="S45" s="309">
        <f t="shared" si="11"/>
        <v>23</v>
      </c>
      <c r="T45" s="690"/>
      <c r="U45" s="182">
        <v>18</v>
      </c>
      <c r="V45" s="182">
        <v>1267.8260869565217</v>
      </c>
      <c r="W45" s="182">
        <v>70.434782608695656</v>
      </c>
      <c r="X45" s="309">
        <f t="shared" si="12"/>
        <v>20</v>
      </c>
      <c r="Y45" s="690"/>
      <c r="Z45" s="182">
        <v>18</v>
      </c>
      <c r="AA45" s="182">
        <v>1261.3333333333333</v>
      </c>
      <c r="AB45" s="182">
        <v>70.074074074074076</v>
      </c>
      <c r="AC45" s="309">
        <f t="shared" si="13"/>
        <v>21</v>
      </c>
      <c r="AD45" s="690"/>
      <c r="AE45" s="182">
        <v>18</v>
      </c>
      <c r="AF45" s="182">
        <v>1234.090909090909</v>
      </c>
      <c r="AG45" s="182">
        <v>68.560606060606062</v>
      </c>
      <c r="AH45" s="309">
        <f t="shared" si="14"/>
        <v>23</v>
      </c>
      <c r="AI45" s="690"/>
      <c r="AJ45" s="182">
        <v>18</v>
      </c>
      <c r="AK45" s="182">
        <v>1292.608695652174</v>
      </c>
      <c r="AL45" s="182">
        <v>71.811594202898561</v>
      </c>
      <c r="AM45" s="309">
        <f t="shared" si="15"/>
        <v>18</v>
      </c>
      <c r="AN45" s="690"/>
      <c r="AO45" s="182">
        <v>18</v>
      </c>
      <c r="AP45" s="182">
        <v>1275.0000000000007</v>
      </c>
      <c r="AQ45" s="182">
        <v>70.833333333333371</v>
      </c>
      <c r="AR45" s="309">
        <f t="shared" si="16"/>
        <v>19</v>
      </c>
      <c r="AS45" s="690"/>
      <c r="AT45" s="182">
        <v>18</v>
      </c>
      <c r="AU45" s="182">
        <v>1257.7777777777783</v>
      </c>
      <c r="AV45" s="182">
        <v>69.876543209876573</v>
      </c>
      <c r="AW45" s="309">
        <f t="shared" si="17"/>
        <v>18</v>
      </c>
      <c r="AX45" s="690"/>
    </row>
    <row r="46" spans="2:54">
      <c r="B46" s="676"/>
      <c r="C46" s="309">
        <v>5</v>
      </c>
      <c r="D46" s="227" t="s">
        <v>353</v>
      </c>
      <c r="E46" s="182">
        <v>16</v>
      </c>
      <c r="F46" s="569">
        <v>1500</v>
      </c>
      <c r="G46" s="570">
        <v>93.8</v>
      </c>
      <c r="H46" s="718"/>
      <c r="I46" s="199">
        <f t="shared" si="18"/>
        <v>16</v>
      </c>
      <c r="J46" s="199">
        <f t="shared" si="19"/>
        <v>1392.810788372771</v>
      </c>
      <c r="K46" s="200">
        <f t="shared" si="20"/>
        <v>87.050674273298185</v>
      </c>
      <c r="L46" s="650"/>
      <c r="M46" s="201">
        <f>RANK(K46, K$42:$K$71)</f>
        <v>4</v>
      </c>
      <c r="N46" s="668"/>
      <c r="O46" s="668"/>
      <c r="P46" s="182">
        <v>16</v>
      </c>
      <c r="Q46" s="182">
        <v>1398.2608695652175</v>
      </c>
      <c r="R46" s="182">
        <v>87.391304347826093</v>
      </c>
      <c r="S46" s="309">
        <f t="shared" si="11"/>
        <v>5</v>
      </c>
      <c r="T46" s="690"/>
      <c r="U46" s="182">
        <v>16</v>
      </c>
      <c r="V46" s="182">
        <v>1401.9512195121945</v>
      </c>
      <c r="W46" s="182">
        <v>87.621951219512155</v>
      </c>
      <c r="X46" s="309">
        <f t="shared" si="12"/>
        <v>4</v>
      </c>
      <c r="Y46" s="690"/>
      <c r="Z46" s="182">
        <v>16</v>
      </c>
      <c r="AA46" s="182">
        <v>1371.2195121951213</v>
      </c>
      <c r="AB46" s="182">
        <v>85.701219512195081</v>
      </c>
      <c r="AC46" s="309">
        <f t="shared" si="13"/>
        <v>4</v>
      </c>
      <c r="AD46" s="690"/>
      <c r="AE46" s="182">
        <v>16</v>
      </c>
      <c r="AF46" s="182">
        <v>1400.5263157894726</v>
      </c>
      <c r="AG46" s="182">
        <v>87.532894736842039</v>
      </c>
      <c r="AH46" s="309">
        <f t="shared" si="14"/>
        <v>3</v>
      </c>
      <c r="AI46" s="690"/>
      <c r="AJ46" s="182">
        <v>16</v>
      </c>
      <c r="AK46" s="182">
        <v>1390.909090909091</v>
      </c>
      <c r="AL46" s="182">
        <v>86.931818181818187</v>
      </c>
      <c r="AM46" s="309">
        <f t="shared" si="15"/>
        <v>4</v>
      </c>
      <c r="AN46" s="690"/>
      <c r="AO46" s="182">
        <v>16</v>
      </c>
      <c r="AP46" s="182">
        <v>1382.5531914893618</v>
      </c>
      <c r="AQ46" s="182">
        <v>86.409574468085111</v>
      </c>
      <c r="AR46" s="309">
        <f t="shared" si="16"/>
        <v>5</v>
      </c>
      <c r="AS46" s="690"/>
      <c r="AT46" s="182">
        <v>16</v>
      </c>
      <c r="AU46" s="182">
        <v>1404.2553191489365</v>
      </c>
      <c r="AV46" s="182">
        <v>87.765957446808528</v>
      </c>
      <c r="AW46" s="309">
        <f t="shared" si="17"/>
        <v>4</v>
      </c>
      <c r="AX46" s="690"/>
    </row>
    <row r="47" spans="2:54">
      <c r="B47" s="676"/>
      <c r="C47" s="309">
        <v>6</v>
      </c>
      <c r="D47" s="227" t="s">
        <v>370</v>
      </c>
      <c r="E47" s="182">
        <v>16</v>
      </c>
      <c r="F47" s="569">
        <v>1565</v>
      </c>
      <c r="G47" s="570">
        <v>97.8</v>
      </c>
      <c r="H47" s="718"/>
      <c r="I47" s="199">
        <f t="shared" si="18"/>
        <v>16</v>
      </c>
      <c r="J47" s="199">
        <f t="shared" si="19"/>
        <v>1373.4636870637173</v>
      </c>
      <c r="K47" s="200">
        <f t="shared" si="20"/>
        <v>85.841480441482332</v>
      </c>
      <c r="L47" s="650"/>
      <c r="M47" s="201">
        <f>RANK(K47, K$42:$K$71)</f>
        <v>5</v>
      </c>
      <c r="N47" s="668"/>
      <c r="O47" s="668"/>
      <c r="P47" s="182">
        <v>16</v>
      </c>
      <c r="Q47" s="182">
        <v>1379.9999999999995</v>
      </c>
      <c r="R47" s="182">
        <v>86.249999999999972</v>
      </c>
      <c r="S47" s="309">
        <f t="shared" si="11"/>
        <v>6</v>
      </c>
      <c r="T47" s="690"/>
      <c r="U47" s="182">
        <v>16</v>
      </c>
      <c r="V47" s="182">
        <v>1372.8947368421043</v>
      </c>
      <c r="W47" s="182">
        <v>85.805921052631518</v>
      </c>
      <c r="X47" s="309">
        <f t="shared" si="12"/>
        <v>6</v>
      </c>
      <c r="Y47" s="690"/>
      <c r="Z47" s="182">
        <v>16</v>
      </c>
      <c r="AA47" s="182">
        <v>1353.8028169014071</v>
      </c>
      <c r="AB47" s="182">
        <v>84.612676056337946</v>
      </c>
      <c r="AC47" s="309">
        <f t="shared" si="13"/>
        <v>6</v>
      </c>
      <c r="AD47" s="690"/>
      <c r="AE47" s="182">
        <v>16</v>
      </c>
      <c r="AF47" s="182">
        <v>1375.1351351351341</v>
      </c>
      <c r="AG47" s="182">
        <v>85.94594594594588</v>
      </c>
      <c r="AH47" s="309">
        <f t="shared" si="14"/>
        <v>5</v>
      </c>
      <c r="AI47" s="690"/>
      <c r="AJ47" s="182">
        <v>16</v>
      </c>
      <c r="AK47" s="182">
        <v>1361.2499999999995</v>
      </c>
      <c r="AL47" s="182">
        <v>85.078124999999972</v>
      </c>
      <c r="AM47" s="309">
        <f t="shared" si="15"/>
        <v>5</v>
      </c>
      <c r="AN47" s="690"/>
      <c r="AO47" s="182">
        <v>16</v>
      </c>
      <c r="AP47" s="182">
        <v>1383.8297872340427</v>
      </c>
      <c r="AQ47" s="182">
        <v>86.489361702127667</v>
      </c>
      <c r="AR47" s="309">
        <f t="shared" si="16"/>
        <v>4</v>
      </c>
      <c r="AS47" s="690"/>
      <c r="AT47" s="182">
        <v>16</v>
      </c>
      <c r="AU47" s="182">
        <v>1387.3333333333335</v>
      </c>
      <c r="AV47" s="182">
        <v>86.708333333333343</v>
      </c>
      <c r="AW47" s="309">
        <f t="shared" si="17"/>
        <v>5</v>
      </c>
      <c r="AX47" s="690"/>
    </row>
    <row r="48" spans="2:54">
      <c r="B48" s="676"/>
      <c r="C48" s="309">
        <v>7</v>
      </c>
      <c r="D48" s="227" t="s">
        <v>345</v>
      </c>
      <c r="E48" s="182">
        <v>14</v>
      </c>
      <c r="F48" s="569">
        <v>1440</v>
      </c>
      <c r="G48" s="570">
        <v>102.9</v>
      </c>
      <c r="H48" s="718"/>
      <c r="I48" s="199">
        <f t="shared" si="18"/>
        <v>15</v>
      </c>
      <c r="J48" s="199">
        <f t="shared" si="19"/>
        <v>1146.6425206641768</v>
      </c>
      <c r="K48" s="200">
        <f t="shared" si="20"/>
        <v>76.442834710945135</v>
      </c>
      <c r="L48" s="650"/>
      <c r="M48" s="201">
        <f>RANK(K48, K$42:$K$71)</f>
        <v>12</v>
      </c>
      <c r="N48" s="668"/>
      <c r="O48" s="668"/>
      <c r="P48" s="182">
        <v>15</v>
      </c>
      <c r="Q48" s="182">
        <v>1139.9999999999973</v>
      </c>
      <c r="R48" s="182">
        <v>75.999999999999815</v>
      </c>
      <c r="S48" s="309">
        <f t="shared" si="11"/>
        <v>13</v>
      </c>
      <c r="T48" s="690"/>
      <c r="U48" s="182">
        <v>15</v>
      </c>
      <c r="V48" s="182">
        <v>1108.8888888888864</v>
      </c>
      <c r="W48" s="182">
        <v>73.925925925925768</v>
      </c>
      <c r="X48" s="309">
        <f t="shared" si="12"/>
        <v>16</v>
      </c>
      <c r="Y48" s="690"/>
      <c r="Z48" s="182">
        <v>15</v>
      </c>
      <c r="AA48" s="182">
        <v>1117.4999999999966</v>
      </c>
      <c r="AB48" s="182">
        <v>74.499999999999773</v>
      </c>
      <c r="AC48" s="309">
        <f t="shared" si="13"/>
        <v>14</v>
      </c>
      <c r="AD48" s="690"/>
      <c r="AE48" s="182">
        <v>15</v>
      </c>
      <c r="AF48" s="182">
        <v>1118.5714285714262</v>
      </c>
      <c r="AG48" s="182">
        <v>74.571428571428413</v>
      </c>
      <c r="AH48" s="309">
        <f t="shared" si="14"/>
        <v>15</v>
      </c>
      <c r="AI48" s="690"/>
      <c r="AJ48" s="182">
        <v>15</v>
      </c>
      <c r="AK48" s="182">
        <v>1120.7999999999968</v>
      </c>
      <c r="AL48" s="182">
        <v>74.719999999999786</v>
      </c>
      <c r="AM48" s="309">
        <f t="shared" si="15"/>
        <v>13</v>
      </c>
      <c r="AN48" s="690"/>
      <c r="AO48" s="182">
        <v>15</v>
      </c>
      <c r="AP48" s="182">
        <v>1294.2857142857115</v>
      </c>
      <c r="AQ48" s="182">
        <v>86.285714285714093</v>
      </c>
      <c r="AR48" s="309">
        <f t="shared" si="16"/>
        <v>6</v>
      </c>
      <c r="AS48" s="690"/>
      <c r="AT48" s="182">
        <v>15</v>
      </c>
      <c r="AU48" s="182">
        <v>1126.451612903224</v>
      </c>
      <c r="AV48" s="182">
        <v>75.096774193548271</v>
      </c>
      <c r="AW48" s="309">
        <f t="shared" si="17"/>
        <v>14</v>
      </c>
      <c r="AX48" s="690"/>
    </row>
    <row r="49" spans="2:50">
      <c r="B49" s="676"/>
      <c r="C49" s="309">
        <v>8</v>
      </c>
      <c r="D49" s="227" t="s">
        <v>927</v>
      </c>
      <c r="E49" s="182">
        <v>16</v>
      </c>
      <c r="F49" s="569">
        <v>1440</v>
      </c>
      <c r="G49" s="570">
        <v>90</v>
      </c>
      <c r="H49" s="718"/>
      <c r="I49" s="199">
        <f t="shared" si="18"/>
        <v>16</v>
      </c>
      <c r="J49" s="199">
        <f t="shared" si="19"/>
        <v>1327.3232828693347</v>
      </c>
      <c r="K49" s="200">
        <f t="shared" si="20"/>
        <v>82.957705179333416</v>
      </c>
      <c r="L49" s="650"/>
      <c r="M49" s="201">
        <f>RANK(K49, K$42:$K$71)</f>
        <v>9</v>
      </c>
      <c r="N49" s="668"/>
      <c r="O49" s="668"/>
      <c r="P49" s="182">
        <v>16</v>
      </c>
      <c r="Q49" s="182">
        <v>1345.9459459459449</v>
      </c>
      <c r="R49" s="182">
        <v>84.121621621621557</v>
      </c>
      <c r="S49" s="309">
        <f t="shared" si="11"/>
        <v>7</v>
      </c>
      <c r="T49" s="690"/>
      <c r="U49" s="182">
        <v>16</v>
      </c>
      <c r="V49" s="182">
        <v>1327.8947368421043</v>
      </c>
      <c r="W49" s="182">
        <v>82.993421052631518</v>
      </c>
      <c r="X49" s="309">
        <f t="shared" si="12"/>
        <v>9</v>
      </c>
      <c r="Y49" s="690"/>
      <c r="Z49" s="182">
        <v>16</v>
      </c>
      <c r="AA49" s="182">
        <v>1310.6249999999982</v>
      </c>
      <c r="AB49" s="182">
        <v>81.914062499999886</v>
      </c>
      <c r="AC49" s="309">
        <f t="shared" si="13"/>
        <v>10</v>
      </c>
      <c r="AD49" s="690"/>
      <c r="AE49" s="182">
        <v>16</v>
      </c>
      <c r="AF49" s="182">
        <v>1344.9999999999991</v>
      </c>
      <c r="AG49" s="182">
        <v>84.062499999999943</v>
      </c>
      <c r="AH49" s="309">
        <f t="shared" si="14"/>
        <v>9</v>
      </c>
      <c r="AI49" s="690"/>
      <c r="AJ49" s="182">
        <v>16</v>
      </c>
      <c r="AK49" s="182">
        <v>1297.2972972972962</v>
      </c>
      <c r="AL49" s="182">
        <v>81.08108108108101</v>
      </c>
      <c r="AM49" s="309">
        <f t="shared" si="15"/>
        <v>9</v>
      </c>
      <c r="AN49" s="690"/>
      <c r="AO49" s="182">
        <v>16</v>
      </c>
      <c r="AP49" s="182">
        <v>1324.4999999999995</v>
      </c>
      <c r="AQ49" s="182">
        <v>82.781249999999972</v>
      </c>
      <c r="AR49" s="309">
        <f t="shared" si="16"/>
        <v>10</v>
      </c>
      <c r="AS49" s="690"/>
      <c r="AT49" s="182">
        <v>16</v>
      </c>
      <c r="AU49" s="182">
        <v>1339.9999999999993</v>
      </c>
      <c r="AV49" s="182">
        <v>83.749999999999957</v>
      </c>
      <c r="AW49" s="309">
        <f t="shared" si="17"/>
        <v>6</v>
      </c>
      <c r="AX49" s="690"/>
    </row>
    <row r="50" spans="2:50">
      <c r="B50" s="676"/>
      <c r="C50" s="309">
        <v>9</v>
      </c>
      <c r="D50" s="227" t="s">
        <v>928</v>
      </c>
      <c r="E50" s="182">
        <v>16</v>
      </c>
      <c r="F50" s="569">
        <v>1440</v>
      </c>
      <c r="G50" s="570">
        <v>90</v>
      </c>
      <c r="H50" s="718"/>
      <c r="I50" s="199">
        <f t="shared" si="18"/>
        <v>17</v>
      </c>
      <c r="J50" s="199">
        <f t="shared" si="19"/>
        <v>1184.7796217337207</v>
      </c>
      <c r="K50" s="200">
        <f t="shared" si="20"/>
        <v>69.692918925512984</v>
      </c>
      <c r="L50" s="650"/>
      <c r="M50" s="201">
        <f>RANK(K50, K$42:$K$71)</f>
        <v>23</v>
      </c>
      <c r="N50" s="668"/>
      <c r="O50" s="668"/>
      <c r="P50" s="182">
        <v>17</v>
      </c>
      <c r="Q50" s="182">
        <v>1168.7500000000002</v>
      </c>
      <c r="R50" s="182">
        <v>68.750000000000014</v>
      </c>
      <c r="S50" s="309">
        <f t="shared" si="11"/>
        <v>24</v>
      </c>
      <c r="T50" s="690"/>
      <c r="U50" s="182">
        <v>17</v>
      </c>
      <c r="V50" s="182">
        <v>1187.7551020408168</v>
      </c>
      <c r="W50" s="182">
        <v>69.867947178871574</v>
      </c>
      <c r="X50" s="309">
        <f t="shared" si="12"/>
        <v>22</v>
      </c>
      <c r="Y50" s="690"/>
      <c r="Z50" s="182">
        <v>17</v>
      </c>
      <c r="AA50" s="182">
        <v>1189.4999999999995</v>
      </c>
      <c r="AB50" s="182">
        <v>69.970588235294088</v>
      </c>
      <c r="AC50" s="309">
        <f t="shared" si="13"/>
        <v>22</v>
      </c>
      <c r="AD50" s="690"/>
      <c r="AE50" s="182">
        <v>17</v>
      </c>
      <c r="AF50" s="182">
        <v>1187.2340425531916</v>
      </c>
      <c r="AG50" s="182">
        <v>69.837296620775973</v>
      </c>
      <c r="AH50" s="309">
        <f t="shared" si="14"/>
        <v>20</v>
      </c>
      <c r="AI50" s="690"/>
      <c r="AJ50" s="182">
        <v>17</v>
      </c>
      <c r="AK50" s="182">
        <v>1172.608695652174</v>
      </c>
      <c r="AL50" s="182">
        <v>68.976982097186706</v>
      </c>
      <c r="AM50" s="309">
        <f t="shared" si="15"/>
        <v>23</v>
      </c>
      <c r="AN50" s="690"/>
      <c r="AO50" s="182">
        <v>17</v>
      </c>
      <c r="AP50" s="182">
        <v>1210.5882352941182</v>
      </c>
      <c r="AQ50" s="182">
        <v>71.211072664359904</v>
      </c>
      <c r="AR50" s="309">
        <f t="shared" si="16"/>
        <v>18</v>
      </c>
      <c r="AS50" s="690"/>
      <c r="AT50" s="182">
        <v>17</v>
      </c>
      <c r="AU50" s="182">
        <v>1177.0212765957449</v>
      </c>
      <c r="AV50" s="182">
        <v>69.236545682102644</v>
      </c>
      <c r="AW50" s="309">
        <f t="shared" si="17"/>
        <v>21</v>
      </c>
      <c r="AX50" s="690"/>
    </row>
    <row r="51" spans="2:50">
      <c r="B51" s="676"/>
      <c r="C51" s="309">
        <v>10</v>
      </c>
      <c r="D51" s="227" t="s">
        <v>929</v>
      </c>
      <c r="E51" s="182">
        <v>18</v>
      </c>
      <c r="F51" s="569">
        <v>1636</v>
      </c>
      <c r="G51" s="570">
        <v>90.9</v>
      </c>
      <c r="H51" s="718"/>
      <c r="I51" s="199">
        <f t="shared" si="18"/>
        <v>18</v>
      </c>
      <c r="J51" s="199">
        <f t="shared" si="19"/>
        <v>1513.7071915977492</v>
      </c>
      <c r="K51" s="200">
        <f t="shared" si="20"/>
        <v>84.094843977652729</v>
      </c>
      <c r="L51" s="650"/>
      <c r="M51" s="201">
        <f>RANK(K51, K$42:$K$71)</f>
        <v>7</v>
      </c>
      <c r="N51" s="668"/>
      <c r="O51" s="668"/>
      <c r="P51" s="182">
        <v>18</v>
      </c>
      <c r="Q51" s="182">
        <v>1513.0909090909099</v>
      </c>
      <c r="R51" s="182">
        <v>84.060606060606105</v>
      </c>
      <c r="S51" s="309">
        <f t="shared" si="11"/>
        <v>8</v>
      </c>
      <c r="T51" s="690"/>
      <c r="U51" s="182">
        <v>18</v>
      </c>
      <c r="V51" s="182">
        <v>1518.0000000000005</v>
      </c>
      <c r="W51" s="182">
        <v>84.333333333333357</v>
      </c>
      <c r="X51" s="309">
        <f t="shared" si="12"/>
        <v>7</v>
      </c>
      <c r="Y51" s="690"/>
      <c r="Z51" s="182">
        <v>18</v>
      </c>
      <c r="AA51" s="182">
        <v>1527.2727272727273</v>
      </c>
      <c r="AB51" s="182">
        <v>84.848484848484844</v>
      </c>
      <c r="AC51" s="309">
        <f t="shared" si="13"/>
        <v>5</v>
      </c>
      <c r="AD51" s="690"/>
      <c r="AE51" s="182">
        <v>18</v>
      </c>
      <c r="AF51" s="182">
        <v>1525.7142857142862</v>
      </c>
      <c r="AG51" s="182">
        <v>84.761904761904788</v>
      </c>
      <c r="AH51" s="309">
        <f t="shared" si="14"/>
        <v>6</v>
      </c>
      <c r="AI51" s="690"/>
      <c r="AJ51" s="182">
        <v>18</v>
      </c>
      <c r="AK51" s="182">
        <v>1510.8000000000004</v>
      </c>
      <c r="AL51" s="182">
        <v>83.933333333333351</v>
      </c>
      <c r="AM51" s="309">
        <f t="shared" si="15"/>
        <v>6</v>
      </c>
      <c r="AN51" s="690"/>
      <c r="AO51" s="182">
        <v>18</v>
      </c>
      <c r="AP51" s="182">
        <v>1515.2542372881367</v>
      </c>
      <c r="AQ51" s="182">
        <v>84.180790960452043</v>
      </c>
      <c r="AR51" s="309">
        <f t="shared" si="16"/>
        <v>7</v>
      </c>
      <c r="AS51" s="690"/>
      <c r="AT51" s="182">
        <v>18</v>
      </c>
      <c r="AU51" s="182">
        <v>1485.8181818181829</v>
      </c>
      <c r="AV51" s="182">
        <v>82.545454545454604</v>
      </c>
      <c r="AW51" s="309">
        <f t="shared" si="17"/>
        <v>9</v>
      </c>
      <c r="AX51" s="690"/>
    </row>
    <row r="52" spans="2:50">
      <c r="B52" s="676"/>
      <c r="C52" s="309">
        <v>11</v>
      </c>
      <c r="D52" s="227" t="s">
        <v>930</v>
      </c>
      <c r="E52" s="182">
        <v>18</v>
      </c>
      <c r="F52" s="569">
        <v>1636</v>
      </c>
      <c r="G52" s="570">
        <v>90.9</v>
      </c>
      <c r="H52" s="718"/>
      <c r="I52" s="199">
        <f t="shared" si="18"/>
        <v>18</v>
      </c>
      <c r="J52" s="199">
        <f t="shared" si="19"/>
        <v>1504.8731235541861</v>
      </c>
      <c r="K52" s="200">
        <f t="shared" si="20"/>
        <v>83.604062419677007</v>
      </c>
      <c r="L52" s="650"/>
      <c r="M52" s="201">
        <f>RANK(K52, K$42:$K$71)</f>
        <v>8</v>
      </c>
      <c r="N52" s="668"/>
      <c r="O52" s="668"/>
      <c r="P52" s="182">
        <v>18</v>
      </c>
      <c r="Q52" s="182">
        <v>1491.4285714285709</v>
      </c>
      <c r="R52" s="182">
        <v>82.857142857142833</v>
      </c>
      <c r="S52" s="309">
        <f t="shared" si="11"/>
        <v>9</v>
      </c>
      <c r="T52" s="690"/>
      <c r="U52" s="182">
        <v>18</v>
      </c>
      <c r="V52" s="182">
        <v>1501.5384615384608</v>
      </c>
      <c r="W52" s="182">
        <v>83.418803418803378</v>
      </c>
      <c r="X52" s="309">
        <f t="shared" si="12"/>
        <v>8</v>
      </c>
      <c r="Y52" s="690"/>
      <c r="Z52" s="182">
        <v>18</v>
      </c>
      <c r="AA52" s="182">
        <v>1506.8571428571413</v>
      </c>
      <c r="AB52" s="182">
        <v>83.714285714285623</v>
      </c>
      <c r="AC52" s="309">
        <f t="shared" si="13"/>
        <v>8</v>
      </c>
      <c r="AD52" s="690"/>
      <c r="AE52" s="182">
        <v>18</v>
      </c>
      <c r="AF52" s="182">
        <v>1518.4615384615377</v>
      </c>
      <c r="AG52" s="182">
        <v>84.358974358974308</v>
      </c>
      <c r="AH52" s="309">
        <f t="shared" si="14"/>
        <v>8</v>
      </c>
      <c r="AI52" s="690"/>
      <c r="AJ52" s="182">
        <v>18</v>
      </c>
      <c r="AK52" s="182">
        <v>1506.1538461538453</v>
      </c>
      <c r="AL52" s="182">
        <v>83.675213675213627</v>
      </c>
      <c r="AM52" s="309">
        <f t="shared" si="15"/>
        <v>8</v>
      </c>
      <c r="AN52" s="690"/>
      <c r="AO52" s="182">
        <v>18</v>
      </c>
      <c r="AP52" s="182">
        <v>1504.090909090909</v>
      </c>
      <c r="AQ52" s="182">
        <v>83.560606060606062</v>
      </c>
      <c r="AR52" s="309">
        <f t="shared" si="16"/>
        <v>9</v>
      </c>
      <c r="AS52" s="690"/>
      <c r="AT52" s="182">
        <v>18</v>
      </c>
      <c r="AU52" s="182">
        <v>1505.5813953488371</v>
      </c>
      <c r="AV52" s="182">
        <v>83.643410852713174</v>
      </c>
      <c r="AW52" s="309">
        <f t="shared" si="17"/>
        <v>7</v>
      </c>
      <c r="AX52" s="690"/>
    </row>
    <row r="53" spans="2:50">
      <c r="B53" s="676"/>
      <c r="C53" s="309">
        <v>12</v>
      </c>
      <c r="D53" s="227" t="s">
        <v>355</v>
      </c>
      <c r="E53" s="182">
        <v>17</v>
      </c>
      <c r="F53" s="569">
        <v>1500</v>
      </c>
      <c r="G53" s="570">
        <v>88.2</v>
      </c>
      <c r="H53" s="718"/>
      <c r="I53" s="199">
        <f t="shared" si="18"/>
        <v>17</v>
      </c>
      <c r="J53" s="199">
        <f t="shared" si="19"/>
        <v>1380.314573955126</v>
      </c>
      <c r="K53" s="200">
        <f t="shared" si="20"/>
        <v>81.194974938536816</v>
      </c>
      <c r="L53" s="650"/>
      <c r="M53" s="201">
        <f>RANK(K53, K$42:$K$71)</f>
        <v>10</v>
      </c>
      <c r="N53" s="668"/>
      <c r="O53" s="668"/>
      <c r="P53" s="182">
        <v>17</v>
      </c>
      <c r="Q53" s="182">
        <v>1371.891891891891</v>
      </c>
      <c r="R53" s="182">
        <v>80.699523052464173</v>
      </c>
      <c r="S53" s="309">
        <f t="shared" si="11"/>
        <v>10</v>
      </c>
      <c r="T53" s="690"/>
      <c r="U53" s="182">
        <v>17</v>
      </c>
      <c r="V53" s="182">
        <v>1378.3783783783772</v>
      </c>
      <c r="W53" s="182">
        <v>81.08108108108101</v>
      </c>
      <c r="X53" s="309">
        <f t="shared" si="12"/>
        <v>10</v>
      </c>
      <c r="Y53" s="690"/>
      <c r="Z53" s="182">
        <v>17</v>
      </c>
      <c r="AA53" s="182">
        <v>1395.4838709677397</v>
      </c>
      <c r="AB53" s="182">
        <v>82.087286527514095</v>
      </c>
      <c r="AC53" s="309">
        <f t="shared" si="13"/>
        <v>9</v>
      </c>
      <c r="AD53" s="690"/>
      <c r="AE53" s="182">
        <v>17</v>
      </c>
      <c r="AF53" s="182">
        <v>1371.891891891891</v>
      </c>
      <c r="AG53" s="182">
        <v>80.699523052464173</v>
      </c>
      <c r="AH53" s="309">
        <f t="shared" si="14"/>
        <v>10</v>
      </c>
      <c r="AI53" s="690"/>
      <c r="AJ53" s="182">
        <v>17</v>
      </c>
      <c r="AK53" s="182">
        <v>1370.2702702702693</v>
      </c>
      <c r="AL53" s="182">
        <v>80.604133545309963</v>
      </c>
      <c r="AM53" s="309">
        <f t="shared" si="15"/>
        <v>10</v>
      </c>
      <c r="AN53" s="690"/>
      <c r="AO53" s="182">
        <v>17</v>
      </c>
      <c r="AP53" s="182">
        <v>1374.2857142857138</v>
      </c>
      <c r="AQ53" s="182">
        <v>80.84033613445375</v>
      </c>
      <c r="AR53" s="309">
        <f t="shared" si="16"/>
        <v>11</v>
      </c>
      <c r="AS53" s="690"/>
      <c r="AT53" s="182">
        <v>17</v>
      </c>
      <c r="AU53" s="182">
        <v>1399.9999999999993</v>
      </c>
      <c r="AV53" s="182">
        <v>82.352941176470551</v>
      </c>
      <c r="AW53" s="309">
        <f t="shared" si="17"/>
        <v>10</v>
      </c>
      <c r="AX53" s="690"/>
    </row>
    <row r="54" spans="2:50">
      <c r="B54" s="676"/>
      <c r="C54" s="309">
        <v>13</v>
      </c>
      <c r="D54" s="227" t="s">
        <v>785</v>
      </c>
      <c r="E54" s="182">
        <v>20</v>
      </c>
      <c r="F54" s="569">
        <v>1440</v>
      </c>
      <c r="G54" s="570">
        <v>72</v>
      </c>
      <c r="H54" s="718"/>
      <c r="I54" s="199">
        <f t="shared" si="18"/>
        <v>20</v>
      </c>
      <c r="J54" s="199">
        <f t="shared" si="19"/>
        <v>1336.1250625757771</v>
      </c>
      <c r="K54" s="200">
        <f t="shared" si="20"/>
        <v>66.806253128788853</v>
      </c>
      <c r="L54" s="650"/>
      <c r="M54" s="201">
        <f>RANK(K54, K$42:$K$71)</f>
        <v>24</v>
      </c>
      <c r="N54" s="668"/>
      <c r="O54" s="668"/>
      <c r="P54" s="182">
        <v>20</v>
      </c>
      <c r="Q54" s="182">
        <v>1340.2702702702693</v>
      </c>
      <c r="R54" s="182">
        <v>67.013513513513459</v>
      </c>
      <c r="S54" s="309">
        <f t="shared" si="11"/>
        <v>25</v>
      </c>
      <c r="T54" s="690"/>
      <c r="U54" s="182">
        <v>20</v>
      </c>
      <c r="V54" s="182">
        <v>1346.9565217391291</v>
      </c>
      <c r="W54" s="182">
        <v>67.347826086956459</v>
      </c>
      <c r="X54" s="309">
        <f t="shared" si="12"/>
        <v>24</v>
      </c>
      <c r="Y54" s="690"/>
      <c r="Z54" s="182">
        <v>20</v>
      </c>
      <c r="AA54" s="182">
        <v>1331.6129032258077</v>
      </c>
      <c r="AB54" s="182">
        <v>66.580645161290391</v>
      </c>
      <c r="AC54" s="309">
        <f t="shared" si="13"/>
        <v>24</v>
      </c>
      <c r="AD54" s="690"/>
      <c r="AE54" s="182">
        <v>20</v>
      </c>
      <c r="AF54" s="182">
        <v>1336.2857142857129</v>
      </c>
      <c r="AG54" s="182">
        <v>66.814285714285646</v>
      </c>
      <c r="AH54" s="309">
        <f t="shared" si="14"/>
        <v>24</v>
      </c>
      <c r="AI54" s="690"/>
      <c r="AJ54" s="182">
        <v>20</v>
      </c>
      <c r="AK54" s="182">
        <v>1333.7837837837828</v>
      </c>
      <c r="AL54" s="182">
        <v>66.689189189189136</v>
      </c>
      <c r="AM54" s="309">
        <f t="shared" si="15"/>
        <v>24</v>
      </c>
      <c r="AN54" s="690"/>
      <c r="AO54" s="182">
        <v>20</v>
      </c>
      <c r="AP54" s="182">
        <v>1333.3333333333328</v>
      </c>
      <c r="AQ54" s="182">
        <v>66.666666666666643</v>
      </c>
      <c r="AR54" s="309">
        <f t="shared" si="16"/>
        <v>23</v>
      </c>
      <c r="AS54" s="690"/>
      <c r="AT54" s="182">
        <v>20</v>
      </c>
      <c r="AU54" s="182">
        <v>1330.6329113924044</v>
      </c>
      <c r="AV54" s="182">
        <v>66.531645569620224</v>
      </c>
      <c r="AW54" s="309">
        <f t="shared" si="17"/>
        <v>23</v>
      </c>
      <c r="AX54" s="690"/>
    </row>
    <row r="55" spans="2:50">
      <c r="B55" s="676"/>
      <c r="C55" s="309">
        <v>14</v>
      </c>
      <c r="D55" s="227" t="s">
        <v>371</v>
      </c>
      <c r="E55" s="182">
        <v>14</v>
      </c>
      <c r="F55" s="569">
        <v>1440</v>
      </c>
      <c r="G55" s="570">
        <v>102.9</v>
      </c>
      <c r="H55" s="718"/>
      <c r="I55" s="199">
        <f t="shared" si="18"/>
        <v>15</v>
      </c>
      <c r="J55" s="199">
        <f t="shared" si="19"/>
        <v>1325.8905889583771</v>
      </c>
      <c r="K55" s="200">
        <f t="shared" si="20"/>
        <v>88.392705930558492</v>
      </c>
      <c r="L55" s="650"/>
      <c r="M55" s="201">
        <f>RANK(K55, K$42:$K$71)</f>
        <v>3</v>
      </c>
      <c r="N55" s="668"/>
      <c r="O55" s="668"/>
      <c r="P55" s="182">
        <v>15</v>
      </c>
      <c r="Q55" s="182">
        <v>1344.2105263157903</v>
      </c>
      <c r="R55" s="182">
        <v>89.614035087719358</v>
      </c>
      <c r="S55" s="309">
        <f t="shared" si="11"/>
        <v>3</v>
      </c>
      <c r="T55" s="690"/>
      <c r="U55" s="182">
        <v>15</v>
      </c>
      <c r="V55" s="182">
        <v>1312.3636363636372</v>
      </c>
      <c r="W55" s="182">
        <v>87.490909090909142</v>
      </c>
      <c r="X55" s="309">
        <f t="shared" si="12"/>
        <v>5</v>
      </c>
      <c r="Y55" s="690"/>
      <c r="Z55" s="182">
        <v>15</v>
      </c>
      <c r="AA55" s="182">
        <v>1327.3469387755106</v>
      </c>
      <c r="AB55" s="182">
        <v>88.489795918367378</v>
      </c>
      <c r="AC55" s="309">
        <f t="shared" si="13"/>
        <v>3</v>
      </c>
      <c r="AD55" s="690"/>
      <c r="AE55" s="182">
        <v>15</v>
      </c>
      <c r="AF55" s="182">
        <v>1308.2142857142867</v>
      </c>
      <c r="AG55" s="182">
        <v>87.214285714285779</v>
      </c>
      <c r="AH55" s="309">
        <f t="shared" si="14"/>
        <v>4</v>
      </c>
      <c r="AI55" s="690"/>
      <c r="AJ55" s="182">
        <v>15</v>
      </c>
      <c r="AK55" s="182">
        <v>1342.2222222222229</v>
      </c>
      <c r="AL55" s="182">
        <v>89.481481481481524</v>
      </c>
      <c r="AM55" s="309">
        <f t="shared" si="15"/>
        <v>3</v>
      </c>
      <c r="AN55" s="690"/>
      <c r="AO55" s="182">
        <v>15</v>
      </c>
      <c r="AP55" s="182">
        <v>1308.5714285714298</v>
      </c>
      <c r="AQ55" s="182">
        <v>87.238095238095326</v>
      </c>
      <c r="AR55" s="309">
        <f t="shared" si="16"/>
        <v>3</v>
      </c>
      <c r="AS55" s="690"/>
      <c r="AT55" s="182">
        <v>15</v>
      </c>
      <c r="AU55" s="182">
        <v>1338.3050847457639</v>
      </c>
      <c r="AV55" s="182">
        <v>89.220338983050922</v>
      </c>
      <c r="AW55" s="309">
        <f t="shared" si="17"/>
        <v>3</v>
      </c>
      <c r="AX55" s="690"/>
    </row>
    <row r="56" spans="2:50">
      <c r="B56" s="676"/>
      <c r="C56" s="309">
        <v>15</v>
      </c>
      <c r="D56" s="227" t="s">
        <v>347</v>
      </c>
      <c r="E56" s="182">
        <v>19</v>
      </c>
      <c r="F56" s="569">
        <v>1440</v>
      </c>
      <c r="G56" s="570">
        <v>75.8</v>
      </c>
      <c r="H56" s="718"/>
      <c r="I56" s="199">
        <f t="shared" si="18"/>
        <v>19</v>
      </c>
      <c r="J56" s="199">
        <f t="shared" si="19"/>
        <v>1334.9695053049086</v>
      </c>
      <c r="K56" s="200">
        <f t="shared" si="20"/>
        <v>70.261552910784658</v>
      </c>
      <c r="L56" s="650"/>
      <c r="M56" s="199">
        <f>RANK(K56, K$42:$K$71)</f>
        <v>20</v>
      </c>
      <c r="N56" s="668"/>
      <c r="O56" s="668"/>
      <c r="P56" s="182">
        <v>19</v>
      </c>
      <c r="Q56" s="182">
        <v>1348.571428571428</v>
      </c>
      <c r="R56" s="182">
        <v>70.977443609022529</v>
      </c>
      <c r="S56" s="309">
        <f t="shared" si="11"/>
        <v>20</v>
      </c>
      <c r="T56" s="690"/>
      <c r="U56" s="182">
        <v>19</v>
      </c>
      <c r="V56" s="182">
        <v>1339.2307692307684</v>
      </c>
      <c r="W56" s="182">
        <v>70.48582995951412</v>
      </c>
      <c r="X56" s="309">
        <f t="shared" si="12"/>
        <v>19</v>
      </c>
      <c r="Y56" s="690"/>
      <c r="Z56" s="182">
        <v>19</v>
      </c>
      <c r="AA56" s="182">
        <v>1340.8695652173899</v>
      </c>
      <c r="AB56" s="182">
        <v>70.572082379862621</v>
      </c>
      <c r="AC56" s="309">
        <f t="shared" si="13"/>
        <v>19</v>
      </c>
      <c r="AD56" s="690"/>
      <c r="AE56" s="182">
        <v>19</v>
      </c>
      <c r="AF56" s="182">
        <v>1317.7777777777774</v>
      </c>
      <c r="AG56" s="182">
        <v>69.356725146198812</v>
      </c>
      <c r="AH56" s="309">
        <f t="shared" si="14"/>
        <v>21</v>
      </c>
      <c r="AI56" s="690"/>
      <c r="AJ56" s="182">
        <v>19</v>
      </c>
      <c r="AK56" s="182">
        <v>1335.7142857142853</v>
      </c>
      <c r="AL56" s="182">
        <v>70.300751879699234</v>
      </c>
      <c r="AM56" s="309">
        <f t="shared" si="15"/>
        <v>20</v>
      </c>
      <c r="AN56" s="690"/>
      <c r="AO56" s="182">
        <v>19</v>
      </c>
      <c r="AP56" s="182">
        <v>1338.6666666666665</v>
      </c>
      <c r="AQ56" s="182">
        <v>70.456140350877192</v>
      </c>
      <c r="AR56" s="309">
        <f t="shared" si="16"/>
        <v>20</v>
      </c>
      <c r="AS56" s="690"/>
      <c r="AT56" s="182">
        <v>19</v>
      </c>
      <c r="AU56" s="182">
        <v>1323.9560439560439</v>
      </c>
      <c r="AV56" s="182">
        <v>69.681897050318099</v>
      </c>
      <c r="AW56" s="309">
        <f t="shared" si="17"/>
        <v>20</v>
      </c>
      <c r="AX56" s="690"/>
    </row>
    <row r="57" spans="2:50">
      <c r="B57" s="676"/>
      <c r="C57" s="309">
        <v>16</v>
      </c>
      <c r="D57" s="227" t="s">
        <v>369</v>
      </c>
      <c r="E57" s="182">
        <v>19</v>
      </c>
      <c r="F57" s="569">
        <v>1440</v>
      </c>
      <c r="G57" s="570">
        <v>75.8</v>
      </c>
      <c r="H57" s="718"/>
      <c r="I57" s="199">
        <f t="shared" si="18"/>
        <v>19</v>
      </c>
      <c r="J57" s="199">
        <f t="shared" si="19"/>
        <v>1329.8736065744529</v>
      </c>
      <c r="K57" s="200">
        <f t="shared" si="20"/>
        <v>69.993347714444894</v>
      </c>
      <c r="L57" s="650"/>
      <c r="M57" s="199">
        <f>RANK(K57, K$42:$K$71)</f>
        <v>22</v>
      </c>
      <c r="N57" s="668"/>
      <c r="O57" s="668"/>
      <c r="P57" s="182">
        <v>19</v>
      </c>
      <c r="Q57" s="182">
        <v>1340.6557377049194</v>
      </c>
      <c r="R57" s="182">
        <v>70.560828300258919</v>
      </c>
      <c r="S57" s="309">
        <f t="shared" si="11"/>
        <v>21</v>
      </c>
      <c r="T57" s="690"/>
      <c r="U57" s="182">
        <v>19</v>
      </c>
      <c r="V57" s="182">
        <v>1333.3333333333342</v>
      </c>
      <c r="W57" s="182">
        <v>70.175438596491276</v>
      </c>
      <c r="X57" s="309">
        <f t="shared" si="12"/>
        <v>21</v>
      </c>
      <c r="Y57" s="690"/>
      <c r="Z57" s="182">
        <v>19</v>
      </c>
      <c r="AA57" s="182">
        <v>1334.4000000000003</v>
      </c>
      <c r="AB57" s="182">
        <v>70.231578947368433</v>
      </c>
      <c r="AC57" s="309">
        <f t="shared" si="13"/>
        <v>20</v>
      </c>
      <c r="AD57" s="690"/>
      <c r="AE57" s="182">
        <v>19</v>
      </c>
      <c r="AF57" s="182">
        <v>1309.6551724137942</v>
      </c>
      <c r="AG57" s="182">
        <v>68.929219600726015</v>
      </c>
      <c r="AH57" s="309">
        <f t="shared" si="14"/>
        <v>22</v>
      </c>
      <c r="AI57" s="690"/>
      <c r="AJ57" s="182">
        <v>19</v>
      </c>
      <c r="AK57" s="182">
        <v>1331.803278688526</v>
      </c>
      <c r="AL57" s="182">
        <v>70.094909404659262</v>
      </c>
      <c r="AM57" s="309">
        <f t="shared" si="15"/>
        <v>21</v>
      </c>
      <c r="AN57" s="690"/>
      <c r="AO57" s="182">
        <v>19</v>
      </c>
      <c r="AP57" s="182">
        <v>1328.9552238805952</v>
      </c>
      <c r="AQ57" s="182">
        <v>69.945011783189216</v>
      </c>
      <c r="AR57" s="309">
        <f t="shared" si="16"/>
        <v>21</v>
      </c>
      <c r="AS57" s="690"/>
      <c r="AT57" s="182">
        <v>19</v>
      </c>
      <c r="AU57" s="182">
        <v>1330.3125000000016</v>
      </c>
      <c r="AV57" s="182">
        <v>70.01644736842114</v>
      </c>
      <c r="AW57" s="309">
        <f t="shared" si="17"/>
        <v>17</v>
      </c>
      <c r="AX57" s="690"/>
    </row>
    <row r="58" spans="2:50">
      <c r="B58" s="676"/>
      <c r="C58" s="309">
        <v>17</v>
      </c>
      <c r="D58" s="227" t="s">
        <v>931</v>
      </c>
      <c r="E58" s="182">
        <v>19</v>
      </c>
      <c r="F58" s="569">
        <v>1500</v>
      </c>
      <c r="G58" s="570">
        <v>78.900000000000006</v>
      </c>
      <c r="H58" s="718"/>
      <c r="I58" s="199">
        <f t="shared" si="18"/>
        <v>19</v>
      </c>
      <c r="J58" s="199">
        <f t="shared" si="19"/>
        <v>1381.7669980950268</v>
      </c>
      <c r="K58" s="200">
        <f t="shared" si="20"/>
        <v>72.724578847106656</v>
      </c>
      <c r="L58" s="650"/>
      <c r="M58" s="199">
        <f>RANK(K58, K$42:$K$71)</f>
        <v>17</v>
      </c>
      <c r="N58" s="668"/>
      <c r="O58" s="668"/>
      <c r="P58" s="182">
        <v>19</v>
      </c>
      <c r="Q58" s="182">
        <v>1392.6315789473672</v>
      </c>
      <c r="R58" s="182">
        <v>73.296398891966689</v>
      </c>
      <c r="S58" s="309">
        <f t="shared" si="11"/>
        <v>17</v>
      </c>
      <c r="T58" s="690"/>
      <c r="U58" s="182">
        <v>19</v>
      </c>
      <c r="V58" s="182">
        <v>1409.1891891891883</v>
      </c>
      <c r="W58" s="182">
        <v>74.16785206258885</v>
      </c>
      <c r="X58" s="309">
        <f t="shared" si="12"/>
        <v>15</v>
      </c>
      <c r="Y58" s="690"/>
      <c r="Z58" s="182">
        <v>19</v>
      </c>
      <c r="AA58" s="182">
        <v>1363.6363636363619</v>
      </c>
      <c r="AB58" s="182">
        <v>71.770334928229573</v>
      </c>
      <c r="AC58" s="309">
        <f t="shared" si="13"/>
        <v>18</v>
      </c>
      <c r="AD58" s="690"/>
      <c r="AE58" s="182">
        <v>19</v>
      </c>
      <c r="AF58" s="182">
        <v>1364.6153846153838</v>
      </c>
      <c r="AG58" s="182">
        <v>71.821862348178101</v>
      </c>
      <c r="AH58" s="309">
        <f t="shared" si="14"/>
        <v>19</v>
      </c>
      <c r="AI58" s="690"/>
      <c r="AJ58" s="182">
        <v>19</v>
      </c>
      <c r="AK58" s="182">
        <v>1365.4054054054045</v>
      </c>
      <c r="AL58" s="182">
        <v>71.863442389758134</v>
      </c>
      <c r="AM58" s="309">
        <f t="shared" si="15"/>
        <v>17</v>
      </c>
      <c r="AN58" s="690"/>
      <c r="AO58" s="182">
        <v>19</v>
      </c>
      <c r="AP58" s="182">
        <v>1371.627906976744</v>
      </c>
      <c r="AQ58" s="182">
        <v>72.190942472460208</v>
      </c>
      <c r="AR58" s="309">
        <f t="shared" si="16"/>
        <v>17</v>
      </c>
      <c r="AS58" s="690"/>
      <c r="AT58" s="182">
        <v>19</v>
      </c>
      <c r="AU58" s="182">
        <v>1405.2631578947357</v>
      </c>
      <c r="AV58" s="182">
        <v>73.961218836565038</v>
      </c>
      <c r="AW58" s="309">
        <f t="shared" si="17"/>
        <v>15</v>
      </c>
      <c r="AX58" s="690"/>
    </row>
    <row r="59" spans="2:50">
      <c r="B59" s="676"/>
      <c r="C59" s="309">
        <v>18</v>
      </c>
      <c r="D59" s="227" t="s">
        <v>932</v>
      </c>
      <c r="E59" s="182">
        <v>18</v>
      </c>
      <c r="F59" s="569">
        <v>1500</v>
      </c>
      <c r="G59" s="570">
        <v>83.3</v>
      </c>
      <c r="H59" s="718"/>
      <c r="I59" s="199">
        <f t="shared" si="18"/>
        <v>18</v>
      </c>
      <c r="J59" s="199">
        <f t="shared" si="19"/>
        <v>1337.3145569303294</v>
      </c>
      <c r="K59" s="200">
        <f t="shared" si="20"/>
        <v>74.295253162796072</v>
      </c>
      <c r="L59" s="650"/>
      <c r="M59" s="199">
        <f>RANK(K59, K$42:$K$71)</f>
        <v>15</v>
      </c>
      <c r="N59" s="668"/>
      <c r="O59" s="668"/>
      <c r="P59" s="182">
        <v>18</v>
      </c>
      <c r="Q59" s="182">
        <v>1326.1764705882338</v>
      </c>
      <c r="R59" s="182">
        <v>73.676470588235205</v>
      </c>
      <c r="S59" s="309">
        <f t="shared" si="11"/>
        <v>16</v>
      </c>
      <c r="T59" s="690"/>
      <c r="U59" s="182">
        <v>18</v>
      </c>
      <c r="V59" s="182">
        <v>1361.7073170731703</v>
      </c>
      <c r="W59" s="182">
        <v>75.650406504065018</v>
      </c>
      <c r="X59" s="309">
        <f t="shared" si="12"/>
        <v>13</v>
      </c>
      <c r="Y59" s="690"/>
      <c r="Z59" s="182">
        <v>18</v>
      </c>
      <c r="AA59" s="182">
        <v>1333.77049180328</v>
      </c>
      <c r="AB59" s="182">
        <v>74.098360655737778</v>
      </c>
      <c r="AC59" s="309">
        <f t="shared" si="13"/>
        <v>15</v>
      </c>
      <c r="AD59" s="690"/>
      <c r="AE59" s="182">
        <v>18</v>
      </c>
      <c r="AF59" s="182">
        <v>1339.0476190476204</v>
      </c>
      <c r="AG59" s="182">
        <v>74.391534391534464</v>
      </c>
      <c r="AH59" s="309">
        <f t="shared" si="14"/>
        <v>16</v>
      </c>
      <c r="AI59" s="690"/>
      <c r="AJ59" s="182">
        <v>18</v>
      </c>
      <c r="AK59" s="182">
        <v>1343.0769230769231</v>
      </c>
      <c r="AL59" s="182">
        <v>74.615384615384613</v>
      </c>
      <c r="AM59" s="309">
        <f t="shared" si="15"/>
        <v>14</v>
      </c>
      <c r="AN59" s="690"/>
      <c r="AO59" s="182">
        <v>18</v>
      </c>
      <c r="AP59" s="182">
        <v>1338.0000000000005</v>
      </c>
      <c r="AQ59" s="182">
        <v>74.333333333333357</v>
      </c>
      <c r="AR59" s="309">
        <f t="shared" si="16"/>
        <v>14</v>
      </c>
      <c r="AS59" s="690"/>
      <c r="AT59" s="182">
        <v>18</v>
      </c>
      <c r="AU59" s="182">
        <v>1319.4230769230776</v>
      </c>
      <c r="AV59" s="182">
        <v>73.301282051282087</v>
      </c>
      <c r="AW59" s="309">
        <f t="shared" si="17"/>
        <v>16</v>
      </c>
      <c r="AX59" s="690"/>
    </row>
    <row r="60" spans="2:50">
      <c r="B60" s="676"/>
      <c r="C60" s="309">
        <v>19</v>
      </c>
      <c r="D60" s="227" t="s">
        <v>933</v>
      </c>
      <c r="E60" s="182">
        <v>17</v>
      </c>
      <c r="F60" s="569">
        <v>1385</v>
      </c>
      <c r="G60" s="570">
        <v>81.400000000000006</v>
      </c>
      <c r="H60" s="718"/>
      <c r="I60" s="199">
        <f t="shared" si="18"/>
        <v>17</v>
      </c>
      <c r="J60" s="199">
        <f t="shared" si="19"/>
        <v>1278.6758379027272</v>
      </c>
      <c r="K60" s="200">
        <f t="shared" si="20"/>
        <v>75.216225758983938</v>
      </c>
      <c r="L60" s="650"/>
      <c r="M60" s="199">
        <f>RANK(K60, K$42:$K$71)</f>
        <v>14</v>
      </c>
      <c r="N60" s="668"/>
      <c r="O60" s="668"/>
      <c r="P60" s="182">
        <v>17</v>
      </c>
      <c r="Q60" s="182">
        <v>1275.7142857142853</v>
      </c>
      <c r="R60" s="182">
        <v>75.042016806722671</v>
      </c>
      <c r="S60" s="309">
        <f t="shared" si="11"/>
        <v>14</v>
      </c>
      <c r="T60" s="690"/>
      <c r="U60" s="182">
        <v>17</v>
      </c>
      <c r="V60" s="182">
        <v>1284.7058823529396</v>
      </c>
      <c r="W60" s="182">
        <v>75.570934256055267</v>
      </c>
      <c r="X60" s="309">
        <f t="shared" si="12"/>
        <v>14</v>
      </c>
      <c r="Y60" s="690"/>
      <c r="Z60" s="182">
        <v>17</v>
      </c>
      <c r="AA60" s="182">
        <v>1293.9999999999977</v>
      </c>
      <c r="AB60" s="182">
        <v>76.117647058823394</v>
      </c>
      <c r="AC60" s="309">
        <f t="shared" si="13"/>
        <v>13</v>
      </c>
      <c r="AD60" s="690"/>
      <c r="AE60" s="182">
        <v>17</v>
      </c>
      <c r="AF60" s="182">
        <v>1274.1176470588221</v>
      </c>
      <c r="AG60" s="182">
        <v>74.948096885813058</v>
      </c>
      <c r="AH60" s="309">
        <f t="shared" si="14"/>
        <v>14</v>
      </c>
      <c r="AI60" s="690"/>
      <c r="AJ60" s="182">
        <v>17</v>
      </c>
      <c r="AK60" s="182">
        <v>1267.9999999999977</v>
      </c>
      <c r="AL60" s="182">
        <v>74.58823529411751</v>
      </c>
      <c r="AM60" s="309">
        <f t="shared" si="15"/>
        <v>15</v>
      </c>
      <c r="AN60" s="690"/>
      <c r="AO60" s="182">
        <v>17</v>
      </c>
      <c r="AP60" s="182">
        <v>1261.6216216216205</v>
      </c>
      <c r="AQ60" s="182">
        <v>74.213036565977674</v>
      </c>
      <c r="AR60" s="309">
        <f t="shared" si="16"/>
        <v>15</v>
      </c>
      <c r="AS60" s="690"/>
      <c r="AT60" s="182">
        <v>17</v>
      </c>
      <c r="AU60" s="182">
        <v>1292.5714285714271</v>
      </c>
      <c r="AV60" s="182">
        <v>76.033613445378066</v>
      </c>
      <c r="AW60" s="309">
        <f t="shared" si="17"/>
        <v>13</v>
      </c>
      <c r="AX60" s="690"/>
    </row>
    <row r="61" spans="2:50">
      <c r="B61" s="676"/>
      <c r="C61" s="309">
        <v>20</v>
      </c>
      <c r="D61" s="227" t="s">
        <v>761</v>
      </c>
      <c r="E61" s="182">
        <v>17</v>
      </c>
      <c r="F61" s="569">
        <v>1440</v>
      </c>
      <c r="G61" s="570">
        <v>84.7</v>
      </c>
      <c r="H61" s="718"/>
      <c r="I61" s="199">
        <f t="shared" si="18"/>
        <v>17</v>
      </c>
      <c r="J61" s="199">
        <f t="shared" si="19"/>
        <v>1327.6871263284306</v>
      </c>
      <c r="K61" s="200">
        <f t="shared" si="20"/>
        <v>78.09924272520179</v>
      </c>
      <c r="L61" s="650"/>
      <c r="M61" s="199">
        <f>RANK(K61, K$42:$K$71)</f>
        <v>11</v>
      </c>
      <c r="N61" s="668"/>
      <c r="O61" s="668"/>
      <c r="P61" s="182">
        <v>17</v>
      </c>
      <c r="Q61" s="182">
        <v>1336.2500000000005</v>
      </c>
      <c r="R61" s="182">
        <v>78.602941176470608</v>
      </c>
      <c r="S61" s="309">
        <f t="shared" si="11"/>
        <v>11</v>
      </c>
      <c r="T61" s="690"/>
      <c r="U61" s="182">
        <v>17</v>
      </c>
      <c r="V61" s="182">
        <v>1340</v>
      </c>
      <c r="W61" s="182">
        <v>78.82352941176471</v>
      </c>
      <c r="X61" s="309">
        <f t="shared" si="12"/>
        <v>11</v>
      </c>
      <c r="Y61" s="690"/>
      <c r="Z61" s="182">
        <v>17</v>
      </c>
      <c r="AA61" s="182">
        <v>1315.1351351351341</v>
      </c>
      <c r="AB61" s="182">
        <v>77.360890302066707</v>
      </c>
      <c r="AC61" s="309">
        <f t="shared" si="13"/>
        <v>11</v>
      </c>
      <c r="AD61" s="690"/>
      <c r="AE61" s="182">
        <v>17</v>
      </c>
      <c r="AF61" s="182">
        <v>1329.1304347826085</v>
      </c>
      <c r="AG61" s="182">
        <v>78.184143222506378</v>
      </c>
      <c r="AH61" s="309">
        <f t="shared" si="14"/>
        <v>11</v>
      </c>
      <c r="AI61" s="690"/>
      <c r="AJ61" s="182">
        <v>17</v>
      </c>
      <c r="AK61" s="182">
        <v>1325.2173913043478</v>
      </c>
      <c r="AL61" s="182">
        <v>77.953964194373398</v>
      </c>
      <c r="AM61" s="309">
        <f t="shared" si="15"/>
        <v>11</v>
      </c>
      <c r="AN61" s="690"/>
      <c r="AO61" s="182">
        <v>17</v>
      </c>
      <c r="AP61" s="182">
        <v>1328.0769230769238</v>
      </c>
      <c r="AQ61" s="182">
        <v>78.122171945701396</v>
      </c>
      <c r="AR61" s="309">
        <f t="shared" si="16"/>
        <v>12</v>
      </c>
      <c r="AS61" s="690"/>
      <c r="AT61" s="182">
        <v>17</v>
      </c>
      <c r="AU61" s="182">
        <v>1320.0000000000005</v>
      </c>
      <c r="AV61" s="182">
        <v>77.647058823529434</v>
      </c>
      <c r="AW61" s="309">
        <f t="shared" si="17"/>
        <v>11</v>
      </c>
      <c r="AX61" s="690"/>
    </row>
    <row r="62" spans="2:50">
      <c r="B62" s="676"/>
      <c r="C62" s="309">
        <v>21</v>
      </c>
      <c r="D62" s="227" t="s">
        <v>786</v>
      </c>
      <c r="E62" s="182">
        <v>18</v>
      </c>
      <c r="F62" s="569">
        <v>1500</v>
      </c>
      <c r="G62" s="570">
        <v>83.3</v>
      </c>
      <c r="H62" s="718"/>
      <c r="I62" s="199">
        <f t="shared" si="18"/>
        <v>18</v>
      </c>
      <c r="J62" s="199">
        <f t="shared" si="19"/>
        <v>1363.0264293228245</v>
      </c>
      <c r="K62" s="200">
        <f t="shared" si="20"/>
        <v>75.723690517934685</v>
      </c>
      <c r="L62" s="650"/>
      <c r="M62" s="199">
        <f>RANK(K62, K$42:$K$71)</f>
        <v>13</v>
      </c>
      <c r="N62" s="668"/>
      <c r="O62" s="668"/>
      <c r="P62" s="182">
        <v>18</v>
      </c>
      <c r="Q62" s="182">
        <v>1337.538461538463</v>
      </c>
      <c r="R62" s="182">
        <v>74.307692307692392</v>
      </c>
      <c r="S62" s="309">
        <f t="shared" si="11"/>
        <v>15</v>
      </c>
      <c r="T62" s="690"/>
      <c r="U62" s="182">
        <v>18</v>
      </c>
      <c r="V62" s="182">
        <v>1366.0000000000011</v>
      </c>
      <c r="W62" s="182">
        <v>75.888888888888957</v>
      </c>
      <c r="X62" s="309">
        <f t="shared" si="12"/>
        <v>12</v>
      </c>
      <c r="Y62" s="690"/>
      <c r="Z62" s="182">
        <v>18</v>
      </c>
      <c r="AA62" s="182">
        <v>1378.8461538461547</v>
      </c>
      <c r="AB62" s="182">
        <v>76.602564102564145</v>
      </c>
      <c r="AC62" s="309">
        <f t="shared" si="13"/>
        <v>12</v>
      </c>
      <c r="AD62" s="690"/>
      <c r="AE62" s="182">
        <v>18</v>
      </c>
      <c r="AF62" s="182">
        <v>1368.813559322035</v>
      </c>
      <c r="AG62" s="182">
        <v>76.045197740113053</v>
      </c>
      <c r="AH62" s="309">
        <f t="shared" si="14"/>
        <v>13</v>
      </c>
      <c r="AI62" s="690"/>
      <c r="AJ62" s="182">
        <v>18</v>
      </c>
      <c r="AK62" s="182">
        <v>1360.0000000000014</v>
      </c>
      <c r="AL62" s="182">
        <v>75.555555555555628</v>
      </c>
      <c r="AM62" s="309">
        <f t="shared" si="15"/>
        <v>12</v>
      </c>
      <c r="AN62" s="690"/>
      <c r="AO62" s="182">
        <v>18</v>
      </c>
      <c r="AP62" s="182">
        <v>1350.8823529411782</v>
      </c>
      <c r="AQ62" s="182">
        <v>75.049019607843235</v>
      </c>
      <c r="AR62" s="309">
        <f t="shared" si="16"/>
        <v>13</v>
      </c>
      <c r="AS62" s="690"/>
      <c r="AT62" s="182">
        <v>18</v>
      </c>
      <c r="AU62" s="182">
        <v>1379.1044776119386</v>
      </c>
      <c r="AV62" s="182">
        <v>76.616915422885484</v>
      </c>
      <c r="AW62" s="309">
        <f t="shared" si="17"/>
        <v>12</v>
      </c>
      <c r="AX62" s="690"/>
    </row>
    <row r="63" spans="2:50">
      <c r="B63" s="676"/>
      <c r="C63" s="309">
        <v>22</v>
      </c>
      <c r="D63" s="227" t="s">
        <v>938</v>
      </c>
      <c r="E63" s="182">
        <v>18</v>
      </c>
      <c r="F63" s="569">
        <v>1636</v>
      </c>
      <c r="G63" s="570">
        <v>90.9</v>
      </c>
      <c r="H63" s="718"/>
      <c r="I63" s="199">
        <f t="shared" si="18"/>
        <v>18</v>
      </c>
      <c r="J63" s="199">
        <f t="shared" si="19"/>
        <v>1307.0201592569974</v>
      </c>
      <c r="K63" s="200">
        <f t="shared" si="20"/>
        <v>72.612231069833186</v>
      </c>
      <c r="L63" s="650"/>
      <c r="M63" s="199">
        <f>RANK(K63, K$42:$K$71)</f>
        <v>18</v>
      </c>
      <c r="N63" s="668"/>
      <c r="O63" s="668"/>
      <c r="P63" s="182">
        <v>18</v>
      </c>
      <c r="Q63" s="182">
        <v>1386.8852459016389</v>
      </c>
      <c r="R63" s="182">
        <v>77.049180327868825</v>
      </c>
      <c r="S63" s="309">
        <f t="shared" si="11"/>
        <v>12</v>
      </c>
      <c r="T63" s="690"/>
      <c r="U63" s="182">
        <v>18</v>
      </c>
      <c r="V63" s="182">
        <v>1295.2258064516109</v>
      </c>
      <c r="W63" s="182">
        <v>71.956989247311711</v>
      </c>
      <c r="X63" s="309">
        <f t="shared" si="12"/>
        <v>18</v>
      </c>
      <c r="Y63" s="690"/>
      <c r="Z63" s="182">
        <v>18</v>
      </c>
      <c r="AA63" s="182">
        <v>1312.258064516127</v>
      </c>
      <c r="AB63" s="182">
        <v>72.903225806451502</v>
      </c>
      <c r="AC63" s="309">
        <f t="shared" si="13"/>
        <v>17</v>
      </c>
      <c r="AD63" s="690"/>
      <c r="AE63" s="182">
        <v>18</v>
      </c>
      <c r="AF63" s="182">
        <v>1323.1565217391303</v>
      </c>
      <c r="AG63" s="182">
        <v>73.508695652173913</v>
      </c>
      <c r="AH63" s="309">
        <f t="shared" si="14"/>
        <v>17</v>
      </c>
      <c r="AI63" s="690"/>
      <c r="AJ63" s="182">
        <v>18</v>
      </c>
      <c r="AK63" s="182">
        <v>1288.8333333333321</v>
      </c>
      <c r="AL63" s="182">
        <v>71.601851851851791</v>
      </c>
      <c r="AM63" s="309">
        <f t="shared" si="15"/>
        <v>19</v>
      </c>
      <c r="AN63" s="690"/>
      <c r="AO63" s="182">
        <v>18</v>
      </c>
      <c r="AP63" s="182">
        <v>1314.6571428571424</v>
      </c>
      <c r="AQ63" s="182">
        <v>73.036507936507917</v>
      </c>
      <c r="AR63" s="309">
        <f t="shared" si="16"/>
        <v>16</v>
      </c>
      <c r="AS63" s="690"/>
      <c r="AT63" s="182">
        <v>18</v>
      </c>
      <c r="AU63" s="182">
        <v>1228.1250000000005</v>
      </c>
      <c r="AV63" s="182">
        <v>68.229166666666686</v>
      </c>
      <c r="AW63" s="309">
        <f t="shared" si="17"/>
        <v>22</v>
      </c>
      <c r="AX63" s="690"/>
    </row>
    <row r="64" spans="2:50">
      <c r="B64" s="676"/>
      <c r="C64" s="309">
        <v>23</v>
      </c>
      <c r="D64" s="227" t="s">
        <v>789</v>
      </c>
      <c r="E64" s="182">
        <v>20</v>
      </c>
      <c r="F64" s="569">
        <v>1500</v>
      </c>
      <c r="G64" s="570">
        <v>75</v>
      </c>
      <c r="H64" s="718"/>
      <c r="I64" s="199">
        <f t="shared" si="18"/>
        <v>19.857142857142858</v>
      </c>
      <c r="J64" s="199">
        <f t="shared" si="19"/>
        <v>1135.0375228220068</v>
      </c>
      <c r="K64" s="200">
        <f t="shared" si="20"/>
        <v>57.17697735567522</v>
      </c>
      <c r="L64" s="650"/>
      <c r="M64" s="199">
        <f>RANK(K64, K$42:$K$71)</f>
        <v>28</v>
      </c>
      <c r="N64" s="668"/>
      <c r="O64" s="668"/>
      <c r="P64" s="182">
        <v>20</v>
      </c>
      <c r="Q64" s="182">
        <v>1124.3076923076937</v>
      </c>
      <c r="R64" s="182">
        <v>56.215384615384686</v>
      </c>
      <c r="S64" s="309">
        <f t="shared" si="11"/>
        <v>28</v>
      </c>
      <c r="T64" s="690"/>
      <c r="U64" s="182">
        <v>20</v>
      </c>
      <c r="V64" s="182">
        <v>1142.0000000000011</v>
      </c>
      <c r="W64" s="182">
        <v>57.100000000000058</v>
      </c>
      <c r="X64" s="309">
        <f t="shared" si="12"/>
        <v>28</v>
      </c>
      <c r="Y64" s="690"/>
      <c r="Z64" s="182">
        <v>19</v>
      </c>
      <c r="AA64" s="182">
        <v>1130.7692307692314</v>
      </c>
      <c r="AB64" s="182">
        <v>59.514170040485865</v>
      </c>
      <c r="AC64" s="309">
        <f t="shared" si="13"/>
        <v>28</v>
      </c>
      <c r="AD64" s="690"/>
      <c r="AE64" s="182">
        <v>20</v>
      </c>
      <c r="AF64" s="182">
        <v>1146.2068965517249</v>
      </c>
      <c r="AG64" s="182">
        <v>57.310344827586242</v>
      </c>
      <c r="AH64" s="309">
        <f t="shared" si="14"/>
        <v>29</v>
      </c>
      <c r="AI64" s="690"/>
      <c r="AJ64" s="182">
        <v>20</v>
      </c>
      <c r="AK64" s="182">
        <v>1144.1379310344837</v>
      </c>
      <c r="AL64" s="182">
        <v>57.206896551724185</v>
      </c>
      <c r="AM64" s="309">
        <f t="shared" si="15"/>
        <v>28</v>
      </c>
      <c r="AN64" s="690"/>
      <c r="AO64" s="182">
        <v>20</v>
      </c>
      <c r="AP64" s="182">
        <v>1129.0909090909104</v>
      </c>
      <c r="AQ64" s="182">
        <v>56.454545454545517</v>
      </c>
      <c r="AR64" s="309">
        <f t="shared" si="16"/>
        <v>27</v>
      </c>
      <c r="AS64" s="690"/>
      <c r="AT64" s="182">
        <v>20</v>
      </c>
      <c r="AU64" s="182">
        <v>1128.7500000000014</v>
      </c>
      <c r="AV64" s="182">
        <v>56.437500000000071</v>
      </c>
      <c r="AW64" s="309">
        <f t="shared" si="17"/>
        <v>27</v>
      </c>
      <c r="AX64" s="690"/>
    </row>
    <row r="65" spans="2:50">
      <c r="B65" s="676"/>
      <c r="C65" s="309">
        <v>24</v>
      </c>
      <c r="D65" s="227" t="s">
        <v>935</v>
      </c>
      <c r="E65" s="182">
        <v>17</v>
      </c>
      <c r="F65" s="569">
        <v>1565</v>
      </c>
      <c r="G65" s="570">
        <v>92.1</v>
      </c>
      <c r="H65" s="718"/>
      <c r="I65" s="199">
        <f t="shared" si="18"/>
        <v>19.714285714285715</v>
      </c>
      <c r="J65" s="199">
        <f t="shared" si="19"/>
        <v>1385.8887433542834</v>
      </c>
      <c r="K65" s="200">
        <f t="shared" si="20"/>
        <v>70.3984216186374</v>
      </c>
      <c r="L65" s="650"/>
      <c r="M65" s="199">
        <f>RANK(K65, K$42:$K$71)</f>
        <v>19</v>
      </c>
      <c r="N65" s="668"/>
      <c r="O65" s="668"/>
      <c r="P65" s="182">
        <v>20</v>
      </c>
      <c r="Q65" s="182">
        <v>1399.6153846153854</v>
      </c>
      <c r="R65" s="182">
        <v>69.980769230769269</v>
      </c>
      <c r="S65" s="309">
        <f t="shared" si="11"/>
        <v>22</v>
      </c>
      <c r="T65" s="690"/>
      <c r="U65" s="182">
        <v>20</v>
      </c>
      <c r="V65" s="182">
        <v>1370.5882352941182</v>
      </c>
      <c r="W65" s="182">
        <v>68.529411764705912</v>
      </c>
      <c r="X65" s="309">
        <f t="shared" si="12"/>
        <v>23</v>
      </c>
      <c r="Y65" s="690"/>
      <c r="Z65" s="182">
        <v>20</v>
      </c>
      <c r="AA65" s="182">
        <v>1382.7906976744184</v>
      </c>
      <c r="AB65" s="182">
        <v>69.139534883720927</v>
      </c>
      <c r="AC65" s="309">
        <f t="shared" si="13"/>
        <v>23</v>
      </c>
      <c r="AD65" s="690"/>
      <c r="AE65" s="182">
        <v>18</v>
      </c>
      <c r="AF65" s="182">
        <v>1391.0204081632658</v>
      </c>
      <c r="AG65" s="182">
        <v>77.278911564625872</v>
      </c>
      <c r="AH65" s="309">
        <f t="shared" si="14"/>
        <v>12</v>
      </c>
      <c r="AI65" s="690"/>
      <c r="AJ65" s="182">
        <v>20</v>
      </c>
      <c r="AK65" s="182">
        <v>1380.0000000000005</v>
      </c>
      <c r="AL65" s="182">
        <v>69.000000000000028</v>
      </c>
      <c r="AM65" s="309">
        <f t="shared" si="15"/>
        <v>22</v>
      </c>
      <c r="AN65" s="690"/>
      <c r="AO65" s="182">
        <v>20</v>
      </c>
      <c r="AP65" s="182">
        <v>1381.0526315789484</v>
      </c>
      <c r="AQ65" s="182">
        <v>69.052631578947427</v>
      </c>
      <c r="AR65" s="309">
        <f t="shared" si="16"/>
        <v>22</v>
      </c>
      <c r="AS65" s="690"/>
      <c r="AT65" s="182">
        <v>20</v>
      </c>
      <c r="AU65" s="182">
        <v>1396.1538461538469</v>
      </c>
      <c r="AV65" s="182">
        <v>69.807692307692349</v>
      </c>
      <c r="AW65" s="309">
        <f t="shared" si="17"/>
        <v>19</v>
      </c>
      <c r="AX65" s="690"/>
    </row>
    <row r="66" spans="2:50">
      <c r="B66" s="676"/>
      <c r="C66" s="309">
        <v>25</v>
      </c>
      <c r="D66" s="227" t="s">
        <v>801</v>
      </c>
      <c r="E66" s="182">
        <v>19</v>
      </c>
      <c r="F66" s="569">
        <v>1385</v>
      </c>
      <c r="G66" s="570">
        <v>72.900000000000006</v>
      </c>
      <c r="H66" s="718"/>
      <c r="I66" s="477">
        <f t="shared" ref="I66:I68" si="21">AVERAGE(P66,U66,Z66,AE66,AJ66,AO66,AT66)</f>
        <v>19.857142857142858</v>
      </c>
      <c r="J66" s="477">
        <f t="shared" ref="J66:J68" si="22">AVERAGE(Q66,V66,AA66,AF66,AK66,AP66,AU66)</f>
        <v>1113.2875453722379</v>
      </c>
      <c r="K66" s="200">
        <f t="shared" ref="K66:K68" si="23">AVERAGE(R66,W66,AB66,AG66,AL66,AQ66,AV66)</f>
        <v>56.078260814686381</v>
      </c>
      <c r="L66" s="650"/>
      <c r="M66" s="199">
        <f>RANK(K66, K$42:$K$71)</f>
        <v>29</v>
      </c>
      <c r="N66" s="668"/>
      <c r="O66" s="668"/>
      <c r="P66" s="182">
        <v>20</v>
      </c>
      <c r="Q66" s="182">
        <v>1093.0909090909097</v>
      </c>
      <c r="R66" s="182">
        <v>54.654545454545485</v>
      </c>
      <c r="S66" s="309">
        <f t="shared" si="11"/>
        <v>29</v>
      </c>
      <c r="T66" s="690"/>
      <c r="U66" s="182">
        <v>20</v>
      </c>
      <c r="V66" s="182">
        <v>1109.4545454545462</v>
      </c>
      <c r="W66" s="182">
        <v>55.472727272727312</v>
      </c>
      <c r="X66" s="309">
        <f t="shared" si="12"/>
        <v>29</v>
      </c>
      <c r="Y66" s="690"/>
      <c r="Z66" s="182">
        <v>19</v>
      </c>
      <c r="AA66" s="182">
        <v>1100.9302325581393</v>
      </c>
      <c r="AB66" s="182">
        <v>57.943696450428384</v>
      </c>
      <c r="AC66" s="309">
        <f t="shared" si="13"/>
        <v>29</v>
      </c>
      <c r="AD66" s="690"/>
      <c r="AE66" s="182">
        <v>20</v>
      </c>
      <c r="AF66" s="182">
        <v>1151.7647058823534</v>
      </c>
      <c r="AG66" s="182">
        <v>57.588235294117666</v>
      </c>
      <c r="AH66" s="309">
        <f t="shared" si="14"/>
        <v>28</v>
      </c>
      <c r="AI66" s="690"/>
      <c r="AJ66" s="182">
        <v>20</v>
      </c>
      <c r="AK66" s="182">
        <v>1132.6530612244901</v>
      </c>
      <c r="AL66" s="182">
        <v>56.632653061224502</v>
      </c>
      <c r="AM66" s="309">
        <f t="shared" si="15"/>
        <v>29</v>
      </c>
      <c r="AN66" s="690"/>
      <c r="AO66" s="182">
        <v>20</v>
      </c>
      <c r="AP66" s="182">
        <v>1108.9655172413802</v>
      </c>
      <c r="AQ66" s="182">
        <v>55.448275862069011</v>
      </c>
      <c r="AR66" s="309">
        <f t="shared" si="16"/>
        <v>28</v>
      </c>
      <c r="AS66" s="690"/>
      <c r="AT66" s="182">
        <v>20</v>
      </c>
      <c r="AU66" s="182">
        <v>1096.1538461538469</v>
      </c>
      <c r="AV66" s="182">
        <v>54.807692307692342</v>
      </c>
      <c r="AW66" s="309">
        <f t="shared" si="17"/>
        <v>28</v>
      </c>
      <c r="AX66" s="690"/>
    </row>
    <row r="67" spans="2:50">
      <c r="B67" s="676"/>
      <c r="C67" s="309">
        <v>26</v>
      </c>
      <c r="D67" s="227" t="s">
        <v>802</v>
      </c>
      <c r="E67" s="182">
        <v>18</v>
      </c>
      <c r="F67" s="569">
        <v>1440</v>
      </c>
      <c r="G67" s="570">
        <v>80</v>
      </c>
      <c r="H67" s="718"/>
      <c r="I67" s="477">
        <f t="shared" si="21"/>
        <v>18</v>
      </c>
      <c r="J67" s="477">
        <f t="shared" si="22"/>
        <v>1116.6896457579674</v>
      </c>
      <c r="K67" s="200">
        <f t="shared" si="23"/>
        <v>62.038313653220406</v>
      </c>
      <c r="L67" s="650"/>
      <c r="M67" s="199">
        <f>RANK(K67, K$42:$K$71)</f>
        <v>26</v>
      </c>
      <c r="N67" s="668"/>
      <c r="O67" s="668"/>
      <c r="P67" s="182">
        <v>18</v>
      </c>
      <c r="Q67" s="182">
        <v>1302.8571428571377</v>
      </c>
      <c r="R67" s="182">
        <v>72.380952380952095</v>
      </c>
      <c r="S67" s="309">
        <f t="shared" si="11"/>
        <v>19</v>
      </c>
      <c r="T67" s="690"/>
      <c r="U67" s="182">
        <v>18</v>
      </c>
      <c r="V67" s="182">
        <v>1079.9999999999966</v>
      </c>
      <c r="W67" s="182">
        <v>59.999999999999808</v>
      </c>
      <c r="X67" s="309">
        <f t="shared" si="12"/>
        <v>27</v>
      </c>
      <c r="Y67" s="690"/>
      <c r="Z67" s="182">
        <v>18</v>
      </c>
      <c r="AA67" s="182">
        <v>1074.2857142857181</v>
      </c>
      <c r="AB67" s="182">
        <v>59.682539682539897</v>
      </c>
      <c r="AC67" s="309">
        <f t="shared" si="13"/>
        <v>27</v>
      </c>
      <c r="AD67" s="690"/>
      <c r="AE67" s="182">
        <v>18</v>
      </c>
      <c r="AF67" s="182">
        <v>1093.8461538461511</v>
      </c>
      <c r="AG67" s="182">
        <v>60.769230769230617</v>
      </c>
      <c r="AH67" s="309">
        <f t="shared" si="14"/>
        <v>26</v>
      </c>
      <c r="AI67" s="690"/>
      <c r="AJ67" s="182">
        <v>18</v>
      </c>
      <c r="AK67" s="182">
        <v>1077.142857142861</v>
      </c>
      <c r="AL67" s="182">
        <v>59.841269841270055</v>
      </c>
      <c r="AM67" s="309">
        <f t="shared" si="15"/>
        <v>27</v>
      </c>
      <c r="AN67" s="690"/>
      <c r="AO67" s="182">
        <v>18</v>
      </c>
      <c r="AP67" s="182">
        <v>1079.9999999999975</v>
      </c>
      <c r="AQ67" s="182">
        <v>59.999999999999858</v>
      </c>
      <c r="AR67" s="309">
        <f t="shared" si="16"/>
        <v>25</v>
      </c>
      <c r="AS67" s="690"/>
      <c r="AT67" s="182">
        <v>18</v>
      </c>
      <c r="AU67" s="182">
        <v>1108.6956521739094</v>
      </c>
      <c r="AV67" s="182">
        <v>61.59420289855052</v>
      </c>
      <c r="AW67" s="309">
        <f t="shared" si="17"/>
        <v>25</v>
      </c>
      <c r="AX67" s="690"/>
    </row>
    <row r="68" spans="2:50">
      <c r="B68" s="676"/>
      <c r="C68" s="309">
        <v>27</v>
      </c>
      <c r="D68" s="227" t="s">
        <v>936</v>
      </c>
      <c r="E68" s="182">
        <v>15</v>
      </c>
      <c r="F68" s="569">
        <v>1440</v>
      </c>
      <c r="G68" s="570">
        <v>96</v>
      </c>
      <c r="H68" s="718"/>
      <c r="I68" s="477">
        <f t="shared" si="21"/>
        <v>15</v>
      </c>
      <c r="J68" s="477">
        <f t="shared" si="22"/>
        <v>1280.3643701131077</v>
      </c>
      <c r="K68" s="200">
        <f t="shared" si="23"/>
        <v>85.357624674207187</v>
      </c>
      <c r="L68" s="650"/>
      <c r="M68" s="199">
        <f>RANK(K68, K$42:$K$71)</f>
        <v>6</v>
      </c>
      <c r="N68" s="668"/>
      <c r="O68" s="668"/>
      <c r="P68" s="182">
        <v>15</v>
      </c>
      <c r="Q68" s="182">
        <v>1341.9512195121945</v>
      </c>
      <c r="R68" s="182">
        <v>89.463414634146304</v>
      </c>
      <c r="S68" s="309">
        <f t="shared" si="11"/>
        <v>4</v>
      </c>
      <c r="T68" s="690"/>
      <c r="U68" s="182">
        <v>15</v>
      </c>
      <c r="V68" s="182">
        <v>1315.4999999999995</v>
      </c>
      <c r="W68" s="182">
        <v>87.699999999999974</v>
      </c>
      <c r="X68" s="309">
        <f t="shared" si="12"/>
        <v>3</v>
      </c>
      <c r="Y68" s="690"/>
      <c r="Z68" s="182">
        <v>15</v>
      </c>
      <c r="AA68" s="182">
        <v>1265.1428571428557</v>
      </c>
      <c r="AB68" s="182">
        <v>84.342857142857056</v>
      </c>
      <c r="AC68" s="309">
        <f t="shared" si="13"/>
        <v>7</v>
      </c>
      <c r="AD68" s="690"/>
      <c r="AE68" s="182">
        <v>15</v>
      </c>
      <c r="AF68" s="182">
        <v>1271.1627906976742</v>
      </c>
      <c r="AG68" s="182">
        <v>84.744186046511615</v>
      </c>
      <c r="AH68" s="309">
        <f t="shared" si="14"/>
        <v>7</v>
      </c>
      <c r="AI68" s="690"/>
      <c r="AJ68" s="182">
        <v>15</v>
      </c>
      <c r="AK68" s="182">
        <v>1258.421052631578</v>
      </c>
      <c r="AL68" s="182">
        <v>83.894736842105203</v>
      </c>
      <c r="AM68" s="309">
        <f t="shared" si="15"/>
        <v>7</v>
      </c>
      <c r="AN68" s="690"/>
      <c r="AO68" s="182">
        <v>15</v>
      </c>
      <c r="AP68" s="182">
        <v>1256.0869565217392</v>
      </c>
      <c r="AQ68" s="182">
        <v>83.739130434782609</v>
      </c>
      <c r="AR68" s="309">
        <f t="shared" si="16"/>
        <v>8</v>
      </c>
      <c r="AS68" s="690"/>
      <c r="AT68" s="182">
        <v>15</v>
      </c>
      <c r="AU68" s="182">
        <v>1254.2857142857138</v>
      </c>
      <c r="AV68" s="182">
        <v>83.619047619047578</v>
      </c>
      <c r="AW68" s="309">
        <f t="shared" si="17"/>
        <v>8</v>
      </c>
      <c r="AX68" s="690"/>
    </row>
    <row r="69" spans="2:50">
      <c r="B69" s="676"/>
      <c r="C69" s="309">
        <v>28</v>
      </c>
      <c r="D69" s="227" t="s">
        <v>872</v>
      </c>
      <c r="E69" s="182">
        <v>21</v>
      </c>
      <c r="F69" s="569">
        <v>1500</v>
      </c>
      <c r="G69" s="570">
        <v>71.400000000000006</v>
      </c>
      <c r="H69" s="718"/>
      <c r="I69" s="523">
        <f t="shared" ref="I69:I70" si="24">AVERAGE(P69,U69,Z69,AE69,AJ69,AO69,AT69)</f>
        <v>21</v>
      </c>
      <c r="J69" s="523">
        <f t="shared" ref="J69:J70" si="25">AVERAGE(Q69,V69,AA69,AF69,AK69,AP69,AU69)</f>
        <v>1267.4155506603529</v>
      </c>
      <c r="K69" s="200">
        <f t="shared" ref="K69:K70" si="26">AVERAGE(R69,W69,AB69,AG69,AL69,AQ69,AV69)</f>
        <v>60.353121460016794</v>
      </c>
      <c r="L69" s="650"/>
      <c r="M69" s="199">
        <f>RANK(K69, K$42:$K$71)</f>
        <v>27</v>
      </c>
      <c r="N69" s="668"/>
      <c r="O69" s="668"/>
      <c r="P69" s="182">
        <v>21</v>
      </c>
      <c r="Q69" s="182">
        <v>1257.7358490566046</v>
      </c>
      <c r="R69" s="182">
        <v>59.89218328840974</v>
      </c>
      <c r="S69" s="309">
        <f t="shared" si="11"/>
        <v>27</v>
      </c>
      <c r="T69" s="690"/>
      <c r="U69" s="182">
        <v>21</v>
      </c>
      <c r="V69" s="182">
        <v>1260.0000000000005</v>
      </c>
      <c r="W69" s="182">
        <v>60.000000000000021</v>
      </c>
      <c r="X69" s="309">
        <f t="shared" si="12"/>
        <v>26</v>
      </c>
      <c r="Y69" s="690"/>
      <c r="Z69" s="182">
        <v>21</v>
      </c>
      <c r="AA69" s="182">
        <v>1271.0204081632655</v>
      </c>
      <c r="AB69" s="182">
        <v>60.524781341107882</v>
      </c>
      <c r="AC69" s="309">
        <f t="shared" si="13"/>
        <v>26</v>
      </c>
      <c r="AD69" s="690"/>
      <c r="AE69" s="182">
        <v>21</v>
      </c>
      <c r="AF69" s="182">
        <v>1255.0000000000002</v>
      </c>
      <c r="AG69" s="182">
        <v>59.761904761904773</v>
      </c>
      <c r="AH69" s="309">
        <f t="shared" si="14"/>
        <v>27</v>
      </c>
      <c r="AI69" s="690"/>
      <c r="AJ69" s="182">
        <v>21</v>
      </c>
      <c r="AK69" s="182">
        <v>1303.7500000000002</v>
      </c>
      <c r="AL69" s="182">
        <v>62.083333333333343</v>
      </c>
      <c r="AM69" s="309">
        <f t="shared" si="15"/>
        <v>26</v>
      </c>
      <c r="AN69" s="690"/>
      <c r="AO69" s="182">
        <v>21</v>
      </c>
      <c r="AP69" s="182">
        <v>1257.8571428571438</v>
      </c>
      <c r="AQ69" s="182">
        <v>59.897959183673514</v>
      </c>
      <c r="AR69" s="309">
        <f t="shared" si="16"/>
        <v>26</v>
      </c>
      <c r="AS69" s="690"/>
      <c r="AT69" s="182">
        <v>21</v>
      </c>
      <c r="AU69" s="182">
        <v>1266.5454545454554</v>
      </c>
      <c r="AV69" s="182">
        <v>60.31168831168835</v>
      </c>
      <c r="AW69" s="309">
        <f t="shared" si="17"/>
        <v>26</v>
      </c>
      <c r="AX69" s="690"/>
    </row>
    <row r="70" spans="2:50">
      <c r="B70" s="676"/>
      <c r="C70" s="309">
        <v>29</v>
      </c>
      <c r="D70" s="227" t="s">
        <v>937</v>
      </c>
      <c r="E70" s="182">
        <v>19</v>
      </c>
      <c r="F70" s="569">
        <v>1500</v>
      </c>
      <c r="G70" s="570">
        <v>78.900000000000006</v>
      </c>
      <c r="H70" s="718"/>
      <c r="I70" s="523">
        <f t="shared" si="24"/>
        <v>19</v>
      </c>
      <c r="J70" s="523">
        <f t="shared" si="25"/>
        <v>1242.8228069389775</v>
      </c>
      <c r="K70" s="200">
        <f t="shared" si="26"/>
        <v>65.411726680998825</v>
      </c>
      <c r="L70" s="650"/>
      <c r="M70" s="199">
        <f>RANK(K70, K$42:$K$71)</f>
        <v>25</v>
      </c>
      <c r="N70" s="668"/>
      <c r="O70" s="668"/>
      <c r="P70" s="182">
        <v>19</v>
      </c>
      <c r="Q70" s="182">
        <v>1238.8500000000008</v>
      </c>
      <c r="R70" s="182">
        <v>65.202631578947418</v>
      </c>
      <c r="S70" s="309">
        <f t="shared" si="11"/>
        <v>26</v>
      </c>
      <c r="T70" s="690"/>
      <c r="U70" s="182">
        <v>19</v>
      </c>
      <c r="V70" s="182">
        <v>1241.0052631578942</v>
      </c>
      <c r="W70" s="182">
        <v>65.316066481994426</v>
      </c>
      <c r="X70" s="309">
        <f t="shared" si="12"/>
        <v>25</v>
      </c>
      <c r="Y70" s="690"/>
      <c r="Z70" s="182">
        <v>19</v>
      </c>
      <c r="AA70" s="182">
        <v>1245.7241379310344</v>
      </c>
      <c r="AB70" s="182">
        <v>65.564428312159706</v>
      </c>
      <c r="AC70" s="309">
        <f t="shared" si="13"/>
        <v>25</v>
      </c>
      <c r="AD70" s="690"/>
      <c r="AE70" s="182">
        <v>19</v>
      </c>
      <c r="AF70" s="182">
        <v>1238.5326315789475</v>
      </c>
      <c r="AG70" s="182">
        <v>65.185927977839341</v>
      </c>
      <c r="AH70" s="309">
        <f t="shared" si="14"/>
        <v>25</v>
      </c>
      <c r="AI70" s="690"/>
      <c r="AJ70" s="182">
        <v>19</v>
      </c>
      <c r="AK70" s="182">
        <v>1248.2526315789476</v>
      </c>
      <c r="AL70" s="182">
        <v>65.697506925207762</v>
      </c>
      <c r="AM70" s="309">
        <f t="shared" si="15"/>
        <v>25</v>
      </c>
      <c r="AN70" s="690"/>
      <c r="AO70" s="182">
        <v>19</v>
      </c>
      <c r="AP70" s="182">
        <v>1234.6363636363642</v>
      </c>
      <c r="AQ70" s="182">
        <v>64.980861244019167</v>
      </c>
      <c r="AR70" s="309">
        <f t="shared" si="16"/>
        <v>24</v>
      </c>
      <c r="AS70" s="690"/>
      <c r="AT70" s="182">
        <v>19</v>
      </c>
      <c r="AU70" s="182">
        <v>1252.7586206896544</v>
      </c>
      <c r="AV70" s="182">
        <v>65.934664246823914</v>
      </c>
      <c r="AW70" s="309">
        <f t="shared" si="17"/>
        <v>24</v>
      </c>
      <c r="AX70" s="690"/>
    </row>
    <row r="71" spans="2:50">
      <c r="B71" s="676"/>
      <c r="C71" s="309">
        <v>30</v>
      </c>
      <c r="D71" s="227"/>
      <c r="E71" s="182"/>
      <c r="F71" s="569"/>
      <c r="G71" s="570"/>
      <c r="H71" s="719"/>
      <c r="I71" s="202"/>
      <c r="J71" s="202"/>
      <c r="K71" s="202"/>
      <c r="L71" s="651"/>
      <c r="M71" s="199" t="e">
        <f>RANK(K71, K$42:$K$71)</f>
        <v>#N/A</v>
      </c>
      <c r="N71" s="668"/>
      <c r="O71" s="668"/>
      <c r="P71" s="182" t="s">
        <v>760</v>
      </c>
      <c r="Q71" s="182" t="s">
        <v>760</v>
      </c>
      <c r="R71" s="182" t="s">
        <v>760</v>
      </c>
      <c r="S71" s="309" t="e">
        <f t="shared" si="11"/>
        <v>#VALUE!</v>
      </c>
      <c r="T71" s="690"/>
      <c r="U71" s="182"/>
      <c r="V71" s="182"/>
      <c r="W71" s="182"/>
      <c r="X71" s="309" t="e">
        <f t="shared" si="12"/>
        <v>#N/A</v>
      </c>
      <c r="Y71" s="690"/>
      <c r="Z71" s="182"/>
      <c r="AA71" s="182"/>
      <c r="AB71" s="182"/>
      <c r="AC71" s="309" t="e">
        <f t="shared" si="13"/>
        <v>#N/A</v>
      </c>
      <c r="AD71" s="690"/>
      <c r="AE71" s="182"/>
      <c r="AF71" s="182"/>
      <c r="AG71" s="182"/>
      <c r="AH71" s="309" t="e">
        <f t="shared" si="14"/>
        <v>#N/A</v>
      </c>
      <c r="AI71" s="690"/>
      <c r="AJ71" s="182"/>
      <c r="AK71" s="182"/>
      <c r="AL71" s="182"/>
      <c r="AM71" s="309" t="e">
        <f t="shared" si="15"/>
        <v>#N/A</v>
      </c>
      <c r="AN71" s="690"/>
      <c r="AO71" s="182"/>
      <c r="AP71" s="182"/>
      <c r="AQ71" s="182"/>
      <c r="AR71" s="309" t="e">
        <f t="shared" si="16"/>
        <v>#N/A</v>
      </c>
      <c r="AS71" s="690"/>
      <c r="AT71" s="182"/>
      <c r="AU71" s="182"/>
      <c r="AV71" s="182"/>
      <c r="AW71" s="309" t="e">
        <f t="shared" si="17"/>
        <v>#N/A</v>
      </c>
      <c r="AX71" s="690"/>
    </row>
    <row r="72" spans="2:50" ht="15.75">
      <c r="B72" s="694" t="s">
        <v>163</v>
      </c>
      <c r="C72" s="695"/>
      <c r="D72" s="695"/>
      <c r="E72" s="695"/>
      <c r="F72" s="695"/>
      <c r="G72" s="695"/>
      <c r="H72" s="695"/>
      <c r="I72" s="208"/>
      <c r="J72" s="203"/>
      <c r="K72" s="208"/>
      <c r="L72" s="208"/>
      <c r="M72" s="204"/>
      <c r="N72" s="669" t="s">
        <v>156</v>
      </c>
      <c r="O72" s="669" t="s">
        <v>105</v>
      </c>
      <c r="P72" s="675">
        <f>P37+7</f>
        <v>46098</v>
      </c>
      <c r="Q72" s="676"/>
      <c r="R72" s="676"/>
      <c r="S72" s="676"/>
      <c r="T72" s="676"/>
      <c r="U72" s="672">
        <f>P72+1</f>
        <v>46099</v>
      </c>
      <c r="V72" s="673"/>
      <c r="W72" s="673"/>
      <c r="X72" s="673"/>
      <c r="Y72" s="674"/>
      <c r="Z72" s="672">
        <f>U72+1</f>
        <v>46100</v>
      </c>
      <c r="AA72" s="673"/>
      <c r="AB72" s="673"/>
      <c r="AC72" s="673"/>
      <c r="AD72" s="674"/>
      <c r="AE72" s="672">
        <f>Z72+1</f>
        <v>46101</v>
      </c>
      <c r="AF72" s="673"/>
      <c r="AG72" s="673"/>
      <c r="AH72" s="673"/>
      <c r="AI72" s="674"/>
      <c r="AJ72" s="672">
        <f>AE72+1</f>
        <v>46102</v>
      </c>
      <c r="AK72" s="673"/>
      <c r="AL72" s="673"/>
      <c r="AM72" s="673"/>
      <c r="AN72" s="674"/>
      <c r="AO72" s="672">
        <f>AJ72+1</f>
        <v>46103</v>
      </c>
      <c r="AP72" s="673"/>
      <c r="AQ72" s="673"/>
      <c r="AR72" s="673"/>
      <c r="AS72" s="674"/>
      <c r="AT72" s="672">
        <f>AO72+1</f>
        <v>46104</v>
      </c>
      <c r="AU72" s="673"/>
      <c r="AV72" s="673"/>
      <c r="AW72" s="673"/>
      <c r="AX72" s="674"/>
    </row>
    <row r="73" spans="2:50" ht="15.75">
      <c r="B73" s="683"/>
      <c r="C73" s="683"/>
      <c r="D73" s="683"/>
      <c r="E73" s="683"/>
      <c r="F73" s="683"/>
      <c r="G73" s="683"/>
      <c r="H73" s="683"/>
      <c r="I73" s="205"/>
      <c r="J73" s="205"/>
      <c r="K73" s="205"/>
      <c r="L73" s="205"/>
      <c r="M73" s="206"/>
      <c r="N73" s="671"/>
      <c r="O73" s="671"/>
      <c r="P73" s="675" t="s">
        <v>336</v>
      </c>
      <c r="Q73" s="676"/>
      <c r="R73" s="676"/>
      <c r="S73" s="676"/>
      <c r="T73" s="676"/>
      <c r="U73" s="675" t="s">
        <v>337</v>
      </c>
      <c r="V73" s="676"/>
      <c r="W73" s="676"/>
      <c r="X73" s="676"/>
      <c r="Y73" s="676"/>
      <c r="Z73" s="675" t="s">
        <v>338</v>
      </c>
      <c r="AA73" s="676"/>
      <c r="AB73" s="676"/>
      <c r="AC73" s="676"/>
      <c r="AD73" s="676"/>
      <c r="AE73" s="675" t="s">
        <v>339</v>
      </c>
      <c r="AF73" s="676"/>
      <c r="AG73" s="676"/>
      <c r="AH73" s="676"/>
      <c r="AI73" s="676"/>
      <c r="AJ73" s="675" t="s">
        <v>340</v>
      </c>
      <c r="AK73" s="676"/>
      <c r="AL73" s="676"/>
      <c r="AM73" s="676"/>
      <c r="AN73" s="676"/>
      <c r="AO73" s="675" t="s">
        <v>341</v>
      </c>
      <c r="AP73" s="676"/>
      <c r="AQ73" s="676"/>
      <c r="AR73" s="676"/>
      <c r="AS73" s="676"/>
      <c r="AT73" s="675" t="s">
        <v>342</v>
      </c>
      <c r="AU73" s="676"/>
      <c r="AV73" s="676"/>
      <c r="AW73" s="676"/>
      <c r="AX73" s="676"/>
    </row>
    <row r="74" spans="2:50">
      <c r="B74" s="668" t="s">
        <v>477</v>
      </c>
      <c r="C74" s="668" t="s">
        <v>478</v>
      </c>
      <c r="D74" s="668"/>
      <c r="E74" s="668" t="s">
        <v>479</v>
      </c>
      <c r="F74" s="668"/>
      <c r="G74" s="668"/>
      <c r="H74" s="684" t="s">
        <v>480</v>
      </c>
      <c r="I74" s="652" t="s">
        <v>481</v>
      </c>
      <c r="J74" s="652"/>
      <c r="K74" s="652"/>
      <c r="L74" s="653" t="s">
        <v>480</v>
      </c>
      <c r="M74" s="659" t="s">
        <v>482</v>
      </c>
      <c r="N74" s="668"/>
      <c r="O74" s="668" t="s">
        <v>483</v>
      </c>
      <c r="P74" s="665" t="s">
        <v>484</v>
      </c>
      <c r="Q74" s="666"/>
      <c r="R74" s="666"/>
      <c r="S74" s="667"/>
      <c r="T74" s="668" t="s">
        <v>480</v>
      </c>
      <c r="U74" s="665" t="s">
        <v>484</v>
      </c>
      <c r="V74" s="666"/>
      <c r="W74" s="666"/>
      <c r="X74" s="667"/>
      <c r="Y74" s="668" t="s">
        <v>480</v>
      </c>
      <c r="Z74" s="665" t="s">
        <v>484</v>
      </c>
      <c r="AA74" s="666"/>
      <c r="AB74" s="666"/>
      <c r="AC74" s="667"/>
      <c r="AD74" s="668" t="s">
        <v>480</v>
      </c>
      <c r="AE74" s="665" t="s">
        <v>484</v>
      </c>
      <c r="AF74" s="666"/>
      <c r="AG74" s="666"/>
      <c r="AH74" s="667"/>
      <c r="AI74" s="668" t="s">
        <v>480</v>
      </c>
      <c r="AJ74" s="665" t="s">
        <v>484</v>
      </c>
      <c r="AK74" s="666"/>
      <c r="AL74" s="666"/>
      <c r="AM74" s="667"/>
      <c r="AN74" s="668" t="s">
        <v>480</v>
      </c>
      <c r="AO74" s="665" t="s">
        <v>484</v>
      </c>
      <c r="AP74" s="666"/>
      <c r="AQ74" s="666"/>
      <c r="AR74" s="667"/>
      <c r="AS74" s="668" t="s">
        <v>480</v>
      </c>
      <c r="AT74" s="665" t="s">
        <v>484</v>
      </c>
      <c r="AU74" s="666"/>
      <c r="AV74" s="666"/>
      <c r="AW74" s="667"/>
      <c r="AX74" s="668" t="s">
        <v>480</v>
      </c>
    </row>
    <row r="75" spans="2:50">
      <c r="B75" s="668"/>
      <c r="C75" s="668"/>
      <c r="D75" s="668"/>
      <c r="E75" s="668" t="s">
        <v>485</v>
      </c>
      <c r="F75" s="668"/>
      <c r="G75" s="668"/>
      <c r="H75" s="685"/>
      <c r="I75" s="652" t="s">
        <v>485</v>
      </c>
      <c r="J75" s="652"/>
      <c r="K75" s="652"/>
      <c r="L75" s="654"/>
      <c r="M75" s="660"/>
      <c r="N75" s="668"/>
      <c r="O75" s="668"/>
      <c r="P75" s="665" t="s">
        <v>486</v>
      </c>
      <c r="Q75" s="666"/>
      <c r="R75" s="666"/>
      <c r="S75" s="667"/>
      <c r="T75" s="668"/>
      <c r="U75" s="665" t="s">
        <v>486</v>
      </c>
      <c r="V75" s="666"/>
      <c r="W75" s="666"/>
      <c r="X75" s="667"/>
      <c r="Y75" s="668"/>
      <c r="Z75" s="665" t="s">
        <v>486</v>
      </c>
      <c r="AA75" s="666"/>
      <c r="AB75" s="666"/>
      <c r="AC75" s="667"/>
      <c r="AD75" s="668"/>
      <c r="AE75" s="665" t="s">
        <v>486</v>
      </c>
      <c r="AF75" s="666"/>
      <c r="AG75" s="666"/>
      <c r="AH75" s="667"/>
      <c r="AI75" s="668"/>
      <c r="AJ75" s="665" t="s">
        <v>486</v>
      </c>
      <c r="AK75" s="666"/>
      <c r="AL75" s="666"/>
      <c r="AM75" s="667"/>
      <c r="AN75" s="668"/>
      <c r="AO75" s="665" t="s">
        <v>486</v>
      </c>
      <c r="AP75" s="666"/>
      <c r="AQ75" s="666"/>
      <c r="AR75" s="667"/>
      <c r="AS75" s="668"/>
      <c r="AT75" s="665" t="s">
        <v>486</v>
      </c>
      <c r="AU75" s="666"/>
      <c r="AV75" s="666"/>
      <c r="AW75" s="667"/>
      <c r="AX75" s="668"/>
    </row>
    <row r="76" spans="2:50">
      <c r="B76" s="668"/>
      <c r="C76" s="668"/>
      <c r="D76" s="668"/>
      <c r="E76" s="308" t="s">
        <v>487</v>
      </c>
      <c r="F76" s="308" t="s">
        <v>488</v>
      </c>
      <c r="G76" s="308" t="s">
        <v>489</v>
      </c>
      <c r="H76" s="686"/>
      <c r="I76" s="307" t="s">
        <v>487</v>
      </c>
      <c r="J76" s="307" t="s">
        <v>488</v>
      </c>
      <c r="K76" s="307" t="s">
        <v>489</v>
      </c>
      <c r="L76" s="655"/>
      <c r="M76" s="661"/>
      <c r="N76" s="668"/>
      <c r="O76" s="668"/>
      <c r="P76" s="308" t="s">
        <v>487</v>
      </c>
      <c r="Q76" s="308" t="s">
        <v>488</v>
      </c>
      <c r="R76" s="308" t="s">
        <v>489</v>
      </c>
      <c r="S76" s="308" t="s">
        <v>482</v>
      </c>
      <c r="T76" s="668"/>
      <c r="U76" s="308" t="s">
        <v>487</v>
      </c>
      <c r="V76" s="308" t="s">
        <v>488</v>
      </c>
      <c r="W76" s="308" t="s">
        <v>489</v>
      </c>
      <c r="X76" s="308" t="s">
        <v>482</v>
      </c>
      <c r="Y76" s="668"/>
      <c r="Z76" s="308" t="s">
        <v>487</v>
      </c>
      <c r="AA76" s="308" t="s">
        <v>488</v>
      </c>
      <c r="AB76" s="308" t="s">
        <v>489</v>
      </c>
      <c r="AC76" s="308" t="s">
        <v>482</v>
      </c>
      <c r="AD76" s="668"/>
      <c r="AE76" s="308" t="s">
        <v>487</v>
      </c>
      <c r="AF76" s="308" t="s">
        <v>488</v>
      </c>
      <c r="AG76" s="308" t="s">
        <v>489</v>
      </c>
      <c r="AH76" s="308" t="s">
        <v>482</v>
      </c>
      <c r="AI76" s="668"/>
      <c r="AJ76" s="308" t="s">
        <v>487</v>
      </c>
      <c r="AK76" s="308" t="s">
        <v>488</v>
      </c>
      <c r="AL76" s="308" t="s">
        <v>489</v>
      </c>
      <c r="AM76" s="308" t="s">
        <v>482</v>
      </c>
      <c r="AN76" s="668"/>
      <c r="AO76" s="308" t="s">
        <v>487</v>
      </c>
      <c r="AP76" s="308" t="s">
        <v>488</v>
      </c>
      <c r="AQ76" s="308" t="s">
        <v>489</v>
      </c>
      <c r="AR76" s="308" t="s">
        <v>482</v>
      </c>
      <c r="AS76" s="668"/>
      <c r="AT76" s="308" t="s">
        <v>487</v>
      </c>
      <c r="AU76" s="308" t="s">
        <v>488</v>
      </c>
      <c r="AV76" s="308" t="s">
        <v>489</v>
      </c>
      <c r="AW76" s="308" t="s">
        <v>482</v>
      </c>
      <c r="AX76" s="668"/>
    </row>
    <row r="77" spans="2:50">
      <c r="B77" s="668" t="s">
        <v>490</v>
      </c>
      <c r="C77" s="309">
        <v>1</v>
      </c>
      <c r="D77" s="227" t="s">
        <v>367</v>
      </c>
      <c r="E77" s="182">
        <v>6</v>
      </c>
      <c r="F77" s="569">
        <v>1500</v>
      </c>
      <c r="G77" s="570">
        <v>250</v>
      </c>
      <c r="H77" s="717">
        <f>AVERAGE(G77:G106)</f>
        <v>96.213793103448296</v>
      </c>
      <c r="I77" s="199">
        <f>AVERAGE(P77,U77,Z77,AE77,AJ77,AO77,AT77)</f>
        <v>7</v>
      </c>
      <c r="J77" s="199">
        <f>AVERAGE(Q77,V77,AA77,AF77,AK77,AP77,AU77)</f>
        <v>1492.9821212057632</v>
      </c>
      <c r="K77" s="200">
        <f>AVERAGE(R77,W77,AB77,AG77,AL77,AQ77,AV77)</f>
        <v>213.28316017225188</v>
      </c>
      <c r="L77" s="649">
        <f>IFERROR(AVERAGE(K77:K106),"-")</f>
        <v>83.861530141801694</v>
      </c>
      <c r="M77" s="201">
        <f>RANK(K77, K$77:$K$106)</f>
        <v>1</v>
      </c>
      <c r="N77" s="668"/>
      <c r="O77" s="668"/>
      <c r="P77" s="182">
        <v>7</v>
      </c>
      <c r="Q77" s="182">
        <v>1510.1000000000001</v>
      </c>
      <c r="R77" s="182">
        <v>215.72857142857146</v>
      </c>
      <c r="S77" s="309">
        <f>RANK(R77, R$77:R$106)</f>
        <v>1</v>
      </c>
      <c r="T77" s="690">
        <f>AVERAGE(R77:R106)</f>
        <v>83.860537982723159</v>
      </c>
      <c r="U77" s="182">
        <v>7</v>
      </c>
      <c r="V77" s="182">
        <v>1475.9016393442625</v>
      </c>
      <c r="W77" s="182">
        <v>210.84309133489464</v>
      </c>
      <c r="X77" s="334">
        <f>RANK(W77, W$77:W$106)</f>
        <v>2</v>
      </c>
      <c r="Y77" s="690">
        <f>AVERAGE(W77:W106)</f>
        <v>84.376156927498755</v>
      </c>
      <c r="Z77" s="182">
        <v>7</v>
      </c>
      <c r="AA77" s="182">
        <v>1481.1864406779659</v>
      </c>
      <c r="AB77" s="182">
        <v>211.59806295399514</v>
      </c>
      <c r="AC77" s="334">
        <f>RANK(AB77, AB$77:AB$106)</f>
        <v>1</v>
      </c>
      <c r="AD77" s="690">
        <f>AVERAGE(AB77:AB106)</f>
        <v>84.194694116247121</v>
      </c>
      <c r="AE77" s="182">
        <v>7</v>
      </c>
      <c r="AF77" s="182">
        <v>1490.9647058823527</v>
      </c>
      <c r="AG77" s="182">
        <v>212.99495798319325</v>
      </c>
      <c r="AH77" s="334">
        <f>RANK(AG77, AG$77:AG$106)</f>
        <v>1</v>
      </c>
      <c r="AI77" s="690">
        <f>AVERAGE(AG77:AG106)</f>
        <v>85.366123786788648</v>
      </c>
      <c r="AJ77" s="182">
        <v>7</v>
      </c>
      <c r="AK77" s="182">
        <v>1491.762162162162</v>
      </c>
      <c r="AL77" s="182">
        <v>213.10888030888029</v>
      </c>
      <c r="AM77" s="334">
        <f>RANK(AL77, AL$77:AL$106)</f>
        <v>1</v>
      </c>
      <c r="AN77" s="690">
        <f>AVERAGE(AL77:AL106)</f>
        <v>84.776497876063658</v>
      </c>
      <c r="AO77" s="182">
        <v>7</v>
      </c>
      <c r="AP77" s="182">
        <v>1507.1780821917807</v>
      </c>
      <c r="AQ77" s="182">
        <v>215.31115459882582</v>
      </c>
      <c r="AR77" s="334">
        <f>RANK(AQ77, AQ$77:AQ$106)</f>
        <v>1</v>
      </c>
      <c r="AS77" s="690">
        <f>AVERAGE(AQ77:AQ106)</f>
        <v>85.301617255911552</v>
      </c>
      <c r="AT77" s="182">
        <v>7</v>
      </c>
      <c r="AU77" s="182">
        <v>1493.7818181818182</v>
      </c>
      <c r="AV77" s="182">
        <v>213.39740259740259</v>
      </c>
      <c r="AW77" s="334">
        <f>RANK(AV77, AV$77:AV$106)</f>
        <v>1</v>
      </c>
      <c r="AX77" s="690">
        <f>AVERAGE(AV77:AV106)</f>
        <v>84.696874940589467</v>
      </c>
    </row>
    <row r="78" spans="2:50">
      <c r="B78" s="676"/>
      <c r="C78" s="309">
        <v>2</v>
      </c>
      <c r="D78" s="227" t="s">
        <v>382</v>
      </c>
      <c r="E78" s="182">
        <v>7</v>
      </c>
      <c r="F78" s="569">
        <v>1636</v>
      </c>
      <c r="G78" s="570">
        <v>233.8</v>
      </c>
      <c r="H78" s="718"/>
      <c r="I78" s="199">
        <f t="shared" ref="I78:I99" si="27">AVERAGE(P78,U78,Z78,AE78,AJ78,AO78,AT78)</f>
        <v>7</v>
      </c>
      <c r="J78" s="199">
        <f t="shared" ref="J78:J99" si="28">AVERAGE(Q78,V78,AA78,AF78,AK78,AP78,AU78)</f>
        <v>1476.6126124639554</v>
      </c>
      <c r="K78" s="200">
        <f t="shared" ref="K78:K99" si="29">AVERAGE(R78,W78,AB78,AG78,AL78,AQ78,AV78)</f>
        <v>210.9446589234222</v>
      </c>
      <c r="L78" s="650"/>
      <c r="M78" s="201">
        <f>RANK(K78, K$77:$K$106)</f>
        <v>2</v>
      </c>
      <c r="N78" s="668"/>
      <c r="O78" s="668"/>
      <c r="P78" s="182">
        <v>7</v>
      </c>
      <c r="Q78" s="182">
        <v>1469.9999999999993</v>
      </c>
      <c r="R78" s="182">
        <v>209.99999999999991</v>
      </c>
      <c r="S78" s="334">
        <f t="shared" ref="S78:S106" si="30">RANK(R78, R$77:R$106)</f>
        <v>2</v>
      </c>
      <c r="T78" s="690"/>
      <c r="U78" s="182">
        <v>7</v>
      </c>
      <c r="V78" s="182">
        <v>1490.2040816326535</v>
      </c>
      <c r="W78" s="182">
        <v>212.88629737609335</v>
      </c>
      <c r="X78" s="334">
        <f t="shared" ref="X78:X106" si="31">RANK(W78, W$77:W$106)</f>
        <v>1</v>
      </c>
      <c r="Y78" s="690"/>
      <c r="Z78" s="182">
        <v>7</v>
      </c>
      <c r="AA78" s="182">
        <v>1476.2376237623755</v>
      </c>
      <c r="AB78" s="182">
        <v>210.89108910891079</v>
      </c>
      <c r="AC78" s="334">
        <f t="shared" ref="AC78:AC106" si="32">RANK(AB78, AB$77:AB$106)</f>
        <v>2</v>
      </c>
      <c r="AD78" s="690"/>
      <c r="AE78" s="182">
        <v>7</v>
      </c>
      <c r="AF78" s="182">
        <v>1476.5517241379309</v>
      </c>
      <c r="AG78" s="182">
        <v>210.93596059113298</v>
      </c>
      <c r="AH78" s="334">
        <f t="shared" ref="AH78:AH106" si="33">RANK(AG78, AG$77:AG$106)</f>
        <v>2</v>
      </c>
      <c r="AI78" s="690"/>
      <c r="AJ78" s="182">
        <v>7</v>
      </c>
      <c r="AK78" s="182">
        <v>1470.3370786516853</v>
      </c>
      <c r="AL78" s="182">
        <v>210.04815409309791</v>
      </c>
      <c r="AM78" s="334">
        <f t="shared" ref="AM78:AM106" si="34">RANK(AL78, AL$77:AL$106)</f>
        <v>2</v>
      </c>
      <c r="AN78" s="690"/>
      <c r="AO78" s="182">
        <v>7</v>
      </c>
      <c r="AP78" s="182">
        <v>1492.7472527472528</v>
      </c>
      <c r="AQ78" s="182">
        <v>213.24960753532181</v>
      </c>
      <c r="AR78" s="334">
        <f t="shared" ref="AR78:AR106" si="35">RANK(AQ78, AQ$77:AQ$106)</f>
        <v>2</v>
      </c>
      <c r="AS78" s="690"/>
      <c r="AT78" s="182">
        <v>7</v>
      </c>
      <c r="AU78" s="182">
        <v>1460.2105263157898</v>
      </c>
      <c r="AV78" s="182">
        <v>208.60150375939855</v>
      </c>
      <c r="AW78" s="334">
        <f t="shared" ref="AW78:AW106" si="36">RANK(AV78, AV$77:AV$106)</f>
        <v>2</v>
      </c>
      <c r="AX78" s="690"/>
    </row>
    <row r="79" spans="2:50">
      <c r="B79" s="676"/>
      <c r="C79" s="309">
        <v>3</v>
      </c>
      <c r="D79" s="227" t="s">
        <v>960</v>
      </c>
      <c r="E79" s="182">
        <v>18</v>
      </c>
      <c r="F79" s="569">
        <v>1500</v>
      </c>
      <c r="G79" s="570">
        <v>83.3</v>
      </c>
      <c r="H79" s="718"/>
      <c r="I79" s="199">
        <f t="shared" si="27"/>
        <v>18</v>
      </c>
      <c r="J79" s="199">
        <f t="shared" si="28"/>
        <v>1314.0686871072055</v>
      </c>
      <c r="K79" s="200">
        <f t="shared" si="29"/>
        <v>73.003815950400323</v>
      </c>
      <c r="L79" s="650"/>
      <c r="M79" s="201">
        <f>RANK(K79, K$77:$K$106)</f>
        <v>16</v>
      </c>
      <c r="N79" s="668"/>
      <c r="O79" s="668"/>
      <c r="P79" s="182">
        <v>18</v>
      </c>
      <c r="Q79" s="182">
        <v>1355.1000000000008</v>
      </c>
      <c r="R79" s="182">
        <v>75.283333333333374</v>
      </c>
      <c r="S79" s="334">
        <f t="shared" si="30"/>
        <v>15</v>
      </c>
      <c r="T79" s="690"/>
      <c r="U79" s="182">
        <v>18</v>
      </c>
      <c r="V79" s="182">
        <v>1300.7263803680985</v>
      </c>
      <c r="W79" s="182">
        <v>72.262576687116578</v>
      </c>
      <c r="X79" s="334">
        <f t="shared" si="31"/>
        <v>17</v>
      </c>
      <c r="Y79" s="690"/>
      <c r="Z79" s="182">
        <v>18</v>
      </c>
      <c r="AA79" s="182">
        <v>1307.8153846153846</v>
      </c>
      <c r="AB79" s="182">
        <v>72.656410256410254</v>
      </c>
      <c r="AC79" s="334">
        <f t="shared" si="32"/>
        <v>18</v>
      </c>
      <c r="AD79" s="690"/>
      <c r="AE79" s="182">
        <v>18</v>
      </c>
      <c r="AF79" s="182">
        <v>1314.3243243243239</v>
      </c>
      <c r="AG79" s="182">
        <v>73.018018018017997</v>
      </c>
      <c r="AH79" s="334">
        <f t="shared" si="33"/>
        <v>18</v>
      </c>
      <c r="AI79" s="690"/>
      <c r="AJ79" s="182">
        <v>18</v>
      </c>
      <c r="AK79" s="182">
        <v>1289.9999999999995</v>
      </c>
      <c r="AL79" s="182">
        <v>71.666666666666643</v>
      </c>
      <c r="AM79" s="334">
        <f t="shared" si="34"/>
        <v>19</v>
      </c>
      <c r="AN79" s="690"/>
      <c r="AO79" s="182">
        <v>18</v>
      </c>
      <c r="AP79" s="182">
        <v>1314.8514851485152</v>
      </c>
      <c r="AQ79" s="182">
        <v>73.047304730473058</v>
      </c>
      <c r="AR79" s="334">
        <f t="shared" si="35"/>
        <v>19</v>
      </c>
      <c r="AS79" s="690"/>
      <c r="AT79" s="182">
        <v>18</v>
      </c>
      <c r="AU79" s="182">
        <v>1315.6632352941178</v>
      </c>
      <c r="AV79" s="182">
        <v>73.092401960784329</v>
      </c>
      <c r="AW79" s="334">
        <f t="shared" si="36"/>
        <v>17</v>
      </c>
      <c r="AX79" s="690"/>
    </row>
    <row r="80" spans="2:50">
      <c r="B80" s="676"/>
      <c r="C80" s="309">
        <v>4</v>
      </c>
      <c r="D80" s="227" t="s">
        <v>871</v>
      </c>
      <c r="E80" s="182">
        <v>18</v>
      </c>
      <c r="F80" s="569">
        <v>1500</v>
      </c>
      <c r="G80" s="570">
        <v>83.3</v>
      </c>
      <c r="H80" s="718"/>
      <c r="I80" s="199">
        <f t="shared" si="27"/>
        <v>18</v>
      </c>
      <c r="J80" s="199">
        <f t="shared" si="28"/>
        <v>1387.9256049983519</v>
      </c>
      <c r="K80" s="200">
        <f t="shared" si="29"/>
        <v>77.106978055463998</v>
      </c>
      <c r="L80" s="650"/>
      <c r="M80" s="201">
        <f>RANK(K80, K$77:$K$106)</f>
        <v>14</v>
      </c>
      <c r="N80" s="668"/>
      <c r="O80" s="668"/>
      <c r="P80" s="182">
        <v>18</v>
      </c>
      <c r="Q80" s="182">
        <v>1325.2173913043478</v>
      </c>
      <c r="R80" s="182">
        <v>73.623188405797094</v>
      </c>
      <c r="S80" s="334">
        <f t="shared" si="30"/>
        <v>17</v>
      </c>
      <c r="T80" s="690"/>
      <c r="U80" s="182">
        <v>18</v>
      </c>
      <c r="V80" s="182">
        <v>1405.2631578947357</v>
      </c>
      <c r="W80" s="182">
        <v>78.070175438596436</v>
      </c>
      <c r="X80" s="334">
        <f t="shared" si="31"/>
        <v>12</v>
      </c>
      <c r="Y80" s="690"/>
      <c r="Z80" s="182">
        <v>18</v>
      </c>
      <c r="AA80" s="182">
        <v>1402.7027027027016</v>
      </c>
      <c r="AB80" s="182">
        <v>77.927927927927868</v>
      </c>
      <c r="AC80" s="334">
        <f t="shared" si="32"/>
        <v>14</v>
      </c>
      <c r="AD80" s="690"/>
      <c r="AE80" s="182">
        <v>18</v>
      </c>
      <c r="AF80" s="182">
        <v>1384.9999999999989</v>
      </c>
      <c r="AG80" s="182">
        <v>76.944444444444386</v>
      </c>
      <c r="AH80" s="334">
        <f t="shared" si="33"/>
        <v>15</v>
      </c>
      <c r="AI80" s="690"/>
      <c r="AJ80" s="182">
        <v>18</v>
      </c>
      <c r="AK80" s="182">
        <v>1392.2727272727273</v>
      </c>
      <c r="AL80" s="182">
        <v>77.348484848484844</v>
      </c>
      <c r="AM80" s="334">
        <f t="shared" si="34"/>
        <v>14</v>
      </c>
      <c r="AN80" s="690"/>
      <c r="AO80" s="182">
        <v>18</v>
      </c>
      <c r="AP80" s="182">
        <v>1433.0232558139533</v>
      </c>
      <c r="AQ80" s="182">
        <v>79.612403100775182</v>
      </c>
      <c r="AR80" s="334">
        <f t="shared" si="35"/>
        <v>11</v>
      </c>
      <c r="AS80" s="690"/>
      <c r="AT80" s="182">
        <v>18</v>
      </c>
      <c r="AU80" s="182">
        <v>1371.9999999999989</v>
      </c>
      <c r="AV80" s="182">
        <v>76.222222222222157</v>
      </c>
      <c r="AW80" s="334">
        <f t="shared" si="36"/>
        <v>14</v>
      </c>
      <c r="AX80" s="690"/>
    </row>
    <row r="81" spans="2:50">
      <c r="B81" s="676"/>
      <c r="C81" s="309">
        <v>5</v>
      </c>
      <c r="D81" s="227" t="s">
        <v>353</v>
      </c>
      <c r="E81" s="182">
        <v>16</v>
      </c>
      <c r="F81" s="569">
        <v>1500</v>
      </c>
      <c r="G81" s="570">
        <v>93.8</v>
      </c>
      <c r="H81" s="718"/>
      <c r="I81" s="199">
        <f t="shared" si="27"/>
        <v>16</v>
      </c>
      <c r="J81" s="199">
        <f t="shared" si="28"/>
        <v>1366.9214092263417</v>
      </c>
      <c r="K81" s="200">
        <f t="shared" si="29"/>
        <v>85.432588076646354</v>
      </c>
      <c r="L81" s="650"/>
      <c r="M81" s="201">
        <f>RANK(K81, K$77:$K$106)</f>
        <v>5</v>
      </c>
      <c r="N81" s="668"/>
      <c r="O81" s="668"/>
      <c r="P81" s="182">
        <v>16</v>
      </c>
      <c r="Q81" s="182">
        <v>1369.5652173913043</v>
      </c>
      <c r="R81" s="182">
        <v>85.597826086956516</v>
      </c>
      <c r="S81" s="334">
        <f t="shared" si="30"/>
        <v>5</v>
      </c>
      <c r="T81" s="690"/>
      <c r="U81" s="182">
        <v>16</v>
      </c>
      <c r="V81" s="182">
        <v>1341.0810810810799</v>
      </c>
      <c r="W81" s="182">
        <v>83.817567567567494</v>
      </c>
      <c r="X81" s="334">
        <f t="shared" si="31"/>
        <v>6</v>
      </c>
      <c r="Y81" s="690"/>
      <c r="Z81" s="182">
        <v>16</v>
      </c>
      <c r="AA81" s="182">
        <v>1372.1052631578937</v>
      </c>
      <c r="AB81" s="182">
        <v>85.756578947368354</v>
      </c>
      <c r="AC81" s="334">
        <f t="shared" si="32"/>
        <v>4</v>
      </c>
      <c r="AD81" s="690"/>
      <c r="AE81" s="182">
        <v>16</v>
      </c>
      <c r="AF81" s="182">
        <v>1397.8378378378368</v>
      </c>
      <c r="AG81" s="182">
        <v>87.364864864864799</v>
      </c>
      <c r="AH81" s="334">
        <f t="shared" si="33"/>
        <v>5</v>
      </c>
      <c r="AI81" s="690"/>
      <c r="AJ81" s="182">
        <v>16</v>
      </c>
      <c r="AK81" s="182">
        <v>1361.8604651162789</v>
      </c>
      <c r="AL81" s="182">
        <v>85.11627906976743</v>
      </c>
      <c r="AM81" s="334">
        <f t="shared" si="34"/>
        <v>7</v>
      </c>
      <c r="AN81" s="690"/>
      <c r="AO81" s="182">
        <v>16</v>
      </c>
      <c r="AP81" s="182">
        <v>1369.9999999999995</v>
      </c>
      <c r="AQ81" s="182">
        <v>85.624999999999972</v>
      </c>
      <c r="AR81" s="334">
        <f t="shared" si="35"/>
        <v>4</v>
      </c>
      <c r="AS81" s="690"/>
      <c r="AT81" s="182">
        <v>16</v>
      </c>
      <c r="AU81" s="182">
        <v>1356</v>
      </c>
      <c r="AV81" s="182">
        <v>84.75</v>
      </c>
      <c r="AW81" s="334">
        <f t="shared" si="36"/>
        <v>7</v>
      </c>
      <c r="AX81" s="690"/>
    </row>
    <row r="82" spans="2:50">
      <c r="B82" s="676"/>
      <c r="C82" s="309">
        <v>6</v>
      </c>
      <c r="D82" s="227" t="s">
        <v>370</v>
      </c>
      <c r="E82" s="182">
        <v>16</v>
      </c>
      <c r="F82" s="569">
        <v>1565</v>
      </c>
      <c r="G82" s="570">
        <v>97.8</v>
      </c>
      <c r="H82" s="718"/>
      <c r="I82" s="199">
        <f t="shared" si="27"/>
        <v>16</v>
      </c>
      <c r="J82" s="199">
        <f t="shared" si="28"/>
        <v>1365.4628831812156</v>
      </c>
      <c r="K82" s="200">
        <f t="shared" si="29"/>
        <v>85.341430198825975</v>
      </c>
      <c r="L82" s="650"/>
      <c r="M82" s="201">
        <f>RANK(K82, K$77:$K$106)</f>
        <v>6</v>
      </c>
      <c r="N82" s="668"/>
      <c r="O82" s="668"/>
      <c r="P82" s="182">
        <v>16</v>
      </c>
      <c r="Q82" s="182">
        <v>1362.4390243902435</v>
      </c>
      <c r="R82" s="182">
        <v>85.152439024390219</v>
      </c>
      <c r="S82" s="334">
        <f t="shared" si="30"/>
        <v>6</v>
      </c>
      <c r="T82" s="690"/>
      <c r="U82" s="182">
        <v>16</v>
      </c>
      <c r="V82" s="182">
        <v>1380.0000000000018</v>
      </c>
      <c r="W82" s="182">
        <v>86.250000000000114</v>
      </c>
      <c r="X82" s="334">
        <f t="shared" si="31"/>
        <v>4</v>
      </c>
      <c r="Y82" s="690"/>
      <c r="Z82" s="182">
        <v>16</v>
      </c>
      <c r="AA82" s="182">
        <v>1366.3636363636379</v>
      </c>
      <c r="AB82" s="182">
        <v>85.397727272727366</v>
      </c>
      <c r="AC82" s="334">
        <f t="shared" si="32"/>
        <v>5</v>
      </c>
      <c r="AD82" s="690"/>
      <c r="AE82" s="182">
        <v>16</v>
      </c>
      <c r="AF82" s="182">
        <v>1349.9999999999986</v>
      </c>
      <c r="AG82" s="182">
        <v>84.374999999999915</v>
      </c>
      <c r="AH82" s="334">
        <f t="shared" si="33"/>
        <v>7</v>
      </c>
      <c r="AI82" s="690"/>
      <c r="AJ82" s="182">
        <v>16</v>
      </c>
      <c r="AK82" s="182">
        <v>1347.1999999999989</v>
      </c>
      <c r="AL82" s="182">
        <v>84.199999999999932</v>
      </c>
      <c r="AM82" s="334">
        <f t="shared" si="34"/>
        <v>9</v>
      </c>
      <c r="AN82" s="690"/>
      <c r="AO82" s="182">
        <v>16</v>
      </c>
      <c r="AP82" s="182">
        <v>1364.2857142857138</v>
      </c>
      <c r="AQ82" s="182">
        <v>85.26785714285711</v>
      </c>
      <c r="AR82" s="334">
        <f t="shared" si="35"/>
        <v>6</v>
      </c>
      <c r="AS82" s="690"/>
      <c r="AT82" s="182">
        <v>16</v>
      </c>
      <c r="AU82" s="182">
        <v>1387.9518072289152</v>
      </c>
      <c r="AV82" s="182">
        <v>86.746987951807199</v>
      </c>
      <c r="AW82" s="334">
        <f t="shared" si="36"/>
        <v>5</v>
      </c>
      <c r="AX82" s="690"/>
    </row>
    <row r="83" spans="2:50">
      <c r="B83" s="676"/>
      <c r="C83" s="309">
        <v>7</v>
      </c>
      <c r="D83" s="227" t="s">
        <v>345</v>
      </c>
      <c r="E83" s="182">
        <v>14</v>
      </c>
      <c r="F83" s="569">
        <v>1440</v>
      </c>
      <c r="G83" s="570">
        <v>102.9</v>
      </c>
      <c r="H83" s="718"/>
      <c r="I83" s="199">
        <f t="shared" si="27"/>
        <v>15</v>
      </c>
      <c r="J83" s="199">
        <f t="shared" si="28"/>
        <v>1125.4667662704355</v>
      </c>
      <c r="K83" s="200">
        <f t="shared" si="29"/>
        <v>75.031117751362359</v>
      </c>
      <c r="L83" s="650"/>
      <c r="M83" s="201">
        <f>RANK(K83, K$77:$K$106)</f>
        <v>15</v>
      </c>
      <c r="N83" s="668"/>
      <c r="O83" s="668"/>
      <c r="P83" s="182">
        <v>15</v>
      </c>
      <c r="Q83" s="182">
        <v>1089.677419354837</v>
      </c>
      <c r="R83" s="182">
        <v>72.645161290322463</v>
      </c>
      <c r="S83" s="334">
        <f t="shared" si="30"/>
        <v>18</v>
      </c>
      <c r="T83" s="690"/>
      <c r="U83" s="182">
        <v>15</v>
      </c>
      <c r="V83" s="182">
        <v>1084.1379310344807</v>
      </c>
      <c r="W83" s="182">
        <v>72.275862068965381</v>
      </c>
      <c r="X83" s="334">
        <f t="shared" si="31"/>
        <v>16</v>
      </c>
      <c r="Y83" s="690"/>
      <c r="Z83" s="182">
        <v>15</v>
      </c>
      <c r="AA83" s="182">
        <v>1107.4999999999966</v>
      </c>
      <c r="AB83" s="182">
        <v>73.833333333333101</v>
      </c>
      <c r="AC83" s="334">
        <f t="shared" si="32"/>
        <v>16</v>
      </c>
      <c r="AD83" s="690"/>
      <c r="AE83" s="182">
        <v>15</v>
      </c>
      <c r="AF83" s="182">
        <v>1165.3846153846125</v>
      </c>
      <c r="AG83" s="182">
        <v>77.692307692307494</v>
      </c>
      <c r="AH83" s="334">
        <f t="shared" si="33"/>
        <v>14</v>
      </c>
      <c r="AI83" s="690"/>
      <c r="AJ83" s="182">
        <v>15</v>
      </c>
      <c r="AK83" s="182">
        <v>1153.6363636363676</v>
      </c>
      <c r="AL83" s="182">
        <v>76.909090909091177</v>
      </c>
      <c r="AM83" s="334">
        <f t="shared" si="34"/>
        <v>15</v>
      </c>
      <c r="AN83" s="690"/>
      <c r="AO83" s="182">
        <v>15</v>
      </c>
      <c r="AP83" s="182">
        <v>1137.9310344827563</v>
      </c>
      <c r="AQ83" s="182">
        <v>75.862068965517082</v>
      </c>
      <c r="AR83" s="334">
        <f t="shared" si="35"/>
        <v>15</v>
      </c>
      <c r="AS83" s="690"/>
      <c r="AT83" s="182">
        <v>15</v>
      </c>
      <c r="AU83" s="182">
        <v>1139.999999999998</v>
      </c>
      <c r="AV83" s="182">
        <v>75.999999999999858</v>
      </c>
      <c r="AW83" s="334">
        <f t="shared" si="36"/>
        <v>15</v>
      </c>
      <c r="AX83" s="690"/>
    </row>
    <row r="84" spans="2:50">
      <c r="B84" s="676"/>
      <c r="C84" s="309">
        <v>8</v>
      </c>
      <c r="D84" s="227" t="s">
        <v>927</v>
      </c>
      <c r="E84" s="182">
        <v>16</v>
      </c>
      <c r="F84" s="569">
        <v>1440</v>
      </c>
      <c r="G84" s="570">
        <v>90</v>
      </c>
      <c r="H84" s="718"/>
      <c r="I84" s="199">
        <f t="shared" si="27"/>
        <v>16</v>
      </c>
      <c r="J84" s="199">
        <f t="shared" si="28"/>
        <v>1301.2701394800686</v>
      </c>
      <c r="K84" s="200">
        <f t="shared" si="29"/>
        <v>81.329383717504285</v>
      </c>
      <c r="L84" s="650"/>
      <c r="M84" s="201">
        <f>RANK(K84, K$77:$K$106)</f>
        <v>9</v>
      </c>
      <c r="N84" s="668"/>
      <c r="O84" s="668"/>
      <c r="P84" s="182">
        <v>16</v>
      </c>
      <c r="Q84" s="182">
        <v>1247.1428571428567</v>
      </c>
      <c r="R84" s="182">
        <v>77.946428571428541</v>
      </c>
      <c r="S84" s="334">
        <f t="shared" si="30"/>
        <v>12</v>
      </c>
      <c r="T84" s="690"/>
      <c r="U84" s="182">
        <v>16</v>
      </c>
      <c r="V84" s="182">
        <v>1271.3513513513503</v>
      </c>
      <c r="W84" s="182">
        <v>79.459459459459396</v>
      </c>
      <c r="X84" s="334">
        <f t="shared" si="31"/>
        <v>10</v>
      </c>
      <c r="Y84" s="690"/>
      <c r="Z84" s="182">
        <v>16</v>
      </c>
      <c r="AA84" s="182">
        <v>1254.5454545454529</v>
      </c>
      <c r="AB84" s="182">
        <v>78.409090909090807</v>
      </c>
      <c r="AC84" s="334">
        <f t="shared" si="32"/>
        <v>11</v>
      </c>
      <c r="AD84" s="690"/>
      <c r="AE84" s="182">
        <v>16</v>
      </c>
      <c r="AF84" s="182">
        <v>1324.9999999999989</v>
      </c>
      <c r="AG84" s="182">
        <v>82.812499999999929</v>
      </c>
      <c r="AH84" s="334">
        <f t="shared" si="33"/>
        <v>9</v>
      </c>
      <c r="AI84" s="690"/>
      <c r="AJ84" s="182">
        <v>16</v>
      </c>
      <c r="AK84" s="182">
        <v>1368.7499999999982</v>
      </c>
      <c r="AL84" s="182">
        <v>85.546874999999886</v>
      </c>
      <c r="AM84" s="334">
        <f t="shared" si="34"/>
        <v>6</v>
      </c>
      <c r="AN84" s="690"/>
      <c r="AO84" s="182">
        <v>16</v>
      </c>
      <c r="AP84" s="182">
        <v>1339.024390243902</v>
      </c>
      <c r="AQ84" s="182">
        <v>83.689024390243873</v>
      </c>
      <c r="AR84" s="334">
        <f t="shared" si="35"/>
        <v>8</v>
      </c>
      <c r="AS84" s="690"/>
      <c r="AT84" s="182">
        <v>16</v>
      </c>
      <c r="AU84" s="182">
        <v>1303.0769230769222</v>
      </c>
      <c r="AV84" s="182">
        <v>81.442307692307637</v>
      </c>
      <c r="AW84" s="334">
        <f t="shared" si="36"/>
        <v>10</v>
      </c>
      <c r="AX84" s="690"/>
    </row>
    <row r="85" spans="2:50">
      <c r="B85" s="676"/>
      <c r="C85" s="309">
        <v>9</v>
      </c>
      <c r="D85" s="227" t="s">
        <v>928</v>
      </c>
      <c r="E85" s="182">
        <v>16</v>
      </c>
      <c r="F85" s="569">
        <v>1440</v>
      </c>
      <c r="G85" s="570">
        <v>90</v>
      </c>
      <c r="H85" s="718"/>
      <c r="I85" s="199">
        <f t="shared" si="27"/>
        <v>17.142857142857142</v>
      </c>
      <c r="J85" s="199">
        <f t="shared" si="28"/>
        <v>1149.353796440698</v>
      </c>
      <c r="K85" s="200">
        <f t="shared" si="29"/>
        <v>67.062091225097817</v>
      </c>
      <c r="L85" s="650"/>
      <c r="M85" s="201">
        <f>RANK(K85, K$77:$K$106)</f>
        <v>23</v>
      </c>
      <c r="N85" s="668"/>
      <c r="O85" s="668"/>
      <c r="P85" s="182">
        <v>17</v>
      </c>
      <c r="Q85" s="182">
        <v>1194.8936170212769</v>
      </c>
      <c r="R85" s="182">
        <v>70.287859824780995</v>
      </c>
      <c r="S85" s="334">
        <f t="shared" si="30"/>
        <v>21</v>
      </c>
      <c r="T85" s="690"/>
      <c r="U85" s="182">
        <v>17</v>
      </c>
      <c r="V85" s="182">
        <v>1216.3636363636365</v>
      </c>
      <c r="W85" s="182">
        <v>71.550802139037444</v>
      </c>
      <c r="X85" s="334">
        <f t="shared" si="31"/>
        <v>18</v>
      </c>
      <c r="Y85" s="690"/>
      <c r="Z85" s="182">
        <v>18</v>
      </c>
      <c r="AA85" s="182">
        <v>1171.5789473684204</v>
      </c>
      <c r="AB85" s="182">
        <v>65.087719298245574</v>
      </c>
      <c r="AC85" s="334">
        <f t="shared" si="32"/>
        <v>25</v>
      </c>
      <c r="AD85" s="690"/>
      <c r="AE85" s="182">
        <v>17</v>
      </c>
      <c r="AF85" s="182">
        <v>1106.2500000000005</v>
      </c>
      <c r="AG85" s="182">
        <v>65.073529411764738</v>
      </c>
      <c r="AH85" s="334">
        <f t="shared" si="33"/>
        <v>26</v>
      </c>
      <c r="AI85" s="690"/>
      <c r="AJ85" s="182">
        <v>17</v>
      </c>
      <c r="AK85" s="182">
        <v>1107.2727272727273</v>
      </c>
      <c r="AL85" s="182">
        <v>65.133689839572185</v>
      </c>
      <c r="AM85" s="334">
        <f t="shared" si="34"/>
        <v>25</v>
      </c>
      <c r="AN85" s="690"/>
      <c r="AO85" s="182">
        <v>17</v>
      </c>
      <c r="AP85" s="182">
        <v>1114.1176470588241</v>
      </c>
      <c r="AQ85" s="182">
        <v>65.536332179930824</v>
      </c>
      <c r="AR85" s="334">
        <f t="shared" si="35"/>
        <v>26</v>
      </c>
      <c r="AS85" s="690"/>
      <c r="AT85" s="182">
        <v>17</v>
      </c>
      <c r="AU85" s="182">
        <v>1135.0000000000002</v>
      </c>
      <c r="AV85" s="182">
        <v>66.764705882352956</v>
      </c>
      <c r="AW85" s="334">
        <f t="shared" si="36"/>
        <v>23</v>
      </c>
      <c r="AX85" s="690"/>
    </row>
    <row r="86" spans="2:50">
      <c r="B86" s="676"/>
      <c r="C86" s="309">
        <v>10</v>
      </c>
      <c r="D86" s="227" t="s">
        <v>929</v>
      </c>
      <c r="E86" s="182">
        <v>18</v>
      </c>
      <c r="F86" s="569">
        <v>1636</v>
      </c>
      <c r="G86" s="570">
        <v>90.9</v>
      </c>
      <c r="H86" s="718"/>
      <c r="I86" s="199">
        <f t="shared" si="27"/>
        <v>18</v>
      </c>
      <c r="J86" s="199">
        <f t="shared" si="28"/>
        <v>1510.8182757423533</v>
      </c>
      <c r="K86" s="200">
        <f t="shared" si="29"/>
        <v>83.934348652352952</v>
      </c>
      <c r="L86" s="650"/>
      <c r="M86" s="201">
        <f>RANK(K86, K$77:$K$106)</f>
        <v>8</v>
      </c>
      <c r="N86" s="668"/>
      <c r="O86" s="668"/>
      <c r="P86" s="182">
        <v>18</v>
      </c>
      <c r="Q86" s="182">
        <v>1512.0000000000009</v>
      </c>
      <c r="R86" s="182">
        <v>84.000000000000057</v>
      </c>
      <c r="S86" s="334">
        <f t="shared" si="30"/>
        <v>7</v>
      </c>
      <c r="T86" s="690"/>
      <c r="U86" s="182">
        <v>18</v>
      </c>
      <c r="V86" s="182">
        <v>1496.4705882352948</v>
      </c>
      <c r="W86" s="182">
        <v>83.13725490196083</v>
      </c>
      <c r="X86" s="334">
        <f t="shared" si="31"/>
        <v>8</v>
      </c>
      <c r="Y86" s="690"/>
      <c r="Z86" s="182">
        <v>18</v>
      </c>
      <c r="AA86" s="182">
        <v>1521.9512195121945</v>
      </c>
      <c r="AB86" s="182">
        <v>84.552845528455251</v>
      </c>
      <c r="AC86" s="334">
        <f t="shared" si="32"/>
        <v>7</v>
      </c>
      <c r="AD86" s="690"/>
      <c r="AE86" s="182">
        <v>18</v>
      </c>
      <c r="AF86" s="182">
        <v>1507.3469387755106</v>
      </c>
      <c r="AG86" s="182">
        <v>83.741496598639472</v>
      </c>
      <c r="AH86" s="334">
        <f t="shared" si="33"/>
        <v>8</v>
      </c>
      <c r="AI86" s="690"/>
      <c r="AJ86" s="182">
        <v>18</v>
      </c>
      <c r="AK86" s="182">
        <v>1546.5306122448985</v>
      </c>
      <c r="AL86" s="182">
        <v>85.918367346938808</v>
      </c>
      <c r="AM86" s="334">
        <f t="shared" si="34"/>
        <v>5</v>
      </c>
      <c r="AN86" s="690"/>
      <c r="AO86" s="182">
        <v>18</v>
      </c>
      <c r="AP86" s="182">
        <v>1493.5714285714296</v>
      </c>
      <c r="AQ86" s="182">
        <v>82.976190476190538</v>
      </c>
      <c r="AR86" s="334">
        <f t="shared" si="35"/>
        <v>9</v>
      </c>
      <c r="AS86" s="690"/>
      <c r="AT86" s="182">
        <v>18</v>
      </c>
      <c r="AU86" s="182">
        <v>1497.857142857144</v>
      </c>
      <c r="AV86" s="182">
        <v>83.214285714285779</v>
      </c>
      <c r="AW86" s="334">
        <f t="shared" si="36"/>
        <v>8</v>
      </c>
      <c r="AX86" s="690"/>
    </row>
    <row r="87" spans="2:50">
      <c r="B87" s="676"/>
      <c r="C87" s="309">
        <v>11</v>
      </c>
      <c r="D87" s="227" t="s">
        <v>930</v>
      </c>
      <c r="E87" s="182">
        <v>18</v>
      </c>
      <c r="F87" s="569">
        <v>1636</v>
      </c>
      <c r="G87" s="570">
        <v>90.9</v>
      </c>
      <c r="H87" s="718"/>
      <c r="I87" s="199">
        <f t="shared" si="27"/>
        <v>18</v>
      </c>
      <c r="J87" s="199">
        <f t="shared" si="28"/>
        <v>1524.0699414218566</v>
      </c>
      <c r="K87" s="200">
        <f t="shared" si="29"/>
        <v>84.670552301214258</v>
      </c>
      <c r="L87" s="650"/>
      <c r="M87" s="201">
        <f>RANK(K87, K$77:$K$106)</f>
        <v>7</v>
      </c>
      <c r="N87" s="668"/>
      <c r="O87" s="668"/>
      <c r="P87" s="182">
        <v>18</v>
      </c>
      <c r="Q87" s="182">
        <v>1495.7142857142851</v>
      </c>
      <c r="R87" s="182">
        <v>83.095238095238059</v>
      </c>
      <c r="S87" s="334">
        <f t="shared" si="30"/>
        <v>8</v>
      </c>
      <c r="T87" s="690"/>
      <c r="U87" s="182">
        <v>18</v>
      </c>
      <c r="V87" s="182">
        <v>1498.4615384615377</v>
      </c>
      <c r="W87" s="182">
        <v>83.247863247863208</v>
      </c>
      <c r="X87" s="334">
        <f t="shared" si="31"/>
        <v>7</v>
      </c>
      <c r="Y87" s="690"/>
      <c r="Z87" s="182">
        <v>18</v>
      </c>
      <c r="AA87" s="182">
        <v>1523.6363636363617</v>
      </c>
      <c r="AB87" s="182">
        <v>84.646464646464537</v>
      </c>
      <c r="AC87" s="334">
        <f t="shared" si="32"/>
        <v>6</v>
      </c>
      <c r="AD87" s="690"/>
      <c r="AE87" s="182">
        <v>18</v>
      </c>
      <c r="AF87" s="182">
        <v>1546.6666666666654</v>
      </c>
      <c r="AG87" s="182">
        <v>85.925925925925853</v>
      </c>
      <c r="AH87" s="334">
        <f t="shared" si="33"/>
        <v>6</v>
      </c>
      <c r="AI87" s="690"/>
      <c r="AJ87" s="182">
        <v>18</v>
      </c>
      <c r="AK87" s="182">
        <v>1524.3243243243232</v>
      </c>
      <c r="AL87" s="182">
        <v>84.684684684684626</v>
      </c>
      <c r="AM87" s="334">
        <f t="shared" si="34"/>
        <v>8</v>
      </c>
      <c r="AN87" s="690"/>
      <c r="AO87" s="182">
        <v>18</v>
      </c>
      <c r="AP87" s="182">
        <v>1532.8571428571424</v>
      </c>
      <c r="AQ87" s="182">
        <v>85.158730158730137</v>
      </c>
      <c r="AR87" s="334">
        <f t="shared" si="35"/>
        <v>7</v>
      </c>
      <c r="AS87" s="690"/>
      <c r="AT87" s="182">
        <v>18</v>
      </c>
      <c r="AU87" s="182">
        <v>1546.8292682926824</v>
      </c>
      <c r="AV87" s="182">
        <v>85.93495934959347</v>
      </c>
      <c r="AW87" s="334">
        <f t="shared" si="36"/>
        <v>6</v>
      </c>
      <c r="AX87" s="690"/>
    </row>
    <row r="88" spans="2:50">
      <c r="B88" s="676"/>
      <c r="C88" s="309">
        <v>12</v>
      </c>
      <c r="D88" s="227" t="s">
        <v>355</v>
      </c>
      <c r="E88" s="182">
        <v>17</v>
      </c>
      <c r="F88" s="569">
        <v>1500</v>
      </c>
      <c r="G88" s="570">
        <v>88.2</v>
      </c>
      <c r="H88" s="718"/>
      <c r="I88" s="199">
        <f t="shared" si="27"/>
        <v>17</v>
      </c>
      <c r="J88" s="199">
        <f t="shared" si="28"/>
        <v>1353.8710243803303</v>
      </c>
      <c r="K88" s="200">
        <f t="shared" si="29"/>
        <v>79.639472022372374</v>
      </c>
      <c r="L88" s="650"/>
      <c r="M88" s="201">
        <f>RANK(K88, K$77:$K$106)</f>
        <v>10</v>
      </c>
      <c r="N88" s="668"/>
      <c r="O88" s="668"/>
      <c r="P88" s="182">
        <v>17</v>
      </c>
      <c r="Q88" s="182">
        <v>1362.4390243902435</v>
      </c>
      <c r="R88" s="182">
        <v>80.143472022955507</v>
      </c>
      <c r="S88" s="334">
        <f t="shared" si="30"/>
        <v>9</v>
      </c>
      <c r="T88" s="690"/>
      <c r="U88" s="182">
        <v>17</v>
      </c>
      <c r="V88" s="182">
        <v>1338.9473684210516</v>
      </c>
      <c r="W88" s="182">
        <v>78.761609907120686</v>
      </c>
      <c r="X88" s="334">
        <f t="shared" si="31"/>
        <v>11</v>
      </c>
      <c r="Y88" s="690"/>
      <c r="Z88" s="182">
        <v>17</v>
      </c>
      <c r="AA88" s="182">
        <v>1346.2499999999982</v>
      </c>
      <c r="AB88" s="182">
        <v>79.191176470588132</v>
      </c>
      <c r="AC88" s="334">
        <f t="shared" si="32"/>
        <v>10</v>
      </c>
      <c r="AD88" s="690"/>
      <c r="AE88" s="182">
        <v>17</v>
      </c>
      <c r="AF88" s="182">
        <v>1355.9999999999986</v>
      </c>
      <c r="AG88" s="182">
        <v>79.764705882352857</v>
      </c>
      <c r="AH88" s="334">
        <f t="shared" si="33"/>
        <v>10</v>
      </c>
      <c r="AI88" s="690"/>
      <c r="AJ88" s="182">
        <v>17</v>
      </c>
      <c r="AK88" s="182">
        <v>1339.9999999999989</v>
      </c>
      <c r="AL88" s="182">
        <v>78.823529411764639</v>
      </c>
      <c r="AM88" s="334">
        <f t="shared" si="34"/>
        <v>12</v>
      </c>
      <c r="AN88" s="690"/>
      <c r="AO88" s="182">
        <v>17</v>
      </c>
      <c r="AP88" s="182">
        <v>1340.4878048780483</v>
      </c>
      <c r="AQ88" s="182">
        <v>78.852223816355789</v>
      </c>
      <c r="AR88" s="334">
        <f t="shared" si="35"/>
        <v>12</v>
      </c>
      <c r="AS88" s="690"/>
      <c r="AT88" s="182">
        <v>17</v>
      </c>
      <c r="AU88" s="182">
        <v>1392.972972972972</v>
      </c>
      <c r="AV88" s="182">
        <v>81.939586645468935</v>
      </c>
      <c r="AW88" s="334">
        <f t="shared" si="36"/>
        <v>9</v>
      </c>
      <c r="AX88" s="690"/>
    </row>
    <row r="89" spans="2:50">
      <c r="B89" s="676"/>
      <c r="C89" s="309">
        <v>13</v>
      </c>
      <c r="D89" s="227" t="s">
        <v>785</v>
      </c>
      <c r="E89" s="182">
        <v>20</v>
      </c>
      <c r="F89" s="569">
        <v>1440</v>
      </c>
      <c r="G89" s="570">
        <v>72</v>
      </c>
      <c r="H89" s="718"/>
      <c r="I89" s="199">
        <f t="shared" si="27"/>
        <v>20</v>
      </c>
      <c r="J89" s="199">
        <f t="shared" si="28"/>
        <v>1321.3667111475581</v>
      </c>
      <c r="K89" s="200">
        <f t="shared" si="29"/>
        <v>66.068335557377921</v>
      </c>
      <c r="L89" s="650"/>
      <c r="M89" s="201">
        <f>RANK(K89, K$77:$K$106)</f>
        <v>26</v>
      </c>
      <c r="N89" s="668"/>
      <c r="O89" s="668"/>
      <c r="P89" s="182">
        <v>20</v>
      </c>
      <c r="Q89" s="182">
        <v>1327.0129870129863</v>
      </c>
      <c r="R89" s="182">
        <v>66.35064935064932</v>
      </c>
      <c r="S89" s="334">
        <f t="shared" si="30"/>
        <v>25</v>
      </c>
      <c r="T89" s="690"/>
      <c r="U89" s="182">
        <v>20</v>
      </c>
      <c r="V89" s="182">
        <v>1326.2686567164196</v>
      </c>
      <c r="W89" s="182">
        <v>66.313432835820976</v>
      </c>
      <c r="X89" s="334">
        <f t="shared" si="31"/>
        <v>25</v>
      </c>
      <c r="Y89" s="690"/>
      <c r="Z89" s="182">
        <v>20</v>
      </c>
      <c r="AA89" s="182">
        <v>1304.2105263157905</v>
      </c>
      <c r="AB89" s="182">
        <v>65.210526315789522</v>
      </c>
      <c r="AC89" s="334">
        <f t="shared" si="32"/>
        <v>24</v>
      </c>
      <c r="AD89" s="690"/>
      <c r="AE89" s="182">
        <v>20</v>
      </c>
      <c r="AF89" s="182">
        <v>1331.6129032258077</v>
      </c>
      <c r="AG89" s="182">
        <v>66.580645161290391</v>
      </c>
      <c r="AH89" s="334">
        <f t="shared" si="33"/>
        <v>23</v>
      </c>
      <c r="AI89" s="690"/>
      <c r="AJ89" s="182">
        <v>20</v>
      </c>
      <c r="AK89" s="182">
        <v>1329.42857142857</v>
      </c>
      <c r="AL89" s="182">
        <v>66.471428571428504</v>
      </c>
      <c r="AM89" s="334">
        <f t="shared" si="34"/>
        <v>24</v>
      </c>
      <c r="AN89" s="690"/>
      <c r="AO89" s="182">
        <v>20</v>
      </c>
      <c r="AP89" s="182">
        <v>1315.8333333333323</v>
      </c>
      <c r="AQ89" s="182">
        <v>65.791666666666615</v>
      </c>
      <c r="AR89" s="334">
        <f t="shared" si="35"/>
        <v>25</v>
      </c>
      <c r="AS89" s="690"/>
      <c r="AT89" s="182">
        <v>20</v>
      </c>
      <c r="AU89" s="182">
        <v>1315.1999999999991</v>
      </c>
      <c r="AV89" s="182">
        <v>65.759999999999962</v>
      </c>
      <c r="AW89" s="334">
        <f t="shared" si="36"/>
        <v>24</v>
      </c>
      <c r="AX89" s="690"/>
    </row>
    <row r="90" spans="2:50">
      <c r="B90" s="676"/>
      <c r="C90" s="309">
        <v>14</v>
      </c>
      <c r="D90" s="227" t="s">
        <v>371</v>
      </c>
      <c r="E90" s="182">
        <v>14</v>
      </c>
      <c r="F90" s="569">
        <v>1440</v>
      </c>
      <c r="G90" s="570">
        <v>102.9</v>
      </c>
      <c r="H90" s="718"/>
      <c r="I90" s="199">
        <f t="shared" si="27"/>
        <v>15</v>
      </c>
      <c r="J90" s="199">
        <f t="shared" si="28"/>
        <v>1313.1623133694884</v>
      </c>
      <c r="K90" s="200">
        <f t="shared" si="29"/>
        <v>87.544154224632578</v>
      </c>
      <c r="L90" s="650"/>
      <c r="M90" s="201">
        <f>RANK(K90, K$77:$K$106)</f>
        <v>4</v>
      </c>
      <c r="N90" s="668"/>
      <c r="O90" s="668"/>
      <c r="P90" s="182">
        <v>15</v>
      </c>
      <c r="Q90" s="182">
        <v>1325.8064516129011</v>
      </c>
      <c r="R90" s="182">
        <v>88.387096774193409</v>
      </c>
      <c r="S90" s="334">
        <f t="shared" si="30"/>
        <v>3</v>
      </c>
      <c r="T90" s="690"/>
      <c r="U90" s="182">
        <v>15</v>
      </c>
      <c r="V90" s="182">
        <v>1304.4827586206907</v>
      </c>
      <c r="W90" s="182">
        <v>86.965517241379374</v>
      </c>
      <c r="X90" s="334">
        <f t="shared" si="31"/>
        <v>3</v>
      </c>
      <c r="Y90" s="690"/>
      <c r="Z90" s="182">
        <v>15</v>
      </c>
      <c r="AA90" s="182">
        <v>1323.7500000000005</v>
      </c>
      <c r="AB90" s="182">
        <v>88.250000000000028</v>
      </c>
      <c r="AC90" s="334">
        <f t="shared" si="32"/>
        <v>3</v>
      </c>
      <c r="AD90" s="690"/>
      <c r="AE90" s="182">
        <v>15</v>
      </c>
      <c r="AF90" s="182">
        <v>1316.5384615384623</v>
      </c>
      <c r="AG90" s="182">
        <v>87.769230769230816</v>
      </c>
      <c r="AH90" s="334">
        <f t="shared" si="33"/>
        <v>4</v>
      </c>
      <c r="AI90" s="690"/>
      <c r="AJ90" s="182">
        <v>15</v>
      </c>
      <c r="AK90" s="182">
        <v>1308.8888888888896</v>
      </c>
      <c r="AL90" s="182">
        <v>87.259259259259309</v>
      </c>
      <c r="AM90" s="334">
        <f t="shared" si="34"/>
        <v>4</v>
      </c>
      <c r="AN90" s="690"/>
      <c r="AO90" s="182">
        <v>15</v>
      </c>
      <c r="AP90" s="182">
        <v>1281.2903225806463</v>
      </c>
      <c r="AQ90" s="182">
        <v>85.419354838709751</v>
      </c>
      <c r="AR90" s="334">
        <f t="shared" si="35"/>
        <v>5</v>
      </c>
      <c r="AS90" s="690"/>
      <c r="AT90" s="182">
        <v>15</v>
      </c>
      <c r="AU90" s="182">
        <v>1331.3793103448284</v>
      </c>
      <c r="AV90" s="182">
        <v>88.758620689655217</v>
      </c>
      <c r="AW90" s="334">
        <f t="shared" si="36"/>
        <v>4</v>
      </c>
      <c r="AX90" s="690"/>
    </row>
    <row r="91" spans="2:50">
      <c r="B91" s="676"/>
      <c r="C91" s="309">
        <v>15</v>
      </c>
      <c r="D91" s="227" t="s">
        <v>347</v>
      </c>
      <c r="E91" s="182">
        <v>19</v>
      </c>
      <c r="F91" s="569">
        <v>1440</v>
      </c>
      <c r="G91" s="570">
        <v>75.8</v>
      </c>
      <c r="H91" s="718"/>
      <c r="I91" s="199">
        <f t="shared" si="27"/>
        <v>19</v>
      </c>
      <c r="J91" s="199">
        <f t="shared" si="28"/>
        <v>1311.0083133859953</v>
      </c>
      <c r="K91" s="200">
        <f t="shared" si="29"/>
        <v>69.000437546631318</v>
      </c>
      <c r="L91" s="650"/>
      <c r="M91" s="201">
        <f>RANK(K91, K$77:$K$106)</f>
        <v>22</v>
      </c>
      <c r="N91" s="668"/>
      <c r="O91" s="668"/>
      <c r="P91" s="182">
        <v>19</v>
      </c>
      <c r="Q91" s="182">
        <v>1297.7528089887639</v>
      </c>
      <c r="R91" s="182">
        <v>68.302779420461263</v>
      </c>
      <c r="S91" s="334">
        <f t="shared" si="30"/>
        <v>22</v>
      </c>
      <c r="T91" s="690"/>
      <c r="U91" s="182">
        <v>19</v>
      </c>
      <c r="V91" s="182">
        <v>1317.6315789473674</v>
      </c>
      <c r="W91" s="182">
        <v>69.349030470914073</v>
      </c>
      <c r="X91" s="334">
        <f t="shared" si="31"/>
        <v>21</v>
      </c>
      <c r="Y91" s="690"/>
      <c r="Z91" s="182">
        <v>19</v>
      </c>
      <c r="AA91" s="182">
        <v>1303.2352941176487</v>
      </c>
      <c r="AB91" s="182">
        <v>68.591331269349936</v>
      </c>
      <c r="AC91" s="334">
        <f t="shared" si="32"/>
        <v>20</v>
      </c>
      <c r="AD91" s="690"/>
      <c r="AE91" s="182">
        <v>19</v>
      </c>
      <c r="AF91" s="182">
        <v>1295.3424657534238</v>
      </c>
      <c r="AG91" s="182">
        <v>68.1759192501802</v>
      </c>
      <c r="AH91" s="334">
        <f t="shared" si="33"/>
        <v>22</v>
      </c>
      <c r="AI91" s="690"/>
      <c r="AJ91" s="182">
        <v>19</v>
      </c>
      <c r="AK91" s="182">
        <v>1339.2307692307684</v>
      </c>
      <c r="AL91" s="182">
        <v>70.48582995951412</v>
      </c>
      <c r="AM91" s="334">
        <f t="shared" si="34"/>
        <v>21</v>
      </c>
      <c r="AN91" s="690"/>
      <c r="AO91" s="182">
        <v>19</v>
      </c>
      <c r="AP91" s="182">
        <v>1296.2790697674418</v>
      </c>
      <c r="AQ91" s="182">
        <v>68.225214198286409</v>
      </c>
      <c r="AR91" s="334">
        <f t="shared" si="35"/>
        <v>22</v>
      </c>
      <c r="AS91" s="690"/>
      <c r="AT91" s="182">
        <v>19</v>
      </c>
      <c r="AU91" s="182">
        <v>1327.5862068965516</v>
      </c>
      <c r="AV91" s="182">
        <v>69.87295825771325</v>
      </c>
      <c r="AW91" s="334">
        <f t="shared" si="36"/>
        <v>21</v>
      </c>
      <c r="AX91" s="690"/>
    </row>
    <row r="92" spans="2:50">
      <c r="B92" s="676"/>
      <c r="C92" s="309">
        <v>16</v>
      </c>
      <c r="D92" s="227" t="s">
        <v>369</v>
      </c>
      <c r="E92" s="182">
        <v>19</v>
      </c>
      <c r="F92" s="569">
        <v>1440</v>
      </c>
      <c r="G92" s="570">
        <v>75.8</v>
      </c>
      <c r="H92" s="718"/>
      <c r="I92" s="199">
        <f t="shared" si="27"/>
        <v>19</v>
      </c>
      <c r="J92" s="199">
        <f t="shared" si="28"/>
        <v>1346.6553090614668</v>
      </c>
      <c r="K92" s="200">
        <f t="shared" si="29"/>
        <v>70.876595213761405</v>
      </c>
      <c r="L92" s="650"/>
      <c r="M92" s="201">
        <f>RANK(K92, K$77:$K$106)</f>
        <v>19</v>
      </c>
      <c r="N92" s="668"/>
      <c r="O92" s="668"/>
      <c r="P92" s="182">
        <v>19</v>
      </c>
      <c r="Q92" s="182">
        <v>1347.1875000000016</v>
      </c>
      <c r="R92" s="182">
        <v>70.904605263157976</v>
      </c>
      <c r="S92" s="334">
        <f t="shared" si="30"/>
        <v>20</v>
      </c>
      <c r="T92" s="690"/>
      <c r="U92" s="182">
        <v>19</v>
      </c>
      <c r="V92" s="182">
        <v>1355.1724137931044</v>
      </c>
      <c r="W92" s="182">
        <v>71.324863883847598</v>
      </c>
      <c r="X92" s="334">
        <f t="shared" si="31"/>
        <v>19</v>
      </c>
      <c r="Y92" s="690"/>
      <c r="Z92" s="182">
        <v>19</v>
      </c>
      <c r="AA92" s="182">
        <v>1324.8000000000004</v>
      </c>
      <c r="AB92" s="182">
        <v>69.726315789473702</v>
      </c>
      <c r="AC92" s="334">
        <f t="shared" si="32"/>
        <v>19</v>
      </c>
      <c r="AD92" s="690"/>
      <c r="AE92" s="182">
        <v>19</v>
      </c>
      <c r="AF92" s="182">
        <v>1365.2830188679252</v>
      </c>
      <c r="AG92" s="182">
        <v>71.8570009930487</v>
      </c>
      <c r="AH92" s="334">
        <f t="shared" si="33"/>
        <v>20</v>
      </c>
      <c r="AI92" s="690"/>
      <c r="AJ92" s="182">
        <v>19</v>
      </c>
      <c r="AK92" s="182">
        <v>1340.0000000000009</v>
      </c>
      <c r="AL92" s="182">
        <v>70.526315789473728</v>
      </c>
      <c r="AM92" s="334">
        <f t="shared" si="34"/>
        <v>20</v>
      </c>
      <c r="AN92" s="690"/>
      <c r="AO92" s="182">
        <v>19</v>
      </c>
      <c r="AP92" s="182">
        <v>1359.3750000000016</v>
      </c>
      <c r="AQ92" s="182">
        <v>71.54605263157903</v>
      </c>
      <c r="AR92" s="334">
        <f t="shared" si="35"/>
        <v>20</v>
      </c>
      <c r="AS92" s="690"/>
      <c r="AT92" s="182">
        <v>19</v>
      </c>
      <c r="AU92" s="182">
        <v>1334.7692307692323</v>
      </c>
      <c r="AV92" s="182">
        <v>70.251012145749073</v>
      </c>
      <c r="AW92" s="334">
        <f t="shared" si="36"/>
        <v>20</v>
      </c>
      <c r="AX92" s="690"/>
    </row>
    <row r="93" spans="2:50">
      <c r="B93" s="676"/>
      <c r="C93" s="309">
        <v>17</v>
      </c>
      <c r="D93" s="227" t="s">
        <v>931</v>
      </c>
      <c r="E93" s="182">
        <v>19</v>
      </c>
      <c r="F93" s="569">
        <v>1500</v>
      </c>
      <c r="G93" s="570">
        <v>78.900000000000006</v>
      </c>
      <c r="H93" s="718"/>
      <c r="I93" s="199">
        <f t="shared" si="27"/>
        <v>19</v>
      </c>
      <c r="J93" s="199">
        <f t="shared" si="28"/>
        <v>1365.8688393739199</v>
      </c>
      <c r="K93" s="200">
        <f t="shared" si="29"/>
        <v>71.887833651258944</v>
      </c>
      <c r="L93" s="650"/>
      <c r="M93" s="201">
        <f>RANK(K93, K$77:$K$106)</f>
        <v>18</v>
      </c>
      <c r="N93" s="668"/>
      <c r="O93" s="668"/>
      <c r="P93" s="182">
        <v>19</v>
      </c>
      <c r="Q93" s="182">
        <v>1366.8292682926826</v>
      </c>
      <c r="R93" s="182">
        <v>71.938382541720145</v>
      </c>
      <c r="S93" s="334">
        <f t="shared" si="30"/>
        <v>19</v>
      </c>
      <c r="T93" s="690"/>
      <c r="U93" s="182">
        <v>19</v>
      </c>
      <c r="V93" s="182">
        <v>1352.9999999999995</v>
      </c>
      <c r="W93" s="182">
        <v>71.210526315789451</v>
      </c>
      <c r="X93" s="334">
        <f t="shared" si="31"/>
        <v>20</v>
      </c>
      <c r="Y93" s="690"/>
      <c r="Z93" s="182">
        <v>19</v>
      </c>
      <c r="AA93" s="182">
        <v>1389.6774193548365</v>
      </c>
      <c r="AB93" s="182">
        <v>73.140916808149285</v>
      </c>
      <c r="AC93" s="334">
        <f t="shared" si="32"/>
        <v>17</v>
      </c>
      <c r="AD93" s="690"/>
      <c r="AE93" s="182">
        <v>19</v>
      </c>
      <c r="AF93" s="182">
        <v>1395.4285714285702</v>
      </c>
      <c r="AG93" s="182">
        <v>73.443609022556331</v>
      </c>
      <c r="AH93" s="334">
        <f t="shared" si="33"/>
        <v>17</v>
      </c>
      <c r="AI93" s="690"/>
      <c r="AJ93" s="182">
        <v>19</v>
      </c>
      <c r="AK93" s="182">
        <v>1362.8571428571415</v>
      </c>
      <c r="AL93" s="182">
        <v>71.729323308270608</v>
      </c>
      <c r="AM93" s="334">
        <f t="shared" si="34"/>
        <v>18</v>
      </c>
      <c r="AN93" s="690"/>
      <c r="AO93" s="182">
        <v>19</v>
      </c>
      <c r="AP93" s="182">
        <v>1357.4999999999995</v>
      </c>
      <c r="AQ93" s="182">
        <v>71.447368421052602</v>
      </c>
      <c r="AR93" s="334">
        <f t="shared" si="35"/>
        <v>21</v>
      </c>
      <c r="AS93" s="690"/>
      <c r="AT93" s="182">
        <v>19</v>
      </c>
      <c r="AU93" s="182">
        <v>1335.7894736842095</v>
      </c>
      <c r="AV93" s="182">
        <v>70.304709141274188</v>
      </c>
      <c r="AW93" s="334">
        <f t="shared" si="36"/>
        <v>19</v>
      </c>
      <c r="AX93" s="690"/>
    </row>
    <row r="94" spans="2:50">
      <c r="B94" s="676"/>
      <c r="C94" s="309">
        <v>18</v>
      </c>
      <c r="D94" s="227" t="s">
        <v>932</v>
      </c>
      <c r="E94" s="182">
        <v>18</v>
      </c>
      <c r="F94" s="569">
        <v>1500</v>
      </c>
      <c r="G94" s="570">
        <v>83.3</v>
      </c>
      <c r="H94" s="718"/>
      <c r="I94" s="199">
        <f t="shared" si="27"/>
        <v>18</v>
      </c>
      <c r="J94" s="199">
        <f t="shared" si="28"/>
        <v>1418.8851357077481</v>
      </c>
      <c r="K94" s="200">
        <f t="shared" si="29"/>
        <v>78.826951983763792</v>
      </c>
      <c r="L94" s="650"/>
      <c r="M94" s="201">
        <f>RANK(K94, K$77:$K$106)</f>
        <v>12</v>
      </c>
      <c r="N94" s="668"/>
      <c r="O94" s="668"/>
      <c r="P94" s="182">
        <v>18</v>
      </c>
      <c r="Q94" s="182">
        <v>1369.86857142857</v>
      </c>
      <c r="R94" s="182">
        <v>76.103809523809446</v>
      </c>
      <c r="S94" s="334">
        <f t="shared" si="30"/>
        <v>14</v>
      </c>
      <c r="T94" s="690"/>
      <c r="U94" s="182">
        <v>18</v>
      </c>
      <c r="V94" s="182">
        <v>1444.7619047619062</v>
      </c>
      <c r="W94" s="182">
        <v>80.264550264550337</v>
      </c>
      <c r="X94" s="334">
        <f t="shared" si="31"/>
        <v>9</v>
      </c>
      <c r="Y94" s="690"/>
      <c r="Z94" s="182">
        <v>18</v>
      </c>
      <c r="AA94" s="182">
        <v>1407.3684210526326</v>
      </c>
      <c r="AB94" s="182">
        <v>78.187134502924039</v>
      </c>
      <c r="AC94" s="334">
        <f t="shared" si="32"/>
        <v>13</v>
      </c>
      <c r="AD94" s="690"/>
      <c r="AE94" s="182">
        <v>18</v>
      </c>
      <c r="AF94" s="182">
        <v>1434.0000000000005</v>
      </c>
      <c r="AG94" s="182">
        <v>79.666666666666686</v>
      </c>
      <c r="AH94" s="334">
        <f t="shared" si="33"/>
        <v>11</v>
      </c>
      <c r="AI94" s="690"/>
      <c r="AJ94" s="182">
        <v>18</v>
      </c>
      <c r="AK94" s="182">
        <v>1423.8805970149272</v>
      </c>
      <c r="AL94" s="182">
        <v>79.104477611940396</v>
      </c>
      <c r="AM94" s="334">
        <f t="shared" si="34"/>
        <v>11</v>
      </c>
      <c r="AN94" s="690"/>
      <c r="AO94" s="182">
        <v>18</v>
      </c>
      <c r="AP94" s="182">
        <v>1445.3164556962017</v>
      </c>
      <c r="AQ94" s="182">
        <v>80.29535864978898</v>
      </c>
      <c r="AR94" s="334">
        <f t="shared" si="35"/>
        <v>10</v>
      </c>
      <c r="AS94" s="690"/>
      <c r="AT94" s="182">
        <v>18</v>
      </c>
      <c r="AU94" s="182">
        <v>1406.9999999999995</v>
      </c>
      <c r="AV94" s="182">
        <v>78.166666666666643</v>
      </c>
      <c r="AW94" s="334">
        <f t="shared" si="36"/>
        <v>12</v>
      </c>
      <c r="AX94" s="690"/>
    </row>
    <row r="95" spans="2:50">
      <c r="B95" s="676"/>
      <c r="C95" s="309">
        <v>19</v>
      </c>
      <c r="D95" s="227" t="s">
        <v>933</v>
      </c>
      <c r="E95" s="182">
        <v>17</v>
      </c>
      <c r="F95" s="569">
        <v>1385</v>
      </c>
      <c r="G95" s="570">
        <v>81.400000000000006</v>
      </c>
      <c r="H95" s="718"/>
      <c r="I95" s="199">
        <f t="shared" si="27"/>
        <v>17</v>
      </c>
      <c r="J95" s="199">
        <f t="shared" si="28"/>
        <v>1195.2208626272857</v>
      </c>
      <c r="K95" s="200">
        <f t="shared" si="29"/>
        <v>70.307109566310928</v>
      </c>
      <c r="L95" s="650"/>
      <c r="M95" s="201">
        <f>RANK(K95, K$77:$K$106)</f>
        <v>21</v>
      </c>
      <c r="N95" s="668"/>
      <c r="O95" s="668"/>
      <c r="P95" s="182">
        <v>17</v>
      </c>
      <c r="Q95" s="182">
        <v>1253.9999999999995</v>
      </c>
      <c r="R95" s="182">
        <v>73.764705882352914</v>
      </c>
      <c r="S95" s="334">
        <f t="shared" si="30"/>
        <v>16</v>
      </c>
      <c r="T95" s="690"/>
      <c r="U95" s="182">
        <v>17</v>
      </c>
      <c r="V95" s="182">
        <v>1293.7499999999982</v>
      </c>
      <c r="W95" s="182">
        <v>76.10294117647048</v>
      </c>
      <c r="X95" s="334">
        <f t="shared" si="31"/>
        <v>14</v>
      </c>
      <c r="Y95" s="690"/>
      <c r="Z95" s="182">
        <v>17</v>
      </c>
      <c r="AA95" s="182">
        <v>1081.935483870966</v>
      </c>
      <c r="AB95" s="182">
        <v>63.643263757115648</v>
      </c>
      <c r="AC95" s="334">
        <f t="shared" si="32"/>
        <v>26</v>
      </c>
      <c r="AD95" s="690"/>
      <c r="AE95" s="182">
        <v>17</v>
      </c>
      <c r="AF95" s="182">
        <v>1278.6206896551698</v>
      </c>
      <c r="AG95" s="182">
        <v>75.212981744421754</v>
      </c>
      <c r="AH95" s="334">
        <f t="shared" si="33"/>
        <v>16</v>
      </c>
      <c r="AI95" s="690"/>
      <c r="AJ95" s="182">
        <v>17</v>
      </c>
      <c r="AK95" s="182">
        <v>1089.3749999999984</v>
      </c>
      <c r="AL95" s="182">
        <v>64.080882352941089</v>
      </c>
      <c r="AM95" s="334">
        <f t="shared" si="34"/>
        <v>26</v>
      </c>
      <c r="AN95" s="690"/>
      <c r="AO95" s="182">
        <v>17</v>
      </c>
      <c r="AP95" s="182">
        <v>1264.8648648648641</v>
      </c>
      <c r="AQ95" s="182">
        <v>74.403815580286121</v>
      </c>
      <c r="AR95" s="334">
        <f t="shared" si="35"/>
        <v>16</v>
      </c>
      <c r="AS95" s="690"/>
      <c r="AT95" s="182">
        <v>17</v>
      </c>
      <c r="AU95" s="182">
        <v>1104.0000000000039</v>
      </c>
      <c r="AV95" s="182">
        <v>64.941176470588459</v>
      </c>
      <c r="AW95" s="334">
        <f t="shared" si="36"/>
        <v>25</v>
      </c>
      <c r="AX95" s="690"/>
    </row>
    <row r="96" spans="2:50">
      <c r="B96" s="676"/>
      <c r="C96" s="309">
        <v>20</v>
      </c>
      <c r="D96" s="227" t="s">
        <v>761</v>
      </c>
      <c r="E96" s="182">
        <v>17</v>
      </c>
      <c r="F96" s="569">
        <v>1440</v>
      </c>
      <c r="G96" s="570">
        <v>84.7</v>
      </c>
      <c r="H96" s="718"/>
      <c r="I96" s="199">
        <f t="shared" si="27"/>
        <v>17</v>
      </c>
      <c r="J96" s="199">
        <f t="shared" si="28"/>
        <v>1322.1590688817544</v>
      </c>
      <c r="K96" s="200">
        <f t="shared" si="29"/>
        <v>77.77406287539732</v>
      </c>
      <c r="L96" s="650"/>
      <c r="M96" s="201">
        <f>RANK(K96, K$77:$K$106)</f>
        <v>13</v>
      </c>
      <c r="N96" s="668"/>
      <c r="O96" s="668"/>
      <c r="P96" s="182">
        <v>17</v>
      </c>
      <c r="Q96" s="182">
        <v>1323.5294117647065</v>
      </c>
      <c r="R96" s="182">
        <v>77.854671280276861</v>
      </c>
      <c r="S96" s="334">
        <f t="shared" si="30"/>
        <v>13</v>
      </c>
      <c r="T96" s="690"/>
      <c r="U96" s="182">
        <v>17</v>
      </c>
      <c r="V96" s="182">
        <v>1291.2000000000005</v>
      </c>
      <c r="W96" s="182">
        <v>75.952941176470617</v>
      </c>
      <c r="X96" s="334">
        <f t="shared" si="31"/>
        <v>15</v>
      </c>
      <c r="Y96" s="690"/>
      <c r="Z96" s="182">
        <v>17</v>
      </c>
      <c r="AA96" s="182">
        <v>1330.76923076923</v>
      </c>
      <c r="AB96" s="182">
        <v>78.280542986425303</v>
      </c>
      <c r="AC96" s="334">
        <f t="shared" si="32"/>
        <v>12</v>
      </c>
      <c r="AD96" s="690"/>
      <c r="AE96" s="182">
        <v>17</v>
      </c>
      <c r="AF96" s="182">
        <v>1333.6363636363635</v>
      </c>
      <c r="AG96" s="182">
        <v>78.449197860962556</v>
      </c>
      <c r="AH96" s="334">
        <f t="shared" si="33"/>
        <v>13</v>
      </c>
      <c r="AI96" s="690"/>
      <c r="AJ96" s="182">
        <v>17</v>
      </c>
      <c r="AK96" s="182">
        <v>1328.3720930232557</v>
      </c>
      <c r="AL96" s="182">
        <v>78.139534883720927</v>
      </c>
      <c r="AM96" s="334">
        <f t="shared" si="34"/>
        <v>13</v>
      </c>
      <c r="AN96" s="690"/>
      <c r="AO96" s="182">
        <v>17</v>
      </c>
      <c r="AP96" s="182">
        <v>1322.5000000000005</v>
      </c>
      <c r="AQ96" s="182">
        <v>77.794117647058854</v>
      </c>
      <c r="AR96" s="334">
        <f t="shared" si="35"/>
        <v>14</v>
      </c>
      <c r="AS96" s="690"/>
      <c r="AT96" s="182">
        <v>17</v>
      </c>
      <c r="AU96" s="182">
        <v>1325.1063829787236</v>
      </c>
      <c r="AV96" s="182">
        <v>77.947434292866092</v>
      </c>
      <c r="AW96" s="334">
        <f t="shared" si="36"/>
        <v>13</v>
      </c>
      <c r="AX96" s="690"/>
    </row>
    <row r="97" spans="2:50">
      <c r="B97" s="676"/>
      <c r="C97" s="309">
        <v>21</v>
      </c>
      <c r="D97" s="227" t="s">
        <v>786</v>
      </c>
      <c r="E97" s="182">
        <v>18</v>
      </c>
      <c r="F97" s="569">
        <v>1500</v>
      </c>
      <c r="G97" s="570">
        <v>83.3</v>
      </c>
      <c r="H97" s="718"/>
      <c r="I97" s="199">
        <f t="shared" si="27"/>
        <v>18</v>
      </c>
      <c r="J97" s="199">
        <f t="shared" si="28"/>
        <v>1430.3014280617288</v>
      </c>
      <c r="K97" s="200">
        <f t="shared" si="29"/>
        <v>79.461190447873832</v>
      </c>
      <c r="L97" s="650"/>
      <c r="M97" s="201">
        <f>RANK(K97, K$77:$K$106)</f>
        <v>11</v>
      </c>
      <c r="N97" s="668"/>
      <c r="O97" s="668"/>
      <c r="P97" s="182">
        <v>18</v>
      </c>
      <c r="Q97" s="182">
        <v>1433.2258064516141</v>
      </c>
      <c r="R97" s="182">
        <v>79.623655913978553</v>
      </c>
      <c r="S97" s="334">
        <f t="shared" si="30"/>
        <v>10</v>
      </c>
      <c r="T97" s="690"/>
      <c r="U97" s="182">
        <v>18</v>
      </c>
      <c r="V97" s="182">
        <v>1404.8275862068974</v>
      </c>
      <c r="W97" s="182">
        <v>78.045977011494301</v>
      </c>
      <c r="X97" s="334">
        <f t="shared" si="31"/>
        <v>13</v>
      </c>
      <c r="Y97" s="690"/>
      <c r="Z97" s="182">
        <v>18</v>
      </c>
      <c r="AA97" s="182">
        <v>1440.0000000000005</v>
      </c>
      <c r="AB97" s="182">
        <v>80.000000000000028</v>
      </c>
      <c r="AC97" s="334">
        <f t="shared" si="32"/>
        <v>9</v>
      </c>
      <c r="AD97" s="690"/>
      <c r="AE97" s="182">
        <v>18</v>
      </c>
      <c r="AF97" s="182">
        <v>1430.9433962264159</v>
      </c>
      <c r="AG97" s="182">
        <v>79.496855345911996</v>
      </c>
      <c r="AH97" s="334">
        <f t="shared" si="33"/>
        <v>12</v>
      </c>
      <c r="AI97" s="690"/>
      <c r="AJ97" s="182">
        <v>18</v>
      </c>
      <c r="AK97" s="182">
        <v>1458.1132075471708</v>
      </c>
      <c r="AL97" s="182">
        <v>81.00628930817615</v>
      </c>
      <c r="AM97" s="334">
        <f t="shared" si="34"/>
        <v>10</v>
      </c>
      <c r="AN97" s="690"/>
      <c r="AO97" s="182">
        <v>18</v>
      </c>
      <c r="AP97" s="182">
        <v>1410.0000000000014</v>
      </c>
      <c r="AQ97" s="182">
        <v>78.333333333333414</v>
      </c>
      <c r="AR97" s="334">
        <f t="shared" si="35"/>
        <v>13</v>
      </c>
      <c r="AS97" s="690"/>
      <c r="AT97" s="182">
        <v>18</v>
      </c>
      <c r="AU97" s="182">
        <v>1435.0000000000014</v>
      </c>
      <c r="AV97" s="182">
        <v>79.7222222222223</v>
      </c>
      <c r="AW97" s="334">
        <f t="shared" si="36"/>
        <v>11</v>
      </c>
      <c r="AX97" s="690"/>
    </row>
    <row r="98" spans="2:50">
      <c r="B98" s="676"/>
      <c r="C98" s="309">
        <v>22</v>
      </c>
      <c r="D98" s="227" t="s">
        <v>938</v>
      </c>
      <c r="E98" s="182">
        <v>18</v>
      </c>
      <c r="F98" s="569">
        <v>1636</v>
      </c>
      <c r="G98" s="570">
        <v>90.9</v>
      </c>
      <c r="H98" s="718"/>
      <c r="I98" s="199">
        <f t="shared" si="27"/>
        <v>18</v>
      </c>
      <c r="J98" s="199">
        <f t="shared" si="28"/>
        <v>1273.4960999479731</v>
      </c>
      <c r="K98" s="200">
        <f t="shared" si="29"/>
        <v>70.749783330442952</v>
      </c>
      <c r="L98" s="650"/>
      <c r="M98" s="201">
        <f>RANK(K98, K$77:$K$106)</f>
        <v>20</v>
      </c>
      <c r="N98" s="668"/>
      <c r="O98" s="668"/>
      <c r="P98" s="182">
        <v>18</v>
      </c>
      <c r="Q98" s="182">
        <v>1209.465671641791</v>
      </c>
      <c r="R98" s="182">
        <v>67.192537313432837</v>
      </c>
      <c r="S98" s="334">
        <f t="shared" si="30"/>
        <v>23</v>
      </c>
      <c r="T98" s="690"/>
      <c r="U98" s="182">
        <v>18</v>
      </c>
      <c r="V98" s="182">
        <v>1225.8406015037592</v>
      </c>
      <c r="W98" s="182">
        <v>68.102255639097734</v>
      </c>
      <c r="X98" s="334">
        <f t="shared" si="31"/>
        <v>22</v>
      </c>
      <c r="Y98" s="690"/>
      <c r="Z98" s="182">
        <v>18</v>
      </c>
      <c r="AA98" s="182">
        <v>1210.7708333333328</v>
      </c>
      <c r="AB98" s="182">
        <v>67.265046296296262</v>
      </c>
      <c r="AC98" s="334">
        <f t="shared" si="32"/>
        <v>21</v>
      </c>
      <c r="AD98" s="690"/>
      <c r="AE98" s="182">
        <v>18</v>
      </c>
      <c r="AF98" s="182">
        <v>1313.474418604651</v>
      </c>
      <c r="AG98" s="182">
        <v>72.970801033591727</v>
      </c>
      <c r="AH98" s="334">
        <f t="shared" si="33"/>
        <v>19</v>
      </c>
      <c r="AI98" s="690"/>
      <c r="AJ98" s="182">
        <v>18</v>
      </c>
      <c r="AK98" s="182">
        <v>1302.0048780487812</v>
      </c>
      <c r="AL98" s="182">
        <v>72.333604336043393</v>
      </c>
      <c r="AM98" s="334">
        <f t="shared" si="34"/>
        <v>17</v>
      </c>
      <c r="AN98" s="690"/>
      <c r="AO98" s="182">
        <v>18</v>
      </c>
      <c r="AP98" s="182">
        <v>1322.3034965034967</v>
      </c>
      <c r="AQ98" s="182">
        <v>73.461305361305378</v>
      </c>
      <c r="AR98" s="334">
        <f t="shared" si="35"/>
        <v>17</v>
      </c>
      <c r="AS98" s="690"/>
      <c r="AT98" s="182">
        <v>18</v>
      </c>
      <c r="AU98" s="182">
        <v>1330.6127999999999</v>
      </c>
      <c r="AV98" s="182">
        <v>73.922933333333333</v>
      </c>
      <c r="AW98" s="334">
        <f t="shared" si="36"/>
        <v>16</v>
      </c>
      <c r="AX98" s="690"/>
    </row>
    <row r="99" spans="2:50">
      <c r="B99" s="676"/>
      <c r="C99" s="309">
        <v>23</v>
      </c>
      <c r="D99" s="227" t="s">
        <v>789</v>
      </c>
      <c r="E99" s="182">
        <v>20</v>
      </c>
      <c r="F99" s="569">
        <v>1500</v>
      </c>
      <c r="G99" s="570">
        <v>75</v>
      </c>
      <c r="H99" s="718"/>
      <c r="I99" s="199">
        <f t="shared" si="27"/>
        <v>20</v>
      </c>
      <c r="J99" s="199">
        <f t="shared" si="28"/>
        <v>1194.5150259225015</v>
      </c>
      <c r="K99" s="200">
        <f t="shared" si="29"/>
        <v>59.72575129612509</v>
      </c>
      <c r="L99" s="650"/>
      <c r="M99" s="201">
        <f>RANK(K99, K$77:$K$106)</f>
        <v>28</v>
      </c>
      <c r="N99" s="668"/>
      <c r="O99" s="668"/>
      <c r="P99" s="182">
        <v>20</v>
      </c>
      <c r="Q99" s="182">
        <v>1223.7931034482767</v>
      </c>
      <c r="R99" s="182">
        <v>61.189655172413836</v>
      </c>
      <c r="S99" s="334">
        <f t="shared" si="30"/>
        <v>28</v>
      </c>
      <c r="T99" s="690"/>
      <c r="U99" s="182">
        <v>20</v>
      </c>
      <c r="V99" s="182">
        <v>1242.2222222222229</v>
      </c>
      <c r="W99" s="182">
        <v>62.111111111111143</v>
      </c>
      <c r="X99" s="334">
        <f t="shared" si="31"/>
        <v>27</v>
      </c>
      <c r="Y99" s="690"/>
      <c r="Z99" s="182">
        <v>20</v>
      </c>
      <c r="AA99" s="182">
        <v>1271.4285714285709</v>
      </c>
      <c r="AB99" s="182">
        <v>63.571428571428541</v>
      </c>
      <c r="AC99" s="334">
        <f t="shared" si="32"/>
        <v>27</v>
      </c>
      <c r="AD99" s="690"/>
      <c r="AE99" s="182">
        <v>20</v>
      </c>
      <c r="AF99" s="182">
        <v>1160.3571428571438</v>
      </c>
      <c r="AG99" s="182">
        <v>58.017857142857189</v>
      </c>
      <c r="AH99" s="334">
        <f t="shared" si="33"/>
        <v>28</v>
      </c>
      <c r="AI99" s="690"/>
      <c r="AJ99" s="182">
        <v>20</v>
      </c>
      <c r="AK99" s="182">
        <v>1125.2631578947378</v>
      </c>
      <c r="AL99" s="182">
        <v>56.263157894736892</v>
      </c>
      <c r="AM99" s="334">
        <f t="shared" si="34"/>
        <v>28</v>
      </c>
      <c r="AN99" s="690"/>
      <c r="AO99" s="182">
        <v>20</v>
      </c>
      <c r="AP99" s="182">
        <v>1171.0000000000009</v>
      </c>
      <c r="AQ99" s="182">
        <v>58.550000000000047</v>
      </c>
      <c r="AR99" s="334">
        <f t="shared" si="35"/>
        <v>28</v>
      </c>
      <c r="AS99" s="690"/>
      <c r="AT99" s="182">
        <v>20</v>
      </c>
      <c r="AU99" s="182">
        <v>1167.5409836065585</v>
      </c>
      <c r="AV99" s="182">
        <v>58.377049180327923</v>
      </c>
      <c r="AW99" s="334">
        <f t="shared" si="36"/>
        <v>28</v>
      </c>
      <c r="AX99" s="690"/>
    </row>
    <row r="100" spans="2:50">
      <c r="B100" s="676"/>
      <c r="C100" s="309">
        <v>24</v>
      </c>
      <c r="D100" s="227" t="s">
        <v>935</v>
      </c>
      <c r="E100" s="182">
        <v>17</v>
      </c>
      <c r="F100" s="569">
        <v>1565</v>
      </c>
      <c r="G100" s="570">
        <v>92.1</v>
      </c>
      <c r="H100" s="718"/>
      <c r="I100" s="463">
        <f t="shared" ref="I100:I101" si="37">AVERAGE(P100,U100,Z100,AE100,AJ100,AO100,AT100)</f>
        <v>18.285714285714285</v>
      </c>
      <c r="J100" s="463">
        <f t="shared" ref="J100:J101" si="38">AVERAGE(Q100,V100,AA100,AF100,AK100,AP100,AU100)</f>
        <v>1329.0282309579354</v>
      </c>
      <c r="K100" s="200">
        <f t="shared" ref="K100:K101" si="39">AVERAGE(R100,W100,AB100,AG100,AL100,AQ100,AV100)</f>
        <v>72.799420860875017</v>
      </c>
      <c r="L100" s="650"/>
      <c r="M100" s="201">
        <f>RANK(K100, K$77:$K$106)</f>
        <v>17</v>
      </c>
      <c r="N100" s="668"/>
      <c r="O100" s="668"/>
      <c r="P100" s="182">
        <v>18</v>
      </c>
      <c r="Q100" s="182">
        <v>1412.4000000000003</v>
      </c>
      <c r="R100" s="182">
        <v>78.466666666666683</v>
      </c>
      <c r="S100" s="334">
        <f t="shared" si="30"/>
        <v>11</v>
      </c>
      <c r="T100" s="690"/>
      <c r="U100" s="182">
        <v>20</v>
      </c>
      <c r="V100" s="182">
        <v>1304.7058823529417</v>
      </c>
      <c r="W100" s="182">
        <v>65.235294117647086</v>
      </c>
      <c r="X100" s="334">
        <f t="shared" si="31"/>
        <v>26</v>
      </c>
      <c r="Y100" s="690"/>
      <c r="Z100" s="182">
        <v>18</v>
      </c>
      <c r="AA100" s="182">
        <v>1334.2857142857138</v>
      </c>
      <c r="AB100" s="182">
        <v>74.126984126984098</v>
      </c>
      <c r="AC100" s="334">
        <f t="shared" si="32"/>
        <v>15</v>
      </c>
      <c r="AD100" s="690"/>
      <c r="AE100" s="182">
        <v>18</v>
      </c>
      <c r="AF100" s="182">
        <v>1290.0000000000005</v>
      </c>
      <c r="AG100" s="182">
        <v>71.666666666666686</v>
      </c>
      <c r="AH100" s="334">
        <f t="shared" si="33"/>
        <v>21</v>
      </c>
      <c r="AI100" s="690"/>
      <c r="AJ100" s="182">
        <v>18</v>
      </c>
      <c r="AK100" s="182">
        <v>1335.6521739130435</v>
      </c>
      <c r="AL100" s="182">
        <v>74.20289855072464</v>
      </c>
      <c r="AM100" s="334">
        <f t="shared" si="34"/>
        <v>16</v>
      </c>
      <c r="AN100" s="690"/>
      <c r="AO100" s="182">
        <v>18</v>
      </c>
      <c r="AP100" s="182">
        <v>1320.0000000000007</v>
      </c>
      <c r="AQ100" s="182">
        <v>73.333333333333371</v>
      </c>
      <c r="AR100" s="334">
        <f t="shared" si="35"/>
        <v>18</v>
      </c>
      <c r="AS100" s="690"/>
      <c r="AT100" s="182">
        <v>18</v>
      </c>
      <c r="AU100" s="182">
        <v>1306.1538461538469</v>
      </c>
      <c r="AV100" s="182">
        <v>72.564102564102598</v>
      </c>
      <c r="AW100" s="334">
        <f t="shared" si="36"/>
        <v>18</v>
      </c>
      <c r="AX100" s="690"/>
    </row>
    <row r="101" spans="2:50">
      <c r="B101" s="676"/>
      <c r="C101" s="309">
        <v>25</v>
      </c>
      <c r="D101" s="227" t="s">
        <v>801</v>
      </c>
      <c r="E101" s="182">
        <v>19</v>
      </c>
      <c r="F101" s="569">
        <v>1385</v>
      </c>
      <c r="G101" s="570">
        <v>72.900000000000006</v>
      </c>
      <c r="H101" s="718"/>
      <c r="I101" s="463">
        <f t="shared" si="37"/>
        <v>20</v>
      </c>
      <c r="J101" s="463">
        <f t="shared" si="38"/>
        <v>1214.8987052614216</v>
      </c>
      <c r="K101" s="200">
        <f t="shared" si="39"/>
        <v>60.744935263071078</v>
      </c>
      <c r="L101" s="650"/>
      <c r="M101" s="201">
        <f>RANK(K101, K$77:$K$106)</f>
        <v>27</v>
      </c>
      <c r="N101" s="668"/>
      <c r="O101" s="668"/>
      <c r="P101" s="182">
        <v>20</v>
      </c>
      <c r="Q101" s="182">
        <v>1226.2500000000005</v>
      </c>
      <c r="R101" s="182">
        <v>61.312500000000021</v>
      </c>
      <c r="S101" s="334">
        <f t="shared" si="30"/>
        <v>27</v>
      </c>
      <c r="T101" s="690"/>
      <c r="U101" s="182">
        <v>20</v>
      </c>
      <c r="V101" s="182">
        <v>1201.2765957446811</v>
      </c>
      <c r="W101" s="182">
        <v>60.063829787234056</v>
      </c>
      <c r="X101" s="334">
        <f t="shared" si="31"/>
        <v>28</v>
      </c>
      <c r="Y101" s="690"/>
      <c r="Z101" s="182">
        <v>20</v>
      </c>
      <c r="AA101" s="182">
        <v>1226.6666666666656</v>
      </c>
      <c r="AB101" s="182">
        <v>61.333333333333279</v>
      </c>
      <c r="AC101" s="334">
        <f t="shared" si="32"/>
        <v>28</v>
      </c>
      <c r="AD101" s="690"/>
      <c r="AE101" s="182">
        <v>20</v>
      </c>
      <c r="AF101" s="182">
        <v>1230.6976744186045</v>
      </c>
      <c r="AG101" s="182">
        <v>61.534883720930225</v>
      </c>
      <c r="AH101" s="334">
        <f t="shared" si="33"/>
        <v>27</v>
      </c>
      <c r="AI101" s="690"/>
      <c r="AJ101" s="182">
        <v>20</v>
      </c>
      <c r="AK101" s="182">
        <v>1202.9999999999995</v>
      </c>
      <c r="AL101" s="182">
        <v>60.149999999999977</v>
      </c>
      <c r="AM101" s="334">
        <f t="shared" si="34"/>
        <v>27</v>
      </c>
      <c r="AN101" s="690"/>
      <c r="AO101" s="182">
        <v>20</v>
      </c>
      <c r="AP101" s="182">
        <v>1196.4000000000003</v>
      </c>
      <c r="AQ101" s="182">
        <v>59.820000000000014</v>
      </c>
      <c r="AR101" s="334">
        <f t="shared" si="35"/>
        <v>27</v>
      </c>
      <c r="AS101" s="690"/>
      <c r="AT101" s="182">
        <v>20</v>
      </c>
      <c r="AU101" s="182">
        <v>1220</v>
      </c>
      <c r="AV101" s="182">
        <v>61</v>
      </c>
      <c r="AW101" s="334">
        <f t="shared" si="36"/>
        <v>27</v>
      </c>
      <c r="AX101" s="690"/>
    </row>
    <row r="102" spans="2:50">
      <c r="B102" s="676"/>
      <c r="C102" s="309">
        <v>26</v>
      </c>
      <c r="D102" s="227" t="s">
        <v>802</v>
      </c>
      <c r="E102" s="182">
        <v>18</v>
      </c>
      <c r="F102" s="569">
        <v>1440</v>
      </c>
      <c r="G102" s="570">
        <v>80</v>
      </c>
      <c r="H102" s="718"/>
      <c r="I102" s="536">
        <f t="shared" ref="I102:I104" si="40">AVERAGE(P102,U102,Z102,AE102,AJ102,AO102,AT102)</f>
        <v>18</v>
      </c>
      <c r="J102" s="536">
        <f t="shared" ref="J102:J104" si="41">AVERAGE(Q102,V102,AA102,AF102,AK102,AP102,AU102)</f>
        <v>1044.0000000000036</v>
      </c>
      <c r="K102" s="200">
        <f t="shared" ref="K102:K104" si="42">AVERAGE(R102,W102,AB102,AG102,AL102,AQ102,AV102)</f>
        <v>58.000000000000199</v>
      </c>
      <c r="L102" s="650"/>
      <c r="M102" s="201">
        <f>RANK(K102, K$77:$K$106)</f>
        <v>29</v>
      </c>
      <c r="N102" s="668"/>
      <c r="O102" s="668"/>
      <c r="P102" s="182">
        <v>18</v>
      </c>
      <c r="Q102" s="182">
        <v>1044.0000000000036</v>
      </c>
      <c r="R102" s="182">
        <v>58.000000000000199</v>
      </c>
      <c r="S102" s="334">
        <f t="shared" si="30"/>
        <v>29</v>
      </c>
      <c r="T102" s="690"/>
      <c r="U102" s="182" t="s">
        <v>760</v>
      </c>
      <c r="V102" s="182" t="s">
        <v>760</v>
      </c>
      <c r="W102" s="182" t="s">
        <v>760</v>
      </c>
      <c r="X102" s="334" t="e">
        <f t="shared" si="31"/>
        <v>#VALUE!</v>
      </c>
      <c r="Y102" s="690"/>
      <c r="Z102" s="182" t="s">
        <v>760</v>
      </c>
      <c r="AA102" s="182" t="s">
        <v>760</v>
      </c>
      <c r="AB102" s="182" t="s">
        <v>760</v>
      </c>
      <c r="AC102" s="334" t="e">
        <f t="shared" si="32"/>
        <v>#VALUE!</v>
      </c>
      <c r="AD102" s="690"/>
      <c r="AE102" s="182" t="s">
        <v>760</v>
      </c>
      <c r="AF102" s="182" t="s">
        <v>760</v>
      </c>
      <c r="AG102" s="182" t="s">
        <v>760</v>
      </c>
      <c r="AH102" s="334" t="e">
        <f t="shared" si="33"/>
        <v>#VALUE!</v>
      </c>
      <c r="AI102" s="690"/>
      <c r="AJ102" s="182" t="s">
        <v>760</v>
      </c>
      <c r="AK102" s="182" t="s">
        <v>760</v>
      </c>
      <c r="AL102" s="182" t="s">
        <v>760</v>
      </c>
      <c r="AM102" s="334" t="e">
        <f t="shared" si="34"/>
        <v>#VALUE!</v>
      </c>
      <c r="AN102" s="690"/>
      <c r="AO102" s="182" t="s">
        <v>760</v>
      </c>
      <c r="AP102" s="182" t="s">
        <v>760</v>
      </c>
      <c r="AQ102" s="182" t="s">
        <v>760</v>
      </c>
      <c r="AR102" s="334" t="e">
        <f t="shared" si="35"/>
        <v>#VALUE!</v>
      </c>
      <c r="AS102" s="690"/>
      <c r="AT102" s="182" t="s">
        <v>760</v>
      </c>
      <c r="AU102" s="182" t="s">
        <v>760</v>
      </c>
      <c r="AV102" s="182" t="s">
        <v>760</v>
      </c>
      <c r="AW102" s="334" t="e">
        <f t="shared" si="36"/>
        <v>#VALUE!</v>
      </c>
      <c r="AX102" s="690"/>
    </row>
    <row r="103" spans="2:50">
      <c r="B103" s="676"/>
      <c r="C103" s="309">
        <v>27</v>
      </c>
      <c r="D103" s="227" t="s">
        <v>936</v>
      </c>
      <c r="E103" s="182">
        <v>15</v>
      </c>
      <c r="F103" s="569">
        <v>1440</v>
      </c>
      <c r="G103" s="570">
        <v>96</v>
      </c>
      <c r="H103" s="718"/>
      <c r="I103" s="536">
        <f t="shared" si="40"/>
        <v>15</v>
      </c>
      <c r="J103" s="536">
        <f t="shared" si="41"/>
        <v>1326.7988806475637</v>
      </c>
      <c r="K103" s="200">
        <f t="shared" si="42"/>
        <v>88.453258709837584</v>
      </c>
      <c r="L103" s="650"/>
      <c r="M103" s="201">
        <f>RANK(K103, K$77:$K$106)</f>
        <v>3</v>
      </c>
      <c r="N103" s="668"/>
      <c r="O103" s="668"/>
      <c r="P103" s="182">
        <v>15</v>
      </c>
      <c r="Q103" s="182">
        <v>1289.9999999999995</v>
      </c>
      <c r="R103" s="182">
        <v>85.999999999999972</v>
      </c>
      <c r="S103" s="334">
        <f t="shared" si="30"/>
        <v>4</v>
      </c>
      <c r="T103" s="690"/>
      <c r="U103" s="182">
        <v>15</v>
      </c>
      <c r="V103" s="182">
        <v>1272.6315789473674</v>
      </c>
      <c r="W103" s="182">
        <v>84.842105263157833</v>
      </c>
      <c r="X103" s="334">
        <f t="shared" si="31"/>
        <v>5</v>
      </c>
      <c r="Y103" s="690"/>
      <c r="Z103" s="182">
        <v>15</v>
      </c>
      <c r="AA103" s="182">
        <v>1252.4999999999982</v>
      </c>
      <c r="AB103" s="182">
        <v>83.499999999999872</v>
      </c>
      <c r="AC103" s="334">
        <f t="shared" si="32"/>
        <v>8</v>
      </c>
      <c r="AD103" s="690"/>
      <c r="AE103" s="182">
        <v>15</v>
      </c>
      <c r="AF103" s="182">
        <v>1381.6666666666656</v>
      </c>
      <c r="AG103" s="182">
        <v>92.111111111111043</v>
      </c>
      <c r="AH103" s="334">
        <f t="shared" si="33"/>
        <v>3</v>
      </c>
      <c r="AI103" s="690"/>
      <c r="AJ103" s="182">
        <v>15</v>
      </c>
      <c r="AK103" s="182">
        <v>1351.8749999999982</v>
      </c>
      <c r="AL103" s="182">
        <v>90.124999999999872</v>
      </c>
      <c r="AM103" s="334">
        <f t="shared" si="34"/>
        <v>3</v>
      </c>
      <c r="AN103" s="690"/>
      <c r="AO103" s="182">
        <v>15</v>
      </c>
      <c r="AP103" s="182">
        <v>1350.8108108108097</v>
      </c>
      <c r="AQ103" s="182">
        <v>90.054054054053978</v>
      </c>
      <c r="AR103" s="334">
        <f t="shared" si="35"/>
        <v>3</v>
      </c>
      <c r="AS103" s="690"/>
      <c r="AT103" s="182">
        <v>15</v>
      </c>
      <c r="AU103" s="182">
        <v>1388.1081081081072</v>
      </c>
      <c r="AV103" s="182">
        <v>92.540540540540476</v>
      </c>
      <c r="AW103" s="334">
        <f t="shared" si="36"/>
        <v>3</v>
      </c>
      <c r="AX103" s="690"/>
    </row>
    <row r="104" spans="2:50">
      <c r="B104" s="676"/>
      <c r="C104" s="309">
        <v>28</v>
      </c>
      <c r="D104" s="227" t="s">
        <v>872</v>
      </c>
      <c r="E104" s="182">
        <v>21</v>
      </c>
      <c r="F104" s="569">
        <v>1500</v>
      </c>
      <c r="G104" s="570">
        <v>71.400000000000006</v>
      </c>
      <c r="H104" s="718"/>
      <c r="I104" s="536">
        <f t="shared" si="40"/>
        <v>21</v>
      </c>
      <c r="J104" s="536">
        <f t="shared" si="41"/>
        <v>1391.1074071607861</v>
      </c>
      <c r="K104" s="200">
        <f t="shared" si="42"/>
        <v>66.24320986479934</v>
      </c>
      <c r="L104" s="650"/>
      <c r="M104" s="201">
        <f>RANK(K104, K$77:$K$106)</f>
        <v>25</v>
      </c>
      <c r="N104" s="668"/>
      <c r="O104" s="668"/>
      <c r="P104" s="182">
        <v>21</v>
      </c>
      <c r="Q104" s="182">
        <v>1403.4782608695652</v>
      </c>
      <c r="R104" s="182">
        <v>66.83229813664596</v>
      </c>
      <c r="S104" s="334">
        <f t="shared" si="30"/>
        <v>24</v>
      </c>
      <c r="T104" s="690"/>
      <c r="U104" s="182">
        <v>21</v>
      </c>
      <c r="V104" s="182">
        <v>1409.2682926829264</v>
      </c>
      <c r="W104" s="182">
        <v>67.108013937282209</v>
      </c>
      <c r="X104" s="334">
        <f t="shared" si="31"/>
        <v>23</v>
      </c>
      <c r="Y104" s="690"/>
      <c r="Z104" s="182">
        <v>21</v>
      </c>
      <c r="AA104" s="182">
        <v>1403.9999999999995</v>
      </c>
      <c r="AB104" s="182">
        <v>66.857142857142833</v>
      </c>
      <c r="AC104" s="334">
        <f t="shared" si="32"/>
        <v>22</v>
      </c>
      <c r="AD104" s="690"/>
      <c r="AE104" s="182">
        <v>21</v>
      </c>
      <c r="AF104" s="182">
        <v>1393.8461538461531</v>
      </c>
      <c r="AG104" s="182">
        <v>66.373626373626337</v>
      </c>
      <c r="AH104" s="334">
        <f t="shared" si="33"/>
        <v>24</v>
      </c>
      <c r="AI104" s="690"/>
      <c r="AJ104" s="182">
        <v>21</v>
      </c>
      <c r="AK104" s="182">
        <v>1398.1395348837207</v>
      </c>
      <c r="AL104" s="182">
        <v>66.578073089700979</v>
      </c>
      <c r="AM104" s="334">
        <f t="shared" si="34"/>
        <v>23</v>
      </c>
      <c r="AN104" s="690"/>
      <c r="AO104" s="182">
        <v>21</v>
      </c>
      <c r="AP104" s="182">
        <v>1426.6666666666667</v>
      </c>
      <c r="AQ104" s="182">
        <v>67.936507936507937</v>
      </c>
      <c r="AR104" s="334">
        <f t="shared" si="35"/>
        <v>23</v>
      </c>
      <c r="AS104" s="690"/>
      <c r="AT104" s="182">
        <v>21</v>
      </c>
      <c r="AU104" s="182">
        <v>1302.3529411764712</v>
      </c>
      <c r="AV104" s="182">
        <v>62.016806722689104</v>
      </c>
      <c r="AW104" s="334">
        <f t="shared" si="36"/>
        <v>26</v>
      </c>
      <c r="AX104" s="690"/>
    </row>
    <row r="105" spans="2:50">
      <c r="B105" s="676"/>
      <c r="C105" s="309">
        <v>29</v>
      </c>
      <c r="D105" s="227" t="s">
        <v>937</v>
      </c>
      <c r="E105" s="182">
        <v>19</v>
      </c>
      <c r="F105" s="569">
        <v>1500</v>
      </c>
      <c r="G105" s="570">
        <v>78.900000000000006</v>
      </c>
      <c r="H105" s="718"/>
      <c r="I105" s="561">
        <f t="shared" ref="I105" si="43">AVERAGE(P105,U105,Z105,AE105,AJ105,AO105,AT105)</f>
        <v>19</v>
      </c>
      <c r="J105" s="561">
        <f t="shared" ref="J105" si="44">AVERAGE(Q105,V105,AA105,AF105,AK105,AP105,AU105)</f>
        <v>1268.093186790345</v>
      </c>
      <c r="K105" s="200">
        <f t="shared" ref="K105" si="45">AVERAGE(R105,W105,AB105,AG105,AL105,AQ105,AV105)</f>
        <v>66.741746673176053</v>
      </c>
      <c r="L105" s="650"/>
      <c r="M105" s="201">
        <f>RANK(K105, K$77:$K$106)</f>
        <v>24</v>
      </c>
      <c r="N105" s="668"/>
      <c r="O105" s="668"/>
      <c r="P105" s="182">
        <v>19</v>
      </c>
      <c r="Q105" s="182">
        <v>1258.3333333333339</v>
      </c>
      <c r="R105" s="182">
        <v>66.228070175438631</v>
      </c>
      <c r="S105" s="334">
        <f t="shared" si="30"/>
        <v>26</v>
      </c>
      <c r="T105" s="690"/>
      <c r="U105" s="182">
        <v>19</v>
      </c>
      <c r="V105" s="182">
        <v>1272.5714285714291</v>
      </c>
      <c r="W105" s="182">
        <v>66.977443609022586</v>
      </c>
      <c r="X105" s="334">
        <f t="shared" si="31"/>
        <v>24</v>
      </c>
      <c r="Y105" s="690"/>
      <c r="Z105" s="182">
        <v>19</v>
      </c>
      <c r="AA105" s="182">
        <v>1250.5617977528088</v>
      </c>
      <c r="AB105" s="182">
        <v>65.819041986989944</v>
      </c>
      <c r="AC105" s="334">
        <f t="shared" si="32"/>
        <v>23</v>
      </c>
      <c r="AD105" s="690"/>
      <c r="AE105" s="182">
        <v>19</v>
      </c>
      <c r="AF105" s="182">
        <v>1259.3333333333333</v>
      </c>
      <c r="AG105" s="182">
        <v>66.280701754385959</v>
      </c>
      <c r="AH105" s="334">
        <f t="shared" si="33"/>
        <v>25</v>
      </c>
      <c r="AI105" s="690"/>
      <c r="AJ105" s="182">
        <v>19</v>
      </c>
      <c r="AK105" s="182">
        <v>1268.8421052631581</v>
      </c>
      <c r="AL105" s="182">
        <v>66.781163434903064</v>
      </c>
      <c r="AM105" s="334">
        <f t="shared" si="34"/>
        <v>22</v>
      </c>
      <c r="AN105" s="690"/>
      <c r="AO105" s="182">
        <v>19</v>
      </c>
      <c r="AP105" s="182">
        <v>1289.072164948454</v>
      </c>
      <c r="AQ105" s="182">
        <v>67.845903418339688</v>
      </c>
      <c r="AR105" s="334">
        <f t="shared" si="35"/>
        <v>24</v>
      </c>
      <c r="AS105" s="690"/>
      <c r="AT105" s="182">
        <v>19</v>
      </c>
      <c r="AU105" s="182">
        <v>1277.9381443298973</v>
      </c>
      <c r="AV105" s="182">
        <v>67.259902333152496</v>
      </c>
      <c r="AW105" s="334">
        <f t="shared" si="36"/>
        <v>22</v>
      </c>
      <c r="AX105" s="690"/>
    </row>
    <row r="106" spans="2:50">
      <c r="B106" s="676"/>
      <c r="C106" s="309">
        <v>30</v>
      </c>
      <c r="D106" s="227"/>
      <c r="E106" s="182"/>
      <c r="F106" s="569"/>
      <c r="G106" s="570"/>
      <c r="H106" s="719"/>
      <c r="I106" s="561"/>
      <c r="J106" s="561"/>
      <c r="K106" s="200"/>
      <c r="L106" s="651"/>
      <c r="M106" s="201" t="e">
        <f>RANK(K106, K$77:$K$106)</f>
        <v>#N/A</v>
      </c>
      <c r="N106" s="668"/>
      <c r="O106" s="668"/>
      <c r="P106" s="182"/>
      <c r="Q106" s="182"/>
      <c r="R106" s="182"/>
      <c r="S106" s="334" t="e">
        <f t="shared" si="30"/>
        <v>#N/A</v>
      </c>
      <c r="T106" s="690"/>
      <c r="U106" s="182"/>
      <c r="V106" s="182"/>
      <c r="W106" s="182"/>
      <c r="X106" s="334" t="e">
        <f t="shared" si="31"/>
        <v>#N/A</v>
      </c>
      <c r="Y106" s="690"/>
      <c r="Z106" s="182"/>
      <c r="AA106" s="182"/>
      <c r="AB106" s="182"/>
      <c r="AC106" s="334" t="e">
        <f t="shared" si="32"/>
        <v>#N/A</v>
      </c>
      <c r="AD106" s="690"/>
      <c r="AE106" s="182"/>
      <c r="AF106" s="182"/>
      <c r="AG106" s="182"/>
      <c r="AH106" s="334" t="e">
        <f t="shared" si="33"/>
        <v>#N/A</v>
      </c>
      <c r="AI106" s="690"/>
      <c r="AJ106" s="182"/>
      <c r="AK106" s="182"/>
      <c r="AL106" s="182"/>
      <c r="AM106" s="334" t="e">
        <f t="shared" si="34"/>
        <v>#N/A</v>
      </c>
      <c r="AN106" s="690"/>
      <c r="AO106" s="182"/>
      <c r="AP106" s="182"/>
      <c r="AQ106" s="182"/>
      <c r="AR106" s="334" t="e">
        <f t="shared" si="35"/>
        <v>#N/A</v>
      </c>
      <c r="AS106" s="690"/>
      <c r="AT106" s="182"/>
      <c r="AU106" s="182"/>
      <c r="AV106" s="182"/>
      <c r="AW106" s="334" t="e">
        <f t="shared" si="36"/>
        <v>#N/A</v>
      </c>
      <c r="AX106" s="690"/>
    </row>
    <row r="107" spans="2:50" ht="15.75">
      <c r="B107" s="680" t="s">
        <v>163</v>
      </c>
      <c r="C107" s="681"/>
      <c r="D107" s="681"/>
      <c r="E107" s="681"/>
      <c r="F107" s="681"/>
      <c r="G107" s="681"/>
      <c r="H107" s="682"/>
      <c r="I107" s="208"/>
      <c r="J107" s="208"/>
      <c r="K107" s="208"/>
      <c r="L107" s="208"/>
      <c r="M107" s="207"/>
      <c r="N107" s="669" t="s">
        <v>156</v>
      </c>
      <c r="O107" s="669" t="s">
        <v>105</v>
      </c>
      <c r="P107" s="675">
        <f>P72+7</f>
        <v>46105</v>
      </c>
      <c r="Q107" s="676"/>
      <c r="R107" s="676"/>
      <c r="S107" s="676"/>
      <c r="T107" s="676"/>
      <c r="U107" s="672">
        <f>P107+1</f>
        <v>46106</v>
      </c>
      <c r="V107" s="673"/>
      <c r="W107" s="673"/>
      <c r="X107" s="673"/>
      <c r="Y107" s="674"/>
      <c r="Z107" s="672">
        <f>U107+1</f>
        <v>46107</v>
      </c>
      <c r="AA107" s="673"/>
      <c r="AB107" s="673"/>
      <c r="AC107" s="673"/>
      <c r="AD107" s="674"/>
      <c r="AE107" s="672">
        <f>Z107+1</f>
        <v>46108</v>
      </c>
      <c r="AF107" s="673"/>
      <c r="AG107" s="673"/>
      <c r="AH107" s="673"/>
      <c r="AI107" s="674"/>
      <c r="AJ107" s="672">
        <f>AE107+1</f>
        <v>46109</v>
      </c>
      <c r="AK107" s="673"/>
      <c r="AL107" s="673"/>
      <c r="AM107" s="673"/>
      <c r="AN107" s="674"/>
      <c r="AO107" s="672">
        <f>AJ107+1</f>
        <v>46110</v>
      </c>
      <c r="AP107" s="673"/>
      <c r="AQ107" s="673"/>
      <c r="AR107" s="673"/>
      <c r="AS107" s="674"/>
      <c r="AT107" s="672">
        <f>AO107+1</f>
        <v>46111</v>
      </c>
      <c r="AU107" s="673"/>
      <c r="AV107" s="673"/>
      <c r="AW107" s="673"/>
      <c r="AX107" s="674"/>
    </row>
    <row r="108" spans="2:50" ht="15.75">
      <c r="B108" s="683"/>
      <c r="C108" s="683"/>
      <c r="D108" s="683"/>
      <c r="E108" s="683"/>
      <c r="F108" s="683"/>
      <c r="G108" s="683"/>
      <c r="H108" s="683"/>
      <c r="I108" s="205"/>
      <c r="J108" s="205"/>
      <c r="K108" s="205"/>
      <c r="L108" s="205"/>
      <c r="M108" s="206"/>
      <c r="N108" s="671"/>
      <c r="O108" s="671"/>
      <c r="P108" s="675" t="s">
        <v>336</v>
      </c>
      <c r="Q108" s="676"/>
      <c r="R108" s="676"/>
      <c r="S108" s="676"/>
      <c r="T108" s="676"/>
      <c r="U108" s="675" t="s">
        <v>337</v>
      </c>
      <c r="V108" s="676"/>
      <c r="W108" s="676"/>
      <c r="X108" s="676"/>
      <c r="Y108" s="676"/>
      <c r="Z108" s="675" t="s">
        <v>338</v>
      </c>
      <c r="AA108" s="676"/>
      <c r="AB108" s="676"/>
      <c r="AC108" s="676"/>
      <c r="AD108" s="676"/>
      <c r="AE108" s="675" t="s">
        <v>339</v>
      </c>
      <c r="AF108" s="676"/>
      <c r="AG108" s="676"/>
      <c r="AH108" s="676"/>
      <c r="AI108" s="676"/>
      <c r="AJ108" s="675" t="s">
        <v>340</v>
      </c>
      <c r="AK108" s="676"/>
      <c r="AL108" s="676"/>
      <c r="AM108" s="676"/>
      <c r="AN108" s="676"/>
      <c r="AO108" s="675" t="s">
        <v>341</v>
      </c>
      <c r="AP108" s="676"/>
      <c r="AQ108" s="676"/>
      <c r="AR108" s="676"/>
      <c r="AS108" s="676"/>
      <c r="AT108" s="675" t="s">
        <v>342</v>
      </c>
      <c r="AU108" s="676"/>
      <c r="AV108" s="676"/>
      <c r="AW108" s="676"/>
      <c r="AX108" s="676"/>
    </row>
    <row r="109" spans="2:50">
      <c r="B109" s="668" t="s">
        <v>477</v>
      </c>
      <c r="C109" s="668" t="s">
        <v>478</v>
      </c>
      <c r="D109" s="668"/>
      <c r="E109" s="668" t="s">
        <v>479</v>
      </c>
      <c r="F109" s="668"/>
      <c r="G109" s="668"/>
      <c r="H109" s="684" t="s">
        <v>480</v>
      </c>
      <c r="I109" s="652" t="s">
        <v>481</v>
      </c>
      <c r="J109" s="652"/>
      <c r="K109" s="652"/>
      <c r="L109" s="653" t="s">
        <v>480</v>
      </c>
      <c r="M109" s="659" t="s">
        <v>482</v>
      </c>
      <c r="N109" s="668"/>
      <c r="O109" s="668" t="s">
        <v>483</v>
      </c>
      <c r="P109" s="665" t="s">
        <v>484</v>
      </c>
      <c r="Q109" s="666"/>
      <c r="R109" s="666"/>
      <c r="S109" s="667"/>
      <c r="T109" s="668" t="s">
        <v>480</v>
      </c>
      <c r="U109" s="665" t="s">
        <v>484</v>
      </c>
      <c r="V109" s="666"/>
      <c r="W109" s="666"/>
      <c r="X109" s="667"/>
      <c r="Y109" s="668" t="s">
        <v>480</v>
      </c>
      <c r="Z109" s="665" t="s">
        <v>484</v>
      </c>
      <c r="AA109" s="666"/>
      <c r="AB109" s="666"/>
      <c r="AC109" s="667"/>
      <c r="AD109" s="668" t="s">
        <v>480</v>
      </c>
      <c r="AE109" s="665" t="s">
        <v>484</v>
      </c>
      <c r="AF109" s="666"/>
      <c r="AG109" s="666"/>
      <c r="AH109" s="667"/>
      <c r="AI109" s="668" t="s">
        <v>480</v>
      </c>
      <c r="AJ109" s="665" t="s">
        <v>484</v>
      </c>
      <c r="AK109" s="666"/>
      <c r="AL109" s="666"/>
      <c r="AM109" s="667"/>
      <c r="AN109" s="668" t="s">
        <v>480</v>
      </c>
      <c r="AO109" s="665" t="s">
        <v>484</v>
      </c>
      <c r="AP109" s="666"/>
      <c r="AQ109" s="666"/>
      <c r="AR109" s="667"/>
      <c r="AS109" s="668" t="s">
        <v>480</v>
      </c>
      <c r="AT109" s="665" t="s">
        <v>484</v>
      </c>
      <c r="AU109" s="666"/>
      <c r="AV109" s="666"/>
      <c r="AW109" s="667"/>
      <c r="AX109" s="668" t="s">
        <v>480</v>
      </c>
    </row>
    <row r="110" spans="2:50">
      <c r="B110" s="668"/>
      <c r="C110" s="668"/>
      <c r="D110" s="668"/>
      <c r="E110" s="668" t="s">
        <v>485</v>
      </c>
      <c r="F110" s="668"/>
      <c r="G110" s="668"/>
      <c r="H110" s="685"/>
      <c r="I110" s="652" t="s">
        <v>485</v>
      </c>
      <c r="J110" s="652"/>
      <c r="K110" s="652"/>
      <c r="L110" s="654"/>
      <c r="M110" s="660"/>
      <c r="N110" s="668"/>
      <c r="O110" s="668"/>
      <c r="P110" s="665" t="s">
        <v>486</v>
      </c>
      <c r="Q110" s="666"/>
      <c r="R110" s="666"/>
      <c r="S110" s="667"/>
      <c r="T110" s="668"/>
      <c r="U110" s="665" t="s">
        <v>486</v>
      </c>
      <c r="V110" s="666"/>
      <c r="W110" s="666"/>
      <c r="X110" s="667"/>
      <c r="Y110" s="668"/>
      <c r="Z110" s="665" t="s">
        <v>486</v>
      </c>
      <c r="AA110" s="666"/>
      <c r="AB110" s="666"/>
      <c r="AC110" s="667"/>
      <c r="AD110" s="668"/>
      <c r="AE110" s="665" t="s">
        <v>486</v>
      </c>
      <c r="AF110" s="666"/>
      <c r="AG110" s="666"/>
      <c r="AH110" s="667"/>
      <c r="AI110" s="668"/>
      <c r="AJ110" s="665" t="s">
        <v>486</v>
      </c>
      <c r="AK110" s="666"/>
      <c r="AL110" s="666"/>
      <c r="AM110" s="667"/>
      <c r="AN110" s="668"/>
      <c r="AO110" s="665" t="s">
        <v>486</v>
      </c>
      <c r="AP110" s="666"/>
      <c r="AQ110" s="666"/>
      <c r="AR110" s="667"/>
      <c r="AS110" s="668"/>
      <c r="AT110" s="665" t="s">
        <v>486</v>
      </c>
      <c r="AU110" s="666"/>
      <c r="AV110" s="666"/>
      <c r="AW110" s="667"/>
      <c r="AX110" s="668"/>
    </row>
    <row r="111" spans="2:50">
      <c r="B111" s="668"/>
      <c r="C111" s="668"/>
      <c r="D111" s="668"/>
      <c r="E111" s="308" t="s">
        <v>487</v>
      </c>
      <c r="F111" s="308" t="s">
        <v>488</v>
      </c>
      <c r="G111" s="308" t="s">
        <v>489</v>
      </c>
      <c r="H111" s="686"/>
      <c r="I111" s="307" t="s">
        <v>487</v>
      </c>
      <c r="J111" s="307" t="s">
        <v>488</v>
      </c>
      <c r="K111" s="307" t="s">
        <v>489</v>
      </c>
      <c r="L111" s="655"/>
      <c r="M111" s="661"/>
      <c r="N111" s="668"/>
      <c r="O111" s="668"/>
      <c r="P111" s="308" t="s">
        <v>487</v>
      </c>
      <c r="Q111" s="308" t="s">
        <v>488</v>
      </c>
      <c r="R111" s="308" t="s">
        <v>489</v>
      </c>
      <c r="S111" s="308" t="s">
        <v>482</v>
      </c>
      <c r="T111" s="668"/>
      <c r="U111" s="308" t="s">
        <v>487</v>
      </c>
      <c r="V111" s="308" t="s">
        <v>488</v>
      </c>
      <c r="W111" s="308" t="s">
        <v>489</v>
      </c>
      <c r="X111" s="308" t="s">
        <v>482</v>
      </c>
      <c r="Y111" s="668"/>
      <c r="Z111" s="308" t="s">
        <v>487</v>
      </c>
      <c r="AA111" s="308" t="s">
        <v>488</v>
      </c>
      <c r="AB111" s="308" t="s">
        <v>489</v>
      </c>
      <c r="AC111" s="308" t="s">
        <v>482</v>
      </c>
      <c r="AD111" s="668"/>
      <c r="AE111" s="308" t="s">
        <v>487</v>
      </c>
      <c r="AF111" s="308" t="s">
        <v>488</v>
      </c>
      <c r="AG111" s="308" t="s">
        <v>489</v>
      </c>
      <c r="AH111" s="308" t="s">
        <v>482</v>
      </c>
      <c r="AI111" s="668"/>
      <c r="AJ111" s="308" t="s">
        <v>487</v>
      </c>
      <c r="AK111" s="308" t="s">
        <v>488</v>
      </c>
      <c r="AL111" s="308" t="s">
        <v>489</v>
      </c>
      <c r="AM111" s="308" t="s">
        <v>482</v>
      </c>
      <c r="AN111" s="668"/>
      <c r="AO111" s="308" t="s">
        <v>487</v>
      </c>
      <c r="AP111" s="308" t="s">
        <v>488</v>
      </c>
      <c r="AQ111" s="308" t="s">
        <v>489</v>
      </c>
      <c r="AR111" s="308" t="s">
        <v>482</v>
      </c>
      <c r="AS111" s="668"/>
      <c r="AT111" s="308" t="s">
        <v>487</v>
      </c>
      <c r="AU111" s="308" t="s">
        <v>488</v>
      </c>
      <c r="AV111" s="308" t="s">
        <v>489</v>
      </c>
      <c r="AW111" s="308" t="s">
        <v>482</v>
      </c>
      <c r="AX111" s="668"/>
    </row>
    <row r="112" spans="2:50">
      <c r="B112" s="668" t="s">
        <v>490</v>
      </c>
      <c r="C112" s="309">
        <v>1</v>
      </c>
      <c r="D112" s="227" t="s">
        <v>367</v>
      </c>
      <c r="E112" s="182">
        <v>6</v>
      </c>
      <c r="F112" s="569">
        <v>1500</v>
      </c>
      <c r="G112" s="570">
        <v>250</v>
      </c>
      <c r="H112" s="717">
        <f>AVERAGE(G112:G141)</f>
        <v>96.860714285714309</v>
      </c>
      <c r="I112" s="199">
        <f>AVERAGE(P112,U112,Z112,AE112,AJ112,AO112,AT112)</f>
        <v>7</v>
      </c>
      <c r="J112" s="199">
        <f>AVERAGE(Q112,V112,AA112,AF112,AK112,AP112,AU112)</f>
        <v>1492.1432046150705</v>
      </c>
      <c r="K112" s="200">
        <f>AVERAGE(R112,W112,AB112,AG112,AL112,AQ112,AV112)</f>
        <v>213.16331494501011</v>
      </c>
      <c r="L112" s="649">
        <f>IFERROR(AVERAGE(K112:K141),"-")</f>
        <v>85.208547542647864</v>
      </c>
      <c r="M112" s="201">
        <f>RANK(K112, K$112:$K$141)</f>
        <v>1</v>
      </c>
      <c r="N112" s="668"/>
      <c r="O112" s="668"/>
      <c r="P112" s="182">
        <v>7</v>
      </c>
      <c r="Q112" s="182">
        <v>1496.7857142857144</v>
      </c>
      <c r="R112" s="182">
        <v>213.82653061224491</v>
      </c>
      <c r="S112" s="309">
        <f>RANK(R112, R$112:R$141)</f>
        <v>1</v>
      </c>
      <c r="T112" s="690">
        <f>AVERAGE(R112:R141)</f>
        <v>85.077409300709249</v>
      </c>
      <c r="U112" s="182">
        <v>7</v>
      </c>
      <c r="V112" s="182">
        <v>1473.535714285714</v>
      </c>
      <c r="W112" s="182">
        <v>210.5051020408163</v>
      </c>
      <c r="X112" s="339">
        <f>RANK(W112, W$112:W$141)</f>
        <v>1</v>
      </c>
      <c r="Y112" s="690">
        <f>AVERAGE(W112:W141)</f>
        <v>84.094727321359414</v>
      </c>
      <c r="Z112" s="182">
        <v>7</v>
      </c>
      <c r="AA112" s="182">
        <v>1491.4663865546224</v>
      </c>
      <c r="AB112" s="182">
        <v>213.06662665066034</v>
      </c>
      <c r="AC112" s="339">
        <f>RANK(AB112, AB$112:AB$141)</f>
        <v>1</v>
      </c>
      <c r="AD112" s="690">
        <f>AVERAGE(AB112:AB141)</f>
        <v>84.232293298219744</v>
      </c>
      <c r="AE112" s="182">
        <v>7</v>
      </c>
      <c r="AF112" s="182">
        <v>1497.155378486056</v>
      </c>
      <c r="AG112" s="182">
        <v>213.87933978372229</v>
      </c>
      <c r="AH112" s="339">
        <f>RANK(AG112, AG$112:AG$141)</f>
        <v>2</v>
      </c>
      <c r="AI112" s="690">
        <f>AVERAGE(AG112:AG141)</f>
        <v>84.745625209108155</v>
      </c>
      <c r="AJ112" s="182">
        <v>7</v>
      </c>
      <c r="AK112" s="182">
        <v>1481.7304687499995</v>
      </c>
      <c r="AL112" s="182">
        <v>211.67578124999994</v>
      </c>
      <c r="AM112" s="339">
        <f>RANK(AL112, AL$112:AL$141)</f>
        <v>1</v>
      </c>
      <c r="AN112" s="690">
        <f>AVERAGE(AL112:AL141)</f>
        <v>80.013668851529715</v>
      </c>
      <c r="AO112" s="182">
        <v>7</v>
      </c>
      <c r="AP112" s="182">
        <v>1509.858620689655</v>
      </c>
      <c r="AQ112" s="182">
        <v>215.69408866995073</v>
      </c>
      <c r="AR112" s="339">
        <f>RANK(AQ112, AQ$112:AQ$141)</f>
        <v>1</v>
      </c>
      <c r="AS112" s="690">
        <f>AVERAGE(AQ112:AQ141)</f>
        <v>80.263731484605188</v>
      </c>
      <c r="AT112" s="182">
        <v>7</v>
      </c>
      <c r="AU112" s="182">
        <v>1494.4701492537322</v>
      </c>
      <c r="AV112" s="182">
        <v>213.49573560767604</v>
      </c>
      <c r="AW112" s="339">
        <f>RANK(AV112, AV$112:AV$141)</f>
        <v>1</v>
      </c>
      <c r="AX112" s="690">
        <f>AVERAGE(AV112:AV141)</f>
        <v>79.707714470342921</v>
      </c>
    </row>
    <row r="113" spans="2:50">
      <c r="B113" s="676"/>
      <c r="C113" s="309">
        <v>2</v>
      </c>
      <c r="D113" s="227" t="s">
        <v>382</v>
      </c>
      <c r="E113" s="182">
        <v>7</v>
      </c>
      <c r="F113" s="569">
        <v>1636</v>
      </c>
      <c r="G113" s="570">
        <v>233.8</v>
      </c>
      <c r="H113" s="718"/>
      <c r="I113" s="199">
        <f t="shared" ref="I113:I135" si="46">AVERAGE(P113,U113,Z113,AE113,AJ113,AO113,AT113)</f>
        <v>7</v>
      </c>
      <c r="J113" s="199">
        <f t="shared" ref="J113:J135" si="47">AVERAGE(Q113,V113,AA113,AF113,AK113,AP113,AU113)</f>
        <v>1479.731505102041</v>
      </c>
      <c r="K113" s="200">
        <f t="shared" ref="K113:K135" si="48">AVERAGE(R113,W113,AB113,AG113,AL113,AQ113,AV113)</f>
        <v>211.39021501457731</v>
      </c>
      <c r="L113" s="650"/>
      <c r="M113" s="201">
        <f>RANK(K113, K$112:$K$141)</f>
        <v>2</v>
      </c>
      <c r="N113" s="668"/>
      <c r="O113" s="668"/>
      <c r="P113" s="182">
        <v>7</v>
      </c>
      <c r="Q113" s="182">
        <v>1467.5510204081636</v>
      </c>
      <c r="R113" s="182">
        <v>209.65014577259481</v>
      </c>
      <c r="S113" s="339">
        <f t="shared" ref="S113:S141" si="49">RANK(R113, R$112:R$141)</f>
        <v>2</v>
      </c>
      <c r="T113" s="690"/>
      <c r="U113" s="182">
        <v>7</v>
      </c>
      <c r="V113" s="182">
        <v>1473.1250000000005</v>
      </c>
      <c r="W113" s="182">
        <v>210.44642857142864</v>
      </c>
      <c r="X113" s="339">
        <f t="shared" ref="X113:X141" si="50">RANK(W113, W$112:W$141)</f>
        <v>2</v>
      </c>
      <c r="Y113" s="690"/>
      <c r="Z113" s="182">
        <v>7</v>
      </c>
      <c r="AA113" s="182">
        <v>1466.2500000000005</v>
      </c>
      <c r="AB113" s="182">
        <v>209.46428571428578</v>
      </c>
      <c r="AC113" s="339">
        <f t="shared" ref="AC113:AC141" si="51">RANK(AB113, AB$112:AB$141)</f>
        <v>2</v>
      </c>
      <c r="AD113" s="690"/>
      <c r="AE113" s="182">
        <v>7</v>
      </c>
      <c r="AF113" s="182">
        <v>1511.9999999999998</v>
      </c>
      <c r="AG113" s="182">
        <v>215.99999999999997</v>
      </c>
      <c r="AH113" s="339">
        <f t="shared" ref="AH113:AH141" si="52">RANK(AG113, AG$112:AG$141)</f>
        <v>1</v>
      </c>
      <c r="AI113" s="690"/>
      <c r="AJ113" s="182" t="s">
        <v>760</v>
      </c>
      <c r="AK113" s="182" t="s">
        <v>760</v>
      </c>
      <c r="AL113" s="182" t="s">
        <v>760</v>
      </c>
      <c r="AM113" s="339" t="e">
        <f t="shared" ref="AM113:AM141" si="53">RANK(AL113, AL$112:AL$141)</f>
        <v>#VALUE!</v>
      </c>
      <c r="AN113" s="690"/>
      <c r="AO113" s="182" t="s">
        <v>760</v>
      </c>
      <c r="AP113" s="182" t="s">
        <v>760</v>
      </c>
      <c r="AQ113" s="182" t="s">
        <v>760</v>
      </c>
      <c r="AR113" s="339" t="e">
        <f t="shared" ref="AR113:AR141" si="54">RANK(AQ113, AQ$112:AQ$141)</f>
        <v>#VALUE!</v>
      </c>
      <c r="AS113" s="690"/>
      <c r="AT113" s="182" t="s">
        <v>760</v>
      </c>
      <c r="AU113" s="182" t="s">
        <v>760</v>
      </c>
      <c r="AV113" s="182" t="s">
        <v>760</v>
      </c>
      <c r="AW113" s="339" t="e">
        <f t="shared" ref="AW113:AW141" si="55">RANK(AV113, AV$112:AV$141)</f>
        <v>#VALUE!</v>
      </c>
      <c r="AX113" s="690"/>
    </row>
    <row r="114" spans="2:50">
      <c r="B114" s="676"/>
      <c r="C114" s="309">
        <v>3</v>
      </c>
      <c r="D114" s="227" t="s">
        <v>960</v>
      </c>
      <c r="E114" s="182">
        <v>18</v>
      </c>
      <c r="F114" s="569">
        <v>1500</v>
      </c>
      <c r="G114" s="570">
        <v>83.3</v>
      </c>
      <c r="H114" s="718"/>
      <c r="I114" s="199">
        <f t="shared" si="46"/>
        <v>18</v>
      </c>
      <c r="J114" s="199">
        <f t="shared" si="47"/>
        <v>1277.1311851995993</v>
      </c>
      <c r="K114" s="200">
        <f t="shared" si="48"/>
        <v>70.951732511088835</v>
      </c>
      <c r="L114" s="650"/>
      <c r="M114" s="201">
        <f>RANK(K114, K$112:$K$141)</f>
        <v>18</v>
      </c>
      <c r="N114" s="668"/>
      <c r="O114" s="668"/>
      <c r="P114" s="182">
        <v>18</v>
      </c>
      <c r="Q114" s="182">
        <v>1304.4731707317076</v>
      </c>
      <c r="R114" s="182">
        <v>72.470731707317086</v>
      </c>
      <c r="S114" s="339">
        <f t="shared" si="49"/>
        <v>18</v>
      </c>
      <c r="T114" s="690"/>
      <c r="U114" s="182">
        <v>18</v>
      </c>
      <c r="V114" s="182">
        <v>1274.1352941176469</v>
      </c>
      <c r="W114" s="182">
        <v>70.785294117647055</v>
      </c>
      <c r="X114" s="339">
        <f t="shared" si="50"/>
        <v>19</v>
      </c>
      <c r="Y114" s="690"/>
      <c r="Z114" s="182">
        <v>18</v>
      </c>
      <c r="AA114" s="182">
        <v>1256.1482517482518</v>
      </c>
      <c r="AB114" s="182">
        <v>69.786013986013984</v>
      </c>
      <c r="AC114" s="339">
        <f t="shared" si="51"/>
        <v>19</v>
      </c>
      <c r="AD114" s="690"/>
      <c r="AE114" s="182">
        <v>18</v>
      </c>
      <c r="AF114" s="182">
        <v>1266.1148936170209</v>
      </c>
      <c r="AG114" s="182">
        <v>70.339716312056723</v>
      </c>
      <c r="AH114" s="339">
        <f t="shared" si="52"/>
        <v>19</v>
      </c>
      <c r="AI114" s="690"/>
      <c r="AJ114" s="182">
        <v>18</v>
      </c>
      <c r="AK114" s="182">
        <v>1261.9643312101909</v>
      </c>
      <c r="AL114" s="182">
        <v>70.109129511677281</v>
      </c>
      <c r="AM114" s="339">
        <f t="shared" si="53"/>
        <v>19</v>
      </c>
      <c r="AN114" s="690"/>
      <c r="AO114" s="182">
        <v>18</v>
      </c>
      <c r="AP114" s="182">
        <v>1289.8011049723755</v>
      </c>
      <c r="AQ114" s="182">
        <v>71.655616942909745</v>
      </c>
      <c r="AR114" s="339">
        <f t="shared" si="54"/>
        <v>17</v>
      </c>
      <c r="AS114" s="690"/>
      <c r="AT114" s="182">
        <v>18</v>
      </c>
      <c r="AU114" s="182">
        <v>1287.28125</v>
      </c>
      <c r="AV114" s="182">
        <v>71.515625</v>
      </c>
      <c r="AW114" s="339">
        <f t="shared" si="55"/>
        <v>17</v>
      </c>
      <c r="AX114" s="690"/>
    </row>
    <row r="115" spans="2:50">
      <c r="B115" s="676"/>
      <c r="C115" s="309">
        <v>4</v>
      </c>
      <c r="D115" s="227" t="s">
        <v>871</v>
      </c>
      <c r="E115" s="182">
        <v>18</v>
      </c>
      <c r="F115" s="569">
        <v>1500</v>
      </c>
      <c r="G115" s="570">
        <v>83.3</v>
      </c>
      <c r="H115" s="718"/>
      <c r="I115" s="199">
        <f t="shared" si="46"/>
        <v>18</v>
      </c>
      <c r="J115" s="199">
        <f t="shared" si="47"/>
        <v>1332.7186503904757</v>
      </c>
      <c r="K115" s="200">
        <f t="shared" si="48"/>
        <v>74.03992502169308</v>
      </c>
      <c r="L115" s="650"/>
      <c r="M115" s="201">
        <f>RANK(K115, K$112:$K$141)</f>
        <v>16</v>
      </c>
      <c r="N115" s="668"/>
      <c r="O115" s="668"/>
      <c r="P115" s="182">
        <v>18</v>
      </c>
      <c r="Q115" s="182">
        <v>1374.1463414634143</v>
      </c>
      <c r="R115" s="182">
        <v>76.34146341463412</v>
      </c>
      <c r="S115" s="339">
        <f t="shared" si="49"/>
        <v>13</v>
      </c>
      <c r="T115" s="690"/>
      <c r="U115" s="182">
        <v>18</v>
      </c>
      <c r="V115" s="182">
        <v>1327.3170731707312</v>
      </c>
      <c r="W115" s="182">
        <v>73.73983739837395</v>
      </c>
      <c r="X115" s="339">
        <f t="shared" si="50"/>
        <v>17</v>
      </c>
      <c r="Y115" s="690"/>
      <c r="Z115" s="182">
        <v>18</v>
      </c>
      <c r="AA115" s="182">
        <v>1298.0487804878044</v>
      </c>
      <c r="AB115" s="182">
        <v>72.11382113821135</v>
      </c>
      <c r="AC115" s="339">
        <f t="shared" si="51"/>
        <v>17</v>
      </c>
      <c r="AD115" s="690"/>
      <c r="AE115" s="182">
        <v>18</v>
      </c>
      <c r="AF115" s="182">
        <v>1333.8461538461531</v>
      </c>
      <c r="AG115" s="182">
        <v>74.10256410256406</v>
      </c>
      <c r="AH115" s="339">
        <f t="shared" si="52"/>
        <v>16</v>
      </c>
      <c r="AI115" s="690"/>
      <c r="AJ115" s="182">
        <v>18</v>
      </c>
      <c r="AK115" s="182">
        <v>1329.7674418604647</v>
      </c>
      <c r="AL115" s="182">
        <v>73.875968992248033</v>
      </c>
      <c r="AM115" s="339">
        <f t="shared" si="53"/>
        <v>15</v>
      </c>
      <c r="AN115" s="690"/>
      <c r="AO115" s="182">
        <v>18</v>
      </c>
      <c r="AP115" s="182">
        <v>1348.571428571428</v>
      </c>
      <c r="AQ115" s="182">
        <v>74.920634920634882</v>
      </c>
      <c r="AR115" s="339">
        <f t="shared" si="54"/>
        <v>15</v>
      </c>
      <c r="AS115" s="690"/>
      <c r="AT115" s="182">
        <v>18</v>
      </c>
      <c r="AU115" s="182">
        <v>1317.3333333333333</v>
      </c>
      <c r="AV115" s="182">
        <v>73.185185185185176</v>
      </c>
      <c r="AW115" s="339">
        <f t="shared" si="55"/>
        <v>14</v>
      </c>
      <c r="AX115" s="690"/>
    </row>
    <row r="116" spans="2:50">
      <c r="B116" s="676"/>
      <c r="C116" s="309">
        <v>5</v>
      </c>
      <c r="D116" s="227" t="s">
        <v>353</v>
      </c>
      <c r="E116" s="182">
        <v>16</v>
      </c>
      <c r="F116" s="569">
        <v>1500</v>
      </c>
      <c r="G116" s="570">
        <v>93.8</v>
      </c>
      <c r="H116" s="718"/>
      <c r="I116" s="199">
        <f t="shared" si="46"/>
        <v>16</v>
      </c>
      <c r="J116" s="199">
        <f t="shared" si="47"/>
        <v>1403.661246240144</v>
      </c>
      <c r="K116" s="200">
        <f t="shared" si="48"/>
        <v>87.728827890009001</v>
      </c>
      <c r="L116" s="650"/>
      <c r="M116" s="201">
        <f>RANK(K116, K$112:$K$141)</f>
        <v>5</v>
      </c>
      <c r="N116" s="668"/>
      <c r="O116" s="668"/>
      <c r="P116" s="182">
        <v>16</v>
      </c>
      <c r="Q116" s="182">
        <v>1402.3255813953488</v>
      </c>
      <c r="R116" s="182">
        <v>87.645348837209298</v>
      </c>
      <c r="S116" s="339">
        <f t="shared" si="49"/>
        <v>5</v>
      </c>
      <c r="T116" s="690"/>
      <c r="U116" s="182">
        <v>16</v>
      </c>
      <c r="V116" s="182">
        <v>1383.1578947368412</v>
      </c>
      <c r="W116" s="182">
        <v>86.447368421052573</v>
      </c>
      <c r="X116" s="339">
        <f t="shared" si="50"/>
        <v>6</v>
      </c>
      <c r="Y116" s="690"/>
      <c r="Z116" s="182">
        <v>16</v>
      </c>
      <c r="AA116" s="182">
        <v>1414.9999999999989</v>
      </c>
      <c r="AB116" s="182">
        <v>88.437499999999929</v>
      </c>
      <c r="AC116" s="339">
        <f t="shared" si="51"/>
        <v>4</v>
      </c>
      <c r="AD116" s="690"/>
      <c r="AE116" s="182">
        <v>16</v>
      </c>
      <c r="AF116" s="182">
        <v>1407.42857142857</v>
      </c>
      <c r="AG116" s="182">
        <v>87.964285714285623</v>
      </c>
      <c r="AH116" s="339">
        <f t="shared" si="52"/>
        <v>5</v>
      </c>
      <c r="AI116" s="690"/>
      <c r="AJ116" s="182">
        <v>16</v>
      </c>
      <c r="AK116" s="182">
        <v>1413.6585365853653</v>
      </c>
      <c r="AL116" s="182">
        <v>88.353658536585328</v>
      </c>
      <c r="AM116" s="339">
        <f t="shared" si="53"/>
        <v>4</v>
      </c>
      <c r="AN116" s="690"/>
      <c r="AO116" s="182">
        <v>16</v>
      </c>
      <c r="AP116" s="182">
        <v>1411.4999999999995</v>
      </c>
      <c r="AQ116" s="182">
        <v>88.218749999999972</v>
      </c>
      <c r="AR116" s="339">
        <f t="shared" si="54"/>
        <v>3</v>
      </c>
      <c r="AS116" s="690"/>
      <c r="AT116" s="182">
        <v>16</v>
      </c>
      <c r="AU116" s="182">
        <v>1392.5581395348834</v>
      </c>
      <c r="AV116" s="182">
        <v>87.03488372093021</v>
      </c>
      <c r="AW116" s="339">
        <f t="shared" si="55"/>
        <v>5</v>
      </c>
      <c r="AX116" s="690"/>
    </row>
    <row r="117" spans="2:50">
      <c r="B117" s="676"/>
      <c r="C117" s="309">
        <v>6</v>
      </c>
      <c r="D117" s="227" t="s">
        <v>370</v>
      </c>
      <c r="E117" s="182">
        <v>16</v>
      </c>
      <c r="F117" s="569">
        <v>1565</v>
      </c>
      <c r="G117" s="570">
        <v>97.8</v>
      </c>
      <c r="H117" s="718"/>
      <c r="I117" s="199">
        <f t="shared" si="46"/>
        <v>16</v>
      </c>
      <c r="J117" s="199">
        <f t="shared" si="47"/>
        <v>1388.341201037699</v>
      </c>
      <c r="K117" s="200">
        <f t="shared" si="48"/>
        <v>86.771325064856185</v>
      </c>
      <c r="L117" s="650"/>
      <c r="M117" s="201">
        <f>RANK(K117, K$112:$K$141)</f>
        <v>6</v>
      </c>
      <c r="N117" s="668"/>
      <c r="O117" s="668"/>
      <c r="P117" s="182">
        <v>16</v>
      </c>
      <c r="Q117" s="182">
        <v>1358.7341772151892</v>
      </c>
      <c r="R117" s="182">
        <v>84.920886075949326</v>
      </c>
      <c r="S117" s="339">
        <f t="shared" si="49"/>
        <v>7</v>
      </c>
      <c r="T117" s="690"/>
      <c r="U117" s="182">
        <v>16</v>
      </c>
      <c r="V117" s="182">
        <v>1383.3802816901396</v>
      </c>
      <c r="W117" s="182">
        <v>86.461267605633722</v>
      </c>
      <c r="X117" s="339">
        <f t="shared" si="50"/>
        <v>5</v>
      </c>
      <c r="Y117" s="690"/>
      <c r="Z117" s="182">
        <v>16</v>
      </c>
      <c r="AA117" s="182">
        <v>1395.4838709677433</v>
      </c>
      <c r="AB117" s="182">
        <v>87.217741935483957</v>
      </c>
      <c r="AC117" s="339">
        <f t="shared" si="51"/>
        <v>6</v>
      </c>
      <c r="AD117" s="690"/>
      <c r="AE117" s="182">
        <v>16</v>
      </c>
      <c r="AF117" s="182">
        <v>1397.9104477611922</v>
      </c>
      <c r="AG117" s="182">
        <v>87.369402985074515</v>
      </c>
      <c r="AH117" s="339">
        <f t="shared" si="52"/>
        <v>6</v>
      </c>
      <c r="AI117" s="690"/>
      <c r="AJ117" s="182">
        <v>16</v>
      </c>
      <c r="AK117" s="182">
        <v>1390.8333333333321</v>
      </c>
      <c r="AL117" s="182">
        <v>86.927083333333258</v>
      </c>
      <c r="AM117" s="339">
        <f t="shared" si="53"/>
        <v>5</v>
      </c>
      <c r="AN117" s="690"/>
      <c r="AO117" s="182">
        <v>16</v>
      </c>
      <c r="AP117" s="182">
        <v>1396.2962962962958</v>
      </c>
      <c r="AQ117" s="182">
        <v>87.268518518518491</v>
      </c>
      <c r="AR117" s="339">
        <f t="shared" si="54"/>
        <v>5</v>
      </c>
      <c r="AS117" s="690"/>
      <c r="AT117" s="182">
        <v>16</v>
      </c>
      <c r="AU117" s="182">
        <v>1395.7499999999995</v>
      </c>
      <c r="AV117" s="182">
        <v>87.234374999999972</v>
      </c>
      <c r="AW117" s="339">
        <f t="shared" si="55"/>
        <v>4</v>
      </c>
      <c r="AX117" s="690"/>
    </row>
    <row r="118" spans="2:50">
      <c r="B118" s="676"/>
      <c r="C118" s="309">
        <v>7</v>
      </c>
      <c r="D118" s="227" t="s">
        <v>345</v>
      </c>
      <c r="E118" s="182">
        <v>14</v>
      </c>
      <c r="F118" s="569">
        <v>1440</v>
      </c>
      <c r="G118" s="570">
        <v>102.9</v>
      </c>
      <c r="H118" s="718"/>
      <c r="I118" s="199">
        <f t="shared" si="46"/>
        <v>15</v>
      </c>
      <c r="J118" s="199">
        <f t="shared" si="47"/>
        <v>1144.8545642144898</v>
      </c>
      <c r="K118" s="200">
        <f t="shared" si="48"/>
        <v>76.323637614299315</v>
      </c>
      <c r="L118" s="650"/>
      <c r="M118" s="201">
        <f>RANK(K118, K$112:$K$141)</f>
        <v>14</v>
      </c>
      <c r="N118" s="668"/>
      <c r="O118" s="668"/>
      <c r="P118" s="182">
        <v>15</v>
      </c>
      <c r="Q118" s="182">
        <v>1129.655172413791</v>
      </c>
      <c r="R118" s="182">
        <v>75.310344827586064</v>
      </c>
      <c r="S118" s="339">
        <f t="shared" si="49"/>
        <v>15</v>
      </c>
      <c r="T118" s="690"/>
      <c r="U118" s="182">
        <v>15</v>
      </c>
      <c r="V118" s="182">
        <v>1139.9999999999973</v>
      </c>
      <c r="W118" s="182">
        <v>75.999999999999815</v>
      </c>
      <c r="X118" s="339">
        <f t="shared" si="50"/>
        <v>14</v>
      </c>
      <c r="Y118" s="690"/>
      <c r="Z118" s="182">
        <v>15</v>
      </c>
      <c r="AA118" s="182">
        <v>1157.4999999999964</v>
      </c>
      <c r="AB118" s="182">
        <v>77.16666666666643</v>
      </c>
      <c r="AC118" s="339">
        <f t="shared" si="51"/>
        <v>12</v>
      </c>
      <c r="AD118" s="690"/>
      <c r="AE118" s="182">
        <v>15</v>
      </c>
      <c r="AF118" s="182">
        <v>1144.2857142857117</v>
      </c>
      <c r="AG118" s="182">
        <v>76.285714285714121</v>
      </c>
      <c r="AH118" s="339">
        <f t="shared" si="52"/>
        <v>14</v>
      </c>
      <c r="AI118" s="690"/>
      <c r="AJ118" s="182">
        <v>15</v>
      </c>
      <c r="AK118" s="182">
        <v>1155.6521739130476</v>
      </c>
      <c r="AL118" s="182">
        <v>77.043478260869833</v>
      </c>
      <c r="AM118" s="339">
        <f t="shared" si="53"/>
        <v>13</v>
      </c>
      <c r="AN118" s="690"/>
      <c r="AO118" s="182">
        <v>15</v>
      </c>
      <c r="AP118" s="182">
        <v>1137.999999999998</v>
      </c>
      <c r="AQ118" s="182">
        <v>75.866666666666532</v>
      </c>
      <c r="AR118" s="339">
        <f t="shared" si="54"/>
        <v>13</v>
      </c>
      <c r="AS118" s="690"/>
      <c r="AT118" s="182">
        <v>15</v>
      </c>
      <c r="AU118" s="182">
        <v>1148.8888888888862</v>
      </c>
      <c r="AV118" s="182">
        <v>76.59259259259241</v>
      </c>
      <c r="AW118" s="339">
        <f t="shared" si="55"/>
        <v>13</v>
      </c>
      <c r="AX118" s="690"/>
    </row>
    <row r="119" spans="2:50">
      <c r="B119" s="676"/>
      <c r="C119" s="309">
        <v>8</v>
      </c>
      <c r="D119" s="227" t="s">
        <v>927</v>
      </c>
      <c r="E119" s="182">
        <v>16</v>
      </c>
      <c r="F119" s="569">
        <v>1440</v>
      </c>
      <c r="G119" s="570">
        <v>90</v>
      </c>
      <c r="H119" s="718"/>
      <c r="I119" s="199">
        <f t="shared" si="46"/>
        <v>16</v>
      </c>
      <c r="J119" s="199">
        <f t="shared" si="47"/>
        <v>1325.6118078646264</v>
      </c>
      <c r="K119" s="200">
        <f t="shared" si="48"/>
        <v>82.850737991539148</v>
      </c>
      <c r="L119" s="650"/>
      <c r="M119" s="201">
        <f>RANK(K119, K$112:$K$141)</f>
        <v>9</v>
      </c>
      <c r="N119" s="668"/>
      <c r="O119" s="668"/>
      <c r="P119" s="182">
        <v>16</v>
      </c>
      <c r="Q119" s="182">
        <v>1335.7894736842095</v>
      </c>
      <c r="R119" s="182">
        <v>83.486842105263094</v>
      </c>
      <c r="S119" s="339">
        <f t="shared" si="49"/>
        <v>8</v>
      </c>
      <c r="T119" s="690"/>
      <c r="U119" s="182">
        <v>16</v>
      </c>
      <c r="V119" s="182">
        <v>1314.9999999999991</v>
      </c>
      <c r="W119" s="182">
        <v>82.187499999999943</v>
      </c>
      <c r="X119" s="339">
        <f t="shared" si="50"/>
        <v>9</v>
      </c>
      <c r="Y119" s="690"/>
      <c r="Z119" s="182">
        <v>16</v>
      </c>
      <c r="AA119" s="182">
        <v>1288.1249999999982</v>
      </c>
      <c r="AB119" s="182">
        <v>80.507812499999886</v>
      </c>
      <c r="AC119" s="339">
        <f t="shared" si="51"/>
        <v>10</v>
      </c>
      <c r="AD119" s="690"/>
      <c r="AE119" s="182">
        <v>16</v>
      </c>
      <c r="AF119" s="182">
        <v>1321.6666666666656</v>
      </c>
      <c r="AG119" s="182">
        <v>82.6041666666666</v>
      </c>
      <c r="AH119" s="339">
        <f t="shared" si="52"/>
        <v>10</v>
      </c>
      <c r="AI119" s="690"/>
      <c r="AJ119" s="182">
        <v>16</v>
      </c>
      <c r="AK119" s="182">
        <v>1318.2857142857131</v>
      </c>
      <c r="AL119" s="182">
        <v>82.392857142857068</v>
      </c>
      <c r="AM119" s="339">
        <f t="shared" si="53"/>
        <v>9</v>
      </c>
      <c r="AN119" s="690"/>
      <c r="AO119" s="182">
        <v>16</v>
      </c>
      <c r="AP119" s="182">
        <v>1372.3076923076915</v>
      </c>
      <c r="AQ119" s="182">
        <v>85.769230769230717</v>
      </c>
      <c r="AR119" s="339">
        <f t="shared" si="54"/>
        <v>6</v>
      </c>
      <c r="AS119" s="690"/>
      <c r="AT119" s="182">
        <v>16</v>
      </c>
      <c r="AU119" s="182">
        <v>1328.1081081081072</v>
      </c>
      <c r="AV119" s="182">
        <v>83.006756756756701</v>
      </c>
      <c r="AW119" s="339">
        <f t="shared" si="55"/>
        <v>8</v>
      </c>
      <c r="AX119" s="690"/>
    </row>
    <row r="120" spans="2:50">
      <c r="B120" s="676"/>
      <c r="C120" s="309">
        <v>9</v>
      </c>
      <c r="D120" s="227" t="s">
        <v>928</v>
      </c>
      <c r="E120" s="182">
        <v>16</v>
      </c>
      <c r="F120" s="569">
        <v>1440</v>
      </c>
      <c r="G120" s="570">
        <v>90</v>
      </c>
      <c r="H120" s="718"/>
      <c r="I120" s="199">
        <f t="shared" si="46"/>
        <v>17</v>
      </c>
      <c r="J120" s="199">
        <f t="shared" si="47"/>
        <v>1119.4949985967137</v>
      </c>
      <c r="K120" s="200">
        <f t="shared" si="48"/>
        <v>65.852646976277271</v>
      </c>
      <c r="L120" s="650"/>
      <c r="M120" s="201">
        <f>RANK(K120, K$112:$K$141)</f>
        <v>23</v>
      </c>
      <c r="N120" s="668"/>
      <c r="O120" s="668"/>
      <c r="P120" s="182">
        <v>17</v>
      </c>
      <c r="Q120" s="182">
        <v>1091.0204081632655</v>
      </c>
      <c r="R120" s="182">
        <v>64.177671068427387</v>
      </c>
      <c r="S120" s="339">
        <f t="shared" si="49"/>
        <v>26</v>
      </c>
      <c r="T120" s="690"/>
      <c r="U120" s="182">
        <v>17</v>
      </c>
      <c r="V120" s="182">
        <v>1123.6363636363635</v>
      </c>
      <c r="W120" s="182">
        <v>66.096256684491976</v>
      </c>
      <c r="X120" s="339">
        <f t="shared" si="50"/>
        <v>24</v>
      </c>
      <c r="Y120" s="690"/>
      <c r="Z120" s="182">
        <v>17</v>
      </c>
      <c r="AA120" s="182">
        <v>1121.538461538461</v>
      </c>
      <c r="AB120" s="182">
        <v>65.972850678732996</v>
      </c>
      <c r="AC120" s="339">
        <f t="shared" si="51"/>
        <v>24</v>
      </c>
      <c r="AD120" s="690"/>
      <c r="AE120" s="182">
        <v>17</v>
      </c>
      <c r="AF120" s="182">
        <v>1115.0000000000005</v>
      </c>
      <c r="AG120" s="182">
        <v>65.58823529411768</v>
      </c>
      <c r="AH120" s="339">
        <f t="shared" si="52"/>
        <v>24</v>
      </c>
      <c r="AI120" s="690"/>
      <c r="AJ120" s="182">
        <v>17</v>
      </c>
      <c r="AK120" s="182">
        <v>1114.285714285714</v>
      </c>
      <c r="AL120" s="182">
        <v>65.546218487394938</v>
      </c>
      <c r="AM120" s="339">
        <f t="shared" si="53"/>
        <v>23</v>
      </c>
      <c r="AN120" s="690"/>
      <c r="AO120" s="182">
        <v>17</v>
      </c>
      <c r="AP120" s="182">
        <v>1143.7500000000005</v>
      </c>
      <c r="AQ120" s="182">
        <v>67.279411764705912</v>
      </c>
      <c r="AR120" s="339">
        <f t="shared" si="54"/>
        <v>21</v>
      </c>
      <c r="AS120" s="690"/>
      <c r="AT120" s="182">
        <v>17</v>
      </c>
      <c r="AU120" s="182">
        <v>1127.2340425531916</v>
      </c>
      <c r="AV120" s="182">
        <v>66.307884856070089</v>
      </c>
      <c r="AW120" s="339">
        <f t="shared" si="55"/>
        <v>22</v>
      </c>
      <c r="AX120" s="690"/>
    </row>
    <row r="121" spans="2:50">
      <c r="B121" s="676"/>
      <c r="C121" s="309">
        <v>10</v>
      </c>
      <c r="D121" s="227" t="s">
        <v>929</v>
      </c>
      <c r="E121" s="182">
        <v>18</v>
      </c>
      <c r="F121" s="569">
        <v>1636</v>
      </c>
      <c r="G121" s="570">
        <v>90.9</v>
      </c>
      <c r="H121" s="718"/>
      <c r="I121" s="199">
        <f t="shared" si="46"/>
        <v>18</v>
      </c>
      <c r="J121" s="199">
        <f t="shared" si="47"/>
        <v>1527.8924730065191</v>
      </c>
      <c r="K121" s="200">
        <f t="shared" si="48"/>
        <v>84.882915167028841</v>
      </c>
      <c r="L121" s="650"/>
      <c r="M121" s="201">
        <f>RANK(K121, K$112:$K$141)</f>
        <v>7</v>
      </c>
      <c r="N121" s="668"/>
      <c r="O121" s="668"/>
      <c r="P121" s="182">
        <v>18</v>
      </c>
      <c r="Q121" s="182">
        <v>1551.111111111112</v>
      </c>
      <c r="R121" s="182">
        <v>86.172839506172892</v>
      </c>
      <c r="S121" s="339">
        <f t="shared" si="49"/>
        <v>6</v>
      </c>
      <c r="T121" s="690"/>
      <c r="U121" s="182">
        <v>18</v>
      </c>
      <c r="V121" s="182">
        <v>1541.632653061225</v>
      </c>
      <c r="W121" s="182">
        <v>85.646258503401384</v>
      </c>
      <c r="X121" s="339">
        <f t="shared" si="50"/>
        <v>7</v>
      </c>
      <c r="Y121" s="690"/>
      <c r="Z121" s="182">
        <v>18</v>
      </c>
      <c r="AA121" s="182">
        <v>1508.1818181818182</v>
      </c>
      <c r="AB121" s="182">
        <v>83.787878787878796</v>
      </c>
      <c r="AC121" s="339">
        <f t="shared" si="51"/>
        <v>7</v>
      </c>
      <c r="AD121" s="690"/>
      <c r="AE121" s="182">
        <v>18</v>
      </c>
      <c r="AF121" s="182">
        <v>1514.1176470588241</v>
      </c>
      <c r="AG121" s="182">
        <v>84.117647058823565</v>
      </c>
      <c r="AH121" s="339">
        <f t="shared" si="52"/>
        <v>7</v>
      </c>
      <c r="AI121" s="690"/>
      <c r="AJ121" s="182">
        <v>18</v>
      </c>
      <c r="AK121" s="182">
        <v>1507.3469387755106</v>
      </c>
      <c r="AL121" s="182">
        <v>83.741496598639472</v>
      </c>
      <c r="AM121" s="339">
        <f t="shared" si="53"/>
        <v>7</v>
      </c>
      <c r="AN121" s="690"/>
      <c r="AO121" s="182">
        <v>18</v>
      </c>
      <c r="AP121" s="182">
        <v>1532.1428571428582</v>
      </c>
      <c r="AQ121" s="182">
        <v>85.119047619047677</v>
      </c>
      <c r="AR121" s="339">
        <f t="shared" si="54"/>
        <v>7</v>
      </c>
      <c r="AS121" s="690"/>
      <c r="AT121" s="182">
        <v>18</v>
      </c>
      <c r="AU121" s="182">
        <v>1540.7142857142869</v>
      </c>
      <c r="AV121" s="182">
        <v>85.595238095238159</v>
      </c>
      <c r="AW121" s="339">
        <f t="shared" si="55"/>
        <v>6</v>
      </c>
      <c r="AX121" s="690"/>
    </row>
    <row r="122" spans="2:50">
      <c r="B122" s="676"/>
      <c r="C122" s="309">
        <v>11</v>
      </c>
      <c r="D122" s="227" t="s">
        <v>930</v>
      </c>
      <c r="E122" s="182">
        <v>18</v>
      </c>
      <c r="F122" s="569">
        <v>1636</v>
      </c>
      <c r="G122" s="570">
        <v>90.9</v>
      </c>
      <c r="H122" s="718"/>
      <c r="I122" s="199">
        <f t="shared" si="46"/>
        <v>18</v>
      </c>
      <c r="J122" s="199">
        <f t="shared" si="47"/>
        <v>1502.2030152240604</v>
      </c>
      <c r="K122" s="200">
        <f t="shared" si="48"/>
        <v>83.455723068003365</v>
      </c>
      <c r="L122" s="650"/>
      <c r="M122" s="201">
        <f>RANK(K122, K$112:$K$141)</f>
        <v>8</v>
      </c>
      <c r="N122" s="668"/>
      <c r="O122" s="668"/>
      <c r="P122" s="182">
        <v>18</v>
      </c>
      <c r="Q122" s="182">
        <v>1492.8571428571424</v>
      </c>
      <c r="R122" s="182">
        <v>82.936507936507908</v>
      </c>
      <c r="S122" s="339">
        <f t="shared" si="49"/>
        <v>9</v>
      </c>
      <c r="T122" s="690"/>
      <c r="U122" s="182">
        <v>18</v>
      </c>
      <c r="V122" s="182">
        <v>1481.0526315789461</v>
      </c>
      <c r="W122" s="182">
        <v>82.280701754385902</v>
      </c>
      <c r="X122" s="339">
        <f t="shared" si="50"/>
        <v>8</v>
      </c>
      <c r="Y122" s="690"/>
      <c r="Z122" s="182">
        <v>18</v>
      </c>
      <c r="AA122" s="182">
        <v>1491.1764705882335</v>
      </c>
      <c r="AB122" s="182">
        <v>82.843137254901862</v>
      </c>
      <c r="AC122" s="339">
        <f t="shared" si="51"/>
        <v>8</v>
      </c>
      <c r="AD122" s="690"/>
      <c r="AE122" s="182">
        <v>18</v>
      </c>
      <c r="AF122" s="182">
        <v>1511.0526315789461</v>
      </c>
      <c r="AG122" s="182">
        <v>83.947368421052559</v>
      </c>
      <c r="AH122" s="339">
        <f t="shared" si="52"/>
        <v>9</v>
      </c>
      <c r="AI122" s="690"/>
      <c r="AJ122" s="182">
        <v>18</v>
      </c>
      <c r="AK122" s="182">
        <v>1520.5714285714271</v>
      </c>
      <c r="AL122" s="182">
        <v>84.476190476190396</v>
      </c>
      <c r="AM122" s="339">
        <f t="shared" si="53"/>
        <v>6</v>
      </c>
      <c r="AN122" s="690"/>
      <c r="AO122" s="182">
        <v>18</v>
      </c>
      <c r="AP122" s="182">
        <v>1512.8571428571422</v>
      </c>
      <c r="AQ122" s="182">
        <v>84.047619047619008</v>
      </c>
      <c r="AR122" s="339">
        <f t="shared" si="54"/>
        <v>8</v>
      </c>
      <c r="AS122" s="690"/>
      <c r="AT122" s="182">
        <v>18</v>
      </c>
      <c r="AU122" s="182">
        <v>1505.853658536585</v>
      </c>
      <c r="AV122" s="182">
        <v>83.658536585365837</v>
      </c>
      <c r="AW122" s="339">
        <f t="shared" si="55"/>
        <v>7</v>
      </c>
      <c r="AX122" s="690"/>
    </row>
    <row r="123" spans="2:50">
      <c r="B123" s="676"/>
      <c r="C123" s="309">
        <v>12</v>
      </c>
      <c r="D123" s="227" t="s">
        <v>355</v>
      </c>
      <c r="E123" s="182">
        <v>17</v>
      </c>
      <c r="F123" s="569">
        <v>1500</v>
      </c>
      <c r="G123" s="570">
        <v>88.2</v>
      </c>
      <c r="H123" s="718"/>
      <c r="I123" s="199">
        <f t="shared" si="46"/>
        <v>17</v>
      </c>
      <c r="J123" s="199">
        <f t="shared" si="47"/>
        <v>1386.7329093058136</v>
      </c>
      <c r="K123" s="200">
        <f t="shared" si="48"/>
        <v>81.572524076812542</v>
      </c>
      <c r="L123" s="650"/>
      <c r="M123" s="201">
        <f>RANK(K123, K$112:$K$141)</f>
        <v>10</v>
      </c>
      <c r="N123" s="668"/>
      <c r="O123" s="668"/>
      <c r="P123" s="182">
        <v>17</v>
      </c>
      <c r="Q123" s="182">
        <v>1384.6153846153838</v>
      </c>
      <c r="R123" s="182">
        <v>81.44796380090493</v>
      </c>
      <c r="S123" s="339">
        <f t="shared" si="49"/>
        <v>10</v>
      </c>
      <c r="T123" s="690"/>
      <c r="U123" s="182">
        <v>17</v>
      </c>
      <c r="V123" s="182">
        <v>1349.9999999999989</v>
      </c>
      <c r="W123" s="182">
        <v>79.411764705882291</v>
      </c>
      <c r="X123" s="339">
        <f t="shared" si="50"/>
        <v>10</v>
      </c>
      <c r="Y123" s="690"/>
      <c r="Z123" s="182">
        <v>17</v>
      </c>
      <c r="AA123" s="182">
        <v>1378.0645161290299</v>
      </c>
      <c r="AB123" s="182">
        <v>81.062618595825285</v>
      </c>
      <c r="AC123" s="339">
        <f t="shared" si="51"/>
        <v>9</v>
      </c>
      <c r="AD123" s="690"/>
      <c r="AE123" s="182">
        <v>17</v>
      </c>
      <c r="AF123" s="182">
        <v>1429.9999999999989</v>
      </c>
      <c r="AG123" s="182">
        <v>84.117647058823465</v>
      </c>
      <c r="AH123" s="339">
        <f t="shared" si="52"/>
        <v>8</v>
      </c>
      <c r="AI123" s="690"/>
      <c r="AJ123" s="182">
        <v>17</v>
      </c>
      <c r="AK123" s="182">
        <v>1413.5294117647043</v>
      </c>
      <c r="AL123" s="182">
        <v>83.148788927335545</v>
      </c>
      <c r="AM123" s="339">
        <f t="shared" si="53"/>
        <v>8</v>
      </c>
      <c r="AN123" s="690"/>
      <c r="AO123" s="182">
        <v>17</v>
      </c>
      <c r="AP123" s="182">
        <v>1372.4999999999995</v>
      </c>
      <c r="AQ123" s="182">
        <v>80.73529411764703</v>
      </c>
      <c r="AR123" s="339">
        <f t="shared" si="54"/>
        <v>9</v>
      </c>
      <c r="AS123" s="690"/>
      <c r="AT123" s="182">
        <v>17</v>
      </c>
      <c r="AU123" s="182">
        <v>1378.4210526315778</v>
      </c>
      <c r="AV123" s="182">
        <v>81.08359133126929</v>
      </c>
      <c r="AW123" s="339">
        <f t="shared" si="55"/>
        <v>9</v>
      </c>
      <c r="AX123" s="690"/>
    </row>
    <row r="124" spans="2:50">
      <c r="B124" s="676"/>
      <c r="C124" s="309">
        <v>13</v>
      </c>
      <c r="D124" s="227" t="s">
        <v>785</v>
      </c>
      <c r="E124" s="182">
        <v>20</v>
      </c>
      <c r="F124" s="569">
        <v>1440</v>
      </c>
      <c r="G124" s="570">
        <v>72</v>
      </c>
      <c r="H124" s="718"/>
      <c r="I124" s="199">
        <f t="shared" si="46"/>
        <v>20</v>
      </c>
      <c r="J124" s="199">
        <f t="shared" si="47"/>
        <v>1334.2460595882769</v>
      </c>
      <c r="K124" s="200">
        <f t="shared" si="48"/>
        <v>66.712302979413849</v>
      </c>
      <c r="L124" s="650"/>
      <c r="M124" s="201">
        <f>RANK(K124, K$112:$K$141)</f>
        <v>22</v>
      </c>
      <c r="N124" s="668"/>
      <c r="O124" s="668"/>
      <c r="P124" s="182">
        <v>20</v>
      </c>
      <c r="Q124" s="182">
        <v>1311.1999999999991</v>
      </c>
      <c r="R124" s="182">
        <v>65.55999999999996</v>
      </c>
      <c r="S124" s="339">
        <f t="shared" si="49"/>
        <v>24</v>
      </c>
      <c r="T124" s="690"/>
      <c r="U124" s="182">
        <v>20</v>
      </c>
      <c r="V124" s="182">
        <v>1338.1818181818196</v>
      </c>
      <c r="W124" s="182">
        <v>66.909090909090978</v>
      </c>
      <c r="X124" s="339">
        <f t="shared" si="50"/>
        <v>23</v>
      </c>
      <c r="Y124" s="690"/>
      <c r="Z124" s="182">
        <v>20</v>
      </c>
      <c r="AA124" s="182">
        <v>1331.3793103448284</v>
      </c>
      <c r="AB124" s="182">
        <v>66.568965517241423</v>
      </c>
      <c r="AC124" s="339">
        <f t="shared" si="51"/>
        <v>23</v>
      </c>
      <c r="AD124" s="690"/>
      <c r="AE124" s="182">
        <v>20</v>
      </c>
      <c r="AF124" s="182">
        <v>1347.1875000000016</v>
      </c>
      <c r="AG124" s="182">
        <v>67.359375000000085</v>
      </c>
      <c r="AH124" s="339">
        <f t="shared" si="52"/>
        <v>22</v>
      </c>
      <c r="AI124" s="690"/>
      <c r="AJ124" s="182">
        <v>20</v>
      </c>
      <c r="AK124" s="182">
        <v>1350.4477611940317</v>
      </c>
      <c r="AL124" s="182">
        <v>67.522388059701584</v>
      </c>
      <c r="AM124" s="339">
        <f t="shared" si="53"/>
        <v>22</v>
      </c>
      <c r="AN124" s="690"/>
      <c r="AO124" s="182">
        <v>20</v>
      </c>
      <c r="AP124" s="182">
        <v>1339.7260273972593</v>
      </c>
      <c r="AQ124" s="182">
        <v>66.986301369862957</v>
      </c>
      <c r="AR124" s="339">
        <f t="shared" si="54"/>
        <v>22</v>
      </c>
      <c r="AS124" s="690"/>
      <c r="AT124" s="182">
        <v>20</v>
      </c>
      <c r="AU124" s="182">
        <v>1321.599999999999</v>
      </c>
      <c r="AV124" s="182">
        <v>66.079999999999956</v>
      </c>
      <c r="AW124" s="339">
        <f t="shared" si="55"/>
        <v>23</v>
      </c>
      <c r="AX124" s="690"/>
    </row>
    <row r="125" spans="2:50">
      <c r="B125" s="676"/>
      <c r="C125" s="309">
        <v>14</v>
      </c>
      <c r="D125" s="227" t="s">
        <v>371</v>
      </c>
      <c r="E125" s="182">
        <v>14</v>
      </c>
      <c r="F125" s="569">
        <v>1440</v>
      </c>
      <c r="G125" s="570">
        <v>102.9</v>
      </c>
      <c r="H125" s="718"/>
      <c r="I125" s="199">
        <f t="shared" si="46"/>
        <v>15</v>
      </c>
      <c r="J125" s="199">
        <f t="shared" si="47"/>
        <v>1335.7694919033834</v>
      </c>
      <c r="K125" s="200">
        <f t="shared" si="48"/>
        <v>89.05129946022555</v>
      </c>
      <c r="L125" s="650"/>
      <c r="M125" s="201">
        <f>RANK(K125, K$112:$K$141)</f>
        <v>4</v>
      </c>
      <c r="N125" s="668"/>
      <c r="O125" s="668"/>
      <c r="P125" s="182">
        <v>15</v>
      </c>
      <c r="Q125" s="182">
        <v>1340.3389830508486</v>
      </c>
      <c r="R125" s="182">
        <v>89.355932203389912</v>
      </c>
      <c r="S125" s="339">
        <f t="shared" si="49"/>
        <v>4</v>
      </c>
      <c r="T125" s="690"/>
      <c r="U125" s="182">
        <v>15</v>
      </c>
      <c r="V125" s="182">
        <v>1317.8947368421063</v>
      </c>
      <c r="W125" s="182">
        <v>87.859649122807085</v>
      </c>
      <c r="X125" s="339">
        <f t="shared" si="50"/>
        <v>4</v>
      </c>
      <c r="Y125" s="690"/>
      <c r="Z125" s="182">
        <v>15</v>
      </c>
      <c r="AA125" s="182">
        <v>1325.1063829787236</v>
      </c>
      <c r="AB125" s="182">
        <v>88.340425531914903</v>
      </c>
      <c r="AC125" s="339">
        <f t="shared" si="51"/>
        <v>5</v>
      </c>
      <c r="AD125" s="690"/>
      <c r="AE125" s="182">
        <v>15</v>
      </c>
      <c r="AF125" s="182">
        <v>1363.0188679245291</v>
      </c>
      <c r="AG125" s="182">
        <v>90.867924528301941</v>
      </c>
      <c r="AH125" s="339">
        <f t="shared" si="52"/>
        <v>3</v>
      </c>
      <c r="AI125" s="690"/>
      <c r="AJ125" s="182">
        <v>15</v>
      </c>
      <c r="AK125" s="182">
        <v>1345.3846153846162</v>
      </c>
      <c r="AL125" s="182">
        <v>89.69230769230775</v>
      </c>
      <c r="AM125" s="339">
        <f t="shared" si="53"/>
        <v>3</v>
      </c>
      <c r="AN125" s="690"/>
      <c r="AO125" s="182">
        <v>15</v>
      </c>
      <c r="AP125" s="182">
        <v>1314.0000000000011</v>
      </c>
      <c r="AQ125" s="182">
        <v>87.60000000000008</v>
      </c>
      <c r="AR125" s="339">
        <f t="shared" si="54"/>
        <v>4</v>
      </c>
      <c r="AS125" s="690"/>
      <c r="AT125" s="182">
        <v>15</v>
      </c>
      <c r="AU125" s="182">
        <v>1344.6428571428582</v>
      </c>
      <c r="AV125" s="182">
        <v>89.64285714285721</v>
      </c>
      <c r="AW125" s="339">
        <f t="shared" si="55"/>
        <v>2</v>
      </c>
      <c r="AX125" s="690"/>
    </row>
    <row r="126" spans="2:50">
      <c r="B126" s="676"/>
      <c r="C126" s="309">
        <v>15</v>
      </c>
      <c r="D126" s="227" t="s">
        <v>347</v>
      </c>
      <c r="E126" s="182">
        <v>19</v>
      </c>
      <c r="F126" s="569">
        <v>1440</v>
      </c>
      <c r="G126" s="570">
        <v>75.8</v>
      </c>
      <c r="H126" s="718"/>
      <c r="I126" s="199">
        <f t="shared" si="46"/>
        <v>19</v>
      </c>
      <c r="J126" s="199">
        <f t="shared" si="47"/>
        <v>1331.404013911241</v>
      </c>
      <c r="K126" s="200">
        <f t="shared" si="48"/>
        <v>70.073895469012683</v>
      </c>
      <c r="L126" s="650"/>
      <c r="M126" s="201">
        <f>RANK(K126, K$112:$K$141)</f>
        <v>20</v>
      </c>
      <c r="N126" s="668"/>
      <c r="O126" s="668"/>
      <c r="P126" s="182">
        <v>19</v>
      </c>
      <c r="Q126" s="182">
        <v>1315.862068965517</v>
      </c>
      <c r="R126" s="182">
        <v>69.255898366606161</v>
      </c>
      <c r="S126" s="339">
        <f t="shared" si="49"/>
        <v>21</v>
      </c>
      <c r="T126" s="690"/>
      <c r="U126" s="182">
        <v>19</v>
      </c>
      <c r="V126" s="182">
        <v>1326.1538461538455</v>
      </c>
      <c r="W126" s="182">
        <v>69.797570850202391</v>
      </c>
      <c r="X126" s="339">
        <f t="shared" si="50"/>
        <v>21</v>
      </c>
      <c r="Y126" s="690"/>
      <c r="Z126" s="182">
        <v>19</v>
      </c>
      <c r="AA126" s="182">
        <v>1321.7910447761212</v>
      </c>
      <c r="AB126" s="182">
        <v>69.567949725059009</v>
      </c>
      <c r="AC126" s="339">
        <f t="shared" si="51"/>
        <v>20</v>
      </c>
      <c r="AD126" s="690"/>
      <c r="AE126" s="182">
        <v>19</v>
      </c>
      <c r="AF126" s="182">
        <v>1334.399999999999</v>
      </c>
      <c r="AG126" s="182">
        <v>70.231578947368362</v>
      </c>
      <c r="AH126" s="339">
        <f t="shared" si="52"/>
        <v>20</v>
      </c>
      <c r="AI126" s="690"/>
      <c r="AJ126" s="182">
        <v>19</v>
      </c>
      <c r="AK126" s="182">
        <v>1358.9610389610382</v>
      </c>
      <c r="AL126" s="182">
        <v>71.524265208475697</v>
      </c>
      <c r="AM126" s="339">
        <f t="shared" si="53"/>
        <v>18</v>
      </c>
      <c r="AN126" s="690"/>
      <c r="AO126" s="182">
        <v>19</v>
      </c>
      <c r="AP126" s="182">
        <v>1337.1428571428567</v>
      </c>
      <c r="AQ126" s="182">
        <v>70.375939849624032</v>
      </c>
      <c r="AR126" s="339">
        <f t="shared" si="54"/>
        <v>19</v>
      </c>
      <c r="AS126" s="690"/>
      <c r="AT126" s="182">
        <v>19</v>
      </c>
      <c r="AU126" s="182">
        <v>1325.5172413793102</v>
      </c>
      <c r="AV126" s="182">
        <v>69.764065335753173</v>
      </c>
      <c r="AW126" s="339">
        <f t="shared" si="55"/>
        <v>19</v>
      </c>
      <c r="AX126" s="690"/>
    </row>
    <row r="127" spans="2:50">
      <c r="B127" s="676"/>
      <c r="C127" s="309">
        <v>16</v>
      </c>
      <c r="D127" s="227" t="s">
        <v>369</v>
      </c>
      <c r="E127" s="182">
        <v>19</v>
      </c>
      <c r="F127" s="569">
        <v>1440</v>
      </c>
      <c r="G127" s="570">
        <v>75.8</v>
      </c>
      <c r="H127" s="718"/>
      <c r="I127" s="199">
        <f t="shared" si="46"/>
        <v>19</v>
      </c>
      <c r="J127" s="199">
        <f t="shared" si="47"/>
        <v>1346.8844530566637</v>
      </c>
      <c r="K127" s="200">
        <f t="shared" si="48"/>
        <v>70.888655424034923</v>
      </c>
      <c r="L127" s="650"/>
      <c r="M127" s="201">
        <f>RANK(K127, K$112:$K$141)</f>
        <v>19</v>
      </c>
      <c r="N127" s="668"/>
      <c r="O127" s="668"/>
      <c r="P127" s="182">
        <v>19</v>
      </c>
      <c r="Q127" s="182">
        <v>1329.2307692307706</v>
      </c>
      <c r="R127" s="182">
        <v>69.959514170040563</v>
      </c>
      <c r="S127" s="339">
        <f t="shared" si="49"/>
        <v>20</v>
      </c>
      <c r="T127" s="690"/>
      <c r="U127" s="182">
        <v>19</v>
      </c>
      <c r="V127" s="182">
        <v>1330.5263157894747</v>
      </c>
      <c r="W127" s="182">
        <v>70.027700831024987</v>
      </c>
      <c r="X127" s="339">
        <f t="shared" si="50"/>
        <v>20</v>
      </c>
      <c r="Y127" s="690"/>
      <c r="Z127" s="182">
        <v>19</v>
      </c>
      <c r="AA127" s="182">
        <v>1330.5882352941182</v>
      </c>
      <c r="AB127" s="182">
        <v>70.030959752322019</v>
      </c>
      <c r="AC127" s="339">
        <f t="shared" si="51"/>
        <v>18</v>
      </c>
      <c r="AD127" s="690"/>
      <c r="AE127" s="182">
        <v>19</v>
      </c>
      <c r="AF127" s="182">
        <v>1349.4736842105274</v>
      </c>
      <c r="AG127" s="182">
        <v>71.024930747922497</v>
      </c>
      <c r="AH127" s="339">
        <f t="shared" si="52"/>
        <v>18</v>
      </c>
      <c r="AI127" s="690"/>
      <c r="AJ127" s="182">
        <v>19</v>
      </c>
      <c r="AK127" s="182">
        <v>1366.7796610169503</v>
      </c>
      <c r="AL127" s="182">
        <v>71.935771632471074</v>
      </c>
      <c r="AM127" s="339">
        <f t="shared" si="53"/>
        <v>17</v>
      </c>
      <c r="AN127" s="690"/>
      <c r="AO127" s="182">
        <v>19</v>
      </c>
      <c r="AP127" s="182">
        <v>1351.4285714285729</v>
      </c>
      <c r="AQ127" s="182">
        <v>71.127819548872253</v>
      </c>
      <c r="AR127" s="339">
        <f t="shared" si="54"/>
        <v>18</v>
      </c>
      <c r="AS127" s="690"/>
      <c r="AT127" s="182">
        <v>19</v>
      </c>
      <c r="AU127" s="182">
        <v>1370.1639344262308</v>
      </c>
      <c r="AV127" s="182">
        <v>72.113891285591095</v>
      </c>
      <c r="AW127" s="339">
        <f t="shared" si="55"/>
        <v>16</v>
      </c>
      <c r="AX127" s="690"/>
    </row>
    <row r="128" spans="2:50">
      <c r="B128" s="676"/>
      <c r="C128" s="309">
        <v>17</v>
      </c>
      <c r="D128" s="227" t="s">
        <v>931</v>
      </c>
      <c r="E128" s="182">
        <v>19</v>
      </c>
      <c r="F128" s="569">
        <v>1500</v>
      </c>
      <c r="G128" s="570">
        <v>78.900000000000006</v>
      </c>
      <c r="H128" s="718"/>
      <c r="I128" s="199">
        <f t="shared" si="46"/>
        <v>19</v>
      </c>
      <c r="J128" s="199">
        <f t="shared" si="47"/>
        <v>1394.9041850961341</v>
      </c>
      <c r="K128" s="200">
        <f t="shared" si="48"/>
        <v>73.416009741901789</v>
      </c>
      <c r="L128" s="650"/>
      <c r="M128" s="201">
        <f>RANK(K128, K$112:$K$141)</f>
        <v>17</v>
      </c>
      <c r="N128" s="668"/>
      <c r="O128" s="668"/>
      <c r="P128" s="182">
        <v>19</v>
      </c>
      <c r="Q128" s="182">
        <v>1392.3076923076917</v>
      </c>
      <c r="R128" s="182">
        <v>73.279352226720619</v>
      </c>
      <c r="S128" s="339">
        <f t="shared" si="49"/>
        <v>16</v>
      </c>
      <c r="T128" s="690"/>
      <c r="U128" s="182">
        <v>19</v>
      </c>
      <c r="V128" s="182">
        <v>1406.4705882352923</v>
      </c>
      <c r="W128" s="182">
        <v>74.024767801857493</v>
      </c>
      <c r="X128" s="339">
        <f t="shared" si="50"/>
        <v>16</v>
      </c>
      <c r="Y128" s="690"/>
      <c r="Z128" s="182">
        <v>19</v>
      </c>
      <c r="AA128" s="182">
        <v>1421.9999999999975</v>
      </c>
      <c r="AB128" s="182">
        <v>74.842105263157762</v>
      </c>
      <c r="AC128" s="339">
        <f t="shared" si="51"/>
        <v>16</v>
      </c>
      <c r="AD128" s="690"/>
      <c r="AE128" s="182">
        <v>19</v>
      </c>
      <c r="AF128" s="182">
        <v>1353.1578947368412</v>
      </c>
      <c r="AG128" s="182">
        <v>71.218836565096908</v>
      </c>
      <c r="AH128" s="339">
        <f t="shared" si="52"/>
        <v>17</v>
      </c>
      <c r="AI128" s="690"/>
      <c r="AJ128" s="182">
        <v>19</v>
      </c>
      <c r="AK128" s="182">
        <v>1403.6363636363617</v>
      </c>
      <c r="AL128" s="182">
        <v>73.875598086124299</v>
      </c>
      <c r="AM128" s="339">
        <f t="shared" si="53"/>
        <v>16</v>
      </c>
      <c r="AN128" s="690"/>
      <c r="AO128" s="182">
        <v>19</v>
      </c>
      <c r="AP128" s="182">
        <v>1409.9999999999989</v>
      </c>
      <c r="AQ128" s="182">
        <v>74.210526315789409</v>
      </c>
      <c r="AR128" s="339">
        <f t="shared" si="54"/>
        <v>16</v>
      </c>
      <c r="AS128" s="690"/>
      <c r="AT128" s="182">
        <v>19</v>
      </c>
      <c r="AU128" s="182">
        <v>1376.7567567567557</v>
      </c>
      <c r="AV128" s="182">
        <v>72.460881934566089</v>
      </c>
      <c r="AW128" s="339">
        <f t="shared" si="55"/>
        <v>15</v>
      </c>
      <c r="AX128" s="690"/>
    </row>
    <row r="129" spans="2:50">
      <c r="B129" s="676"/>
      <c r="C129" s="309">
        <v>18</v>
      </c>
      <c r="D129" s="227" t="s">
        <v>932</v>
      </c>
      <c r="E129" s="182">
        <v>18</v>
      </c>
      <c r="F129" s="569">
        <v>1500</v>
      </c>
      <c r="G129" s="570">
        <v>83.3</v>
      </c>
      <c r="H129" s="718"/>
      <c r="I129" s="199">
        <f t="shared" si="46"/>
        <v>18</v>
      </c>
      <c r="J129" s="199">
        <f t="shared" si="47"/>
        <v>1377.1092130933862</v>
      </c>
      <c r="K129" s="200">
        <f t="shared" si="48"/>
        <v>76.506067394077007</v>
      </c>
      <c r="L129" s="650"/>
      <c r="M129" s="201">
        <f>RANK(K129, K$112:$K$141)</f>
        <v>13</v>
      </c>
      <c r="N129" s="668"/>
      <c r="O129" s="668"/>
      <c r="P129" s="182">
        <v>18</v>
      </c>
      <c r="Q129" s="182">
        <v>1421.7073170731703</v>
      </c>
      <c r="R129" s="182">
        <v>78.983739837398346</v>
      </c>
      <c r="S129" s="339">
        <f t="shared" si="49"/>
        <v>11</v>
      </c>
      <c r="T129" s="690"/>
      <c r="U129" s="182">
        <v>18</v>
      </c>
      <c r="V129" s="182">
        <v>1362.1621621621609</v>
      </c>
      <c r="W129" s="182">
        <v>75.675675675675606</v>
      </c>
      <c r="X129" s="339">
        <f t="shared" si="50"/>
        <v>15</v>
      </c>
      <c r="Y129" s="690"/>
      <c r="Z129" s="182">
        <v>18</v>
      </c>
      <c r="AA129" s="182">
        <v>1374.7826086956507</v>
      </c>
      <c r="AB129" s="182">
        <v>76.37681159420282</v>
      </c>
      <c r="AC129" s="339">
        <f t="shared" si="51"/>
        <v>13</v>
      </c>
      <c r="AD129" s="690"/>
      <c r="AE129" s="182">
        <v>18</v>
      </c>
      <c r="AF129" s="182">
        <v>1354.6875000000016</v>
      </c>
      <c r="AG129" s="182">
        <v>75.260416666666757</v>
      </c>
      <c r="AH129" s="339">
        <f t="shared" si="52"/>
        <v>15</v>
      </c>
      <c r="AI129" s="690"/>
      <c r="AJ129" s="182">
        <v>18</v>
      </c>
      <c r="AK129" s="182">
        <v>1374.4736842105253</v>
      </c>
      <c r="AL129" s="182">
        <v>76.359649122806957</v>
      </c>
      <c r="AM129" s="339">
        <f t="shared" si="53"/>
        <v>14</v>
      </c>
      <c r="AN129" s="690"/>
      <c r="AO129" s="182">
        <v>18</v>
      </c>
      <c r="AP129" s="182">
        <v>1360.9756097560971</v>
      </c>
      <c r="AQ129" s="182">
        <v>75.609756097560947</v>
      </c>
      <c r="AR129" s="339">
        <f t="shared" si="54"/>
        <v>14</v>
      </c>
      <c r="AS129" s="690"/>
      <c r="AT129" s="182">
        <v>18</v>
      </c>
      <c r="AU129" s="182">
        <v>1390.9756097560971</v>
      </c>
      <c r="AV129" s="182">
        <v>77.276422764227618</v>
      </c>
      <c r="AW129" s="339">
        <f t="shared" si="55"/>
        <v>11</v>
      </c>
      <c r="AX129" s="690"/>
    </row>
    <row r="130" spans="2:50">
      <c r="B130" s="676"/>
      <c r="C130" s="309">
        <v>19</v>
      </c>
      <c r="D130" s="227" t="s">
        <v>761</v>
      </c>
      <c r="E130" s="182">
        <v>17</v>
      </c>
      <c r="F130" s="569">
        <v>1440</v>
      </c>
      <c r="G130" s="570">
        <v>84.7</v>
      </c>
      <c r="H130" s="718"/>
      <c r="I130" s="199">
        <f t="shared" si="46"/>
        <v>17</v>
      </c>
      <c r="J130" s="199">
        <f t="shared" si="47"/>
        <v>1339.7358409243682</v>
      </c>
      <c r="K130" s="200">
        <f t="shared" si="48"/>
        <v>78.807990642609894</v>
      </c>
      <c r="L130" s="650"/>
      <c r="M130" s="201">
        <f>RANK(K130, K$112:$K$141)</f>
        <v>11</v>
      </c>
      <c r="N130" s="668"/>
      <c r="O130" s="668"/>
      <c r="P130" s="182">
        <v>17</v>
      </c>
      <c r="Q130" s="182">
        <v>1297.2000000000003</v>
      </c>
      <c r="R130" s="182">
        <v>76.305882352941197</v>
      </c>
      <c r="S130" s="339">
        <f t="shared" si="49"/>
        <v>14</v>
      </c>
      <c r="T130" s="690"/>
      <c r="U130" s="182">
        <v>17</v>
      </c>
      <c r="V130" s="182">
        <v>1321.3333333333333</v>
      </c>
      <c r="W130" s="182">
        <v>77.725490196078425</v>
      </c>
      <c r="X130" s="339">
        <f t="shared" si="50"/>
        <v>12</v>
      </c>
      <c r="Y130" s="690"/>
      <c r="Z130" s="182">
        <v>17</v>
      </c>
      <c r="AA130" s="182">
        <v>1345.9459459459449</v>
      </c>
      <c r="AB130" s="182">
        <v>79.173290937996754</v>
      </c>
      <c r="AC130" s="339">
        <f t="shared" si="51"/>
        <v>11</v>
      </c>
      <c r="AD130" s="690"/>
      <c r="AE130" s="182">
        <v>17</v>
      </c>
      <c r="AF130" s="182">
        <v>1350.6976744186045</v>
      </c>
      <c r="AG130" s="182">
        <v>79.452804377564973</v>
      </c>
      <c r="AH130" s="339">
        <f t="shared" si="52"/>
        <v>11</v>
      </c>
      <c r="AI130" s="690"/>
      <c r="AJ130" s="182">
        <v>17</v>
      </c>
      <c r="AK130" s="182">
        <v>1330.2439024390239</v>
      </c>
      <c r="AL130" s="182">
        <v>78.249641319942583</v>
      </c>
      <c r="AM130" s="339">
        <f t="shared" si="53"/>
        <v>10</v>
      </c>
      <c r="AN130" s="690"/>
      <c r="AO130" s="182">
        <v>17</v>
      </c>
      <c r="AP130" s="182">
        <v>1370.8695652173915</v>
      </c>
      <c r="AQ130" s="182">
        <v>80.639386189258317</v>
      </c>
      <c r="AR130" s="339">
        <f t="shared" si="54"/>
        <v>10</v>
      </c>
      <c r="AS130" s="690"/>
      <c r="AT130" s="182">
        <v>17</v>
      </c>
      <c r="AU130" s="182">
        <v>1361.8604651162789</v>
      </c>
      <c r="AV130" s="182">
        <v>80.109439124486997</v>
      </c>
      <c r="AW130" s="339">
        <f t="shared" si="55"/>
        <v>10</v>
      </c>
      <c r="AX130" s="690"/>
    </row>
    <row r="131" spans="2:50">
      <c r="B131" s="676"/>
      <c r="C131" s="309">
        <v>20</v>
      </c>
      <c r="D131" s="227" t="s">
        <v>786</v>
      </c>
      <c r="E131" s="182">
        <v>18</v>
      </c>
      <c r="F131" s="569">
        <v>1500</v>
      </c>
      <c r="G131" s="570">
        <v>83.3</v>
      </c>
      <c r="H131" s="718"/>
      <c r="I131" s="199">
        <f t="shared" si="46"/>
        <v>18</v>
      </c>
      <c r="J131" s="199">
        <f t="shared" si="47"/>
        <v>1395.6092022083503</v>
      </c>
      <c r="K131" s="200">
        <f t="shared" si="48"/>
        <v>77.533844567130586</v>
      </c>
      <c r="L131" s="650"/>
      <c r="M131" s="201">
        <f>RANK(K131, K$112:$K$141)</f>
        <v>12</v>
      </c>
      <c r="N131" s="668"/>
      <c r="O131" s="668"/>
      <c r="P131" s="182">
        <v>18</v>
      </c>
      <c r="Q131" s="182">
        <v>1416.0000000000014</v>
      </c>
      <c r="R131" s="182">
        <v>78.666666666666742</v>
      </c>
      <c r="S131" s="339">
        <f t="shared" si="49"/>
        <v>12</v>
      </c>
      <c r="T131" s="690"/>
      <c r="U131" s="182">
        <v>18</v>
      </c>
      <c r="V131" s="182">
        <v>1400.0000000000007</v>
      </c>
      <c r="W131" s="182">
        <v>77.777777777777814</v>
      </c>
      <c r="X131" s="339">
        <f t="shared" si="50"/>
        <v>11</v>
      </c>
      <c r="Y131" s="690"/>
      <c r="Z131" s="182">
        <v>18</v>
      </c>
      <c r="AA131" s="182">
        <v>1369.4117647058831</v>
      </c>
      <c r="AB131" s="182">
        <v>76.078431372549062</v>
      </c>
      <c r="AC131" s="339">
        <f t="shared" si="51"/>
        <v>14</v>
      </c>
      <c r="AD131" s="690"/>
      <c r="AE131" s="182">
        <v>18</v>
      </c>
      <c r="AF131" s="182">
        <v>1408.8888888888896</v>
      </c>
      <c r="AG131" s="182">
        <v>78.271604938271651</v>
      </c>
      <c r="AH131" s="339">
        <f t="shared" si="52"/>
        <v>12</v>
      </c>
      <c r="AI131" s="690"/>
      <c r="AJ131" s="182">
        <v>18</v>
      </c>
      <c r="AK131" s="182">
        <v>1398.9473684210536</v>
      </c>
      <c r="AL131" s="182">
        <v>77.719298245614084</v>
      </c>
      <c r="AM131" s="339">
        <f t="shared" si="53"/>
        <v>11</v>
      </c>
      <c r="AN131" s="690"/>
      <c r="AO131" s="182">
        <v>18</v>
      </c>
      <c r="AP131" s="182">
        <v>1397.0000000000014</v>
      </c>
      <c r="AQ131" s="182">
        <v>77.611111111111185</v>
      </c>
      <c r="AR131" s="339">
        <f t="shared" si="54"/>
        <v>12</v>
      </c>
      <c r="AS131" s="690"/>
      <c r="AT131" s="182">
        <v>18</v>
      </c>
      <c r="AU131" s="182">
        <v>1379.0163934426241</v>
      </c>
      <c r="AV131" s="182">
        <v>76.612021857923565</v>
      </c>
      <c r="AW131" s="339">
        <f t="shared" si="55"/>
        <v>12</v>
      </c>
      <c r="AX131" s="690"/>
    </row>
    <row r="132" spans="2:50">
      <c r="B132" s="676"/>
      <c r="C132" s="309">
        <v>21</v>
      </c>
      <c r="D132" s="227" t="s">
        <v>938</v>
      </c>
      <c r="E132" s="182">
        <v>18</v>
      </c>
      <c r="F132" s="569">
        <v>1636</v>
      </c>
      <c r="G132" s="570">
        <v>90.9</v>
      </c>
      <c r="H132" s="718"/>
      <c r="I132" s="199">
        <f t="shared" si="46"/>
        <v>18</v>
      </c>
      <c r="J132" s="199">
        <f t="shared" si="47"/>
        <v>1226.6028495608609</v>
      </c>
      <c r="K132" s="200">
        <f t="shared" si="48"/>
        <v>68.144602753381164</v>
      </c>
      <c r="L132" s="650"/>
      <c r="M132" s="201">
        <f>RANK(K132, K$112:$K$141)</f>
        <v>21</v>
      </c>
      <c r="N132" s="668"/>
      <c r="O132" s="668"/>
      <c r="P132" s="182">
        <v>18</v>
      </c>
      <c r="Q132" s="182">
        <v>1300.7759999999996</v>
      </c>
      <c r="R132" s="182">
        <v>72.265333333333317</v>
      </c>
      <c r="S132" s="339">
        <f t="shared" si="49"/>
        <v>19</v>
      </c>
      <c r="T132" s="690"/>
      <c r="U132" s="182">
        <v>18</v>
      </c>
      <c r="V132" s="182">
        <v>1214.0487804878044</v>
      </c>
      <c r="W132" s="182">
        <v>67.447154471544692</v>
      </c>
      <c r="X132" s="339">
        <f t="shared" si="50"/>
        <v>22</v>
      </c>
      <c r="Y132" s="690"/>
      <c r="Z132" s="182">
        <v>18</v>
      </c>
      <c r="AA132" s="182">
        <v>1213.3333333333328</v>
      </c>
      <c r="AB132" s="182">
        <v>67.407407407407376</v>
      </c>
      <c r="AC132" s="339">
        <f t="shared" si="51"/>
        <v>21</v>
      </c>
      <c r="AD132" s="690"/>
      <c r="AE132" s="182">
        <v>18</v>
      </c>
      <c r="AF132" s="182">
        <v>1206.0540540540542</v>
      </c>
      <c r="AG132" s="182">
        <v>67.003003003003016</v>
      </c>
      <c r="AH132" s="339">
        <f t="shared" si="52"/>
        <v>23</v>
      </c>
      <c r="AI132" s="690"/>
      <c r="AJ132" s="182">
        <v>18</v>
      </c>
      <c r="AK132" s="182">
        <v>1232.038834951456</v>
      </c>
      <c r="AL132" s="182">
        <v>68.446601941747559</v>
      </c>
      <c r="AM132" s="339">
        <f t="shared" si="53"/>
        <v>20</v>
      </c>
      <c r="AN132" s="690"/>
      <c r="AO132" s="182">
        <v>18</v>
      </c>
      <c r="AP132" s="182">
        <v>1197.1428571428569</v>
      </c>
      <c r="AQ132" s="182">
        <v>66.507936507936492</v>
      </c>
      <c r="AR132" s="339">
        <f t="shared" si="54"/>
        <v>23</v>
      </c>
      <c r="AS132" s="690"/>
      <c r="AT132" s="182">
        <v>18</v>
      </c>
      <c r="AU132" s="182">
        <v>1222.826086956522</v>
      </c>
      <c r="AV132" s="182">
        <v>67.93478260869567</v>
      </c>
      <c r="AW132" s="339">
        <f t="shared" si="55"/>
        <v>20</v>
      </c>
      <c r="AX132" s="690"/>
    </row>
    <row r="133" spans="2:50">
      <c r="B133" s="676"/>
      <c r="C133" s="309">
        <v>22</v>
      </c>
      <c r="D133" s="227" t="s">
        <v>789</v>
      </c>
      <c r="E133" s="182">
        <v>20</v>
      </c>
      <c r="F133" s="569">
        <v>1500</v>
      </c>
      <c r="G133" s="570">
        <v>75</v>
      </c>
      <c r="H133" s="718"/>
      <c r="I133" s="199">
        <f t="shared" si="46"/>
        <v>19.714285714285715</v>
      </c>
      <c r="J133" s="199">
        <f t="shared" si="47"/>
        <v>1170.3917541063367</v>
      </c>
      <c r="K133" s="200">
        <f t="shared" si="48"/>
        <v>59.385306690279258</v>
      </c>
      <c r="L133" s="650"/>
      <c r="M133" s="201">
        <f>RANK(K133, K$112:$K$141)</f>
        <v>27</v>
      </c>
      <c r="N133" s="668"/>
      <c r="O133" s="668"/>
      <c r="P133" s="182">
        <v>19</v>
      </c>
      <c r="Q133" s="182">
        <v>1142.8125000000014</v>
      </c>
      <c r="R133" s="182">
        <v>60.148026315789544</v>
      </c>
      <c r="S133" s="339">
        <f t="shared" si="49"/>
        <v>28</v>
      </c>
      <c r="T133" s="690"/>
      <c r="U133" s="182">
        <v>20</v>
      </c>
      <c r="V133" s="182">
        <v>1170.5454545454554</v>
      </c>
      <c r="W133" s="182">
        <v>58.527272727272774</v>
      </c>
      <c r="X133" s="339">
        <f t="shared" si="50"/>
        <v>27</v>
      </c>
      <c r="Y133" s="690"/>
      <c r="Z133" s="182">
        <v>19</v>
      </c>
      <c r="AA133" s="182">
        <v>1160.0000000000005</v>
      </c>
      <c r="AB133" s="182">
        <v>61.052631578947391</v>
      </c>
      <c r="AC133" s="339">
        <f t="shared" si="51"/>
        <v>27</v>
      </c>
      <c r="AD133" s="690"/>
      <c r="AE133" s="182">
        <v>20</v>
      </c>
      <c r="AF133" s="182">
        <v>1181.5384615384623</v>
      </c>
      <c r="AG133" s="182">
        <v>59.076923076923116</v>
      </c>
      <c r="AH133" s="339">
        <f t="shared" si="52"/>
        <v>27</v>
      </c>
      <c r="AI133" s="690"/>
      <c r="AJ133" s="182">
        <v>20</v>
      </c>
      <c r="AK133" s="182">
        <v>1183.6363636363644</v>
      </c>
      <c r="AL133" s="182">
        <v>59.181818181818223</v>
      </c>
      <c r="AM133" s="339">
        <f t="shared" si="53"/>
        <v>26</v>
      </c>
      <c r="AN133" s="690"/>
      <c r="AO133" s="182">
        <v>20</v>
      </c>
      <c r="AP133" s="182">
        <v>1181.3793103448284</v>
      </c>
      <c r="AQ133" s="182">
        <v>59.068965517241416</v>
      </c>
      <c r="AR133" s="339">
        <f t="shared" si="54"/>
        <v>26</v>
      </c>
      <c r="AS133" s="690"/>
      <c r="AT133" s="182">
        <v>20</v>
      </c>
      <c r="AU133" s="182">
        <v>1172.8301886792458</v>
      </c>
      <c r="AV133" s="182">
        <v>58.641509433962291</v>
      </c>
      <c r="AW133" s="339">
        <f t="shared" si="55"/>
        <v>27</v>
      </c>
      <c r="AX133" s="690"/>
    </row>
    <row r="134" spans="2:50">
      <c r="B134" s="676"/>
      <c r="C134" s="309">
        <v>23</v>
      </c>
      <c r="D134" s="227" t="s">
        <v>935</v>
      </c>
      <c r="E134" s="182">
        <v>17</v>
      </c>
      <c r="F134" s="569">
        <v>1565</v>
      </c>
      <c r="G134" s="570">
        <v>92.1</v>
      </c>
      <c r="H134" s="718"/>
      <c r="I134" s="199">
        <f t="shared" si="46"/>
        <v>18.285714285714285</v>
      </c>
      <c r="J134" s="199">
        <f t="shared" si="47"/>
        <v>1384.68432355091</v>
      </c>
      <c r="K134" s="200">
        <f t="shared" si="48"/>
        <v>75.815458029086358</v>
      </c>
      <c r="L134" s="650"/>
      <c r="M134" s="201">
        <f>RANK(K134, K$112:$K$141)</f>
        <v>15</v>
      </c>
      <c r="N134" s="668"/>
      <c r="O134" s="668"/>
      <c r="P134" s="182">
        <v>18</v>
      </c>
      <c r="Q134" s="182">
        <v>1316.4000000000003</v>
      </c>
      <c r="R134" s="182">
        <v>73.133333333333354</v>
      </c>
      <c r="S134" s="339">
        <f t="shared" si="49"/>
        <v>17</v>
      </c>
      <c r="T134" s="690"/>
      <c r="U134" s="182">
        <v>18</v>
      </c>
      <c r="V134" s="182">
        <v>1395.6521739130435</v>
      </c>
      <c r="W134" s="182">
        <v>77.536231884057969</v>
      </c>
      <c r="X134" s="339">
        <f t="shared" si="50"/>
        <v>13</v>
      </c>
      <c r="Y134" s="690"/>
      <c r="Z134" s="182">
        <v>18</v>
      </c>
      <c r="AA134" s="182">
        <v>1367.6923076923069</v>
      </c>
      <c r="AB134" s="182">
        <v>75.982905982905947</v>
      </c>
      <c r="AC134" s="339">
        <f t="shared" si="51"/>
        <v>15</v>
      </c>
      <c r="AD134" s="690"/>
      <c r="AE134" s="182">
        <v>18</v>
      </c>
      <c r="AF134" s="182">
        <v>1395.7142857142853</v>
      </c>
      <c r="AG134" s="182">
        <v>77.539682539682516</v>
      </c>
      <c r="AH134" s="339">
        <f t="shared" si="52"/>
        <v>13</v>
      </c>
      <c r="AI134" s="690"/>
      <c r="AJ134" s="182">
        <v>18</v>
      </c>
      <c r="AK134" s="182">
        <v>1392.5581395348834</v>
      </c>
      <c r="AL134" s="182">
        <v>77.364341085271292</v>
      </c>
      <c r="AM134" s="339">
        <f t="shared" si="53"/>
        <v>12</v>
      </c>
      <c r="AN134" s="690"/>
      <c r="AO134" s="182">
        <v>18</v>
      </c>
      <c r="AP134" s="182">
        <v>1424.3478260869565</v>
      </c>
      <c r="AQ134" s="182">
        <v>79.130434782608688</v>
      </c>
      <c r="AR134" s="339">
        <f t="shared" si="54"/>
        <v>11</v>
      </c>
      <c r="AS134" s="690"/>
      <c r="AT134" s="182">
        <v>20</v>
      </c>
      <c r="AU134" s="182">
        <v>1400.4255319148938</v>
      </c>
      <c r="AV134" s="182">
        <v>70.021276595744695</v>
      </c>
      <c r="AW134" s="339">
        <f t="shared" si="55"/>
        <v>18</v>
      </c>
      <c r="AX134" s="690"/>
    </row>
    <row r="135" spans="2:50">
      <c r="B135" s="676"/>
      <c r="C135" s="309">
        <v>24</v>
      </c>
      <c r="D135" s="227" t="s">
        <v>801</v>
      </c>
      <c r="E135" s="182">
        <v>19</v>
      </c>
      <c r="F135" s="569">
        <v>1385</v>
      </c>
      <c r="G135" s="570">
        <v>72.900000000000006</v>
      </c>
      <c r="H135" s="718"/>
      <c r="I135" s="199">
        <f t="shared" si="46"/>
        <v>19.571428571428573</v>
      </c>
      <c r="J135" s="199">
        <f t="shared" si="47"/>
        <v>1166.1156137958894</v>
      </c>
      <c r="K135" s="200">
        <f t="shared" si="48"/>
        <v>59.635470901538028</v>
      </c>
      <c r="L135" s="650"/>
      <c r="M135" s="201">
        <f>RANK(K135, K$112:$K$141)</f>
        <v>26</v>
      </c>
      <c r="N135" s="668"/>
      <c r="O135" s="668"/>
      <c r="P135" s="182">
        <v>19</v>
      </c>
      <c r="Q135" s="182">
        <v>1239.512195121951</v>
      </c>
      <c r="R135" s="182">
        <v>65.237483953786892</v>
      </c>
      <c r="S135" s="339">
        <f t="shared" si="49"/>
        <v>25</v>
      </c>
      <c r="T135" s="690"/>
      <c r="U135" s="182">
        <v>20</v>
      </c>
      <c r="V135" s="182">
        <v>1139.9999999999995</v>
      </c>
      <c r="W135" s="182">
        <v>56.999999999999979</v>
      </c>
      <c r="X135" s="339">
        <f t="shared" si="50"/>
        <v>28</v>
      </c>
      <c r="Y135" s="690"/>
      <c r="Z135" s="182">
        <v>19</v>
      </c>
      <c r="AA135" s="182">
        <v>1148.3333333333326</v>
      </c>
      <c r="AB135" s="182">
        <v>60.438596491228033</v>
      </c>
      <c r="AC135" s="339">
        <f t="shared" si="51"/>
        <v>28</v>
      </c>
      <c r="AD135" s="690"/>
      <c r="AE135" s="182">
        <v>20</v>
      </c>
      <c r="AF135" s="182">
        <v>1154.6666666666665</v>
      </c>
      <c r="AG135" s="182">
        <v>57.733333333333327</v>
      </c>
      <c r="AH135" s="339">
        <f t="shared" si="52"/>
        <v>28</v>
      </c>
      <c r="AI135" s="690"/>
      <c r="AJ135" s="182">
        <v>20</v>
      </c>
      <c r="AK135" s="182">
        <v>1156.4999999999995</v>
      </c>
      <c r="AL135" s="182">
        <v>57.824999999999974</v>
      </c>
      <c r="AM135" s="339">
        <f t="shared" si="53"/>
        <v>27</v>
      </c>
      <c r="AN135" s="690"/>
      <c r="AO135" s="182">
        <v>20</v>
      </c>
      <c r="AP135" s="182">
        <v>1174.6666666666667</v>
      </c>
      <c r="AQ135" s="182">
        <v>58.733333333333334</v>
      </c>
      <c r="AR135" s="339">
        <f t="shared" si="54"/>
        <v>27</v>
      </c>
      <c r="AS135" s="690"/>
      <c r="AT135" s="182">
        <v>19</v>
      </c>
      <c r="AU135" s="182">
        <v>1149.1304347826085</v>
      </c>
      <c r="AV135" s="182">
        <v>60.480549199084656</v>
      </c>
      <c r="AW135" s="339">
        <f t="shared" si="55"/>
        <v>26</v>
      </c>
      <c r="AX135" s="690"/>
    </row>
    <row r="136" spans="2:50">
      <c r="B136" s="676"/>
      <c r="C136" s="309">
        <v>25</v>
      </c>
      <c r="D136" s="227" t="s">
        <v>936</v>
      </c>
      <c r="E136" s="182">
        <v>15</v>
      </c>
      <c r="F136" s="569">
        <v>1440</v>
      </c>
      <c r="G136" s="570">
        <v>96</v>
      </c>
      <c r="H136" s="718"/>
      <c r="I136" s="466">
        <f t="shared" ref="I136:I137" si="56">AVERAGE(P136,U136,Z136,AE136,AJ136,AO136,AT136)</f>
        <v>15</v>
      </c>
      <c r="J136" s="466">
        <f t="shared" ref="J136:J137" si="57">AVERAGE(Q136,V136,AA136,AF136,AK136,AP136,AU136)</f>
        <v>1351.7461062857892</v>
      </c>
      <c r="K136" s="200">
        <f t="shared" ref="K136:K137" si="58">AVERAGE(R136,W136,AB136,AG136,AL136,AQ136,AV136)</f>
        <v>90.116407085719288</v>
      </c>
      <c r="L136" s="650"/>
      <c r="M136" s="201">
        <f>RANK(K136, K$112:$K$141)</f>
        <v>3</v>
      </c>
      <c r="N136" s="668"/>
      <c r="O136" s="668"/>
      <c r="P136" s="182">
        <v>15</v>
      </c>
      <c r="Q136" s="182">
        <v>1389.9999999999991</v>
      </c>
      <c r="R136" s="182">
        <v>92.6666666666666</v>
      </c>
      <c r="S136" s="339">
        <f t="shared" si="49"/>
        <v>3</v>
      </c>
      <c r="T136" s="690"/>
      <c r="U136" s="182">
        <v>15</v>
      </c>
      <c r="V136" s="182">
        <v>1327.2727272727257</v>
      </c>
      <c r="W136" s="182">
        <v>88.484848484848371</v>
      </c>
      <c r="X136" s="339">
        <f t="shared" si="50"/>
        <v>3</v>
      </c>
      <c r="Y136" s="690"/>
      <c r="Z136" s="182">
        <v>15</v>
      </c>
      <c r="AA136" s="182">
        <v>1344.8275862068938</v>
      </c>
      <c r="AB136" s="182">
        <v>89.655172413792926</v>
      </c>
      <c r="AC136" s="339">
        <f t="shared" si="51"/>
        <v>3</v>
      </c>
      <c r="AD136" s="690"/>
      <c r="AE136" s="182">
        <v>15</v>
      </c>
      <c r="AF136" s="182">
        <v>1348.2352941176455</v>
      </c>
      <c r="AG136" s="182">
        <v>89.882352941176364</v>
      </c>
      <c r="AH136" s="339">
        <f t="shared" si="52"/>
        <v>4</v>
      </c>
      <c r="AI136" s="690"/>
      <c r="AJ136" s="182">
        <v>15</v>
      </c>
      <c r="AK136" s="182">
        <v>1364.516129032256</v>
      </c>
      <c r="AL136" s="182">
        <v>90.96774193548373</v>
      </c>
      <c r="AM136" s="339">
        <f t="shared" si="53"/>
        <v>2</v>
      </c>
      <c r="AN136" s="690"/>
      <c r="AO136" s="182">
        <v>15</v>
      </c>
      <c r="AP136" s="182">
        <v>1349.1891891891883</v>
      </c>
      <c r="AQ136" s="182">
        <v>89.94594594594588</v>
      </c>
      <c r="AR136" s="339">
        <f t="shared" si="54"/>
        <v>2</v>
      </c>
      <c r="AS136" s="690"/>
      <c r="AT136" s="182">
        <v>15</v>
      </c>
      <c r="AU136" s="182">
        <v>1338.1818181818164</v>
      </c>
      <c r="AV136" s="182">
        <v>89.21212121212109</v>
      </c>
      <c r="AW136" s="339">
        <f t="shared" si="55"/>
        <v>3</v>
      </c>
      <c r="AX136" s="690"/>
    </row>
    <row r="137" spans="2:50">
      <c r="B137" s="676"/>
      <c r="C137" s="309">
        <v>26</v>
      </c>
      <c r="D137" s="227" t="s">
        <v>872</v>
      </c>
      <c r="E137" s="182">
        <v>21</v>
      </c>
      <c r="F137" s="569">
        <v>1500</v>
      </c>
      <c r="G137" s="570">
        <v>71.400000000000006</v>
      </c>
      <c r="H137" s="718"/>
      <c r="I137" s="466">
        <f t="shared" si="56"/>
        <v>21</v>
      </c>
      <c r="J137" s="466">
        <f t="shared" si="57"/>
        <v>1318.4644617993731</v>
      </c>
      <c r="K137" s="200">
        <f t="shared" si="58"/>
        <v>62.784021990446334</v>
      </c>
      <c r="L137" s="650"/>
      <c r="M137" s="201">
        <f>RANK(K137, K$112:$K$141)</f>
        <v>24</v>
      </c>
      <c r="N137" s="668"/>
      <c r="O137" s="668"/>
      <c r="P137" s="182">
        <v>21</v>
      </c>
      <c r="Q137" s="182">
        <v>1322.5000000000005</v>
      </c>
      <c r="R137" s="182">
        <v>62.976190476190496</v>
      </c>
      <c r="S137" s="339">
        <f t="shared" si="49"/>
        <v>27</v>
      </c>
      <c r="T137" s="690"/>
      <c r="U137" s="182">
        <v>21</v>
      </c>
      <c r="V137" s="182">
        <v>1303.6363636363635</v>
      </c>
      <c r="W137" s="182">
        <v>62.077922077922075</v>
      </c>
      <c r="X137" s="339">
        <f t="shared" si="50"/>
        <v>25</v>
      </c>
      <c r="Y137" s="690"/>
      <c r="Z137" s="182">
        <v>21</v>
      </c>
      <c r="AA137" s="182">
        <v>1315.7142857142851</v>
      </c>
      <c r="AB137" s="182">
        <v>62.653061224489768</v>
      </c>
      <c r="AC137" s="339">
        <f t="shared" si="51"/>
        <v>25</v>
      </c>
      <c r="AD137" s="690"/>
      <c r="AE137" s="182">
        <v>21</v>
      </c>
      <c r="AF137" s="182">
        <v>1296.585365853658</v>
      </c>
      <c r="AG137" s="182">
        <v>61.742160278745622</v>
      </c>
      <c r="AH137" s="339">
        <f t="shared" si="52"/>
        <v>26</v>
      </c>
      <c r="AI137" s="690"/>
      <c r="AJ137" s="182">
        <v>21</v>
      </c>
      <c r="AK137" s="182">
        <v>1320.0000000000002</v>
      </c>
      <c r="AL137" s="182">
        <v>62.857142857142868</v>
      </c>
      <c r="AM137" s="339">
        <f t="shared" si="53"/>
        <v>24</v>
      </c>
      <c r="AN137" s="690"/>
      <c r="AO137" s="182">
        <v>21</v>
      </c>
      <c r="AP137" s="182">
        <v>1339.5652173913043</v>
      </c>
      <c r="AQ137" s="182">
        <v>63.78881987577639</v>
      </c>
      <c r="AR137" s="339">
        <f t="shared" si="54"/>
        <v>24</v>
      </c>
      <c r="AS137" s="690"/>
      <c r="AT137" s="182">
        <v>21</v>
      </c>
      <c r="AU137" s="182">
        <v>1331.2500000000005</v>
      </c>
      <c r="AV137" s="182">
        <v>63.392857142857167</v>
      </c>
      <c r="AW137" s="339">
        <f t="shared" si="55"/>
        <v>24</v>
      </c>
      <c r="AX137" s="690"/>
    </row>
    <row r="138" spans="2:50">
      <c r="B138" s="676"/>
      <c r="C138" s="309">
        <v>27</v>
      </c>
      <c r="D138" s="227" t="s">
        <v>937</v>
      </c>
      <c r="E138" s="182">
        <v>19</v>
      </c>
      <c r="F138" s="569">
        <v>1500</v>
      </c>
      <c r="G138" s="570">
        <v>78.900000000000006</v>
      </c>
      <c r="H138" s="718"/>
      <c r="I138" s="484">
        <f t="shared" ref="I138" si="59">AVERAGE(P138,U138,Z138,AE138,AJ138,AO138,AT138)</f>
        <v>19</v>
      </c>
      <c r="J138" s="484">
        <f t="shared" ref="J138" si="60">AVERAGE(Q138,V138,AA138,AF138,AK138,AP138,AU138)</f>
        <v>1192.7425784473651</v>
      </c>
      <c r="K138" s="200">
        <f t="shared" ref="K138" si="61">AVERAGE(R138,W138,AB138,AG138,AL138,AQ138,AV138)</f>
        <v>62.775925181440279</v>
      </c>
      <c r="L138" s="650"/>
      <c r="M138" s="201">
        <f>RANK(K138, K$112:$K$141)</f>
        <v>25</v>
      </c>
      <c r="N138" s="668"/>
      <c r="O138" s="668"/>
      <c r="P138" s="182">
        <v>19</v>
      </c>
      <c r="Q138" s="182">
        <v>1284.8484848484852</v>
      </c>
      <c r="R138" s="182">
        <v>67.623604465709747</v>
      </c>
      <c r="S138" s="339">
        <f t="shared" si="49"/>
        <v>23</v>
      </c>
      <c r="T138" s="690"/>
      <c r="U138" s="182">
        <v>19</v>
      </c>
      <c r="V138" s="182">
        <v>1176.6315789473688</v>
      </c>
      <c r="W138" s="182">
        <v>61.927977839335199</v>
      </c>
      <c r="X138" s="339">
        <f t="shared" si="50"/>
        <v>26</v>
      </c>
      <c r="Y138" s="690"/>
      <c r="Z138" s="182">
        <v>19</v>
      </c>
      <c r="AA138" s="182">
        <v>1168.9156626506019</v>
      </c>
      <c r="AB138" s="182">
        <v>61.521876981610625</v>
      </c>
      <c r="AC138" s="339">
        <f t="shared" si="51"/>
        <v>26</v>
      </c>
      <c r="AD138" s="690"/>
      <c r="AE138" s="182">
        <v>19</v>
      </c>
      <c r="AF138" s="182">
        <v>1179.3333333333333</v>
      </c>
      <c r="AG138" s="182">
        <v>62.070175438596486</v>
      </c>
      <c r="AH138" s="339">
        <f t="shared" si="52"/>
        <v>25</v>
      </c>
      <c r="AI138" s="690"/>
      <c r="AJ138" s="182">
        <v>19</v>
      </c>
      <c r="AK138" s="182">
        <v>1177.5000000000005</v>
      </c>
      <c r="AL138" s="182">
        <v>61.973684210526336</v>
      </c>
      <c r="AM138" s="339">
        <f t="shared" si="53"/>
        <v>25</v>
      </c>
      <c r="AN138" s="690"/>
      <c r="AO138" s="182">
        <v>19</v>
      </c>
      <c r="AP138" s="182">
        <v>1176.2264150943402</v>
      </c>
      <c r="AQ138" s="182">
        <v>61.906653426017904</v>
      </c>
      <c r="AR138" s="339">
        <f t="shared" si="54"/>
        <v>25</v>
      </c>
      <c r="AS138" s="690"/>
      <c r="AT138" s="182">
        <v>19</v>
      </c>
      <c r="AU138" s="182">
        <v>1185.7425742574262</v>
      </c>
      <c r="AV138" s="182">
        <v>62.407503908285591</v>
      </c>
      <c r="AW138" s="339">
        <f t="shared" si="55"/>
        <v>25</v>
      </c>
      <c r="AX138" s="690"/>
    </row>
    <row r="139" spans="2:50">
      <c r="B139" s="676"/>
      <c r="C139" s="309">
        <v>28</v>
      </c>
      <c r="D139" s="227" t="s">
        <v>1007</v>
      </c>
      <c r="E139" s="182">
        <v>18</v>
      </c>
      <c r="F139" s="569">
        <v>1500</v>
      </c>
      <c r="G139" s="570">
        <v>83.3</v>
      </c>
      <c r="H139" s="718"/>
      <c r="I139" s="199"/>
      <c r="J139" s="199"/>
      <c r="K139" s="200"/>
      <c r="L139" s="650"/>
      <c r="M139" s="201" t="e">
        <f>RANK(K139, K$112:$K$141)</f>
        <v>#N/A</v>
      </c>
      <c r="N139" s="668"/>
      <c r="O139" s="668"/>
      <c r="P139" s="182">
        <v>18</v>
      </c>
      <c r="Q139" s="182">
        <v>1230.5260869565213</v>
      </c>
      <c r="R139" s="182">
        <v>68.362560386473405</v>
      </c>
      <c r="S139" s="339">
        <f t="shared" si="49"/>
        <v>22</v>
      </c>
      <c r="T139" s="690"/>
      <c r="U139" s="182">
        <v>18</v>
      </c>
      <c r="V139" s="182">
        <v>1293.2181818181793</v>
      </c>
      <c r="W139" s="182">
        <v>71.845454545454402</v>
      </c>
      <c r="X139" s="339">
        <f t="shared" si="50"/>
        <v>18</v>
      </c>
      <c r="Y139" s="690"/>
      <c r="Z139" s="182">
        <v>18</v>
      </c>
      <c r="AA139" s="182">
        <v>1212.9599999999998</v>
      </c>
      <c r="AB139" s="182">
        <v>67.386666666666656</v>
      </c>
      <c r="AC139" s="339">
        <f t="shared" si="51"/>
        <v>22</v>
      </c>
      <c r="AD139" s="690"/>
      <c r="AE139" s="182">
        <v>18</v>
      </c>
      <c r="AF139" s="182">
        <v>1220.8736842105254</v>
      </c>
      <c r="AG139" s="182">
        <v>67.826315789473639</v>
      </c>
      <c r="AH139" s="339">
        <f t="shared" si="52"/>
        <v>21</v>
      </c>
      <c r="AI139" s="690"/>
      <c r="AJ139" s="182">
        <v>18</v>
      </c>
      <c r="AK139" s="182">
        <v>1216.4968421052622</v>
      </c>
      <c r="AL139" s="182">
        <v>67.583157894736786</v>
      </c>
      <c r="AM139" s="339">
        <f t="shared" si="53"/>
        <v>21</v>
      </c>
      <c r="AN139" s="690"/>
      <c r="AO139" s="182">
        <v>18</v>
      </c>
      <c r="AP139" s="182">
        <v>1211.4529411764706</v>
      </c>
      <c r="AQ139" s="182">
        <v>67.302941176470597</v>
      </c>
      <c r="AR139" s="339">
        <f t="shared" si="54"/>
        <v>20</v>
      </c>
      <c r="AS139" s="690"/>
      <c r="AT139" s="182">
        <v>18</v>
      </c>
      <c r="AU139" s="182">
        <v>1210.4587155963311</v>
      </c>
      <c r="AV139" s="182">
        <v>67.247706422018396</v>
      </c>
      <c r="AW139" s="339">
        <f t="shared" si="55"/>
        <v>21</v>
      </c>
      <c r="AX139" s="690"/>
    </row>
    <row r="140" spans="2:50">
      <c r="B140" s="676"/>
      <c r="C140" s="309">
        <v>29</v>
      </c>
      <c r="D140" s="227"/>
      <c r="E140" s="182"/>
      <c r="F140" s="569"/>
      <c r="G140" s="570"/>
      <c r="H140" s="718"/>
      <c r="I140" s="202"/>
      <c r="J140" s="202"/>
      <c r="K140" s="202"/>
      <c r="L140" s="650"/>
      <c r="M140" s="201" t="e">
        <f>RANK(K140, K$112:$K$141)</f>
        <v>#N/A</v>
      </c>
      <c r="N140" s="668"/>
      <c r="O140" s="668"/>
      <c r="P140" s="182"/>
      <c r="Q140" s="182"/>
      <c r="R140" s="182"/>
      <c r="S140" s="339" t="e">
        <f t="shared" si="49"/>
        <v>#N/A</v>
      </c>
      <c r="T140" s="690"/>
      <c r="U140" s="182"/>
      <c r="V140" s="182"/>
      <c r="W140" s="182"/>
      <c r="X140" s="339" t="e">
        <f t="shared" si="50"/>
        <v>#N/A</v>
      </c>
      <c r="Y140" s="690"/>
      <c r="Z140" s="182"/>
      <c r="AA140" s="182"/>
      <c r="AB140" s="182"/>
      <c r="AC140" s="339" t="e">
        <f t="shared" si="51"/>
        <v>#N/A</v>
      </c>
      <c r="AD140" s="690"/>
      <c r="AE140" s="182"/>
      <c r="AF140" s="182"/>
      <c r="AG140" s="182"/>
      <c r="AH140" s="339" t="e">
        <f t="shared" si="52"/>
        <v>#N/A</v>
      </c>
      <c r="AI140" s="690"/>
      <c r="AJ140" s="182"/>
      <c r="AK140" s="182"/>
      <c r="AL140" s="182"/>
      <c r="AM140" s="339" t="e">
        <f t="shared" si="53"/>
        <v>#N/A</v>
      </c>
      <c r="AN140" s="690"/>
      <c r="AO140" s="182"/>
      <c r="AP140" s="182"/>
      <c r="AQ140" s="182"/>
      <c r="AR140" s="339" t="e">
        <f t="shared" si="54"/>
        <v>#N/A</v>
      </c>
      <c r="AS140" s="690"/>
      <c r="AT140" s="182"/>
      <c r="AU140" s="182"/>
      <c r="AV140" s="182"/>
      <c r="AW140" s="339" t="e">
        <f t="shared" si="55"/>
        <v>#N/A</v>
      </c>
      <c r="AX140" s="690"/>
    </row>
    <row r="141" spans="2:50">
      <c r="B141" s="676"/>
      <c r="C141" s="309">
        <v>30</v>
      </c>
      <c r="D141" s="227"/>
      <c r="E141" s="182"/>
      <c r="F141" s="569"/>
      <c r="G141" s="570"/>
      <c r="H141" s="719"/>
      <c r="I141" s="202"/>
      <c r="J141" s="202"/>
      <c r="K141" s="202"/>
      <c r="L141" s="651"/>
      <c r="M141" s="201" t="e">
        <f>RANK(K141, K$112:$K$141)</f>
        <v>#N/A</v>
      </c>
      <c r="N141" s="668"/>
      <c r="O141" s="668"/>
      <c r="P141" s="182"/>
      <c r="Q141" s="182"/>
      <c r="R141" s="182"/>
      <c r="S141" s="339" t="e">
        <f t="shared" si="49"/>
        <v>#N/A</v>
      </c>
      <c r="T141" s="690"/>
      <c r="U141" s="182"/>
      <c r="V141" s="182"/>
      <c r="W141" s="182"/>
      <c r="X141" s="339" t="e">
        <f t="shared" si="50"/>
        <v>#N/A</v>
      </c>
      <c r="Y141" s="690"/>
      <c r="Z141" s="182"/>
      <c r="AA141" s="182"/>
      <c r="AB141" s="182"/>
      <c r="AC141" s="339" t="e">
        <f t="shared" si="51"/>
        <v>#N/A</v>
      </c>
      <c r="AD141" s="690"/>
      <c r="AE141" s="182"/>
      <c r="AF141" s="182"/>
      <c r="AG141" s="182"/>
      <c r="AH141" s="339" t="e">
        <f t="shared" si="52"/>
        <v>#N/A</v>
      </c>
      <c r="AI141" s="690"/>
      <c r="AJ141" s="182"/>
      <c r="AK141" s="182"/>
      <c r="AL141" s="182"/>
      <c r="AM141" s="339" t="e">
        <f t="shared" si="53"/>
        <v>#N/A</v>
      </c>
      <c r="AN141" s="690"/>
      <c r="AO141" s="182"/>
      <c r="AP141" s="182"/>
      <c r="AQ141" s="182"/>
      <c r="AR141" s="339" t="e">
        <f t="shared" si="54"/>
        <v>#N/A</v>
      </c>
      <c r="AS141" s="690"/>
      <c r="AT141" s="182"/>
      <c r="AU141" s="182"/>
      <c r="AV141" s="182"/>
      <c r="AW141" s="339" t="e">
        <f t="shared" si="55"/>
        <v>#N/A</v>
      </c>
      <c r="AX141" s="690"/>
    </row>
    <row r="142" spans="2:50" ht="15.75">
      <c r="B142" s="680" t="s">
        <v>163</v>
      </c>
      <c r="C142" s="681"/>
      <c r="D142" s="681"/>
      <c r="E142" s="681"/>
      <c r="F142" s="681"/>
      <c r="G142" s="681"/>
      <c r="H142" s="682"/>
      <c r="I142" s="208"/>
      <c r="J142" s="208"/>
      <c r="K142" s="208"/>
      <c r="L142" s="208"/>
      <c r="M142" s="207"/>
      <c r="N142" s="669" t="s">
        <v>156</v>
      </c>
      <c r="O142" s="669" t="s">
        <v>105</v>
      </c>
      <c r="P142" s="675">
        <f>P107+7</f>
        <v>46112</v>
      </c>
      <c r="Q142" s="676"/>
      <c r="R142" s="676"/>
      <c r="S142" s="676"/>
      <c r="T142" s="676"/>
      <c r="U142" s="672">
        <f>P142+1</f>
        <v>46113</v>
      </c>
      <c r="V142" s="673"/>
      <c r="W142" s="673"/>
      <c r="X142" s="673"/>
      <c r="Y142" s="674"/>
      <c r="Z142" s="672">
        <f>U142+1</f>
        <v>46114</v>
      </c>
      <c r="AA142" s="673"/>
      <c r="AB142" s="673"/>
      <c r="AC142" s="673"/>
      <c r="AD142" s="674"/>
      <c r="AE142" s="672">
        <f>Z142+1</f>
        <v>46115</v>
      </c>
      <c r="AF142" s="673"/>
      <c r="AG142" s="673"/>
      <c r="AH142" s="673"/>
      <c r="AI142" s="674"/>
      <c r="AJ142" s="672">
        <f>AE142+1</f>
        <v>46116</v>
      </c>
      <c r="AK142" s="673"/>
      <c r="AL142" s="673"/>
      <c r="AM142" s="673"/>
      <c r="AN142" s="674"/>
      <c r="AO142" s="672">
        <f>AJ142+1</f>
        <v>46117</v>
      </c>
      <c r="AP142" s="673"/>
      <c r="AQ142" s="673"/>
      <c r="AR142" s="673"/>
      <c r="AS142" s="674"/>
      <c r="AT142" s="672">
        <f>AO142+1</f>
        <v>46118</v>
      </c>
      <c r="AU142" s="673"/>
      <c r="AV142" s="673"/>
      <c r="AW142" s="673"/>
      <c r="AX142" s="674"/>
    </row>
    <row r="143" spans="2:50" ht="15.75">
      <c r="B143" s="683"/>
      <c r="C143" s="683"/>
      <c r="D143" s="683"/>
      <c r="E143" s="683"/>
      <c r="F143" s="683"/>
      <c r="G143" s="683"/>
      <c r="H143" s="683"/>
      <c r="I143" s="205"/>
      <c r="J143" s="205"/>
      <c r="K143" s="205"/>
      <c r="L143" s="205"/>
      <c r="M143" s="206"/>
      <c r="N143" s="671"/>
      <c r="O143" s="671"/>
      <c r="P143" s="675" t="s">
        <v>336</v>
      </c>
      <c r="Q143" s="676"/>
      <c r="R143" s="676"/>
      <c r="S143" s="676"/>
      <c r="T143" s="676"/>
      <c r="U143" s="675" t="s">
        <v>337</v>
      </c>
      <c r="V143" s="676"/>
      <c r="W143" s="676"/>
      <c r="X143" s="676"/>
      <c r="Y143" s="676"/>
      <c r="Z143" s="675" t="s">
        <v>338</v>
      </c>
      <c r="AA143" s="676"/>
      <c r="AB143" s="676"/>
      <c r="AC143" s="676"/>
      <c r="AD143" s="676"/>
      <c r="AE143" s="675" t="s">
        <v>339</v>
      </c>
      <c r="AF143" s="676"/>
      <c r="AG143" s="676"/>
      <c r="AH143" s="676"/>
      <c r="AI143" s="676"/>
      <c r="AJ143" s="675" t="s">
        <v>340</v>
      </c>
      <c r="AK143" s="676"/>
      <c r="AL143" s="676"/>
      <c r="AM143" s="676"/>
      <c r="AN143" s="676"/>
      <c r="AO143" s="675" t="s">
        <v>341</v>
      </c>
      <c r="AP143" s="676"/>
      <c r="AQ143" s="676"/>
      <c r="AR143" s="676"/>
      <c r="AS143" s="676"/>
      <c r="AT143" s="675" t="s">
        <v>342</v>
      </c>
      <c r="AU143" s="676"/>
      <c r="AV143" s="676"/>
      <c r="AW143" s="676"/>
      <c r="AX143" s="676"/>
    </row>
    <row r="144" spans="2:50">
      <c r="B144" s="668" t="s">
        <v>477</v>
      </c>
      <c r="C144" s="668" t="s">
        <v>478</v>
      </c>
      <c r="D144" s="668"/>
      <c r="E144" s="668" t="s">
        <v>479</v>
      </c>
      <c r="F144" s="668"/>
      <c r="G144" s="668"/>
      <c r="H144" s="684" t="s">
        <v>480</v>
      </c>
      <c r="I144" s="652" t="s">
        <v>481</v>
      </c>
      <c r="J144" s="652"/>
      <c r="K144" s="652"/>
      <c r="L144" s="653" t="s">
        <v>480</v>
      </c>
      <c r="M144" s="659" t="s">
        <v>482</v>
      </c>
      <c r="N144" s="668"/>
      <c r="O144" s="668" t="s">
        <v>483</v>
      </c>
      <c r="P144" s="665" t="s">
        <v>484</v>
      </c>
      <c r="Q144" s="666"/>
      <c r="R144" s="666"/>
      <c r="S144" s="667"/>
      <c r="T144" s="668" t="s">
        <v>480</v>
      </c>
      <c r="U144" s="665" t="s">
        <v>484</v>
      </c>
      <c r="V144" s="666"/>
      <c r="W144" s="666"/>
      <c r="X144" s="667"/>
      <c r="Y144" s="668" t="s">
        <v>480</v>
      </c>
      <c r="Z144" s="665" t="s">
        <v>484</v>
      </c>
      <c r="AA144" s="666"/>
      <c r="AB144" s="666"/>
      <c r="AC144" s="667"/>
      <c r="AD144" s="668" t="s">
        <v>480</v>
      </c>
      <c r="AE144" s="665" t="s">
        <v>484</v>
      </c>
      <c r="AF144" s="666"/>
      <c r="AG144" s="666"/>
      <c r="AH144" s="667"/>
      <c r="AI144" s="668" t="s">
        <v>480</v>
      </c>
      <c r="AJ144" s="665" t="s">
        <v>484</v>
      </c>
      <c r="AK144" s="666"/>
      <c r="AL144" s="666"/>
      <c r="AM144" s="667"/>
      <c r="AN144" s="668" t="s">
        <v>480</v>
      </c>
      <c r="AO144" s="665" t="s">
        <v>484</v>
      </c>
      <c r="AP144" s="666"/>
      <c r="AQ144" s="666"/>
      <c r="AR144" s="667"/>
      <c r="AS144" s="668" t="s">
        <v>480</v>
      </c>
      <c r="AT144" s="665" t="s">
        <v>484</v>
      </c>
      <c r="AU144" s="666"/>
      <c r="AV144" s="666"/>
      <c r="AW144" s="667"/>
      <c r="AX144" s="668" t="s">
        <v>480</v>
      </c>
    </row>
    <row r="145" spans="2:50">
      <c r="B145" s="668"/>
      <c r="C145" s="668"/>
      <c r="D145" s="668"/>
      <c r="E145" s="668" t="s">
        <v>485</v>
      </c>
      <c r="F145" s="668"/>
      <c r="G145" s="668"/>
      <c r="H145" s="685"/>
      <c r="I145" s="652" t="s">
        <v>485</v>
      </c>
      <c r="J145" s="652"/>
      <c r="K145" s="652"/>
      <c r="L145" s="654"/>
      <c r="M145" s="660"/>
      <c r="N145" s="668"/>
      <c r="O145" s="668"/>
      <c r="P145" s="665" t="s">
        <v>486</v>
      </c>
      <c r="Q145" s="666"/>
      <c r="R145" s="666"/>
      <c r="S145" s="667"/>
      <c r="T145" s="668"/>
      <c r="U145" s="665" t="s">
        <v>486</v>
      </c>
      <c r="V145" s="666"/>
      <c r="W145" s="666"/>
      <c r="X145" s="667"/>
      <c r="Y145" s="668"/>
      <c r="Z145" s="665" t="s">
        <v>486</v>
      </c>
      <c r="AA145" s="666"/>
      <c r="AB145" s="666"/>
      <c r="AC145" s="667"/>
      <c r="AD145" s="668"/>
      <c r="AE145" s="665" t="s">
        <v>486</v>
      </c>
      <c r="AF145" s="666"/>
      <c r="AG145" s="666"/>
      <c r="AH145" s="667"/>
      <c r="AI145" s="668"/>
      <c r="AJ145" s="665" t="s">
        <v>486</v>
      </c>
      <c r="AK145" s="666"/>
      <c r="AL145" s="666"/>
      <c r="AM145" s="667"/>
      <c r="AN145" s="668"/>
      <c r="AO145" s="665" t="s">
        <v>486</v>
      </c>
      <c r="AP145" s="666"/>
      <c r="AQ145" s="666"/>
      <c r="AR145" s="667"/>
      <c r="AS145" s="668"/>
      <c r="AT145" s="665" t="s">
        <v>486</v>
      </c>
      <c r="AU145" s="666"/>
      <c r="AV145" s="666"/>
      <c r="AW145" s="667"/>
      <c r="AX145" s="668"/>
    </row>
    <row r="146" spans="2:50">
      <c r="B146" s="668"/>
      <c r="C146" s="668"/>
      <c r="D146" s="668"/>
      <c r="E146" s="305" t="s">
        <v>487</v>
      </c>
      <c r="F146" s="305" t="s">
        <v>488</v>
      </c>
      <c r="G146" s="305" t="s">
        <v>489</v>
      </c>
      <c r="H146" s="686"/>
      <c r="I146" s="306" t="s">
        <v>487</v>
      </c>
      <c r="J146" s="306" t="s">
        <v>488</v>
      </c>
      <c r="K146" s="306" t="s">
        <v>489</v>
      </c>
      <c r="L146" s="655"/>
      <c r="M146" s="661"/>
      <c r="N146" s="668"/>
      <c r="O146" s="668"/>
      <c r="P146" s="305" t="s">
        <v>487</v>
      </c>
      <c r="Q146" s="305" t="s">
        <v>488</v>
      </c>
      <c r="R146" s="305" t="s">
        <v>489</v>
      </c>
      <c r="S146" s="305" t="s">
        <v>482</v>
      </c>
      <c r="T146" s="668"/>
      <c r="U146" s="305" t="s">
        <v>487</v>
      </c>
      <c r="V146" s="305" t="s">
        <v>488</v>
      </c>
      <c r="W146" s="305" t="s">
        <v>489</v>
      </c>
      <c r="X146" s="305" t="s">
        <v>482</v>
      </c>
      <c r="Y146" s="668"/>
      <c r="Z146" s="305" t="s">
        <v>487</v>
      </c>
      <c r="AA146" s="305" t="s">
        <v>488</v>
      </c>
      <c r="AB146" s="305" t="s">
        <v>489</v>
      </c>
      <c r="AC146" s="305" t="s">
        <v>482</v>
      </c>
      <c r="AD146" s="668"/>
      <c r="AE146" s="305" t="s">
        <v>487</v>
      </c>
      <c r="AF146" s="305" t="s">
        <v>488</v>
      </c>
      <c r="AG146" s="305" t="s">
        <v>489</v>
      </c>
      <c r="AH146" s="305" t="s">
        <v>482</v>
      </c>
      <c r="AI146" s="668"/>
      <c r="AJ146" s="305" t="s">
        <v>487</v>
      </c>
      <c r="AK146" s="305" t="s">
        <v>488</v>
      </c>
      <c r="AL146" s="305" t="s">
        <v>489</v>
      </c>
      <c r="AM146" s="305" t="s">
        <v>482</v>
      </c>
      <c r="AN146" s="668"/>
      <c r="AO146" s="305" t="s">
        <v>487</v>
      </c>
      <c r="AP146" s="305" t="s">
        <v>488</v>
      </c>
      <c r="AQ146" s="305" t="s">
        <v>489</v>
      </c>
      <c r="AR146" s="305" t="s">
        <v>482</v>
      </c>
      <c r="AS146" s="668"/>
      <c r="AT146" s="305" t="s">
        <v>487</v>
      </c>
      <c r="AU146" s="305" t="s">
        <v>488</v>
      </c>
      <c r="AV146" s="305" t="s">
        <v>489</v>
      </c>
      <c r="AW146" s="305" t="s">
        <v>482</v>
      </c>
      <c r="AX146" s="668"/>
    </row>
    <row r="147" spans="2:50">
      <c r="B147" s="668" t="s">
        <v>490</v>
      </c>
      <c r="C147" s="304">
        <v>1</v>
      </c>
      <c r="D147" s="227"/>
      <c r="E147" s="182"/>
      <c r="F147" s="510"/>
      <c r="G147" s="511"/>
      <c r="H147" s="717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9" t="str">
        <f>IFERROR(AVERAGE(K147:K176),"-")</f>
        <v>-</v>
      </c>
      <c r="M147" s="201" t="e">
        <f>RANK(K147, K$147:$K$176)</f>
        <v>#DIV/0!</v>
      </c>
      <c r="N147" s="668"/>
      <c r="O147" s="668"/>
      <c r="P147" s="182"/>
      <c r="Q147" s="182"/>
      <c r="R147" s="182"/>
      <c r="S147" s="304" t="e">
        <f>RANK(R147, R$147:R$176)</f>
        <v>#N/A</v>
      </c>
      <c r="T147" s="690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90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90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90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90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90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90" t="e">
        <f>AVERAGE(AV147:AV176)</f>
        <v>#DIV/0!</v>
      </c>
    </row>
    <row r="148" spans="2:50">
      <c r="B148" s="676"/>
      <c r="C148" s="304">
        <v>2</v>
      </c>
      <c r="D148" s="227"/>
      <c r="E148" s="182"/>
      <c r="F148" s="510"/>
      <c r="G148" s="511"/>
      <c r="H148" s="718"/>
      <c r="I148" s="199" t="e">
        <f t="shared" ref="I148:I170" si="62">AVERAGE(P148,U148,Z148,AE148,AJ148,AO148,AT148)</f>
        <v>#DIV/0!</v>
      </c>
      <c r="J148" s="199" t="e">
        <f t="shared" ref="J148:J170" si="63">AVERAGE(Q148,V148,AA148,AF148,AK148,AP148,AU148)</f>
        <v>#DIV/0!</v>
      </c>
      <c r="K148" s="200" t="e">
        <f t="shared" ref="K148:K170" si="64">AVERAGE(R148,W148,AB148,AG148,AL148,AQ148,AV148)</f>
        <v>#DIV/0!</v>
      </c>
      <c r="L148" s="650"/>
      <c r="M148" s="201" t="e">
        <f>RANK(K148, K$147:$K$176)</f>
        <v>#DIV/0!</v>
      </c>
      <c r="N148" s="668"/>
      <c r="O148" s="668"/>
      <c r="P148" s="182"/>
      <c r="Q148" s="182"/>
      <c r="R148" s="182"/>
      <c r="S148" s="304" t="e">
        <f t="shared" ref="S148:S176" si="65">RANK(R148, R$147:R$176)</f>
        <v>#N/A</v>
      </c>
      <c r="T148" s="690"/>
      <c r="U148" s="182"/>
      <c r="V148" s="182"/>
      <c r="W148" s="182"/>
      <c r="X148" s="304" t="e">
        <f t="shared" ref="X148:X176" si="66">RANK(W148, W$147:W$176)</f>
        <v>#N/A</v>
      </c>
      <c r="Y148" s="690"/>
      <c r="Z148" s="182"/>
      <c r="AA148" s="182"/>
      <c r="AB148" s="182"/>
      <c r="AC148" s="304" t="e">
        <f t="shared" ref="AC148:AC176" si="67">RANK(AB148, AB$147:AB$176)</f>
        <v>#N/A</v>
      </c>
      <c r="AD148" s="690"/>
      <c r="AE148" s="182"/>
      <c r="AF148" s="182"/>
      <c r="AG148" s="182"/>
      <c r="AH148" s="304" t="e">
        <f t="shared" ref="AH148:AH176" si="68">RANK(AG148, AG$147:AG$176)</f>
        <v>#N/A</v>
      </c>
      <c r="AI148" s="690"/>
      <c r="AJ148" s="182"/>
      <c r="AK148" s="182"/>
      <c r="AL148" s="182"/>
      <c r="AM148" s="304" t="e">
        <f t="shared" ref="AM148:AM176" si="69">RANK(AL148, AL$147:AL$176)</f>
        <v>#N/A</v>
      </c>
      <c r="AN148" s="690"/>
      <c r="AO148" s="182"/>
      <c r="AP148" s="182"/>
      <c r="AQ148" s="182"/>
      <c r="AR148" s="304" t="e">
        <f t="shared" ref="AR148:AR176" si="70">RANK(AQ148, AQ$147:AQ$176)</f>
        <v>#N/A</v>
      </c>
      <c r="AS148" s="690"/>
      <c r="AT148" s="182"/>
      <c r="AU148" s="182"/>
      <c r="AV148" s="182"/>
      <c r="AW148" s="304" t="e">
        <f t="shared" ref="AW148:AW176" si="71">RANK(AV148, AV$147:AV$176)</f>
        <v>#N/A</v>
      </c>
      <c r="AX148" s="690"/>
    </row>
    <row r="149" spans="2:50">
      <c r="B149" s="676"/>
      <c r="C149" s="304">
        <v>3</v>
      </c>
      <c r="D149" s="227"/>
      <c r="E149" s="182"/>
      <c r="F149" s="510"/>
      <c r="G149" s="511"/>
      <c r="H149" s="718"/>
      <c r="I149" s="199" t="e">
        <f t="shared" si="62"/>
        <v>#DIV/0!</v>
      </c>
      <c r="J149" s="199" t="e">
        <f t="shared" si="63"/>
        <v>#DIV/0!</v>
      </c>
      <c r="K149" s="200" t="e">
        <f t="shared" si="64"/>
        <v>#DIV/0!</v>
      </c>
      <c r="L149" s="650"/>
      <c r="M149" s="201" t="e">
        <f>RANK(K149, K$147:$K$176)</f>
        <v>#DIV/0!</v>
      </c>
      <c r="N149" s="668"/>
      <c r="O149" s="668"/>
      <c r="P149" s="182"/>
      <c r="Q149" s="182"/>
      <c r="R149" s="182"/>
      <c r="S149" s="304" t="e">
        <f t="shared" si="65"/>
        <v>#N/A</v>
      </c>
      <c r="T149" s="690"/>
      <c r="U149" s="182"/>
      <c r="V149" s="182"/>
      <c r="W149" s="182"/>
      <c r="X149" s="304" t="e">
        <f t="shared" si="66"/>
        <v>#N/A</v>
      </c>
      <c r="Y149" s="690"/>
      <c r="Z149" s="182"/>
      <c r="AA149" s="182"/>
      <c r="AB149" s="182"/>
      <c r="AC149" s="304" t="e">
        <f t="shared" si="67"/>
        <v>#N/A</v>
      </c>
      <c r="AD149" s="690"/>
      <c r="AE149" s="182"/>
      <c r="AF149" s="182"/>
      <c r="AG149" s="182"/>
      <c r="AH149" s="304" t="e">
        <f t="shared" si="68"/>
        <v>#N/A</v>
      </c>
      <c r="AI149" s="690"/>
      <c r="AJ149" s="182"/>
      <c r="AK149" s="182"/>
      <c r="AL149" s="182"/>
      <c r="AM149" s="304" t="e">
        <f t="shared" si="69"/>
        <v>#N/A</v>
      </c>
      <c r="AN149" s="690"/>
      <c r="AO149" s="182"/>
      <c r="AP149" s="182"/>
      <c r="AQ149" s="182"/>
      <c r="AR149" s="304" t="e">
        <f t="shared" si="70"/>
        <v>#N/A</v>
      </c>
      <c r="AS149" s="690"/>
      <c r="AT149" s="182"/>
      <c r="AU149" s="182"/>
      <c r="AV149" s="182"/>
      <c r="AW149" s="304" t="e">
        <f t="shared" si="71"/>
        <v>#N/A</v>
      </c>
      <c r="AX149" s="690"/>
    </row>
    <row r="150" spans="2:50">
      <c r="B150" s="676"/>
      <c r="C150" s="304">
        <v>4</v>
      </c>
      <c r="D150" s="227"/>
      <c r="E150" s="182"/>
      <c r="F150" s="510"/>
      <c r="G150" s="511"/>
      <c r="H150" s="718"/>
      <c r="I150" s="199" t="e">
        <f t="shared" si="62"/>
        <v>#DIV/0!</v>
      </c>
      <c r="J150" s="199" t="e">
        <f t="shared" si="63"/>
        <v>#DIV/0!</v>
      </c>
      <c r="K150" s="200" t="e">
        <f t="shared" si="64"/>
        <v>#DIV/0!</v>
      </c>
      <c r="L150" s="650"/>
      <c r="M150" s="201" t="e">
        <f>RANK(K150, K$147:$K$176)</f>
        <v>#DIV/0!</v>
      </c>
      <c r="N150" s="668"/>
      <c r="O150" s="668"/>
      <c r="P150" s="182"/>
      <c r="Q150" s="182"/>
      <c r="R150" s="182"/>
      <c r="S150" s="304" t="e">
        <f t="shared" si="65"/>
        <v>#N/A</v>
      </c>
      <c r="T150" s="690"/>
      <c r="U150" s="182"/>
      <c r="V150" s="182"/>
      <c r="W150" s="182"/>
      <c r="X150" s="304" t="e">
        <f t="shared" si="66"/>
        <v>#N/A</v>
      </c>
      <c r="Y150" s="690"/>
      <c r="Z150" s="182"/>
      <c r="AA150" s="182"/>
      <c r="AB150" s="182"/>
      <c r="AC150" s="304" t="e">
        <f t="shared" si="67"/>
        <v>#N/A</v>
      </c>
      <c r="AD150" s="690"/>
      <c r="AE150" s="182"/>
      <c r="AF150" s="182"/>
      <c r="AG150" s="182"/>
      <c r="AH150" s="304" t="e">
        <f t="shared" si="68"/>
        <v>#N/A</v>
      </c>
      <c r="AI150" s="690"/>
      <c r="AJ150" s="182"/>
      <c r="AK150" s="182"/>
      <c r="AL150" s="182"/>
      <c r="AM150" s="304" t="e">
        <f t="shared" si="69"/>
        <v>#N/A</v>
      </c>
      <c r="AN150" s="690"/>
      <c r="AO150" s="182"/>
      <c r="AP150" s="182"/>
      <c r="AQ150" s="182"/>
      <c r="AR150" s="304" t="e">
        <f t="shared" si="70"/>
        <v>#N/A</v>
      </c>
      <c r="AS150" s="690"/>
      <c r="AT150" s="182"/>
      <c r="AU150" s="182"/>
      <c r="AV150" s="182"/>
      <c r="AW150" s="304" t="e">
        <f t="shared" si="71"/>
        <v>#N/A</v>
      </c>
      <c r="AX150" s="690"/>
    </row>
    <row r="151" spans="2:50">
      <c r="B151" s="676"/>
      <c r="C151" s="304">
        <v>5</v>
      </c>
      <c r="D151" s="227"/>
      <c r="E151" s="182"/>
      <c r="F151" s="510"/>
      <c r="G151" s="511"/>
      <c r="H151" s="718"/>
      <c r="I151" s="199" t="e">
        <f t="shared" si="62"/>
        <v>#DIV/0!</v>
      </c>
      <c r="J151" s="199" t="e">
        <f t="shared" si="63"/>
        <v>#DIV/0!</v>
      </c>
      <c r="K151" s="200" t="e">
        <f t="shared" si="64"/>
        <v>#DIV/0!</v>
      </c>
      <c r="L151" s="650"/>
      <c r="M151" s="201" t="e">
        <f>RANK(K151, K$147:$K$176)</f>
        <v>#DIV/0!</v>
      </c>
      <c r="N151" s="668"/>
      <c r="O151" s="668"/>
      <c r="P151" s="182"/>
      <c r="Q151" s="182"/>
      <c r="R151" s="182"/>
      <c r="S151" s="304" t="e">
        <f t="shared" si="65"/>
        <v>#N/A</v>
      </c>
      <c r="T151" s="690"/>
      <c r="U151" s="182"/>
      <c r="V151" s="182"/>
      <c r="W151" s="182"/>
      <c r="X151" s="304" t="e">
        <f t="shared" si="66"/>
        <v>#N/A</v>
      </c>
      <c r="Y151" s="690"/>
      <c r="Z151" s="182"/>
      <c r="AA151" s="182"/>
      <c r="AB151" s="182"/>
      <c r="AC151" s="304" t="e">
        <f t="shared" si="67"/>
        <v>#N/A</v>
      </c>
      <c r="AD151" s="690"/>
      <c r="AE151" s="182"/>
      <c r="AF151" s="182"/>
      <c r="AG151" s="182"/>
      <c r="AH151" s="304" t="e">
        <f t="shared" si="68"/>
        <v>#N/A</v>
      </c>
      <c r="AI151" s="690"/>
      <c r="AJ151" s="182"/>
      <c r="AK151" s="182"/>
      <c r="AL151" s="182"/>
      <c r="AM151" s="304" t="e">
        <f t="shared" si="69"/>
        <v>#N/A</v>
      </c>
      <c r="AN151" s="690"/>
      <c r="AO151" s="182"/>
      <c r="AP151" s="182"/>
      <c r="AQ151" s="182"/>
      <c r="AR151" s="304" t="e">
        <f t="shared" si="70"/>
        <v>#N/A</v>
      </c>
      <c r="AS151" s="690"/>
      <c r="AT151" s="182"/>
      <c r="AU151" s="182"/>
      <c r="AV151" s="182"/>
      <c r="AW151" s="304" t="e">
        <f t="shared" si="71"/>
        <v>#N/A</v>
      </c>
      <c r="AX151" s="690"/>
    </row>
    <row r="152" spans="2:50">
      <c r="B152" s="676"/>
      <c r="C152" s="304">
        <v>6</v>
      </c>
      <c r="D152" s="227"/>
      <c r="E152" s="182"/>
      <c r="F152" s="510"/>
      <c r="G152" s="511"/>
      <c r="H152" s="718"/>
      <c r="I152" s="199" t="e">
        <f t="shared" si="62"/>
        <v>#DIV/0!</v>
      </c>
      <c r="J152" s="199" t="e">
        <f t="shared" si="63"/>
        <v>#DIV/0!</v>
      </c>
      <c r="K152" s="200" t="e">
        <f t="shared" si="64"/>
        <v>#DIV/0!</v>
      </c>
      <c r="L152" s="650"/>
      <c r="M152" s="201" t="e">
        <f>RANK(K152, K$147:$K$176)</f>
        <v>#DIV/0!</v>
      </c>
      <c r="N152" s="668"/>
      <c r="O152" s="668"/>
      <c r="P152" s="182"/>
      <c r="Q152" s="182"/>
      <c r="R152" s="182"/>
      <c r="S152" s="304" t="e">
        <f t="shared" si="65"/>
        <v>#N/A</v>
      </c>
      <c r="T152" s="690"/>
      <c r="U152" s="182"/>
      <c r="V152" s="182"/>
      <c r="W152" s="182"/>
      <c r="X152" s="304" t="e">
        <f t="shared" si="66"/>
        <v>#N/A</v>
      </c>
      <c r="Y152" s="690"/>
      <c r="Z152" s="182"/>
      <c r="AA152" s="182"/>
      <c r="AB152" s="182"/>
      <c r="AC152" s="304" t="e">
        <f t="shared" si="67"/>
        <v>#N/A</v>
      </c>
      <c r="AD152" s="690"/>
      <c r="AE152" s="182"/>
      <c r="AF152" s="182"/>
      <c r="AG152" s="182"/>
      <c r="AH152" s="304" t="e">
        <f t="shared" si="68"/>
        <v>#N/A</v>
      </c>
      <c r="AI152" s="690"/>
      <c r="AJ152" s="182"/>
      <c r="AK152" s="182"/>
      <c r="AL152" s="182"/>
      <c r="AM152" s="304" t="e">
        <f t="shared" si="69"/>
        <v>#N/A</v>
      </c>
      <c r="AN152" s="690"/>
      <c r="AO152" s="182"/>
      <c r="AP152" s="182"/>
      <c r="AQ152" s="182"/>
      <c r="AR152" s="304" t="e">
        <f t="shared" si="70"/>
        <v>#N/A</v>
      </c>
      <c r="AS152" s="690"/>
      <c r="AT152" s="182"/>
      <c r="AU152" s="182"/>
      <c r="AV152" s="182"/>
      <c r="AW152" s="304" t="e">
        <f t="shared" si="71"/>
        <v>#N/A</v>
      </c>
      <c r="AX152" s="690"/>
    </row>
    <row r="153" spans="2:50">
      <c r="B153" s="676"/>
      <c r="C153" s="304">
        <v>7</v>
      </c>
      <c r="D153" s="227"/>
      <c r="E153" s="182"/>
      <c r="F153" s="510"/>
      <c r="G153" s="511"/>
      <c r="H153" s="718"/>
      <c r="I153" s="199" t="e">
        <f t="shared" si="62"/>
        <v>#DIV/0!</v>
      </c>
      <c r="J153" s="199" t="e">
        <f t="shared" si="63"/>
        <v>#DIV/0!</v>
      </c>
      <c r="K153" s="200" t="e">
        <f t="shared" si="64"/>
        <v>#DIV/0!</v>
      </c>
      <c r="L153" s="650"/>
      <c r="M153" s="201" t="e">
        <f>RANK(K153, K$147:$K$176)</f>
        <v>#DIV/0!</v>
      </c>
      <c r="N153" s="668"/>
      <c r="O153" s="668"/>
      <c r="P153" s="182"/>
      <c r="Q153" s="182"/>
      <c r="R153" s="182"/>
      <c r="S153" s="304" t="e">
        <f t="shared" si="65"/>
        <v>#N/A</v>
      </c>
      <c r="T153" s="690"/>
      <c r="U153" s="182"/>
      <c r="V153" s="182"/>
      <c r="W153" s="182"/>
      <c r="X153" s="304" t="e">
        <f t="shared" si="66"/>
        <v>#N/A</v>
      </c>
      <c r="Y153" s="690"/>
      <c r="Z153" s="182"/>
      <c r="AA153" s="182"/>
      <c r="AB153" s="182"/>
      <c r="AC153" s="304" t="e">
        <f t="shared" si="67"/>
        <v>#N/A</v>
      </c>
      <c r="AD153" s="690"/>
      <c r="AE153" s="182"/>
      <c r="AF153" s="182"/>
      <c r="AG153" s="182"/>
      <c r="AH153" s="304" t="e">
        <f t="shared" si="68"/>
        <v>#N/A</v>
      </c>
      <c r="AI153" s="690"/>
      <c r="AJ153" s="182"/>
      <c r="AK153" s="182"/>
      <c r="AL153" s="182"/>
      <c r="AM153" s="304" t="e">
        <f t="shared" si="69"/>
        <v>#N/A</v>
      </c>
      <c r="AN153" s="690"/>
      <c r="AO153" s="182"/>
      <c r="AP153" s="182"/>
      <c r="AQ153" s="182"/>
      <c r="AR153" s="304" t="e">
        <f t="shared" si="70"/>
        <v>#N/A</v>
      </c>
      <c r="AS153" s="690"/>
      <c r="AT153" s="182"/>
      <c r="AU153" s="182"/>
      <c r="AV153" s="182"/>
      <c r="AW153" s="304" t="e">
        <f t="shared" si="71"/>
        <v>#N/A</v>
      </c>
      <c r="AX153" s="690"/>
    </row>
    <row r="154" spans="2:50">
      <c r="B154" s="676"/>
      <c r="C154" s="304">
        <v>8</v>
      </c>
      <c r="D154" s="227"/>
      <c r="E154" s="182"/>
      <c r="F154" s="510"/>
      <c r="G154" s="511"/>
      <c r="H154" s="718"/>
      <c r="I154" s="199" t="e">
        <f t="shared" si="62"/>
        <v>#DIV/0!</v>
      </c>
      <c r="J154" s="199" t="e">
        <f t="shared" si="63"/>
        <v>#DIV/0!</v>
      </c>
      <c r="K154" s="200" t="e">
        <f t="shared" si="64"/>
        <v>#DIV/0!</v>
      </c>
      <c r="L154" s="650"/>
      <c r="M154" s="201" t="e">
        <f>RANK(K154, K$147:$K$176)</f>
        <v>#DIV/0!</v>
      </c>
      <c r="N154" s="668"/>
      <c r="O154" s="668"/>
      <c r="P154" s="182"/>
      <c r="Q154" s="182"/>
      <c r="R154" s="182"/>
      <c r="S154" s="304" t="e">
        <f t="shared" si="65"/>
        <v>#N/A</v>
      </c>
      <c r="T154" s="690"/>
      <c r="U154" s="182"/>
      <c r="V154" s="182"/>
      <c r="W154" s="182"/>
      <c r="X154" s="304" t="e">
        <f t="shared" si="66"/>
        <v>#N/A</v>
      </c>
      <c r="Y154" s="690"/>
      <c r="Z154" s="182"/>
      <c r="AA154" s="182"/>
      <c r="AB154" s="182"/>
      <c r="AC154" s="304" t="e">
        <f t="shared" si="67"/>
        <v>#N/A</v>
      </c>
      <c r="AD154" s="690"/>
      <c r="AE154" s="182"/>
      <c r="AF154" s="182"/>
      <c r="AG154" s="182"/>
      <c r="AH154" s="304" t="e">
        <f t="shared" si="68"/>
        <v>#N/A</v>
      </c>
      <c r="AI154" s="690"/>
      <c r="AJ154" s="182"/>
      <c r="AK154" s="182"/>
      <c r="AL154" s="182"/>
      <c r="AM154" s="304" t="e">
        <f t="shared" si="69"/>
        <v>#N/A</v>
      </c>
      <c r="AN154" s="690"/>
      <c r="AO154" s="182"/>
      <c r="AP154" s="182"/>
      <c r="AQ154" s="182"/>
      <c r="AR154" s="304" t="e">
        <f t="shared" si="70"/>
        <v>#N/A</v>
      </c>
      <c r="AS154" s="690"/>
      <c r="AT154" s="182"/>
      <c r="AU154" s="182"/>
      <c r="AV154" s="182"/>
      <c r="AW154" s="304" t="e">
        <f t="shared" si="71"/>
        <v>#N/A</v>
      </c>
      <c r="AX154" s="690"/>
    </row>
    <row r="155" spans="2:50">
      <c r="B155" s="676"/>
      <c r="C155" s="304">
        <v>9</v>
      </c>
      <c r="D155" s="227"/>
      <c r="E155" s="182"/>
      <c r="F155" s="510"/>
      <c r="G155" s="511"/>
      <c r="H155" s="718"/>
      <c r="I155" s="199" t="e">
        <f t="shared" si="62"/>
        <v>#DIV/0!</v>
      </c>
      <c r="J155" s="199" t="e">
        <f t="shared" si="63"/>
        <v>#DIV/0!</v>
      </c>
      <c r="K155" s="200" t="e">
        <f t="shared" si="64"/>
        <v>#DIV/0!</v>
      </c>
      <c r="L155" s="650"/>
      <c r="M155" s="201" t="e">
        <f>RANK(K155, K$147:$K$176)</f>
        <v>#DIV/0!</v>
      </c>
      <c r="N155" s="668"/>
      <c r="O155" s="668"/>
      <c r="P155" s="182"/>
      <c r="Q155" s="182"/>
      <c r="R155" s="182"/>
      <c r="S155" s="304" t="e">
        <f t="shared" si="65"/>
        <v>#N/A</v>
      </c>
      <c r="T155" s="690"/>
      <c r="U155" s="182"/>
      <c r="V155" s="182"/>
      <c r="W155" s="182"/>
      <c r="X155" s="304" t="e">
        <f t="shared" si="66"/>
        <v>#N/A</v>
      </c>
      <c r="Y155" s="690"/>
      <c r="Z155" s="182"/>
      <c r="AA155" s="182"/>
      <c r="AB155" s="182"/>
      <c r="AC155" s="304" t="e">
        <f t="shared" si="67"/>
        <v>#N/A</v>
      </c>
      <c r="AD155" s="690"/>
      <c r="AE155" s="182"/>
      <c r="AF155" s="182"/>
      <c r="AG155" s="182"/>
      <c r="AH155" s="304" t="e">
        <f t="shared" si="68"/>
        <v>#N/A</v>
      </c>
      <c r="AI155" s="690"/>
      <c r="AJ155" s="182"/>
      <c r="AK155" s="182"/>
      <c r="AL155" s="182"/>
      <c r="AM155" s="304" t="e">
        <f t="shared" si="69"/>
        <v>#N/A</v>
      </c>
      <c r="AN155" s="690"/>
      <c r="AO155" s="182"/>
      <c r="AP155" s="182"/>
      <c r="AQ155" s="182"/>
      <c r="AR155" s="304" t="e">
        <f t="shared" si="70"/>
        <v>#N/A</v>
      </c>
      <c r="AS155" s="690"/>
      <c r="AT155" s="182"/>
      <c r="AU155" s="182"/>
      <c r="AV155" s="182"/>
      <c r="AW155" s="304" t="e">
        <f t="shared" si="71"/>
        <v>#N/A</v>
      </c>
      <c r="AX155" s="690"/>
    </row>
    <row r="156" spans="2:50">
      <c r="B156" s="676"/>
      <c r="C156" s="304">
        <v>10</v>
      </c>
      <c r="D156" s="227"/>
      <c r="E156" s="182"/>
      <c r="F156" s="510"/>
      <c r="G156" s="511"/>
      <c r="H156" s="718"/>
      <c r="I156" s="199" t="e">
        <f t="shared" si="62"/>
        <v>#DIV/0!</v>
      </c>
      <c r="J156" s="199" t="e">
        <f t="shared" si="63"/>
        <v>#DIV/0!</v>
      </c>
      <c r="K156" s="200" t="e">
        <f t="shared" si="64"/>
        <v>#DIV/0!</v>
      </c>
      <c r="L156" s="650"/>
      <c r="M156" s="201" t="e">
        <f>RANK(K156, K$147:$K$176)</f>
        <v>#DIV/0!</v>
      </c>
      <c r="N156" s="668"/>
      <c r="O156" s="668"/>
      <c r="P156" s="182"/>
      <c r="Q156" s="182"/>
      <c r="R156" s="182"/>
      <c r="S156" s="304" t="e">
        <f t="shared" si="65"/>
        <v>#N/A</v>
      </c>
      <c r="T156" s="690"/>
      <c r="U156" s="182"/>
      <c r="V156" s="182"/>
      <c r="W156" s="182"/>
      <c r="X156" s="304" t="e">
        <f t="shared" si="66"/>
        <v>#N/A</v>
      </c>
      <c r="Y156" s="690"/>
      <c r="Z156" s="182"/>
      <c r="AA156" s="182"/>
      <c r="AB156" s="182"/>
      <c r="AC156" s="304" t="e">
        <f t="shared" si="67"/>
        <v>#N/A</v>
      </c>
      <c r="AD156" s="690"/>
      <c r="AE156" s="182"/>
      <c r="AF156" s="182"/>
      <c r="AG156" s="182"/>
      <c r="AH156" s="304" t="e">
        <f t="shared" si="68"/>
        <v>#N/A</v>
      </c>
      <c r="AI156" s="690"/>
      <c r="AJ156" s="182"/>
      <c r="AK156" s="182"/>
      <c r="AL156" s="182"/>
      <c r="AM156" s="304" t="e">
        <f t="shared" si="69"/>
        <v>#N/A</v>
      </c>
      <c r="AN156" s="690"/>
      <c r="AO156" s="182"/>
      <c r="AP156" s="182"/>
      <c r="AQ156" s="182"/>
      <c r="AR156" s="304" t="e">
        <f t="shared" si="70"/>
        <v>#N/A</v>
      </c>
      <c r="AS156" s="690"/>
      <c r="AT156" s="182"/>
      <c r="AU156" s="182"/>
      <c r="AV156" s="182"/>
      <c r="AW156" s="304" t="e">
        <f t="shared" si="71"/>
        <v>#N/A</v>
      </c>
      <c r="AX156" s="690"/>
    </row>
    <row r="157" spans="2:50">
      <c r="B157" s="676"/>
      <c r="C157" s="304">
        <v>11</v>
      </c>
      <c r="D157" s="227"/>
      <c r="E157" s="182"/>
      <c r="F157" s="510"/>
      <c r="G157" s="511"/>
      <c r="H157" s="718"/>
      <c r="I157" s="199" t="e">
        <f t="shared" si="62"/>
        <v>#DIV/0!</v>
      </c>
      <c r="J157" s="199" t="e">
        <f t="shared" si="63"/>
        <v>#DIV/0!</v>
      </c>
      <c r="K157" s="200" t="e">
        <f t="shared" si="64"/>
        <v>#DIV/0!</v>
      </c>
      <c r="L157" s="650"/>
      <c r="M157" s="201" t="e">
        <f>RANK(K157, K$147:$K$176)</f>
        <v>#DIV/0!</v>
      </c>
      <c r="N157" s="668"/>
      <c r="O157" s="668"/>
      <c r="P157" s="182"/>
      <c r="Q157" s="182"/>
      <c r="R157" s="182"/>
      <c r="S157" s="304" t="e">
        <f t="shared" si="65"/>
        <v>#N/A</v>
      </c>
      <c r="T157" s="690"/>
      <c r="U157" s="182"/>
      <c r="V157" s="182"/>
      <c r="W157" s="182"/>
      <c r="X157" s="304" t="e">
        <f t="shared" si="66"/>
        <v>#N/A</v>
      </c>
      <c r="Y157" s="690"/>
      <c r="Z157" s="182"/>
      <c r="AA157" s="182"/>
      <c r="AB157" s="182"/>
      <c r="AC157" s="304" t="e">
        <f t="shared" si="67"/>
        <v>#N/A</v>
      </c>
      <c r="AD157" s="690"/>
      <c r="AE157" s="182"/>
      <c r="AF157" s="182"/>
      <c r="AG157" s="182"/>
      <c r="AH157" s="304" t="e">
        <f t="shared" si="68"/>
        <v>#N/A</v>
      </c>
      <c r="AI157" s="690"/>
      <c r="AJ157" s="182"/>
      <c r="AK157" s="182"/>
      <c r="AL157" s="182"/>
      <c r="AM157" s="304" t="e">
        <f t="shared" si="69"/>
        <v>#N/A</v>
      </c>
      <c r="AN157" s="690"/>
      <c r="AO157" s="182"/>
      <c r="AP157" s="182"/>
      <c r="AQ157" s="182"/>
      <c r="AR157" s="304" t="e">
        <f t="shared" si="70"/>
        <v>#N/A</v>
      </c>
      <c r="AS157" s="690"/>
      <c r="AT157" s="182"/>
      <c r="AU157" s="182"/>
      <c r="AV157" s="182"/>
      <c r="AW157" s="304" t="e">
        <f t="shared" si="71"/>
        <v>#N/A</v>
      </c>
      <c r="AX157" s="690"/>
    </row>
    <row r="158" spans="2:50">
      <c r="B158" s="676"/>
      <c r="C158" s="304">
        <v>12</v>
      </c>
      <c r="D158" s="227"/>
      <c r="E158" s="182"/>
      <c r="F158" s="510"/>
      <c r="G158" s="511"/>
      <c r="H158" s="718"/>
      <c r="I158" s="199" t="e">
        <f t="shared" si="62"/>
        <v>#DIV/0!</v>
      </c>
      <c r="J158" s="199" t="e">
        <f t="shared" si="63"/>
        <v>#DIV/0!</v>
      </c>
      <c r="K158" s="200" t="e">
        <f t="shared" si="64"/>
        <v>#DIV/0!</v>
      </c>
      <c r="L158" s="650"/>
      <c r="M158" s="201" t="e">
        <f>RANK(K158, K$147:$K$176)</f>
        <v>#DIV/0!</v>
      </c>
      <c r="N158" s="668"/>
      <c r="O158" s="668"/>
      <c r="P158" s="182"/>
      <c r="Q158" s="182"/>
      <c r="R158" s="182"/>
      <c r="S158" s="304" t="e">
        <f t="shared" si="65"/>
        <v>#N/A</v>
      </c>
      <c r="T158" s="690"/>
      <c r="U158" s="182"/>
      <c r="V158" s="182"/>
      <c r="W158" s="182"/>
      <c r="X158" s="304" t="e">
        <f t="shared" si="66"/>
        <v>#N/A</v>
      </c>
      <c r="Y158" s="690"/>
      <c r="Z158" s="182"/>
      <c r="AA158" s="182"/>
      <c r="AB158" s="182"/>
      <c r="AC158" s="304" t="e">
        <f t="shared" si="67"/>
        <v>#N/A</v>
      </c>
      <c r="AD158" s="690"/>
      <c r="AE158" s="182"/>
      <c r="AF158" s="182"/>
      <c r="AG158" s="182"/>
      <c r="AH158" s="304" t="e">
        <f t="shared" si="68"/>
        <v>#N/A</v>
      </c>
      <c r="AI158" s="690"/>
      <c r="AJ158" s="182"/>
      <c r="AK158" s="182"/>
      <c r="AL158" s="182"/>
      <c r="AM158" s="304" t="e">
        <f t="shared" si="69"/>
        <v>#N/A</v>
      </c>
      <c r="AN158" s="690"/>
      <c r="AO158" s="182"/>
      <c r="AP158" s="182"/>
      <c r="AQ158" s="182"/>
      <c r="AR158" s="304" t="e">
        <f t="shared" si="70"/>
        <v>#N/A</v>
      </c>
      <c r="AS158" s="690"/>
      <c r="AT158" s="182"/>
      <c r="AU158" s="182"/>
      <c r="AV158" s="182"/>
      <c r="AW158" s="304" t="e">
        <f t="shared" si="71"/>
        <v>#N/A</v>
      </c>
      <c r="AX158" s="690"/>
    </row>
    <row r="159" spans="2:50">
      <c r="B159" s="676"/>
      <c r="C159" s="304">
        <v>13</v>
      </c>
      <c r="D159" s="227"/>
      <c r="E159" s="182"/>
      <c r="F159" s="510"/>
      <c r="G159" s="511"/>
      <c r="H159" s="718"/>
      <c r="I159" s="199" t="e">
        <f t="shared" si="62"/>
        <v>#DIV/0!</v>
      </c>
      <c r="J159" s="199" t="e">
        <f t="shared" si="63"/>
        <v>#DIV/0!</v>
      </c>
      <c r="K159" s="200" t="e">
        <f t="shared" si="64"/>
        <v>#DIV/0!</v>
      </c>
      <c r="L159" s="650"/>
      <c r="M159" s="201" t="e">
        <f>RANK(K159, K$147:$K$176)</f>
        <v>#DIV/0!</v>
      </c>
      <c r="N159" s="668"/>
      <c r="O159" s="668"/>
      <c r="P159" s="182"/>
      <c r="Q159" s="182"/>
      <c r="R159" s="182"/>
      <c r="S159" s="304" t="e">
        <f t="shared" si="65"/>
        <v>#N/A</v>
      </c>
      <c r="T159" s="690"/>
      <c r="U159" s="182"/>
      <c r="V159" s="182"/>
      <c r="W159" s="182"/>
      <c r="X159" s="304" t="e">
        <f t="shared" si="66"/>
        <v>#N/A</v>
      </c>
      <c r="Y159" s="690"/>
      <c r="Z159" s="182"/>
      <c r="AA159" s="182"/>
      <c r="AB159" s="182"/>
      <c r="AC159" s="304" t="e">
        <f t="shared" si="67"/>
        <v>#N/A</v>
      </c>
      <c r="AD159" s="690"/>
      <c r="AE159" s="182"/>
      <c r="AF159" s="182"/>
      <c r="AG159" s="182"/>
      <c r="AH159" s="304" t="e">
        <f t="shared" si="68"/>
        <v>#N/A</v>
      </c>
      <c r="AI159" s="690"/>
      <c r="AJ159" s="182"/>
      <c r="AK159" s="182"/>
      <c r="AL159" s="182"/>
      <c r="AM159" s="304" t="e">
        <f t="shared" si="69"/>
        <v>#N/A</v>
      </c>
      <c r="AN159" s="690"/>
      <c r="AO159" s="182"/>
      <c r="AP159" s="182"/>
      <c r="AQ159" s="182"/>
      <c r="AR159" s="304" t="e">
        <f t="shared" si="70"/>
        <v>#N/A</v>
      </c>
      <c r="AS159" s="690"/>
      <c r="AT159" s="182"/>
      <c r="AU159" s="182"/>
      <c r="AV159" s="182"/>
      <c r="AW159" s="304" t="e">
        <f t="shared" si="71"/>
        <v>#N/A</v>
      </c>
      <c r="AX159" s="690"/>
    </row>
    <row r="160" spans="2:50">
      <c r="B160" s="676"/>
      <c r="C160" s="304">
        <v>14</v>
      </c>
      <c r="D160" s="227"/>
      <c r="E160" s="182"/>
      <c r="F160" s="510"/>
      <c r="G160" s="511"/>
      <c r="H160" s="718"/>
      <c r="I160" s="199" t="e">
        <f t="shared" si="62"/>
        <v>#DIV/0!</v>
      </c>
      <c r="J160" s="199" t="e">
        <f t="shared" si="63"/>
        <v>#DIV/0!</v>
      </c>
      <c r="K160" s="200" t="e">
        <f t="shared" si="64"/>
        <v>#DIV/0!</v>
      </c>
      <c r="L160" s="650"/>
      <c r="M160" s="201" t="e">
        <f>RANK(K160, K$147:$K$176)</f>
        <v>#DIV/0!</v>
      </c>
      <c r="N160" s="668"/>
      <c r="O160" s="668"/>
      <c r="P160" s="182"/>
      <c r="Q160" s="182"/>
      <c r="R160" s="182"/>
      <c r="S160" s="304" t="e">
        <f t="shared" si="65"/>
        <v>#N/A</v>
      </c>
      <c r="T160" s="690"/>
      <c r="U160" s="182"/>
      <c r="V160" s="182"/>
      <c r="W160" s="182"/>
      <c r="X160" s="304" t="e">
        <f t="shared" si="66"/>
        <v>#N/A</v>
      </c>
      <c r="Y160" s="690"/>
      <c r="Z160" s="182"/>
      <c r="AA160" s="182"/>
      <c r="AB160" s="182"/>
      <c r="AC160" s="304" t="e">
        <f t="shared" si="67"/>
        <v>#N/A</v>
      </c>
      <c r="AD160" s="690"/>
      <c r="AE160" s="182"/>
      <c r="AF160" s="182"/>
      <c r="AG160" s="182"/>
      <c r="AH160" s="304" t="e">
        <f t="shared" si="68"/>
        <v>#N/A</v>
      </c>
      <c r="AI160" s="690"/>
      <c r="AJ160" s="182"/>
      <c r="AK160" s="182"/>
      <c r="AL160" s="182"/>
      <c r="AM160" s="304" t="e">
        <f t="shared" si="69"/>
        <v>#N/A</v>
      </c>
      <c r="AN160" s="690"/>
      <c r="AO160" s="182"/>
      <c r="AP160" s="182"/>
      <c r="AQ160" s="182"/>
      <c r="AR160" s="304" t="e">
        <f t="shared" si="70"/>
        <v>#N/A</v>
      </c>
      <c r="AS160" s="690"/>
      <c r="AT160" s="182"/>
      <c r="AU160" s="182"/>
      <c r="AV160" s="182"/>
      <c r="AW160" s="304" t="e">
        <f t="shared" si="71"/>
        <v>#N/A</v>
      </c>
      <c r="AX160" s="690"/>
    </row>
    <row r="161" spans="2:50">
      <c r="B161" s="676"/>
      <c r="C161" s="304">
        <v>15</v>
      </c>
      <c r="D161" s="227"/>
      <c r="E161" s="182"/>
      <c r="F161" s="510"/>
      <c r="G161" s="511"/>
      <c r="H161" s="718"/>
      <c r="I161" s="199" t="e">
        <f t="shared" si="62"/>
        <v>#DIV/0!</v>
      </c>
      <c r="J161" s="199" t="e">
        <f t="shared" si="63"/>
        <v>#DIV/0!</v>
      </c>
      <c r="K161" s="200" t="e">
        <f t="shared" si="64"/>
        <v>#DIV/0!</v>
      </c>
      <c r="L161" s="650"/>
      <c r="M161" s="199" t="e">
        <f>RANK(K161, K$147:$K$176)</f>
        <v>#DIV/0!</v>
      </c>
      <c r="N161" s="668"/>
      <c r="O161" s="668"/>
      <c r="P161" s="182"/>
      <c r="Q161" s="182"/>
      <c r="R161" s="182"/>
      <c r="S161" s="304" t="e">
        <f t="shared" ref="S161:S175" si="72">RANK(R161, R$147:R$176)</f>
        <v>#N/A</v>
      </c>
      <c r="T161" s="690"/>
      <c r="U161" s="182"/>
      <c r="V161" s="182"/>
      <c r="W161" s="182"/>
      <c r="X161" s="304" t="e">
        <f t="shared" ref="X161:X175" si="73">RANK(W161, W$147:W$176)</f>
        <v>#N/A</v>
      </c>
      <c r="Y161" s="690"/>
      <c r="Z161" s="182"/>
      <c r="AA161" s="182"/>
      <c r="AB161" s="182"/>
      <c r="AC161" s="304" t="e">
        <f t="shared" ref="AC161:AC175" si="74">RANK(AB161, AB$147:AB$176)</f>
        <v>#N/A</v>
      </c>
      <c r="AD161" s="690"/>
      <c r="AE161" s="182"/>
      <c r="AF161" s="182"/>
      <c r="AG161" s="182"/>
      <c r="AH161" s="304" t="e">
        <f t="shared" ref="AH161:AH175" si="75">RANK(AG161, AG$147:AG$176)</f>
        <v>#N/A</v>
      </c>
      <c r="AI161" s="690"/>
      <c r="AJ161" s="182"/>
      <c r="AK161" s="182"/>
      <c r="AL161" s="182"/>
      <c r="AM161" s="304" t="e">
        <f t="shared" ref="AM161:AM175" si="76">RANK(AL161, AL$147:AL$176)</f>
        <v>#N/A</v>
      </c>
      <c r="AN161" s="690"/>
      <c r="AO161" s="182"/>
      <c r="AP161" s="182"/>
      <c r="AQ161" s="182"/>
      <c r="AR161" s="304" t="e">
        <f t="shared" ref="AR161:AR175" si="77">RANK(AQ161, AQ$147:AQ$176)</f>
        <v>#N/A</v>
      </c>
      <c r="AS161" s="690"/>
      <c r="AT161" s="182"/>
      <c r="AU161" s="182"/>
      <c r="AV161" s="182"/>
      <c r="AW161" s="304" t="e">
        <f t="shared" ref="AW161:AW175" si="78">RANK(AV161, AV$147:AV$176)</f>
        <v>#N/A</v>
      </c>
      <c r="AX161" s="690"/>
    </row>
    <row r="162" spans="2:50">
      <c r="B162" s="676"/>
      <c r="C162" s="304">
        <v>16</v>
      </c>
      <c r="D162" s="227"/>
      <c r="E162" s="182"/>
      <c r="F162" s="510"/>
      <c r="G162" s="511"/>
      <c r="H162" s="718"/>
      <c r="I162" s="199" t="e">
        <f t="shared" si="62"/>
        <v>#DIV/0!</v>
      </c>
      <c r="J162" s="199" t="e">
        <f t="shared" si="63"/>
        <v>#DIV/0!</v>
      </c>
      <c r="K162" s="200" t="e">
        <f t="shared" si="64"/>
        <v>#DIV/0!</v>
      </c>
      <c r="L162" s="650"/>
      <c r="M162" s="199" t="e">
        <f>RANK(K162, K$147:$K$176)</f>
        <v>#DIV/0!</v>
      </c>
      <c r="N162" s="668"/>
      <c r="O162" s="668"/>
      <c r="P162" s="182"/>
      <c r="Q162" s="182"/>
      <c r="R162" s="182"/>
      <c r="S162" s="304" t="e">
        <f t="shared" si="72"/>
        <v>#N/A</v>
      </c>
      <c r="T162" s="690"/>
      <c r="U162" s="182"/>
      <c r="V162" s="182"/>
      <c r="W162" s="182"/>
      <c r="X162" s="304" t="e">
        <f t="shared" si="73"/>
        <v>#N/A</v>
      </c>
      <c r="Y162" s="690"/>
      <c r="Z162" s="182"/>
      <c r="AA162" s="182"/>
      <c r="AB162" s="182"/>
      <c r="AC162" s="304" t="e">
        <f t="shared" si="74"/>
        <v>#N/A</v>
      </c>
      <c r="AD162" s="690"/>
      <c r="AE162" s="182"/>
      <c r="AF162" s="182"/>
      <c r="AG162" s="182"/>
      <c r="AH162" s="304" t="e">
        <f t="shared" si="75"/>
        <v>#N/A</v>
      </c>
      <c r="AI162" s="690"/>
      <c r="AJ162" s="182"/>
      <c r="AK162" s="182"/>
      <c r="AL162" s="182"/>
      <c r="AM162" s="304" t="e">
        <f t="shared" si="76"/>
        <v>#N/A</v>
      </c>
      <c r="AN162" s="690"/>
      <c r="AO162" s="182"/>
      <c r="AP162" s="182"/>
      <c r="AQ162" s="182"/>
      <c r="AR162" s="304" t="e">
        <f t="shared" si="77"/>
        <v>#N/A</v>
      </c>
      <c r="AS162" s="690"/>
      <c r="AT162" s="182"/>
      <c r="AU162" s="182"/>
      <c r="AV162" s="182"/>
      <c r="AW162" s="304" t="e">
        <f t="shared" si="78"/>
        <v>#N/A</v>
      </c>
      <c r="AX162" s="690"/>
    </row>
    <row r="163" spans="2:50">
      <c r="B163" s="676"/>
      <c r="C163" s="304">
        <v>17</v>
      </c>
      <c r="D163" s="227"/>
      <c r="E163" s="182"/>
      <c r="F163" s="510"/>
      <c r="G163" s="511"/>
      <c r="H163" s="718"/>
      <c r="I163" s="199" t="e">
        <f t="shared" si="62"/>
        <v>#DIV/0!</v>
      </c>
      <c r="J163" s="199" t="e">
        <f t="shared" si="63"/>
        <v>#DIV/0!</v>
      </c>
      <c r="K163" s="200" t="e">
        <f t="shared" si="64"/>
        <v>#DIV/0!</v>
      </c>
      <c r="L163" s="650"/>
      <c r="M163" s="199" t="e">
        <f>RANK(K163, K$147:$K$176)</f>
        <v>#DIV/0!</v>
      </c>
      <c r="N163" s="668"/>
      <c r="O163" s="668"/>
      <c r="P163" s="182"/>
      <c r="Q163" s="182"/>
      <c r="R163" s="182"/>
      <c r="S163" s="304" t="e">
        <f t="shared" si="72"/>
        <v>#N/A</v>
      </c>
      <c r="T163" s="690"/>
      <c r="U163" s="182"/>
      <c r="V163" s="182"/>
      <c r="W163" s="182"/>
      <c r="X163" s="304" t="e">
        <f t="shared" si="73"/>
        <v>#N/A</v>
      </c>
      <c r="Y163" s="690"/>
      <c r="Z163" s="182"/>
      <c r="AA163" s="182"/>
      <c r="AB163" s="182"/>
      <c r="AC163" s="304" t="e">
        <f t="shared" si="74"/>
        <v>#N/A</v>
      </c>
      <c r="AD163" s="690"/>
      <c r="AE163" s="182"/>
      <c r="AF163" s="182"/>
      <c r="AG163" s="182"/>
      <c r="AH163" s="304" t="e">
        <f t="shared" si="75"/>
        <v>#N/A</v>
      </c>
      <c r="AI163" s="690"/>
      <c r="AJ163" s="182"/>
      <c r="AK163" s="182"/>
      <c r="AL163" s="182"/>
      <c r="AM163" s="304" t="e">
        <f t="shared" si="76"/>
        <v>#N/A</v>
      </c>
      <c r="AN163" s="690"/>
      <c r="AO163" s="182"/>
      <c r="AP163" s="182"/>
      <c r="AQ163" s="182"/>
      <c r="AR163" s="304" t="e">
        <f t="shared" si="77"/>
        <v>#N/A</v>
      </c>
      <c r="AS163" s="690"/>
      <c r="AT163" s="182"/>
      <c r="AU163" s="182"/>
      <c r="AV163" s="182"/>
      <c r="AW163" s="304" t="e">
        <f t="shared" si="78"/>
        <v>#N/A</v>
      </c>
      <c r="AX163" s="690"/>
    </row>
    <row r="164" spans="2:50">
      <c r="B164" s="676"/>
      <c r="C164" s="304">
        <v>18</v>
      </c>
      <c r="D164" s="227"/>
      <c r="E164" s="182"/>
      <c r="F164" s="510"/>
      <c r="G164" s="511"/>
      <c r="H164" s="718"/>
      <c r="I164" s="199" t="e">
        <f t="shared" si="62"/>
        <v>#DIV/0!</v>
      </c>
      <c r="J164" s="199" t="e">
        <f t="shared" si="63"/>
        <v>#DIV/0!</v>
      </c>
      <c r="K164" s="200" t="e">
        <f t="shared" si="64"/>
        <v>#DIV/0!</v>
      </c>
      <c r="L164" s="650"/>
      <c r="M164" s="199" t="e">
        <f>RANK(K164, K$147:$K$176)</f>
        <v>#DIV/0!</v>
      </c>
      <c r="N164" s="668"/>
      <c r="O164" s="668"/>
      <c r="P164" s="182"/>
      <c r="Q164" s="182"/>
      <c r="R164" s="182"/>
      <c r="S164" s="304" t="e">
        <f t="shared" si="72"/>
        <v>#N/A</v>
      </c>
      <c r="T164" s="690"/>
      <c r="U164" s="182"/>
      <c r="V164" s="182"/>
      <c r="W164" s="182"/>
      <c r="X164" s="304" t="e">
        <f t="shared" si="73"/>
        <v>#N/A</v>
      </c>
      <c r="Y164" s="690"/>
      <c r="Z164" s="182"/>
      <c r="AA164" s="182"/>
      <c r="AB164" s="182"/>
      <c r="AC164" s="304" t="e">
        <f t="shared" si="74"/>
        <v>#N/A</v>
      </c>
      <c r="AD164" s="690"/>
      <c r="AE164" s="182"/>
      <c r="AF164" s="182"/>
      <c r="AG164" s="182"/>
      <c r="AH164" s="304" t="e">
        <f t="shared" si="75"/>
        <v>#N/A</v>
      </c>
      <c r="AI164" s="690"/>
      <c r="AJ164" s="182"/>
      <c r="AK164" s="182"/>
      <c r="AL164" s="182"/>
      <c r="AM164" s="304" t="e">
        <f t="shared" si="76"/>
        <v>#N/A</v>
      </c>
      <c r="AN164" s="690"/>
      <c r="AO164" s="182"/>
      <c r="AP164" s="182"/>
      <c r="AQ164" s="182"/>
      <c r="AR164" s="304" t="e">
        <f t="shared" si="77"/>
        <v>#N/A</v>
      </c>
      <c r="AS164" s="690"/>
      <c r="AT164" s="182"/>
      <c r="AU164" s="182"/>
      <c r="AV164" s="182"/>
      <c r="AW164" s="304" t="e">
        <f t="shared" si="78"/>
        <v>#N/A</v>
      </c>
      <c r="AX164" s="690"/>
    </row>
    <row r="165" spans="2:50">
      <c r="B165" s="676"/>
      <c r="C165" s="304">
        <v>19</v>
      </c>
      <c r="D165" s="227"/>
      <c r="E165" s="182"/>
      <c r="F165" s="510"/>
      <c r="G165" s="511"/>
      <c r="H165" s="718"/>
      <c r="I165" s="199" t="e">
        <f t="shared" si="62"/>
        <v>#DIV/0!</v>
      </c>
      <c r="J165" s="199" t="e">
        <f t="shared" si="63"/>
        <v>#DIV/0!</v>
      </c>
      <c r="K165" s="200" t="e">
        <f t="shared" si="64"/>
        <v>#DIV/0!</v>
      </c>
      <c r="L165" s="650"/>
      <c r="M165" s="199" t="e">
        <f>RANK(K165, K$147:$K$176)</f>
        <v>#DIV/0!</v>
      </c>
      <c r="N165" s="668"/>
      <c r="O165" s="668"/>
      <c r="P165" s="182"/>
      <c r="Q165" s="182"/>
      <c r="R165" s="182"/>
      <c r="S165" s="304" t="e">
        <f t="shared" si="72"/>
        <v>#N/A</v>
      </c>
      <c r="T165" s="690"/>
      <c r="U165" s="182"/>
      <c r="V165" s="182"/>
      <c r="W165" s="182"/>
      <c r="X165" s="304" t="e">
        <f t="shared" si="73"/>
        <v>#N/A</v>
      </c>
      <c r="Y165" s="690"/>
      <c r="Z165" s="182"/>
      <c r="AA165" s="182"/>
      <c r="AB165" s="182"/>
      <c r="AC165" s="304" t="e">
        <f t="shared" si="74"/>
        <v>#N/A</v>
      </c>
      <c r="AD165" s="690"/>
      <c r="AE165" s="182"/>
      <c r="AF165" s="182"/>
      <c r="AG165" s="182"/>
      <c r="AH165" s="304" t="e">
        <f t="shared" si="75"/>
        <v>#N/A</v>
      </c>
      <c r="AI165" s="690"/>
      <c r="AJ165" s="182"/>
      <c r="AK165" s="182"/>
      <c r="AL165" s="182"/>
      <c r="AM165" s="304" t="e">
        <f t="shared" si="76"/>
        <v>#N/A</v>
      </c>
      <c r="AN165" s="690"/>
      <c r="AO165" s="182"/>
      <c r="AP165" s="182"/>
      <c r="AQ165" s="182"/>
      <c r="AR165" s="304" t="e">
        <f t="shared" si="77"/>
        <v>#N/A</v>
      </c>
      <c r="AS165" s="690"/>
      <c r="AT165" s="182"/>
      <c r="AU165" s="182"/>
      <c r="AV165" s="182"/>
      <c r="AW165" s="304" t="e">
        <f t="shared" si="78"/>
        <v>#N/A</v>
      </c>
      <c r="AX165" s="690"/>
    </row>
    <row r="166" spans="2:50">
      <c r="B166" s="676"/>
      <c r="C166" s="304">
        <v>20</v>
      </c>
      <c r="D166" s="227"/>
      <c r="E166" s="182"/>
      <c r="F166" s="510"/>
      <c r="G166" s="511"/>
      <c r="H166" s="718"/>
      <c r="I166" s="199" t="e">
        <f t="shared" si="62"/>
        <v>#DIV/0!</v>
      </c>
      <c r="J166" s="199" t="e">
        <f t="shared" si="63"/>
        <v>#DIV/0!</v>
      </c>
      <c r="K166" s="200" t="e">
        <f t="shared" si="64"/>
        <v>#DIV/0!</v>
      </c>
      <c r="L166" s="650"/>
      <c r="M166" s="199" t="e">
        <f>RANK(K166, K$147:$K$176)</f>
        <v>#DIV/0!</v>
      </c>
      <c r="N166" s="668"/>
      <c r="O166" s="668"/>
      <c r="P166" s="182"/>
      <c r="Q166" s="182"/>
      <c r="R166" s="182"/>
      <c r="S166" s="304" t="e">
        <f t="shared" si="72"/>
        <v>#N/A</v>
      </c>
      <c r="T166" s="690"/>
      <c r="U166" s="182"/>
      <c r="V166" s="182"/>
      <c r="W166" s="182"/>
      <c r="X166" s="304" t="e">
        <f t="shared" si="73"/>
        <v>#N/A</v>
      </c>
      <c r="Y166" s="690"/>
      <c r="Z166" s="182"/>
      <c r="AA166" s="182"/>
      <c r="AB166" s="182"/>
      <c r="AC166" s="304" t="e">
        <f t="shared" si="74"/>
        <v>#N/A</v>
      </c>
      <c r="AD166" s="690"/>
      <c r="AE166" s="182"/>
      <c r="AF166" s="182"/>
      <c r="AG166" s="182"/>
      <c r="AH166" s="304" t="e">
        <f t="shared" si="75"/>
        <v>#N/A</v>
      </c>
      <c r="AI166" s="690"/>
      <c r="AJ166" s="182"/>
      <c r="AK166" s="182"/>
      <c r="AL166" s="182"/>
      <c r="AM166" s="304" t="e">
        <f t="shared" si="76"/>
        <v>#N/A</v>
      </c>
      <c r="AN166" s="690"/>
      <c r="AO166" s="182"/>
      <c r="AP166" s="182"/>
      <c r="AQ166" s="182"/>
      <c r="AR166" s="304" t="e">
        <f t="shared" si="77"/>
        <v>#N/A</v>
      </c>
      <c r="AS166" s="690"/>
      <c r="AT166" s="182"/>
      <c r="AU166" s="182"/>
      <c r="AV166" s="182"/>
      <c r="AW166" s="304" t="e">
        <f t="shared" si="78"/>
        <v>#N/A</v>
      </c>
      <c r="AX166" s="690"/>
    </row>
    <row r="167" spans="2:50">
      <c r="B167" s="676"/>
      <c r="C167" s="304">
        <v>21</v>
      </c>
      <c r="D167" s="227"/>
      <c r="E167" s="182"/>
      <c r="F167" s="510"/>
      <c r="G167" s="511"/>
      <c r="H167" s="718"/>
      <c r="I167" s="199" t="e">
        <f t="shared" si="62"/>
        <v>#DIV/0!</v>
      </c>
      <c r="J167" s="199" t="e">
        <f t="shared" si="63"/>
        <v>#DIV/0!</v>
      </c>
      <c r="K167" s="200" t="e">
        <f t="shared" si="64"/>
        <v>#DIV/0!</v>
      </c>
      <c r="L167" s="650"/>
      <c r="M167" s="199" t="e">
        <f>RANK(K167, K$147:$K$176)</f>
        <v>#DIV/0!</v>
      </c>
      <c r="N167" s="668"/>
      <c r="O167" s="668"/>
      <c r="P167" s="182"/>
      <c r="Q167" s="182"/>
      <c r="R167" s="182"/>
      <c r="S167" s="304" t="e">
        <f t="shared" si="72"/>
        <v>#N/A</v>
      </c>
      <c r="T167" s="690"/>
      <c r="U167" s="182"/>
      <c r="V167" s="182"/>
      <c r="W167" s="182"/>
      <c r="X167" s="304" t="e">
        <f t="shared" si="73"/>
        <v>#N/A</v>
      </c>
      <c r="Y167" s="690"/>
      <c r="Z167" s="182"/>
      <c r="AA167" s="182"/>
      <c r="AB167" s="182"/>
      <c r="AC167" s="304" t="e">
        <f t="shared" si="74"/>
        <v>#N/A</v>
      </c>
      <c r="AD167" s="690"/>
      <c r="AE167" s="182"/>
      <c r="AF167" s="182"/>
      <c r="AG167" s="182"/>
      <c r="AH167" s="304" t="e">
        <f t="shared" si="75"/>
        <v>#N/A</v>
      </c>
      <c r="AI167" s="690"/>
      <c r="AJ167" s="182"/>
      <c r="AK167" s="182"/>
      <c r="AL167" s="182"/>
      <c r="AM167" s="304" t="e">
        <f t="shared" si="76"/>
        <v>#N/A</v>
      </c>
      <c r="AN167" s="690"/>
      <c r="AO167" s="182"/>
      <c r="AP167" s="182"/>
      <c r="AQ167" s="182"/>
      <c r="AR167" s="304" t="e">
        <f t="shared" si="77"/>
        <v>#N/A</v>
      </c>
      <c r="AS167" s="690"/>
      <c r="AT167" s="182"/>
      <c r="AU167" s="182"/>
      <c r="AV167" s="182"/>
      <c r="AW167" s="304" t="e">
        <f t="shared" si="78"/>
        <v>#N/A</v>
      </c>
      <c r="AX167" s="690"/>
    </row>
    <row r="168" spans="2:50">
      <c r="B168" s="676"/>
      <c r="C168" s="304">
        <v>22</v>
      </c>
      <c r="D168" s="227"/>
      <c r="E168" s="182"/>
      <c r="F168" s="510"/>
      <c r="G168" s="511"/>
      <c r="H168" s="718"/>
      <c r="I168" s="199" t="e">
        <f t="shared" si="62"/>
        <v>#DIV/0!</v>
      </c>
      <c r="J168" s="199" t="e">
        <f t="shared" si="63"/>
        <v>#DIV/0!</v>
      </c>
      <c r="K168" s="200" t="e">
        <f t="shared" si="64"/>
        <v>#DIV/0!</v>
      </c>
      <c r="L168" s="650"/>
      <c r="M168" s="199" t="e">
        <f>RANK(K168, K$147:$K$176)</f>
        <v>#DIV/0!</v>
      </c>
      <c r="N168" s="668"/>
      <c r="O168" s="668"/>
      <c r="P168" s="182"/>
      <c r="Q168" s="182"/>
      <c r="R168" s="182"/>
      <c r="S168" s="304" t="e">
        <f t="shared" si="72"/>
        <v>#N/A</v>
      </c>
      <c r="T168" s="690"/>
      <c r="U168" s="182"/>
      <c r="V168" s="182"/>
      <c r="W168" s="182"/>
      <c r="X168" s="304" t="e">
        <f t="shared" si="73"/>
        <v>#N/A</v>
      </c>
      <c r="Y168" s="690"/>
      <c r="Z168" s="182"/>
      <c r="AA168" s="182"/>
      <c r="AB168" s="182"/>
      <c r="AC168" s="304" t="e">
        <f t="shared" si="74"/>
        <v>#N/A</v>
      </c>
      <c r="AD168" s="690"/>
      <c r="AE168" s="182"/>
      <c r="AF168" s="182"/>
      <c r="AG168" s="182"/>
      <c r="AH168" s="304" t="e">
        <f t="shared" si="75"/>
        <v>#N/A</v>
      </c>
      <c r="AI168" s="690"/>
      <c r="AJ168" s="182"/>
      <c r="AK168" s="182"/>
      <c r="AL168" s="182"/>
      <c r="AM168" s="304" t="e">
        <f t="shared" si="76"/>
        <v>#N/A</v>
      </c>
      <c r="AN168" s="690"/>
      <c r="AO168" s="182"/>
      <c r="AP168" s="182"/>
      <c r="AQ168" s="182"/>
      <c r="AR168" s="304" t="e">
        <f t="shared" si="77"/>
        <v>#N/A</v>
      </c>
      <c r="AS168" s="690"/>
      <c r="AT168" s="182"/>
      <c r="AU168" s="182"/>
      <c r="AV168" s="182"/>
      <c r="AW168" s="304" t="e">
        <f t="shared" si="78"/>
        <v>#N/A</v>
      </c>
      <c r="AX168" s="690"/>
    </row>
    <row r="169" spans="2:50">
      <c r="B169" s="676"/>
      <c r="C169" s="304">
        <v>23</v>
      </c>
      <c r="D169" s="227"/>
      <c r="E169" s="182"/>
      <c r="F169" s="510"/>
      <c r="G169" s="511"/>
      <c r="H169" s="718"/>
      <c r="I169" s="199" t="e">
        <f t="shared" si="62"/>
        <v>#DIV/0!</v>
      </c>
      <c r="J169" s="199" t="e">
        <f t="shared" si="63"/>
        <v>#DIV/0!</v>
      </c>
      <c r="K169" s="200" t="e">
        <f t="shared" si="64"/>
        <v>#DIV/0!</v>
      </c>
      <c r="L169" s="650"/>
      <c r="M169" s="199" t="e">
        <f>RANK(K169, K$147:$K$176)</f>
        <v>#DIV/0!</v>
      </c>
      <c r="N169" s="668"/>
      <c r="O169" s="668"/>
      <c r="P169" s="182"/>
      <c r="Q169" s="182"/>
      <c r="R169" s="182"/>
      <c r="S169" s="304" t="e">
        <f t="shared" si="72"/>
        <v>#N/A</v>
      </c>
      <c r="T169" s="690"/>
      <c r="U169" s="182"/>
      <c r="V169" s="182"/>
      <c r="W169" s="182"/>
      <c r="X169" s="304" t="e">
        <f t="shared" si="73"/>
        <v>#N/A</v>
      </c>
      <c r="Y169" s="690"/>
      <c r="Z169" s="182"/>
      <c r="AA169" s="182"/>
      <c r="AB169" s="182"/>
      <c r="AC169" s="304" t="e">
        <f t="shared" si="74"/>
        <v>#N/A</v>
      </c>
      <c r="AD169" s="690"/>
      <c r="AE169" s="182"/>
      <c r="AF169" s="182"/>
      <c r="AG169" s="182"/>
      <c r="AH169" s="304" t="e">
        <f t="shared" si="75"/>
        <v>#N/A</v>
      </c>
      <c r="AI169" s="690"/>
      <c r="AJ169" s="182"/>
      <c r="AK169" s="182"/>
      <c r="AL169" s="182"/>
      <c r="AM169" s="304" t="e">
        <f t="shared" si="76"/>
        <v>#N/A</v>
      </c>
      <c r="AN169" s="690"/>
      <c r="AO169" s="182"/>
      <c r="AP169" s="182"/>
      <c r="AQ169" s="182"/>
      <c r="AR169" s="304" t="e">
        <f t="shared" si="77"/>
        <v>#N/A</v>
      </c>
      <c r="AS169" s="690"/>
      <c r="AT169" s="182"/>
      <c r="AU169" s="182"/>
      <c r="AV169" s="182"/>
      <c r="AW169" s="304" t="e">
        <f t="shared" si="78"/>
        <v>#N/A</v>
      </c>
      <c r="AX169" s="690"/>
    </row>
    <row r="170" spans="2:50">
      <c r="B170" s="676"/>
      <c r="C170" s="304">
        <v>24</v>
      </c>
      <c r="D170" s="227"/>
      <c r="E170" s="182"/>
      <c r="F170" s="510"/>
      <c r="G170" s="511"/>
      <c r="H170" s="718"/>
      <c r="I170" s="199" t="e">
        <f t="shared" si="62"/>
        <v>#DIV/0!</v>
      </c>
      <c r="J170" s="199" t="e">
        <f t="shared" si="63"/>
        <v>#DIV/0!</v>
      </c>
      <c r="K170" s="200" t="e">
        <f t="shared" si="64"/>
        <v>#DIV/0!</v>
      </c>
      <c r="L170" s="650"/>
      <c r="M170" s="199" t="e">
        <f>RANK(K170, K$147:$K$176)</f>
        <v>#DIV/0!</v>
      </c>
      <c r="N170" s="668"/>
      <c r="O170" s="668"/>
      <c r="P170" s="182"/>
      <c r="Q170" s="182"/>
      <c r="R170" s="182"/>
      <c r="S170" s="304" t="e">
        <f t="shared" si="72"/>
        <v>#N/A</v>
      </c>
      <c r="T170" s="690"/>
      <c r="U170" s="182"/>
      <c r="V170" s="182"/>
      <c r="W170" s="182"/>
      <c r="X170" s="304" t="e">
        <f t="shared" si="73"/>
        <v>#N/A</v>
      </c>
      <c r="Y170" s="690"/>
      <c r="Z170" s="182"/>
      <c r="AA170" s="182"/>
      <c r="AB170" s="182"/>
      <c r="AC170" s="304" t="e">
        <f t="shared" si="74"/>
        <v>#N/A</v>
      </c>
      <c r="AD170" s="690"/>
      <c r="AE170" s="182"/>
      <c r="AF170" s="182"/>
      <c r="AG170" s="182"/>
      <c r="AH170" s="304" t="e">
        <f t="shared" si="75"/>
        <v>#N/A</v>
      </c>
      <c r="AI170" s="690"/>
      <c r="AJ170" s="182"/>
      <c r="AK170" s="182"/>
      <c r="AL170" s="182"/>
      <c r="AM170" s="304" t="e">
        <f t="shared" si="76"/>
        <v>#N/A</v>
      </c>
      <c r="AN170" s="690"/>
      <c r="AO170" s="182"/>
      <c r="AP170" s="182"/>
      <c r="AQ170" s="182"/>
      <c r="AR170" s="304" t="e">
        <f t="shared" si="77"/>
        <v>#N/A</v>
      </c>
      <c r="AS170" s="690"/>
      <c r="AT170" s="182"/>
      <c r="AU170" s="182"/>
      <c r="AV170" s="182"/>
      <c r="AW170" s="304" t="e">
        <f t="shared" si="78"/>
        <v>#N/A</v>
      </c>
      <c r="AX170" s="690"/>
    </row>
    <row r="171" spans="2:50">
      <c r="B171" s="676"/>
      <c r="C171" s="304">
        <v>25</v>
      </c>
      <c r="D171" s="227"/>
      <c r="E171" s="182"/>
      <c r="F171" s="510"/>
      <c r="G171" s="511"/>
      <c r="H171" s="718"/>
      <c r="I171" s="446" t="e">
        <f t="shared" ref="I171" si="79">AVERAGE(P171,U171,Z171,AE171,AJ171,AO171,AT171)</f>
        <v>#DIV/0!</v>
      </c>
      <c r="J171" s="446" t="e">
        <f t="shared" ref="J171" si="80">AVERAGE(Q171,V171,AA171,AF171,AK171,AP171,AU171)</f>
        <v>#DIV/0!</v>
      </c>
      <c r="K171" s="200" t="e">
        <f t="shared" ref="K171" si="81">AVERAGE(R171,W171,AB171,AG171,AL171,AQ171,AV171)</f>
        <v>#DIV/0!</v>
      </c>
      <c r="L171" s="650"/>
      <c r="M171" s="199" t="e">
        <f>RANK(K171, K$147:$K$176)</f>
        <v>#DIV/0!</v>
      </c>
      <c r="N171" s="668"/>
      <c r="O171" s="668"/>
      <c r="P171" s="182"/>
      <c r="Q171" s="182"/>
      <c r="R171" s="182"/>
      <c r="S171" s="304" t="e">
        <f t="shared" si="72"/>
        <v>#N/A</v>
      </c>
      <c r="T171" s="690"/>
      <c r="U171" s="182"/>
      <c r="V171" s="182"/>
      <c r="W171" s="182"/>
      <c r="X171" s="304" t="e">
        <f t="shared" si="73"/>
        <v>#N/A</v>
      </c>
      <c r="Y171" s="690"/>
      <c r="Z171" s="182"/>
      <c r="AA171" s="182"/>
      <c r="AB171" s="182"/>
      <c r="AC171" s="304" t="e">
        <f t="shared" si="74"/>
        <v>#N/A</v>
      </c>
      <c r="AD171" s="690"/>
      <c r="AE171" s="182"/>
      <c r="AF171" s="182"/>
      <c r="AG171" s="182"/>
      <c r="AH171" s="304" t="e">
        <f t="shared" si="75"/>
        <v>#N/A</v>
      </c>
      <c r="AI171" s="690"/>
      <c r="AJ171" s="182"/>
      <c r="AK171" s="182"/>
      <c r="AL171" s="182"/>
      <c r="AM171" s="304" t="e">
        <f t="shared" si="76"/>
        <v>#N/A</v>
      </c>
      <c r="AN171" s="690"/>
      <c r="AO171" s="182"/>
      <c r="AP171" s="182"/>
      <c r="AQ171" s="182"/>
      <c r="AR171" s="304" t="e">
        <f t="shared" si="77"/>
        <v>#N/A</v>
      </c>
      <c r="AS171" s="690"/>
      <c r="AT171" s="182"/>
      <c r="AU171" s="182"/>
      <c r="AV171" s="182"/>
      <c r="AW171" s="304" t="e">
        <f t="shared" si="78"/>
        <v>#N/A</v>
      </c>
      <c r="AX171" s="690"/>
    </row>
    <row r="172" spans="2:50">
      <c r="B172" s="676"/>
      <c r="C172" s="304">
        <v>26</v>
      </c>
      <c r="D172" s="227"/>
      <c r="E172" s="182"/>
      <c r="F172" s="510"/>
      <c r="G172" s="511"/>
      <c r="H172" s="718"/>
      <c r="I172" s="469" t="e">
        <f t="shared" ref="I172" si="82">AVERAGE(P172,U172,Z172,AE172,AJ172,AO172,AT172)</f>
        <v>#DIV/0!</v>
      </c>
      <c r="J172" s="469" t="e">
        <f t="shared" ref="J172" si="83">AVERAGE(Q172,V172,AA172,AF172,AK172,AP172,AU172)</f>
        <v>#DIV/0!</v>
      </c>
      <c r="K172" s="200" t="e">
        <f t="shared" ref="K172" si="84">AVERAGE(R172,W172,AB172,AG172,AL172,AQ172,AV172)</f>
        <v>#DIV/0!</v>
      </c>
      <c r="L172" s="650"/>
      <c r="M172" s="199" t="e">
        <f>RANK(K172, K$147:$K$176)</f>
        <v>#DIV/0!</v>
      </c>
      <c r="N172" s="668"/>
      <c r="O172" s="668"/>
      <c r="P172" s="182"/>
      <c r="Q172" s="182"/>
      <c r="R172" s="182"/>
      <c r="S172" s="304" t="e">
        <f t="shared" si="72"/>
        <v>#N/A</v>
      </c>
      <c r="T172" s="690"/>
      <c r="U172" s="182"/>
      <c r="V172" s="182"/>
      <c r="W172" s="182"/>
      <c r="X172" s="304" t="e">
        <f t="shared" si="73"/>
        <v>#N/A</v>
      </c>
      <c r="Y172" s="690"/>
      <c r="Z172" s="182"/>
      <c r="AA172" s="182"/>
      <c r="AB172" s="182"/>
      <c r="AC172" s="304" t="e">
        <f t="shared" si="74"/>
        <v>#N/A</v>
      </c>
      <c r="AD172" s="690"/>
      <c r="AE172" s="182"/>
      <c r="AF172" s="182"/>
      <c r="AG172" s="182"/>
      <c r="AH172" s="304" t="e">
        <f t="shared" si="75"/>
        <v>#N/A</v>
      </c>
      <c r="AI172" s="690"/>
      <c r="AJ172" s="182"/>
      <c r="AK172" s="182"/>
      <c r="AL172" s="182"/>
      <c r="AM172" s="304" t="e">
        <f t="shared" si="76"/>
        <v>#N/A</v>
      </c>
      <c r="AN172" s="690"/>
      <c r="AO172" s="182"/>
      <c r="AP172" s="182"/>
      <c r="AQ172" s="182"/>
      <c r="AR172" s="304" t="e">
        <f t="shared" si="77"/>
        <v>#N/A</v>
      </c>
      <c r="AS172" s="690"/>
      <c r="AT172" s="182"/>
      <c r="AU172" s="182"/>
      <c r="AV172" s="182"/>
      <c r="AW172" s="304" t="e">
        <f t="shared" si="78"/>
        <v>#N/A</v>
      </c>
      <c r="AX172" s="690"/>
    </row>
    <row r="173" spans="2:50">
      <c r="B173" s="676"/>
      <c r="C173" s="304">
        <v>27</v>
      </c>
      <c r="D173" s="227"/>
      <c r="E173" s="182"/>
      <c r="F173" s="510"/>
      <c r="G173" s="511"/>
      <c r="H173" s="718"/>
      <c r="I173" s="486" t="e">
        <f t="shared" ref="I173:I174" si="85">AVERAGE(P173,U173,Z173,AE173,AJ173,AO173,AT173)</f>
        <v>#DIV/0!</v>
      </c>
      <c r="J173" s="486" t="e">
        <f t="shared" ref="J173:J174" si="86">AVERAGE(Q173,V173,AA173,AF173,AK173,AP173,AU173)</f>
        <v>#DIV/0!</v>
      </c>
      <c r="K173" s="200" t="e">
        <f t="shared" ref="K173:K174" si="87">AVERAGE(R173,W173,AB173,AG173,AL173,AQ173,AV173)</f>
        <v>#DIV/0!</v>
      </c>
      <c r="L173" s="650"/>
      <c r="M173" s="199" t="e">
        <f>RANK(K173, K$147:$K$176)</f>
        <v>#DIV/0!</v>
      </c>
      <c r="N173" s="668"/>
      <c r="O173" s="668"/>
      <c r="P173" s="182"/>
      <c r="Q173" s="182"/>
      <c r="R173" s="182"/>
      <c r="S173" s="304" t="e">
        <f t="shared" si="72"/>
        <v>#N/A</v>
      </c>
      <c r="T173" s="690"/>
      <c r="U173" s="182"/>
      <c r="V173" s="182"/>
      <c r="W173" s="182"/>
      <c r="X173" s="304" t="e">
        <f t="shared" si="73"/>
        <v>#N/A</v>
      </c>
      <c r="Y173" s="690"/>
      <c r="Z173" s="182"/>
      <c r="AA173" s="182"/>
      <c r="AB173" s="182"/>
      <c r="AC173" s="304" t="e">
        <f t="shared" si="74"/>
        <v>#N/A</v>
      </c>
      <c r="AD173" s="690"/>
      <c r="AE173" s="182"/>
      <c r="AF173" s="182"/>
      <c r="AG173" s="182"/>
      <c r="AH173" s="304" t="e">
        <f t="shared" si="75"/>
        <v>#N/A</v>
      </c>
      <c r="AI173" s="690"/>
      <c r="AJ173" s="182"/>
      <c r="AK173" s="182"/>
      <c r="AL173" s="182"/>
      <c r="AM173" s="304" t="e">
        <f t="shared" si="76"/>
        <v>#N/A</v>
      </c>
      <c r="AN173" s="690"/>
      <c r="AO173" s="182"/>
      <c r="AP173" s="182"/>
      <c r="AQ173" s="182"/>
      <c r="AR173" s="304" t="e">
        <f t="shared" si="77"/>
        <v>#N/A</v>
      </c>
      <c r="AS173" s="690"/>
      <c r="AT173" s="182"/>
      <c r="AU173" s="182"/>
      <c r="AV173" s="182"/>
      <c r="AW173" s="304" t="e">
        <f t="shared" si="78"/>
        <v>#N/A</v>
      </c>
      <c r="AX173" s="690"/>
    </row>
    <row r="174" spans="2:50">
      <c r="B174" s="676"/>
      <c r="C174" s="304">
        <v>28</v>
      </c>
      <c r="D174" s="227"/>
      <c r="E174" s="182"/>
      <c r="F174" s="510"/>
      <c r="G174" s="511"/>
      <c r="H174" s="718"/>
      <c r="I174" s="486" t="e">
        <f t="shared" si="85"/>
        <v>#DIV/0!</v>
      </c>
      <c r="J174" s="486" t="e">
        <f t="shared" si="86"/>
        <v>#DIV/0!</v>
      </c>
      <c r="K174" s="200" t="e">
        <f t="shared" si="87"/>
        <v>#DIV/0!</v>
      </c>
      <c r="L174" s="650"/>
      <c r="M174" s="199" t="e">
        <f>RANK(K174, K$147:$K$176)</f>
        <v>#DIV/0!</v>
      </c>
      <c r="N174" s="668"/>
      <c r="O174" s="668"/>
      <c r="P174" s="182"/>
      <c r="Q174" s="182"/>
      <c r="R174" s="182"/>
      <c r="S174" s="304" t="e">
        <f t="shared" si="72"/>
        <v>#N/A</v>
      </c>
      <c r="T174" s="690"/>
      <c r="U174" s="182"/>
      <c r="V174" s="182"/>
      <c r="W174" s="182"/>
      <c r="X174" s="304" t="e">
        <f t="shared" si="73"/>
        <v>#N/A</v>
      </c>
      <c r="Y174" s="690"/>
      <c r="Z174" s="182"/>
      <c r="AA174" s="182"/>
      <c r="AB174" s="182"/>
      <c r="AC174" s="304" t="e">
        <f t="shared" si="74"/>
        <v>#N/A</v>
      </c>
      <c r="AD174" s="690"/>
      <c r="AE174" s="182"/>
      <c r="AF174" s="182"/>
      <c r="AG174" s="182"/>
      <c r="AH174" s="304" t="e">
        <f t="shared" si="75"/>
        <v>#N/A</v>
      </c>
      <c r="AI174" s="690"/>
      <c r="AJ174" s="182"/>
      <c r="AK174" s="182"/>
      <c r="AL174" s="182"/>
      <c r="AM174" s="304" t="e">
        <f t="shared" si="76"/>
        <v>#N/A</v>
      </c>
      <c r="AN174" s="690"/>
      <c r="AO174" s="182"/>
      <c r="AP174" s="182"/>
      <c r="AQ174" s="182"/>
      <c r="AR174" s="304" t="e">
        <f t="shared" si="77"/>
        <v>#N/A</v>
      </c>
      <c r="AS174" s="690"/>
      <c r="AT174" s="182"/>
      <c r="AU174" s="182"/>
      <c r="AV174" s="182"/>
      <c r="AW174" s="304" t="e">
        <f t="shared" si="78"/>
        <v>#N/A</v>
      </c>
      <c r="AX174" s="690"/>
    </row>
    <row r="175" spans="2:50">
      <c r="B175" s="676"/>
      <c r="C175" s="304">
        <v>29</v>
      </c>
      <c r="D175" s="227"/>
      <c r="E175" s="182"/>
      <c r="F175" s="510"/>
      <c r="G175" s="511"/>
      <c r="H175" s="718"/>
      <c r="I175" s="542" t="e">
        <f t="shared" ref="I175:I176" si="88">AVERAGE(P175,U175,Z175,AE175,AJ175,AO175,AT175)</f>
        <v>#DIV/0!</v>
      </c>
      <c r="J175" s="542" t="e">
        <f t="shared" ref="J175:J176" si="89">AVERAGE(Q175,V175,AA175,AF175,AK175,AP175,AU175)</f>
        <v>#DIV/0!</v>
      </c>
      <c r="K175" s="200" t="e">
        <f t="shared" ref="K175:K176" si="90">AVERAGE(R175,W175,AB175,AG175,AL175,AQ175,AV175)</f>
        <v>#DIV/0!</v>
      </c>
      <c r="L175" s="650"/>
      <c r="M175" s="199" t="e">
        <f>RANK(K175, K$147:$K$176)</f>
        <v>#DIV/0!</v>
      </c>
      <c r="N175" s="668"/>
      <c r="O175" s="668"/>
      <c r="P175" s="182"/>
      <c r="Q175" s="182"/>
      <c r="R175" s="182"/>
      <c r="S175" s="304" t="e">
        <f t="shared" si="72"/>
        <v>#N/A</v>
      </c>
      <c r="T175" s="690"/>
      <c r="U175" s="182"/>
      <c r="V175" s="182"/>
      <c r="W175" s="182"/>
      <c r="X175" s="304" t="e">
        <f t="shared" si="73"/>
        <v>#N/A</v>
      </c>
      <c r="Y175" s="690"/>
      <c r="Z175" s="182"/>
      <c r="AA175" s="182"/>
      <c r="AB175" s="182"/>
      <c r="AC175" s="304" t="e">
        <f t="shared" si="74"/>
        <v>#N/A</v>
      </c>
      <c r="AD175" s="690"/>
      <c r="AE175" s="182"/>
      <c r="AF175" s="182"/>
      <c r="AG175" s="182"/>
      <c r="AH175" s="304" t="e">
        <f t="shared" si="75"/>
        <v>#N/A</v>
      </c>
      <c r="AI175" s="690"/>
      <c r="AJ175" s="182"/>
      <c r="AK175" s="182"/>
      <c r="AL175" s="182"/>
      <c r="AM175" s="304" t="e">
        <f t="shared" si="76"/>
        <v>#N/A</v>
      </c>
      <c r="AN175" s="690"/>
      <c r="AO175" s="182"/>
      <c r="AP175" s="182"/>
      <c r="AQ175" s="182"/>
      <c r="AR175" s="304" t="e">
        <f t="shared" si="77"/>
        <v>#N/A</v>
      </c>
      <c r="AS175" s="690"/>
      <c r="AT175" s="182"/>
      <c r="AU175" s="182"/>
      <c r="AV175" s="182"/>
      <c r="AW175" s="304" t="e">
        <f t="shared" si="78"/>
        <v>#N/A</v>
      </c>
      <c r="AX175" s="690"/>
    </row>
    <row r="176" spans="2:50">
      <c r="B176" s="676"/>
      <c r="C176" s="304">
        <v>30</v>
      </c>
      <c r="D176" s="227"/>
      <c r="E176" s="182"/>
      <c r="F176" s="510"/>
      <c r="G176" s="511"/>
      <c r="H176" s="719"/>
      <c r="I176" s="542" t="e">
        <f t="shared" si="88"/>
        <v>#DIV/0!</v>
      </c>
      <c r="J176" s="542" t="e">
        <f t="shared" si="89"/>
        <v>#DIV/0!</v>
      </c>
      <c r="K176" s="200" t="e">
        <f t="shared" si="90"/>
        <v>#DIV/0!</v>
      </c>
      <c r="L176" s="651"/>
      <c r="M176" s="199" t="e">
        <f>RANK(K176, K$147:$K$176)</f>
        <v>#DIV/0!</v>
      </c>
      <c r="N176" s="668"/>
      <c r="O176" s="668"/>
      <c r="P176" s="182"/>
      <c r="Q176" s="182"/>
      <c r="R176" s="182"/>
      <c r="S176" s="304" t="e">
        <f t="shared" si="65"/>
        <v>#N/A</v>
      </c>
      <c r="T176" s="690"/>
      <c r="U176" s="182"/>
      <c r="V176" s="182"/>
      <c r="W176" s="182"/>
      <c r="X176" s="304" t="e">
        <f t="shared" si="66"/>
        <v>#N/A</v>
      </c>
      <c r="Y176" s="690"/>
      <c r="Z176" s="182"/>
      <c r="AA176" s="182"/>
      <c r="AB176" s="182"/>
      <c r="AC176" s="304" t="e">
        <f t="shared" si="67"/>
        <v>#N/A</v>
      </c>
      <c r="AD176" s="690"/>
      <c r="AE176" s="182"/>
      <c r="AF176" s="182"/>
      <c r="AG176" s="182"/>
      <c r="AH176" s="304" t="e">
        <f t="shared" si="68"/>
        <v>#N/A</v>
      </c>
      <c r="AI176" s="690"/>
      <c r="AJ176" s="182"/>
      <c r="AK176" s="182"/>
      <c r="AL176" s="182"/>
      <c r="AM176" s="304" t="e">
        <f t="shared" si="69"/>
        <v>#N/A</v>
      </c>
      <c r="AN176" s="690"/>
      <c r="AO176" s="182"/>
      <c r="AP176" s="182"/>
      <c r="AQ176" s="182"/>
      <c r="AR176" s="304" t="e">
        <f t="shared" si="70"/>
        <v>#N/A</v>
      </c>
      <c r="AS176" s="690"/>
      <c r="AT176" s="182"/>
      <c r="AU176" s="182"/>
      <c r="AV176" s="182"/>
      <c r="AW176" s="304" t="e">
        <f t="shared" si="71"/>
        <v>#N/A</v>
      </c>
      <c r="AX176" s="690"/>
    </row>
    <row r="177" spans="2:50" ht="15.75">
      <c r="B177" s="680" t="s">
        <v>163</v>
      </c>
      <c r="C177" s="681"/>
      <c r="D177" s="681"/>
      <c r="E177" s="681"/>
      <c r="F177" s="681"/>
      <c r="G177" s="681"/>
      <c r="H177" s="682"/>
      <c r="I177" s="208"/>
      <c r="J177" s="208"/>
      <c r="K177" s="208"/>
      <c r="L177" s="208"/>
      <c r="M177" s="207"/>
      <c r="N177" s="669" t="s">
        <v>156</v>
      </c>
      <c r="O177" s="669" t="s">
        <v>105</v>
      </c>
      <c r="P177" s="675">
        <f>P142+7</f>
        <v>46119</v>
      </c>
      <c r="Q177" s="676"/>
      <c r="R177" s="676"/>
      <c r="S177" s="676"/>
      <c r="T177" s="676"/>
      <c r="U177" s="672">
        <f>P177+1</f>
        <v>46120</v>
      </c>
      <c r="V177" s="673"/>
      <c r="W177" s="673"/>
      <c r="X177" s="673"/>
      <c r="Y177" s="674"/>
      <c r="Z177" s="672">
        <f>U177+1</f>
        <v>46121</v>
      </c>
      <c r="AA177" s="673"/>
      <c r="AB177" s="673"/>
      <c r="AC177" s="673"/>
      <c r="AD177" s="674"/>
      <c r="AE177" s="672">
        <f>Z177+1</f>
        <v>46122</v>
      </c>
      <c r="AF177" s="673"/>
      <c r="AG177" s="673"/>
      <c r="AH177" s="673"/>
      <c r="AI177" s="674"/>
      <c r="AJ177" s="672">
        <f>AE177+1</f>
        <v>46123</v>
      </c>
      <c r="AK177" s="673"/>
      <c r="AL177" s="673"/>
      <c r="AM177" s="673"/>
      <c r="AN177" s="674"/>
      <c r="AO177" s="672">
        <f>AJ177+1</f>
        <v>46124</v>
      </c>
      <c r="AP177" s="673"/>
      <c r="AQ177" s="673"/>
      <c r="AR177" s="673"/>
      <c r="AS177" s="674"/>
      <c r="AT177" s="672">
        <f>AO177+1</f>
        <v>46125</v>
      </c>
      <c r="AU177" s="673"/>
      <c r="AV177" s="673"/>
      <c r="AW177" s="673"/>
      <c r="AX177" s="674"/>
    </row>
    <row r="178" spans="2:50" ht="15.75">
      <c r="B178" s="683"/>
      <c r="C178" s="683"/>
      <c r="D178" s="683"/>
      <c r="E178" s="683"/>
      <c r="F178" s="683"/>
      <c r="G178" s="683"/>
      <c r="H178" s="683"/>
      <c r="I178" s="205"/>
      <c r="J178" s="205"/>
      <c r="K178" s="205"/>
      <c r="L178" s="205"/>
      <c r="M178" s="206"/>
      <c r="N178" s="671"/>
      <c r="O178" s="671"/>
      <c r="P178" s="675" t="s">
        <v>158</v>
      </c>
      <c r="Q178" s="676"/>
      <c r="R178" s="676"/>
      <c r="S178" s="676"/>
      <c r="T178" s="676"/>
      <c r="U178" s="675" t="s">
        <v>114</v>
      </c>
      <c r="V178" s="676"/>
      <c r="W178" s="676"/>
      <c r="X178" s="676"/>
      <c r="Y178" s="676"/>
      <c r="Z178" s="675" t="s">
        <v>159</v>
      </c>
      <c r="AA178" s="676"/>
      <c r="AB178" s="676"/>
      <c r="AC178" s="676"/>
      <c r="AD178" s="676"/>
      <c r="AE178" s="675" t="s">
        <v>157</v>
      </c>
      <c r="AF178" s="676"/>
      <c r="AG178" s="676"/>
      <c r="AH178" s="676"/>
      <c r="AI178" s="676"/>
      <c r="AJ178" s="675" t="s">
        <v>160</v>
      </c>
      <c r="AK178" s="676"/>
      <c r="AL178" s="676"/>
      <c r="AM178" s="676"/>
      <c r="AN178" s="676"/>
      <c r="AO178" s="675" t="s">
        <v>115</v>
      </c>
      <c r="AP178" s="676"/>
      <c r="AQ178" s="676"/>
      <c r="AR178" s="676"/>
      <c r="AS178" s="676"/>
      <c r="AT178" s="675" t="s">
        <v>162</v>
      </c>
      <c r="AU178" s="676"/>
      <c r="AV178" s="676"/>
      <c r="AW178" s="676"/>
      <c r="AX178" s="676"/>
    </row>
    <row r="179" spans="2:50">
      <c r="B179" s="668" t="s">
        <v>154</v>
      </c>
      <c r="C179" s="668" t="s">
        <v>429</v>
      </c>
      <c r="D179" s="668"/>
      <c r="E179" s="668" t="s">
        <v>420</v>
      </c>
      <c r="F179" s="668"/>
      <c r="G179" s="668"/>
      <c r="H179" s="684" t="s">
        <v>416</v>
      </c>
      <c r="I179" s="652" t="s">
        <v>421</v>
      </c>
      <c r="J179" s="652"/>
      <c r="K179" s="652"/>
      <c r="L179" s="653" t="s">
        <v>416</v>
      </c>
      <c r="M179" s="659" t="s">
        <v>417</v>
      </c>
      <c r="N179" s="668"/>
      <c r="O179" s="668" t="s">
        <v>422</v>
      </c>
      <c r="P179" s="665" t="s">
        <v>418</v>
      </c>
      <c r="Q179" s="666"/>
      <c r="R179" s="666"/>
      <c r="S179" s="667"/>
      <c r="T179" s="668" t="s">
        <v>416</v>
      </c>
      <c r="U179" s="665" t="s">
        <v>418</v>
      </c>
      <c r="V179" s="666"/>
      <c r="W179" s="666"/>
      <c r="X179" s="667"/>
      <c r="Y179" s="668" t="s">
        <v>416</v>
      </c>
      <c r="Z179" s="665" t="s">
        <v>418</v>
      </c>
      <c r="AA179" s="666"/>
      <c r="AB179" s="666"/>
      <c r="AC179" s="667"/>
      <c r="AD179" s="668" t="s">
        <v>416</v>
      </c>
      <c r="AE179" s="665" t="s">
        <v>418</v>
      </c>
      <c r="AF179" s="666"/>
      <c r="AG179" s="666"/>
      <c r="AH179" s="667"/>
      <c r="AI179" s="668" t="s">
        <v>416</v>
      </c>
      <c r="AJ179" s="665" t="s">
        <v>418</v>
      </c>
      <c r="AK179" s="666"/>
      <c r="AL179" s="666"/>
      <c r="AM179" s="667"/>
      <c r="AN179" s="668" t="s">
        <v>416</v>
      </c>
      <c r="AO179" s="665" t="s">
        <v>418</v>
      </c>
      <c r="AP179" s="666"/>
      <c r="AQ179" s="666"/>
      <c r="AR179" s="667"/>
      <c r="AS179" s="668" t="s">
        <v>416</v>
      </c>
      <c r="AT179" s="665" t="s">
        <v>418</v>
      </c>
      <c r="AU179" s="666"/>
      <c r="AV179" s="666"/>
      <c r="AW179" s="667"/>
      <c r="AX179" s="668" t="s">
        <v>416</v>
      </c>
    </row>
    <row r="180" spans="2:50">
      <c r="B180" s="668"/>
      <c r="C180" s="668"/>
      <c r="D180" s="668"/>
      <c r="E180" s="668" t="s">
        <v>423</v>
      </c>
      <c r="F180" s="668"/>
      <c r="G180" s="668"/>
      <c r="H180" s="685"/>
      <c r="I180" s="652" t="s">
        <v>423</v>
      </c>
      <c r="J180" s="652"/>
      <c r="K180" s="652"/>
      <c r="L180" s="654"/>
      <c r="M180" s="660"/>
      <c r="N180" s="668"/>
      <c r="O180" s="668"/>
      <c r="P180" s="665" t="s">
        <v>424</v>
      </c>
      <c r="Q180" s="666"/>
      <c r="R180" s="666"/>
      <c r="S180" s="667"/>
      <c r="T180" s="668"/>
      <c r="U180" s="665" t="s">
        <v>424</v>
      </c>
      <c r="V180" s="666"/>
      <c r="W180" s="666"/>
      <c r="X180" s="667"/>
      <c r="Y180" s="668"/>
      <c r="Z180" s="665" t="s">
        <v>424</v>
      </c>
      <c r="AA180" s="666"/>
      <c r="AB180" s="666"/>
      <c r="AC180" s="667"/>
      <c r="AD180" s="668"/>
      <c r="AE180" s="665" t="s">
        <v>424</v>
      </c>
      <c r="AF180" s="666"/>
      <c r="AG180" s="666"/>
      <c r="AH180" s="667"/>
      <c r="AI180" s="668"/>
      <c r="AJ180" s="665" t="s">
        <v>424</v>
      </c>
      <c r="AK180" s="666"/>
      <c r="AL180" s="666"/>
      <c r="AM180" s="667"/>
      <c r="AN180" s="668"/>
      <c r="AO180" s="665" t="s">
        <v>424</v>
      </c>
      <c r="AP180" s="666"/>
      <c r="AQ180" s="666"/>
      <c r="AR180" s="667"/>
      <c r="AS180" s="668"/>
      <c r="AT180" s="665" t="s">
        <v>424</v>
      </c>
      <c r="AU180" s="666"/>
      <c r="AV180" s="666"/>
      <c r="AW180" s="667"/>
      <c r="AX180" s="668"/>
    </row>
    <row r="181" spans="2:50">
      <c r="B181" s="668"/>
      <c r="C181" s="668"/>
      <c r="D181" s="668"/>
      <c r="E181" s="344" t="s">
        <v>425</v>
      </c>
      <c r="F181" s="344" t="s">
        <v>426</v>
      </c>
      <c r="G181" s="344" t="s">
        <v>427</v>
      </c>
      <c r="H181" s="686"/>
      <c r="I181" s="345" t="s">
        <v>425</v>
      </c>
      <c r="J181" s="345" t="s">
        <v>426</v>
      </c>
      <c r="K181" s="345" t="s">
        <v>427</v>
      </c>
      <c r="L181" s="655"/>
      <c r="M181" s="661"/>
      <c r="N181" s="668"/>
      <c r="O181" s="668"/>
      <c r="P181" s="344" t="s">
        <v>425</v>
      </c>
      <c r="Q181" s="344" t="s">
        <v>426</v>
      </c>
      <c r="R181" s="344" t="s">
        <v>427</v>
      </c>
      <c r="S181" s="344" t="s">
        <v>417</v>
      </c>
      <c r="T181" s="668"/>
      <c r="U181" s="344" t="s">
        <v>425</v>
      </c>
      <c r="V181" s="344" t="s">
        <v>426</v>
      </c>
      <c r="W181" s="344" t="s">
        <v>427</v>
      </c>
      <c r="X181" s="344" t="s">
        <v>417</v>
      </c>
      <c r="Y181" s="668"/>
      <c r="Z181" s="344" t="s">
        <v>425</v>
      </c>
      <c r="AA181" s="344" t="s">
        <v>426</v>
      </c>
      <c r="AB181" s="344" t="s">
        <v>427</v>
      </c>
      <c r="AC181" s="344" t="s">
        <v>417</v>
      </c>
      <c r="AD181" s="668"/>
      <c r="AE181" s="344" t="s">
        <v>425</v>
      </c>
      <c r="AF181" s="344" t="s">
        <v>426</v>
      </c>
      <c r="AG181" s="344" t="s">
        <v>427</v>
      </c>
      <c r="AH181" s="344" t="s">
        <v>417</v>
      </c>
      <c r="AI181" s="668"/>
      <c r="AJ181" s="344" t="s">
        <v>425</v>
      </c>
      <c r="AK181" s="344" t="s">
        <v>426</v>
      </c>
      <c r="AL181" s="344" t="s">
        <v>427</v>
      </c>
      <c r="AM181" s="344" t="s">
        <v>417</v>
      </c>
      <c r="AN181" s="668"/>
      <c r="AO181" s="344" t="s">
        <v>425</v>
      </c>
      <c r="AP181" s="344" t="s">
        <v>426</v>
      </c>
      <c r="AQ181" s="344" t="s">
        <v>427</v>
      </c>
      <c r="AR181" s="344" t="s">
        <v>417</v>
      </c>
      <c r="AS181" s="668"/>
      <c r="AT181" s="344" t="s">
        <v>425</v>
      </c>
      <c r="AU181" s="344" t="s">
        <v>426</v>
      </c>
      <c r="AV181" s="344" t="s">
        <v>427</v>
      </c>
      <c r="AW181" s="344" t="s">
        <v>417</v>
      </c>
      <c r="AX181" s="668"/>
    </row>
    <row r="182" spans="2:50">
      <c r="B182" s="668" t="s">
        <v>134</v>
      </c>
      <c r="C182" s="343">
        <v>1</v>
      </c>
      <c r="D182" s="227"/>
      <c r="E182" s="182"/>
      <c r="F182" s="510"/>
      <c r="G182" s="511"/>
      <c r="H182" s="717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49" t="str">
        <f>IFERROR(AVERAGE(K182:K211),"-")</f>
        <v>-</v>
      </c>
      <c r="M182" s="201" t="e">
        <f>RANK(K182, K$147:$K$176)</f>
        <v>#DIV/0!</v>
      </c>
      <c r="N182" s="668"/>
      <c r="O182" s="668"/>
      <c r="P182" s="182"/>
      <c r="Q182" s="182"/>
      <c r="R182" s="182"/>
      <c r="S182" s="343" t="e">
        <f>RANK(R182, R$182:R$211)</f>
        <v>#N/A</v>
      </c>
      <c r="T182" s="690" t="e">
        <f>AVERAGE(R182:R211)</f>
        <v>#DIV/0!</v>
      </c>
      <c r="U182" s="182"/>
      <c r="V182" s="182"/>
      <c r="W182" s="182"/>
      <c r="X182" s="500" t="e">
        <f>RANK(W182, W$182:W$211)</f>
        <v>#N/A</v>
      </c>
      <c r="Y182" s="690" t="e">
        <f>AVERAGE(W182:W211)</f>
        <v>#DIV/0!</v>
      </c>
      <c r="Z182" s="182"/>
      <c r="AA182" s="182"/>
      <c r="AB182" s="182"/>
      <c r="AC182" s="500" t="e">
        <f>RANK(AB182, AB$182:AB$211)</f>
        <v>#N/A</v>
      </c>
      <c r="AD182" s="690" t="e">
        <f>AVERAGE(AB182:AB211)</f>
        <v>#DIV/0!</v>
      </c>
      <c r="AE182" s="182"/>
      <c r="AF182" s="182"/>
      <c r="AG182" s="182"/>
      <c r="AH182" s="500" t="e">
        <f>RANK(AG182, AG$182:AG$211)</f>
        <v>#N/A</v>
      </c>
      <c r="AI182" s="690" t="e">
        <f>AVERAGE(AG182:AG211)</f>
        <v>#DIV/0!</v>
      </c>
      <c r="AJ182" s="182"/>
      <c r="AK182" s="182"/>
      <c r="AL182" s="182"/>
      <c r="AM182" s="500" t="e">
        <f>RANK(AL182, AL$182:AL$211)</f>
        <v>#N/A</v>
      </c>
      <c r="AN182" s="690" t="e">
        <f>AVERAGE(AL182:AL211)</f>
        <v>#DIV/0!</v>
      </c>
      <c r="AO182" s="182"/>
      <c r="AP182" s="182"/>
      <c r="AQ182" s="182"/>
      <c r="AR182" s="500" t="e">
        <f>RANK(AQ182, AQ$182:AQ$211)</f>
        <v>#N/A</v>
      </c>
      <c r="AS182" s="690" t="e">
        <f>AVERAGE(AQ182:AQ211)</f>
        <v>#DIV/0!</v>
      </c>
      <c r="AT182" s="182"/>
      <c r="AU182" s="182"/>
      <c r="AV182" s="182"/>
      <c r="AW182" s="500" t="e">
        <f>RANK(AV182, AV$182:AV$211)</f>
        <v>#N/A</v>
      </c>
      <c r="AX182" s="690" t="e">
        <f>AVERAGE(AV182:AV211)</f>
        <v>#DIV/0!</v>
      </c>
    </row>
    <row r="183" spans="2:50">
      <c r="B183" s="676"/>
      <c r="C183" s="343">
        <v>2</v>
      </c>
      <c r="D183" s="227"/>
      <c r="E183" s="182"/>
      <c r="F183" s="510"/>
      <c r="G183" s="511"/>
      <c r="H183" s="718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50"/>
      <c r="M183" s="201" t="e">
        <f>RANK(K183, K$147:$K$176)</f>
        <v>#DIV/0!</v>
      </c>
      <c r="N183" s="668"/>
      <c r="O183" s="668"/>
      <c r="P183" s="182"/>
      <c r="Q183" s="182"/>
      <c r="R183" s="182"/>
      <c r="S183" s="500" t="e">
        <f t="shared" ref="S183:S211" si="94">RANK(R183, R$182:R$211)</f>
        <v>#N/A</v>
      </c>
      <c r="T183" s="690"/>
      <c r="U183" s="182"/>
      <c r="V183" s="182"/>
      <c r="W183" s="182"/>
      <c r="X183" s="500" t="e">
        <f t="shared" ref="X183:X211" si="95">RANK(W183, W$182:W$211)</f>
        <v>#N/A</v>
      </c>
      <c r="Y183" s="690"/>
      <c r="Z183" s="182"/>
      <c r="AA183" s="182"/>
      <c r="AB183" s="182"/>
      <c r="AC183" s="500" t="e">
        <f t="shared" ref="AC183:AC211" si="96">RANK(AB183, AB$182:AB$211)</f>
        <v>#N/A</v>
      </c>
      <c r="AD183" s="690"/>
      <c r="AE183" s="182"/>
      <c r="AF183" s="182"/>
      <c r="AG183" s="182"/>
      <c r="AH183" s="500" t="e">
        <f t="shared" ref="AH183:AH211" si="97">RANK(AG183, AG$182:AG$211)</f>
        <v>#N/A</v>
      </c>
      <c r="AI183" s="690"/>
      <c r="AJ183" s="182"/>
      <c r="AK183" s="182"/>
      <c r="AL183" s="182"/>
      <c r="AM183" s="500" t="e">
        <f t="shared" ref="AM183:AM211" si="98">RANK(AL183, AL$182:AL$211)</f>
        <v>#N/A</v>
      </c>
      <c r="AN183" s="690"/>
      <c r="AO183" s="182"/>
      <c r="AP183" s="182"/>
      <c r="AQ183" s="182"/>
      <c r="AR183" s="500" t="e">
        <f t="shared" ref="AR183:AR211" si="99">RANK(AQ183, AQ$182:AQ$211)</f>
        <v>#N/A</v>
      </c>
      <c r="AS183" s="690"/>
      <c r="AT183" s="182"/>
      <c r="AU183" s="182"/>
      <c r="AV183" s="182"/>
      <c r="AW183" s="500" t="e">
        <f t="shared" ref="AW183:AW211" si="100">RANK(AV183, AV$182:AV$211)</f>
        <v>#N/A</v>
      </c>
      <c r="AX183" s="690"/>
    </row>
    <row r="184" spans="2:50">
      <c r="B184" s="676"/>
      <c r="C184" s="343">
        <v>3</v>
      </c>
      <c r="D184" s="227"/>
      <c r="E184" s="182"/>
      <c r="F184" s="510"/>
      <c r="G184" s="511"/>
      <c r="H184" s="718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50"/>
      <c r="M184" s="201" t="e">
        <f>RANK(K184, K$147:$K$176)</f>
        <v>#DIV/0!</v>
      </c>
      <c r="N184" s="668"/>
      <c r="O184" s="668"/>
      <c r="P184" s="182"/>
      <c r="Q184" s="182"/>
      <c r="R184" s="182"/>
      <c r="S184" s="500" t="e">
        <f t="shared" si="94"/>
        <v>#N/A</v>
      </c>
      <c r="T184" s="690"/>
      <c r="U184" s="182"/>
      <c r="V184" s="182"/>
      <c r="W184" s="182"/>
      <c r="X184" s="500" t="e">
        <f t="shared" si="95"/>
        <v>#N/A</v>
      </c>
      <c r="Y184" s="690"/>
      <c r="Z184" s="182"/>
      <c r="AA184" s="182"/>
      <c r="AB184" s="182"/>
      <c r="AC184" s="500" t="e">
        <f t="shared" si="96"/>
        <v>#N/A</v>
      </c>
      <c r="AD184" s="690"/>
      <c r="AE184" s="182"/>
      <c r="AF184" s="182"/>
      <c r="AG184" s="182"/>
      <c r="AH184" s="500" t="e">
        <f t="shared" si="97"/>
        <v>#N/A</v>
      </c>
      <c r="AI184" s="690"/>
      <c r="AJ184" s="182"/>
      <c r="AK184" s="182"/>
      <c r="AL184" s="182"/>
      <c r="AM184" s="500" t="e">
        <f t="shared" si="98"/>
        <v>#N/A</v>
      </c>
      <c r="AN184" s="690"/>
      <c r="AO184" s="182"/>
      <c r="AP184" s="182"/>
      <c r="AQ184" s="182"/>
      <c r="AR184" s="500" t="e">
        <f t="shared" si="99"/>
        <v>#N/A</v>
      </c>
      <c r="AS184" s="690"/>
      <c r="AT184" s="182"/>
      <c r="AU184" s="182"/>
      <c r="AV184" s="182"/>
      <c r="AW184" s="500" t="e">
        <f t="shared" si="100"/>
        <v>#N/A</v>
      </c>
      <c r="AX184" s="690"/>
    </row>
    <row r="185" spans="2:50">
      <c r="B185" s="676"/>
      <c r="C185" s="343">
        <v>4</v>
      </c>
      <c r="D185" s="227"/>
      <c r="E185" s="182"/>
      <c r="F185" s="510"/>
      <c r="G185" s="511"/>
      <c r="H185" s="718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50"/>
      <c r="M185" s="201" t="e">
        <f>RANK(K185, K$147:$K$176)</f>
        <v>#DIV/0!</v>
      </c>
      <c r="N185" s="668"/>
      <c r="O185" s="668"/>
      <c r="P185" s="182"/>
      <c r="Q185" s="182"/>
      <c r="R185" s="182"/>
      <c r="S185" s="500" t="e">
        <f t="shared" si="94"/>
        <v>#N/A</v>
      </c>
      <c r="T185" s="690"/>
      <c r="U185" s="182"/>
      <c r="V185" s="182"/>
      <c r="W185" s="182"/>
      <c r="X185" s="500" t="e">
        <f t="shared" si="95"/>
        <v>#N/A</v>
      </c>
      <c r="Y185" s="690"/>
      <c r="Z185" s="182"/>
      <c r="AA185" s="182"/>
      <c r="AB185" s="182"/>
      <c r="AC185" s="500" t="e">
        <f t="shared" si="96"/>
        <v>#N/A</v>
      </c>
      <c r="AD185" s="690"/>
      <c r="AE185" s="182"/>
      <c r="AF185" s="182"/>
      <c r="AG185" s="182"/>
      <c r="AH185" s="500" t="e">
        <f t="shared" si="97"/>
        <v>#N/A</v>
      </c>
      <c r="AI185" s="690"/>
      <c r="AJ185" s="182"/>
      <c r="AK185" s="182"/>
      <c r="AL185" s="182"/>
      <c r="AM185" s="500" t="e">
        <f t="shared" si="98"/>
        <v>#N/A</v>
      </c>
      <c r="AN185" s="690"/>
      <c r="AO185" s="182"/>
      <c r="AP185" s="182"/>
      <c r="AQ185" s="182"/>
      <c r="AR185" s="500" t="e">
        <f t="shared" si="99"/>
        <v>#N/A</v>
      </c>
      <c r="AS185" s="690"/>
      <c r="AT185" s="182"/>
      <c r="AU185" s="182"/>
      <c r="AV185" s="182"/>
      <c r="AW185" s="500" t="e">
        <f t="shared" si="100"/>
        <v>#N/A</v>
      </c>
      <c r="AX185" s="690"/>
    </row>
    <row r="186" spans="2:50">
      <c r="B186" s="676"/>
      <c r="C186" s="343">
        <v>5</v>
      </c>
      <c r="D186" s="227"/>
      <c r="E186" s="182"/>
      <c r="F186" s="510"/>
      <c r="G186" s="511"/>
      <c r="H186" s="718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50"/>
      <c r="M186" s="201" t="e">
        <f>RANK(K186, K$147:$K$176)</f>
        <v>#DIV/0!</v>
      </c>
      <c r="N186" s="668"/>
      <c r="O186" s="668"/>
      <c r="P186" s="182"/>
      <c r="Q186" s="182"/>
      <c r="R186" s="182"/>
      <c r="S186" s="500" t="e">
        <f t="shared" si="94"/>
        <v>#N/A</v>
      </c>
      <c r="T186" s="690"/>
      <c r="U186" s="182"/>
      <c r="V186" s="182"/>
      <c r="W186" s="182"/>
      <c r="X186" s="500" t="e">
        <f t="shared" si="95"/>
        <v>#N/A</v>
      </c>
      <c r="Y186" s="690"/>
      <c r="Z186" s="182"/>
      <c r="AA186" s="182"/>
      <c r="AB186" s="182"/>
      <c r="AC186" s="500" t="e">
        <f t="shared" si="96"/>
        <v>#N/A</v>
      </c>
      <c r="AD186" s="690"/>
      <c r="AE186" s="182"/>
      <c r="AF186" s="182"/>
      <c r="AG186" s="182"/>
      <c r="AH186" s="500" t="e">
        <f t="shared" si="97"/>
        <v>#N/A</v>
      </c>
      <c r="AI186" s="690"/>
      <c r="AJ186" s="182"/>
      <c r="AK186" s="182"/>
      <c r="AL186" s="182"/>
      <c r="AM186" s="500" t="e">
        <f t="shared" si="98"/>
        <v>#N/A</v>
      </c>
      <c r="AN186" s="690"/>
      <c r="AO186" s="182"/>
      <c r="AP186" s="182"/>
      <c r="AQ186" s="182"/>
      <c r="AR186" s="500" t="e">
        <f t="shared" si="99"/>
        <v>#N/A</v>
      </c>
      <c r="AS186" s="690"/>
      <c r="AT186" s="182"/>
      <c r="AU186" s="182"/>
      <c r="AV186" s="182"/>
      <c r="AW186" s="500" t="e">
        <f t="shared" si="100"/>
        <v>#N/A</v>
      </c>
      <c r="AX186" s="690"/>
    </row>
    <row r="187" spans="2:50">
      <c r="B187" s="676"/>
      <c r="C187" s="343">
        <v>6</v>
      </c>
      <c r="D187" s="227"/>
      <c r="E187" s="182"/>
      <c r="F187" s="510"/>
      <c r="G187" s="511"/>
      <c r="H187" s="718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50"/>
      <c r="M187" s="201" t="e">
        <f>RANK(K187, K$147:$K$176)</f>
        <v>#DIV/0!</v>
      </c>
      <c r="N187" s="668"/>
      <c r="O187" s="668"/>
      <c r="P187" s="182"/>
      <c r="Q187" s="182"/>
      <c r="R187" s="182"/>
      <c r="S187" s="500" t="e">
        <f t="shared" si="94"/>
        <v>#N/A</v>
      </c>
      <c r="T187" s="690"/>
      <c r="U187" s="182"/>
      <c r="V187" s="182"/>
      <c r="W187" s="182"/>
      <c r="X187" s="500" t="e">
        <f t="shared" si="95"/>
        <v>#N/A</v>
      </c>
      <c r="Y187" s="690"/>
      <c r="Z187" s="182"/>
      <c r="AA187" s="182"/>
      <c r="AB187" s="182"/>
      <c r="AC187" s="500" t="e">
        <f t="shared" si="96"/>
        <v>#N/A</v>
      </c>
      <c r="AD187" s="690"/>
      <c r="AE187" s="182"/>
      <c r="AF187" s="182"/>
      <c r="AG187" s="182"/>
      <c r="AH187" s="500" t="e">
        <f t="shared" si="97"/>
        <v>#N/A</v>
      </c>
      <c r="AI187" s="690"/>
      <c r="AJ187" s="182"/>
      <c r="AK187" s="182"/>
      <c r="AL187" s="182"/>
      <c r="AM187" s="500" t="e">
        <f t="shared" si="98"/>
        <v>#N/A</v>
      </c>
      <c r="AN187" s="690"/>
      <c r="AO187" s="182"/>
      <c r="AP187" s="182"/>
      <c r="AQ187" s="182"/>
      <c r="AR187" s="500" t="e">
        <f t="shared" si="99"/>
        <v>#N/A</v>
      </c>
      <c r="AS187" s="690"/>
      <c r="AT187" s="182"/>
      <c r="AU187" s="182"/>
      <c r="AV187" s="182"/>
      <c r="AW187" s="500" t="e">
        <f t="shared" si="100"/>
        <v>#N/A</v>
      </c>
      <c r="AX187" s="690"/>
    </row>
    <row r="188" spans="2:50">
      <c r="B188" s="676"/>
      <c r="C188" s="343">
        <v>7</v>
      </c>
      <c r="D188" s="227"/>
      <c r="E188" s="182"/>
      <c r="F188" s="510"/>
      <c r="G188" s="511"/>
      <c r="H188" s="718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50"/>
      <c r="M188" s="201" t="e">
        <f>RANK(K188, K$147:$K$176)</f>
        <v>#DIV/0!</v>
      </c>
      <c r="N188" s="668"/>
      <c r="O188" s="668"/>
      <c r="P188" s="182"/>
      <c r="Q188" s="182"/>
      <c r="R188" s="182"/>
      <c r="S188" s="500" t="e">
        <f t="shared" si="94"/>
        <v>#N/A</v>
      </c>
      <c r="T188" s="690"/>
      <c r="U188" s="182"/>
      <c r="V188" s="182"/>
      <c r="W188" s="182"/>
      <c r="X188" s="500" t="e">
        <f t="shared" si="95"/>
        <v>#N/A</v>
      </c>
      <c r="Y188" s="690"/>
      <c r="Z188" s="182"/>
      <c r="AA188" s="182"/>
      <c r="AB188" s="182"/>
      <c r="AC188" s="500" t="e">
        <f t="shared" si="96"/>
        <v>#N/A</v>
      </c>
      <c r="AD188" s="690"/>
      <c r="AE188" s="182"/>
      <c r="AF188" s="182"/>
      <c r="AG188" s="182"/>
      <c r="AH188" s="500" t="e">
        <f t="shared" si="97"/>
        <v>#N/A</v>
      </c>
      <c r="AI188" s="690"/>
      <c r="AJ188" s="182"/>
      <c r="AK188" s="182"/>
      <c r="AL188" s="182"/>
      <c r="AM188" s="500" t="e">
        <f t="shared" si="98"/>
        <v>#N/A</v>
      </c>
      <c r="AN188" s="690"/>
      <c r="AO188" s="182"/>
      <c r="AP188" s="182"/>
      <c r="AQ188" s="182"/>
      <c r="AR188" s="500" t="e">
        <f t="shared" si="99"/>
        <v>#N/A</v>
      </c>
      <c r="AS188" s="690"/>
      <c r="AT188" s="182"/>
      <c r="AU188" s="182"/>
      <c r="AV188" s="182"/>
      <c r="AW188" s="500" t="e">
        <f t="shared" si="100"/>
        <v>#N/A</v>
      </c>
      <c r="AX188" s="690"/>
    </row>
    <row r="189" spans="2:50">
      <c r="B189" s="676"/>
      <c r="C189" s="343">
        <v>8</v>
      </c>
      <c r="D189" s="227"/>
      <c r="E189" s="182"/>
      <c r="F189" s="510"/>
      <c r="G189" s="511"/>
      <c r="H189" s="718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50"/>
      <c r="M189" s="201" t="e">
        <f>RANK(K189, K$147:$K$176)</f>
        <v>#DIV/0!</v>
      </c>
      <c r="N189" s="668"/>
      <c r="O189" s="668"/>
      <c r="P189" s="182"/>
      <c r="Q189" s="182"/>
      <c r="R189" s="182"/>
      <c r="S189" s="500" t="e">
        <f t="shared" si="94"/>
        <v>#N/A</v>
      </c>
      <c r="T189" s="690"/>
      <c r="U189" s="182"/>
      <c r="V189" s="182"/>
      <c r="W189" s="182"/>
      <c r="X189" s="500" t="e">
        <f t="shared" si="95"/>
        <v>#N/A</v>
      </c>
      <c r="Y189" s="690"/>
      <c r="Z189" s="182"/>
      <c r="AA189" s="182"/>
      <c r="AB189" s="182"/>
      <c r="AC189" s="500" t="e">
        <f t="shared" si="96"/>
        <v>#N/A</v>
      </c>
      <c r="AD189" s="690"/>
      <c r="AE189" s="182"/>
      <c r="AF189" s="182"/>
      <c r="AG189" s="182"/>
      <c r="AH189" s="500" t="e">
        <f t="shared" si="97"/>
        <v>#N/A</v>
      </c>
      <c r="AI189" s="690"/>
      <c r="AJ189" s="182"/>
      <c r="AK189" s="182"/>
      <c r="AL189" s="182"/>
      <c r="AM189" s="500" t="e">
        <f t="shared" si="98"/>
        <v>#N/A</v>
      </c>
      <c r="AN189" s="690"/>
      <c r="AO189" s="182"/>
      <c r="AP189" s="182"/>
      <c r="AQ189" s="182"/>
      <c r="AR189" s="500" t="e">
        <f t="shared" si="99"/>
        <v>#N/A</v>
      </c>
      <c r="AS189" s="690"/>
      <c r="AT189" s="182"/>
      <c r="AU189" s="182"/>
      <c r="AV189" s="182"/>
      <c r="AW189" s="500" t="e">
        <f t="shared" si="100"/>
        <v>#N/A</v>
      </c>
      <c r="AX189" s="690"/>
    </row>
    <row r="190" spans="2:50">
      <c r="B190" s="676"/>
      <c r="C190" s="343">
        <v>9</v>
      </c>
      <c r="D190" s="227"/>
      <c r="E190" s="182"/>
      <c r="F190" s="510"/>
      <c r="G190" s="511"/>
      <c r="H190" s="718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50"/>
      <c r="M190" s="201" t="e">
        <f>RANK(K190, K$147:$K$176)</f>
        <v>#DIV/0!</v>
      </c>
      <c r="N190" s="668"/>
      <c r="O190" s="668"/>
      <c r="P190" s="182"/>
      <c r="Q190" s="182"/>
      <c r="R190" s="182"/>
      <c r="S190" s="500" t="e">
        <f t="shared" si="94"/>
        <v>#N/A</v>
      </c>
      <c r="T190" s="690"/>
      <c r="U190" s="182"/>
      <c r="V190" s="182"/>
      <c r="W190" s="182"/>
      <c r="X190" s="500" t="e">
        <f t="shared" si="95"/>
        <v>#N/A</v>
      </c>
      <c r="Y190" s="690"/>
      <c r="Z190" s="182"/>
      <c r="AA190" s="182"/>
      <c r="AB190" s="182"/>
      <c r="AC190" s="500" t="e">
        <f t="shared" si="96"/>
        <v>#N/A</v>
      </c>
      <c r="AD190" s="690"/>
      <c r="AE190" s="182"/>
      <c r="AF190" s="182"/>
      <c r="AG190" s="182"/>
      <c r="AH190" s="500" t="e">
        <f t="shared" si="97"/>
        <v>#N/A</v>
      </c>
      <c r="AI190" s="690"/>
      <c r="AJ190" s="182"/>
      <c r="AK190" s="182"/>
      <c r="AL190" s="182"/>
      <c r="AM190" s="500" t="e">
        <f t="shared" si="98"/>
        <v>#N/A</v>
      </c>
      <c r="AN190" s="690"/>
      <c r="AO190" s="182"/>
      <c r="AP190" s="182"/>
      <c r="AQ190" s="182"/>
      <c r="AR190" s="500" t="e">
        <f t="shared" si="99"/>
        <v>#N/A</v>
      </c>
      <c r="AS190" s="690"/>
      <c r="AT190" s="182"/>
      <c r="AU190" s="182"/>
      <c r="AV190" s="182"/>
      <c r="AW190" s="500" t="e">
        <f t="shared" si="100"/>
        <v>#N/A</v>
      </c>
      <c r="AX190" s="690"/>
    </row>
    <row r="191" spans="2:50">
      <c r="B191" s="676"/>
      <c r="C191" s="343">
        <v>10</v>
      </c>
      <c r="D191" s="227"/>
      <c r="E191" s="182"/>
      <c r="F191" s="510"/>
      <c r="G191" s="511"/>
      <c r="H191" s="718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50"/>
      <c r="M191" s="201" t="e">
        <f>RANK(K191, K$147:$K$176)</f>
        <v>#DIV/0!</v>
      </c>
      <c r="N191" s="668"/>
      <c r="O191" s="668"/>
      <c r="P191" s="182"/>
      <c r="Q191" s="182"/>
      <c r="R191" s="182"/>
      <c r="S191" s="500" t="e">
        <f t="shared" si="94"/>
        <v>#N/A</v>
      </c>
      <c r="T191" s="690"/>
      <c r="U191" s="182"/>
      <c r="V191" s="182"/>
      <c r="W191" s="182"/>
      <c r="X191" s="500" t="e">
        <f t="shared" si="95"/>
        <v>#N/A</v>
      </c>
      <c r="Y191" s="690"/>
      <c r="Z191" s="182"/>
      <c r="AA191" s="182"/>
      <c r="AB191" s="182"/>
      <c r="AC191" s="500" t="e">
        <f t="shared" si="96"/>
        <v>#N/A</v>
      </c>
      <c r="AD191" s="690"/>
      <c r="AE191" s="182"/>
      <c r="AF191" s="182"/>
      <c r="AG191" s="182"/>
      <c r="AH191" s="500" t="e">
        <f t="shared" si="97"/>
        <v>#N/A</v>
      </c>
      <c r="AI191" s="690"/>
      <c r="AJ191" s="182"/>
      <c r="AK191" s="182"/>
      <c r="AL191" s="182"/>
      <c r="AM191" s="500" t="e">
        <f t="shared" si="98"/>
        <v>#N/A</v>
      </c>
      <c r="AN191" s="690"/>
      <c r="AO191" s="182"/>
      <c r="AP191" s="182"/>
      <c r="AQ191" s="182"/>
      <c r="AR191" s="500" t="e">
        <f t="shared" si="99"/>
        <v>#N/A</v>
      </c>
      <c r="AS191" s="690"/>
      <c r="AT191" s="182"/>
      <c r="AU191" s="182"/>
      <c r="AV191" s="182"/>
      <c r="AW191" s="500" t="e">
        <f t="shared" si="100"/>
        <v>#N/A</v>
      </c>
      <c r="AX191" s="690"/>
    </row>
    <row r="192" spans="2:50">
      <c r="B192" s="676"/>
      <c r="C192" s="343">
        <v>11</v>
      </c>
      <c r="D192" s="227"/>
      <c r="E192" s="182"/>
      <c r="F192" s="510"/>
      <c r="G192" s="511"/>
      <c r="H192" s="718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50"/>
      <c r="M192" s="201" t="e">
        <f>RANK(K192, K$147:$K$176)</f>
        <v>#DIV/0!</v>
      </c>
      <c r="N192" s="668"/>
      <c r="O192" s="668"/>
      <c r="P192" s="182"/>
      <c r="Q192" s="182"/>
      <c r="R192" s="182"/>
      <c r="S192" s="500" t="e">
        <f t="shared" si="94"/>
        <v>#N/A</v>
      </c>
      <c r="T192" s="690"/>
      <c r="U192" s="182"/>
      <c r="V192" s="182"/>
      <c r="W192" s="182"/>
      <c r="X192" s="500" t="e">
        <f t="shared" si="95"/>
        <v>#N/A</v>
      </c>
      <c r="Y192" s="690"/>
      <c r="Z192" s="182"/>
      <c r="AA192" s="182"/>
      <c r="AB192" s="182"/>
      <c r="AC192" s="500" t="e">
        <f t="shared" si="96"/>
        <v>#N/A</v>
      </c>
      <c r="AD192" s="690"/>
      <c r="AE192" s="182"/>
      <c r="AF192" s="182"/>
      <c r="AG192" s="182"/>
      <c r="AH192" s="500" t="e">
        <f t="shared" si="97"/>
        <v>#N/A</v>
      </c>
      <c r="AI192" s="690"/>
      <c r="AJ192" s="182"/>
      <c r="AK192" s="182"/>
      <c r="AL192" s="182"/>
      <c r="AM192" s="500" t="e">
        <f t="shared" si="98"/>
        <v>#N/A</v>
      </c>
      <c r="AN192" s="690"/>
      <c r="AO192" s="182"/>
      <c r="AP192" s="182"/>
      <c r="AQ192" s="182"/>
      <c r="AR192" s="500" t="e">
        <f t="shared" si="99"/>
        <v>#N/A</v>
      </c>
      <c r="AS192" s="690"/>
      <c r="AT192" s="182"/>
      <c r="AU192" s="182"/>
      <c r="AV192" s="182"/>
      <c r="AW192" s="500" t="e">
        <f t="shared" si="100"/>
        <v>#N/A</v>
      </c>
      <c r="AX192" s="690"/>
    </row>
    <row r="193" spans="2:50">
      <c r="B193" s="676"/>
      <c r="C193" s="343">
        <v>12</v>
      </c>
      <c r="D193" s="227"/>
      <c r="E193" s="182"/>
      <c r="F193" s="510"/>
      <c r="G193" s="511"/>
      <c r="H193" s="718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50"/>
      <c r="M193" s="201" t="e">
        <f>RANK(K193, K$147:$K$176)</f>
        <v>#DIV/0!</v>
      </c>
      <c r="N193" s="668"/>
      <c r="O193" s="668"/>
      <c r="P193" s="182"/>
      <c r="Q193" s="182"/>
      <c r="R193" s="182"/>
      <c r="S193" s="500" t="e">
        <f t="shared" si="94"/>
        <v>#N/A</v>
      </c>
      <c r="T193" s="690"/>
      <c r="U193" s="182"/>
      <c r="V193" s="182"/>
      <c r="W193" s="182"/>
      <c r="X193" s="500" t="e">
        <f t="shared" si="95"/>
        <v>#N/A</v>
      </c>
      <c r="Y193" s="690"/>
      <c r="Z193" s="182"/>
      <c r="AA193" s="182"/>
      <c r="AB193" s="182"/>
      <c r="AC193" s="500" t="e">
        <f t="shared" si="96"/>
        <v>#N/A</v>
      </c>
      <c r="AD193" s="690"/>
      <c r="AE193" s="182"/>
      <c r="AF193" s="182"/>
      <c r="AG193" s="182"/>
      <c r="AH193" s="500" t="e">
        <f t="shared" si="97"/>
        <v>#N/A</v>
      </c>
      <c r="AI193" s="690"/>
      <c r="AJ193" s="182"/>
      <c r="AK193" s="182"/>
      <c r="AL193" s="182"/>
      <c r="AM193" s="500" t="e">
        <f t="shared" si="98"/>
        <v>#N/A</v>
      </c>
      <c r="AN193" s="690"/>
      <c r="AO193" s="182"/>
      <c r="AP193" s="182"/>
      <c r="AQ193" s="182"/>
      <c r="AR193" s="500" t="e">
        <f t="shared" si="99"/>
        <v>#N/A</v>
      </c>
      <c r="AS193" s="690"/>
      <c r="AT193" s="182"/>
      <c r="AU193" s="182"/>
      <c r="AV193" s="182"/>
      <c r="AW193" s="500" t="e">
        <f t="shared" si="100"/>
        <v>#N/A</v>
      </c>
      <c r="AX193" s="690"/>
    </row>
    <row r="194" spans="2:50">
      <c r="B194" s="676"/>
      <c r="C194" s="343">
        <v>13</v>
      </c>
      <c r="D194" s="227"/>
      <c r="E194" s="182"/>
      <c r="F194" s="510"/>
      <c r="G194" s="511"/>
      <c r="H194" s="718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50"/>
      <c r="M194" s="201" t="e">
        <f>RANK(K194, K$147:$K$176)</f>
        <v>#DIV/0!</v>
      </c>
      <c r="N194" s="668"/>
      <c r="O194" s="668"/>
      <c r="P194" s="182"/>
      <c r="Q194" s="182"/>
      <c r="R194" s="182"/>
      <c r="S194" s="500" t="e">
        <f t="shared" si="94"/>
        <v>#N/A</v>
      </c>
      <c r="T194" s="690"/>
      <c r="U194" s="182"/>
      <c r="V194" s="182"/>
      <c r="W194" s="182"/>
      <c r="X194" s="500" t="e">
        <f t="shared" si="95"/>
        <v>#N/A</v>
      </c>
      <c r="Y194" s="690"/>
      <c r="Z194" s="182"/>
      <c r="AA194" s="182"/>
      <c r="AB194" s="182"/>
      <c r="AC194" s="500" t="e">
        <f t="shared" si="96"/>
        <v>#N/A</v>
      </c>
      <c r="AD194" s="690"/>
      <c r="AE194" s="182"/>
      <c r="AF194" s="182"/>
      <c r="AG194" s="182"/>
      <c r="AH194" s="500" t="e">
        <f t="shared" si="97"/>
        <v>#N/A</v>
      </c>
      <c r="AI194" s="690"/>
      <c r="AJ194" s="182"/>
      <c r="AK194" s="182"/>
      <c r="AL194" s="182"/>
      <c r="AM194" s="500" t="e">
        <f t="shared" si="98"/>
        <v>#N/A</v>
      </c>
      <c r="AN194" s="690"/>
      <c r="AO194" s="182"/>
      <c r="AP194" s="182"/>
      <c r="AQ194" s="182"/>
      <c r="AR194" s="500" t="e">
        <f t="shared" si="99"/>
        <v>#N/A</v>
      </c>
      <c r="AS194" s="690"/>
      <c r="AT194" s="182"/>
      <c r="AU194" s="182"/>
      <c r="AV194" s="182"/>
      <c r="AW194" s="500" t="e">
        <f t="shared" si="100"/>
        <v>#N/A</v>
      </c>
      <c r="AX194" s="690"/>
    </row>
    <row r="195" spans="2:50">
      <c r="B195" s="676"/>
      <c r="C195" s="343">
        <v>14</v>
      </c>
      <c r="D195" s="227"/>
      <c r="E195" s="182"/>
      <c r="F195" s="510"/>
      <c r="G195" s="511"/>
      <c r="H195" s="718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50"/>
      <c r="M195" s="201" t="e">
        <f>RANK(K195, K$147:$K$176)</f>
        <v>#DIV/0!</v>
      </c>
      <c r="N195" s="668"/>
      <c r="O195" s="668"/>
      <c r="P195" s="182"/>
      <c r="Q195" s="182"/>
      <c r="R195" s="182"/>
      <c r="S195" s="500" t="e">
        <f t="shared" si="94"/>
        <v>#N/A</v>
      </c>
      <c r="T195" s="690"/>
      <c r="U195" s="182"/>
      <c r="V195" s="182"/>
      <c r="W195" s="182"/>
      <c r="X195" s="500" t="e">
        <f t="shared" si="95"/>
        <v>#N/A</v>
      </c>
      <c r="Y195" s="690"/>
      <c r="Z195" s="182"/>
      <c r="AA195" s="182"/>
      <c r="AB195" s="182"/>
      <c r="AC195" s="500" t="e">
        <f t="shared" si="96"/>
        <v>#N/A</v>
      </c>
      <c r="AD195" s="690"/>
      <c r="AE195" s="182"/>
      <c r="AF195" s="182"/>
      <c r="AG195" s="182"/>
      <c r="AH195" s="500" t="e">
        <f t="shared" si="97"/>
        <v>#N/A</v>
      </c>
      <c r="AI195" s="690"/>
      <c r="AJ195" s="182"/>
      <c r="AK195" s="182"/>
      <c r="AL195" s="182"/>
      <c r="AM195" s="500" t="e">
        <f t="shared" si="98"/>
        <v>#N/A</v>
      </c>
      <c r="AN195" s="690"/>
      <c r="AO195" s="182"/>
      <c r="AP195" s="182"/>
      <c r="AQ195" s="182"/>
      <c r="AR195" s="500" t="e">
        <f t="shared" si="99"/>
        <v>#N/A</v>
      </c>
      <c r="AS195" s="690"/>
      <c r="AT195" s="182"/>
      <c r="AU195" s="182"/>
      <c r="AV195" s="182"/>
      <c r="AW195" s="500" t="e">
        <f t="shared" si="100"/>
        <v>#N/A</v>
      </c>
      <c r="AX195" s="690"/>
    </row>
    <row r="196" spans="2:50">
      <c r="B196" s="676"/>
      <c r="C196" s="343">
        <v>15</v>
      </c>
      <c r="D196" s="227"/>
      <c r="E196" s="182"/>
      <c r="F196" s="510"/>
      <c r="G196" s="511"/>
      <c r="H196" s="718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50"/>
      <c r="M196" s="199" t="e">
        <f>RANK(K196, K$147:$K$176)</f>
        <v>#DIV/0!</v>
      </c>
      <c r="N196" s="668"/>
      <c r="O196" s="668"/>
      <c r="P196" s="182"/>
      <c r="Q196" s="182"/>
      <c r="R196" s="182"/>
      <c r="S196" s="500" t="e">
        <f t="shared" si="94"/>
        <v>#N/A</v>
      </c>
      <c r="T196" s="690"/>
      <c r="U196" s="182"/>
      <c r="V196" s="182"/>
      <c r="W196" s="182"/>
      <c r="X196" s="500" t="e">
        <f t="shared" si="95"/>
        <v>#N/A</v>
      </c>
      <c r="Y196" s="690"/>
      <c r="Z196" s="182"/>
      <c r="AA196" s="182"/>
      <c r="AB196" s="182"/>
      <c r="AC196" s="500" t="e">
        <f t="shared" si="96"/>
        <v>#N/A</v>
      </c>
      <c r="AD196" s="690"/>
      <c r="AE196" s="182"/>
      <c r="AF196" s="182"/>
      <c r="AG196" s="182"/>
      <c r="AH196" s="500" t="e">
        <f t="shared" si="97"/>
        <v>#N/A</v>
      </c>
      <c r="AI196" s="690"/>
      <c r="AJ196" s="182"/>
      <c r="AK196" s="182"/>
      <c r="AL196" s="182"/>
      <c r="AM196" s="500" t="e">
        <f t="shared" si="98"/>
        <v>#N/A</v>
      </c>
      <c r="AN196" s="690"/>
      <c r="AO196" s="182"/>
      <c r="AP196" s="182"/>
      <c r="AQ196" s="182"/>
      <c r="AR196" s="500" t="e">
        <f t="shared" si="99"/>
        <v>#N/A</v>
      </c>
      <c r="AS196" s="690"/>
      <c r="AT196" s="182"/>
      <c r="AU196" s="182"/>
      <c r="AV196" s="182"/>
      <c r="AW196" s="500" t="e">
        <f t="shared" si="100"/>
        <v>#N/A</v>
      </c>
      <c r="AX196" s="690"/>
    </row>
    <row r="197" spans="2:50">
      <c r="B197" s="676"/>
      <c r="C197" s="343">
        <v>16</v>
      </c>
      <c r="D197" s="227"/>
      <c r="E197" s="182"/>
      <c r="F197" s="510"/>
      <c r="G197" s="511"/>
      <c r="H197" s="718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50"/>
      <c r="M197" s="199" t="e">
        <f>RANK(K197, K$147:$K$176)</f>
        <v>#DIV/0!</v>
      </c>
      <c r="N197" s="668"/>
      <c r="O197" s="668"/>
      <c r="P197" s="182"/>
      <c r="Q197" s="182"/>
      <c r="R197" s="182"/>
      <c r="S197" s="500" t="e">
        <f t="shared" si="94"/>
        <v>#N/A</v>
      </c>
      <c r="T197" s="690"/>
      <c r="U197" s="182"/>
      <c r="V197" s="182"/>
      <c r="W197" s="182"/>
      <c r="X197" s="500" t="e">
        <f t="shared" si="95"/>
        <v>#N/A</v>
      </c>
      <c r="Y197" s="690"/>
      <c r="Z197" s="182"/>
      <c r="AA197" s="182"/>
      <c r="AB197" s="182"/>
      <c r="AC197" s="500" t="e">
        <f t="shared" si="96"/>
        <v>#N/A</v>
      </c>
      <c r="AD197" s="690"/>
      <c r="AE197" s="182"/>
      <c r="AF197" s="182"/>
      <c r="AG197" s="182"/>
      <c r="AH197" s="500" t="e">
        <f t="shared" si="97"/>
        <v>#N/A</v>
      </c>
      <c r="AI197" s="690"/>
      <c r="AJ197" s="182"/>
      <c r="AK197" s="182"/>
      <c r="AL197" s="182"/>
      <c r="AM197" s="500" t="e">
        <f t="shared" si="98"/>
        <v>#N/A</v>
      </c>
      <c r="AN197" s="690"/>
      <c r="AO197" s="182"/>
      <c r="AP197" s="182"/>
      <c r="AQ197" s="182"/>
      <c r="AR197" s="500" t="e">
        <f t="shared" si="99"/>
        <v>#N/A</v>
      </c>
      <c r="AS197" s="690"/>
      <c r="AT197" s="182"/>
      <c r="AU197" s="182"/>
      <c r="AV197" s="182"/>
      <c r="AW197" s="500" t="e">
        <f t="shared" si="100"/>
        <v>#N/A</v>
      </c>
      <c r="AX197" s="690"/>
    </row>
    <row r="198" spans="2:50">
      <c r="B198" s="676"/>
      <c r="C198" s="343">
        <v>17</v>
      </c>
      <c r="D198" s="227"/>
      <c r="E198" s="182"/>
      <c r="F198" s="510"/>
      <c r="G198" s="511"/>
      <c r="H198" s="718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50"/>
      <c r="M198" s="199" t="e">
        <f>RANK(K198, K$147:$K$176)</f>
        <v>#DIV/0!</v>
      </c>
      <c r="N198" s="668"/>
      <c r="O198" s="668"/>
      <c r="P198" s="182"/>
      <c r="Q198" s="182"/>
      <c r="R198" s="182"/>
      <c r="S198" s="500" t="e">
        <f t="shared" si="94"/>
        <v>#N/A</v>
      </c>
      <c r="T198" s="690"/>
      <c r="U198" s="182"/>
      <c r="V198" s="182"/>
      <c r="W198" s="182"/>
      <c r="X198" s="500" t="e">
        <f t="shared" si="95"/>
        <v>#N/A</v>
      </c>
      <c r="Y198" s="690"/>
      <c r="Z198" s="182"/>
      <c r="AA198" s="182"/>
      <c r="AB198" s="182"/>
      <c r="AC198" s="500" t="e">
        <f t="shared" si="96"/>
        <v>#N/A</v>
      </c>
      <c r="AD198" s="690"/>
      <c r="AE198" s="182"/>
      <c r="AF198" s="182"/>
      <c r="AG198" s="182"/>
      <c r="AH198" s="500" t="e">
        <f t="shared" si="97"/>
        <v>#N/A</v>
      </c>
      <c r="AI198" s="690"/>
      <c r="AJ198" s="182"/>
      <c r="AK198" s="182"/>
      <c r="AL198" s="182"/>
      <c r="AM198" s="500" t="e">
        <f t="shared" si="98"/>
        <v>#N/A</v>
      </c>
      <c r="AN198" s="690"/>
      <c r="AO198" s="182"/>
      <c r="AP198" s="182"/>
      <c r="AQ198" s="182"/>
      <c r="AR198" s="500" t="e">
        <f t="shared" si="99"/>
        <v>#N/A</v>
      </c>
      <c r="AS198" s="690"/>
      <c r="AT198" s="182"/>
      <c r="AU198" s="182"/>
      <c r="AV198" s="182"/>
      <c r="AW198" s="500" t="e">
        <f t="shared" si="100"/>
        <v>#N/A</v>
      </c>
      <c r="AX198" s="690"/>
    </row>
    <row r="199" spans="2:50">
      <c r="B199" s="676"/>
      <c r="C199" s="343">
        <v>18</v>
      </c>
      <c r="D199" s="227"/>
      <c r="E199" s="182"/>
      <c r="F199" s="510"/>
      <c r="G199" s="511"/>
      <c r="H199" s="718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50"/>
      <c r="M199" s="199" t="e">
        <f>RANK(K199, K$147:$K$176)</f>
        <v>#DIV/0!</v>
      </c>
      <c r="N199" s="668"/>
      <c r="O199" s="668"/>
      <c r="P199" s="182"/>
      <c r="Q199" s="182"/>
      <c r="R199" s="182"/>
      <c r="S199" s="500" t="e">
        <f t="shared" si="94"/>
        <v>#N/A</v>
      </c>
      <c r="T199" s="690"/>
      <c r="U199" s="182"/>
      <c r="V199" s="182"/>
      <c r="W199" s="182"/>
      <c r="X199" s="500" t="e">
        <f t="shared" si="95"/>
        <v>#N/A</v>
      </c>
      <c r="Y199" s="690"/>
      <c r="Z199" s="182"/>
      <c r="AA199" s="182"/>
      <c r="AB199" s="182"/>
      <c r="AC199" s="500" t="e">
        <f t="shared" si="96"/>
        <v>#N/A</v>
      </c>
      <c r="AD199" s="690"/>
      <c r="AE199" s="182"/>
      <c r="AF199" s="182"/>
      <c r="AG199" s="182"/>
      <c r="AH199" s="500" t="e">
        <f t="shared" si="97"/>
        <v>#N/A</v>
      </c>
      <c r="AI199" s="690"/>
      <c r="AJ199" s="182"/>
      <c r="AK199" s="182"/>
      <c r="AL199" s="182"/>
      <c r="AM199" s="500" t="e">
        <f t="shared" si="98"/>
        <v>#N/A</v>
      </c>
      <c r="AN199" s="690"/>
      <c r="AO199" s="182"/>
      <c r="AP199" s="182"/>
      <c r="AQ199" s="182"/>
      <c r="AR199" s="500" t="e">
        <f t="shared" si="99"/>
        <v>#N/A</v>
      </c>
      <c r="AS199" s="690"/>
      <c r="AT199" s="182"/>
      <c r="AU199" s="182"/>
      <c r="AV199" s="182"/>
      <c r="AW199" s="500" t="e">
        <f t="shared" si="100"/>
        <v>#N/A</v>
      </c>
      <c r="AX199" s="690"/>
    </row>
    <row r="200" spans="2:50">
      <c r="B200" s="676"/>
      <c r="C200" s="343">
        <v>19</v>
      </c>
      <c r="D200" s="227"/>
      <c r="E200" s="182"/>
      <c r="F200" s="510"/>
      <c r="G200" s="511"/>
      <c r="H200" s="718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50"/>
      <c r="M200" s="199" t="e">
        <f>RANK(K200, K$147:$K$176)</f>
        <v>#DIV/0!</v>
      </c>
      <c r="N200" s="668"/>
      <c r="O200" s="668"/>
      <c r="P200" s="182"/>
      <c r="Q200" s="182"/>
      <c r="R200" s="182"/>
      <c r="S200" s="500" t="e">
        <f t="shared" si="94"/>
        <v>#N/A</v>
      </c>
      <c r="T200" s="690"/>
      <c r="U200" s="182"/>
      <c r="V200" s="182"/>
      <c r="W200" s="182"/>
      <c r="X200" s="500" t="e">
        <f t="shared" si="95"/>
        <v>#N/A</v>
      </c>
      <c r="Y200" s="690"/>
      <c r="Z200" s="182"/>
      <c r="AA200" s="182"/>
      <c r="AB200" s="182"/>
      <c r="AC200" s="500" t="e">
        <f t="shared" si="96"/>
        <v>#N/A</v>
      </c>
      <c r="AD200" s="690"/>
      <c r="AE200" s="182"/>
      <c r="AF200" s="182"/>
      <c r="AG200" s="182"/>
      <c r="AH200" s="500" t="e">
        <f t="shared" si="97"/>
        <v>#N/A</v>
      </c>
      <c r="AI200" s="690"/>
      <c r="AJ200" s="182"/>
      <c r="AK200" s="182"/>
      <c r="AL200" s="182"/>
      <c r="AM200" s="500" t="e">
        <f t="shared" si="98"/>
        <v>#N/A</v>
      </c>
      <c r="AN200" s="690"/>
      <c r="AO200" s="182"/>
      <c r="AP200" s="182"/>
      <c r="AQ200" s="182"/>
      <c r="AR200" s="500" t="e">
        <f t="shared" si="99"/>
        <v>#N/A</v>
      </c>
      <c r="AS200" s="690"/>
      <c r="AT200" s="182"/>
      <c r="AU200" s="182"/>
      <c r="AV200" s="182"/>
      <c r="AW200" s="500" t="e">
        <f t="shared" si="100"/>
        <v>#N/A</v>
      </c>
      <c r="AX200" s="690"/>
    </row>
    <row r="201" spans="2:50">
      <c r="B201" s="676"/>
      <c r="C201" s="343">
        <v>20</v>
      </c>
      <c r="D201" s="227"/>
      <c r="E201" s="182"/>
      <c r="F201" s="510"/>
      <c r="G201" s="511"/>
      <c r="H201" s="718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50"/>
      <c r="M201" s="199" t="e">
        <f>RANK(K201, K$147:$K$176)</f>
        <v>#DIV/0!</v>
      </c>
      <c r="N201" s="668"/>
      <c r="O201" s="668"/>
      <c r="P201" s="182"/>
      <c r="Q201" s="182"/>
      <c r="R201" s="182"/>
      <c r="S201" s="500" t="e">
        <f t="shared" si="94"/>
        <v>#N/A</v>
      </c>
      <c r="T201" s="690"/>
      <c r="U201" s="182"/>
      <c r="V201" s="182"/>
      <c r="W201" s="182"/>
      <c r="X201" s="500" t="e">
        <f t="shared" si="95"/>
        <v>#N/A</v>
      </c>
      <c r="Y201" s="690"/>
      <c r="Z201" s="182"/>
      <c r="AA201" s="182"/>
      <c r="AB201" s="182"/>
      <c r="AC201" s="500" t="e">
        <f t="shared" si="96"/>
        <v>#N/A</v>
      </c>
      <c r="AD201" s="690"/>
      <c r="AE201" s="182"/>
      <c r="AF201" s="182"/>
      <c r="AG201" s="182"/>
      <c r="AH201" s="500" t="e">
        <f t="shared" si="97"/>
        <v>#N/A</v>
      </c>
      <c r="AI201" s="690"/>
      <c r="AJ201" s="182"/>
      <c r="AK201" s="182"/>
      <c r="AL201" s="182"/>
      <c r="AM201" s="500" t="e">
        <f t="shared" si="98"/>
        <v>#N/A</v>
      </c>
      <c r="AN201" s="690"/>
      <c r="AO201" s="182"/>
      <c r="AP201" s="182"/>
      <c r="AQ201" s="182"/>
      <c r="AR201" s="500" t="e">
        <f t="shared" si="99"/>
        <v>#N/A</v>
      </c>
      <c r="AS201" s="690"/>
      <c r="AT201" s="182"/>
      <c r="AU201" s="182"/>
      <c r="AV201" s="182"/>
      <c r="AW201" s="500" t="e">
        <f t="shared" si="100"/>
        <v>#N/A</v>
      </c>
      <c r="AX201" s="690"/>
    </row>
    <row r="202" spans="2:50">
      <c r="B202" s="676"/>
      <c r="C202" s="343">
        <v>21</v>
      </c>
      <c r="D202" s="227"/>
      <c r="E202" s="182"/>
      <c r="F202" s="510"/>
      <c r="G202" s="511"/>
      <c r="H202" s="718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50"/>
      <c r="M202" s="199" t="e">
        <f>RANK(K202, K$147:$K$176)</f>
        <v>#DIV/0!</v>
      </c>
      <c r="N202" s="668"/>
      <c r="O202" s="668"/>
      <c r="P202" s="182"/>
      <c r="Q202" s="182"/>
      <c r="R202" s="182"/>
      <c r="S202" s="500" t="e">
        <f t="shared" si="94"/>
        <v>#N/A</v>
      </c>
      <c r="T202" s="690"/>
      <c r="U202" s="182"/>
      <c r="V202" s="182"/>
      <c r="W202" s="182"/>
      <c r="X202" s="500" t="e">
        <f t="shared" si="95"/>
        <v>#N/A</v>
      </c>
      <c r="Y202" s="690"/>
      <c r="Z202" s="182"/>
      <c r="AA202" s="182"/>
      <c r="AB202" s="182"/>
      <c r="AC202" s="500" t="e">
        <f t="shared" si="96"/>
        <v>#N/A</v>
      </c>
      <c r="AD202" s="690"/>
      <c r="AE202" s="182"/>
      <c r="AF202" s="182"/>
      <c r="AG202" s="182"/>
      <c r="AH202" s="500" t="e">
        <f t="shared" si="97"/>
        <v>#N/A</v>
      </c>
      <c r="AI202" s="690"/>
      <c r="AJ202" s="182"/>
      <c r="AK202" s="182"/>
      <c r="AL202" s="182"/>
      <c r="AM202" s="500" t="e">
        <f t="shared" si="98"/>
        <v>#N/A</v>
      </c>
      <c r="AN202" s="690"/>
      <c r="AO202" s="182"/>
      <c r="AP202" s="182"/>
      <c r="AQ202" s="182"/>
      <c r="AR202" s="500" t="e">
        <f t="shared" si="99"/>
        <v>#N/A</v>
      </c>
      <c r="AS202" s="690"/>
      <c r="AT202" s="182"/>
      <c r="AU202" s="182"/>
      <c r="AV202" s="182"/>
      <c r="AW202" s="500" t="e">
        <f t="shared" si="100"/>
        <v>#N/A</v>
      </c>
      <c r="AX202" s="690"/>
    </row>
    <row r="203" spans="2:50">
      <c r="B203" s="676"/>
      <c r="C203" s="343">
        <v>22</v>
      </c>
      <c r="D203" s="227"/>
      <c r="E203" s="182"/>
      <c r="F203" s="510"/>
      <c r="G203" s="511"/>
      <c r="H203" s="718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50"/>
      <c r="M203" s="199" t="e">
        <f>RANK(K203, K$147:$K$176)</f>
        <v>#DIV/0!</v>
      </c>
      <c r="N203" s="668"/>
      <c r="O203" s="668"/>
      <c r="P203" s="182"/>
      <c r="Q203" s="182"/>
      <c r="R203" s="182"/>
      <c r="S203" s="500" t="e">
        <f t="shared" si="94"/>
        <v>#N/A</v>
      </c>
      <c r="T203" s="690"/>
      <c r="U203" s="182"/>
      <c r="V203" s="182"/>
      <c r="W203" s="182"/>
      <c r="X203" s="500" t="e">
        <f t="shared" si="95"/>
        <v>#N/A</v>
      </c>
      <c r="Y203" s="690"/>
      <c r="Z203" s="182"/>
      <c r="AA203" s="182"/>
      <c r="AB203" s="182"/>
      <c r="AC203" s="500" t="e">
        <f t="shared" si="96"/>
        <v>#N/A</v>
      </c>
      <c r="AD203" s="690"/>
      <c r="AE203" s="182"/>
      <c r="AF203" s="182"/>
      <c r="AG203" s="182"/>
      <c r="AH203" s="500" t="e">
        <f t="shared" si="97"/>
        <v>#N/A</v>
      </c>
      <c r="AI203" s="690"/>
      <c r="AJ203" s="182"/>
      <c r="AK203" s="182"/>
      <c r="AL203" s="182"/>
      <c r="AM203" s="500" t="e">
        <f t="shared" si="98"/>
        <v>#N/A</v>
      </c>
      <c r="AN203" s="690"/>
      <c r="AO203" s="182"/>
      <c r="AP203" s="182"/>
      <c r="AQ203" s="182"/>
      <c r="AR203" s="500" t="e">
        <f t="shared" si="99"/>
        <v>#N/A</v>
      </c>
      <c r="AS203" s="690"/>
      <c r="AT203" s="182"/>
      <c r="AU203" s="182"/>
      <c r="AV203" s="182"/>
      <c r="AW203" s="500" t="e">
        <f t="shared" si="100"/>
        <v>#N/A</v>
      </c>
      <c r="AX203" s="690"/>
    </row>
    <row r="204" spans="2:50">
      <c r="B204" s="676"/>
      <c r="C204" s="343">
        <v>23</v>
      </c>
      <c r="D204" s="227"/>
      <c r="E204" s="182"/>
      <c r="F204" s="510"/>
      <c r="G204" s="511"/>
      <c r="H204" s="718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50"/>
      <c r="M204" s="199" t="e">
        <f>RANK(K204, K$147:$K$176)</f>
        <v>#DIV/0!</v>
      </c>
      <c r="N204" s="668"/>
      <c r="O204" s="668"/>
      <c r="P204" s="182"/>
      <c r="Q204" s="182"/>
      <c r="R204" s="182"/>
      <c r="S204" s="500" t="e">
        <f t="shared" si="94"/>
        <v>#N/A</v>
      </c>
      <c r="T204" s="690"/>
      <c r="U204" s="182"/>
      <c r="V204" s="182"/>
      <c r="W204" s="182"/>
      <c r="X204" s="500" t="e">
        <f t="shared" si="95"/>
        <v>#N/A</v>
      </c>
      <c r="Y204" s="690"/>
      <c r="Z204" s="182"/>
      <c r="AA204" s="182"/>
      <c r="AB204" s="182"/>
      <c r="AC204" s="500" t="e">
        <f t="shared" si="96"/>
        <v>#N/A</v>
      </c>
      <c r="AD204" s="690"/>
      <c r="AE204" s="182"/>
      <c r="AF204" s="182"/>
      <c r="AG204" s="182"/>
      <c r="AH204" s="500" t="e">
        <f t="shared" si="97"/>
        <v>#N/A</v>
      </c>
      <c r="AI204" s="690"/>
      <c r="AJ204" s="182"/>
      <c r="AK204" s="182"/>
      <c r="AL204" s="182"/>
      <c r="AM204" s="500" t="e">
        <f t="shared" si="98"/>
        <v>#N/A</v>
      </c>
      <c r="AN204" s="690"/>
      <c r="AO204" s="182"/>
      <c r="AP204" s="182"/>
      <c r="AQ204" s="182"/>
      <c r="AR204" s="500" t="e">
        <f t="shared" si="99"/>
        <v>#N/A</v>
      </c>
      <c r="AS204" s="690"/>
      <c r="AT204" s="182"/>
      <c r="AU204" s="182"/>
      <c r="AV204" s="182"/>
      <c r="AW204" s="500" t="e">
        <f t="shared" si="100"/>
        <v>#N/A</v>
      </c>
      <c r="AX204" s="690"/>
    </row>
    <row r="205" spans="2:50">
      <c r="B205" s="676"/>
      <c r="C205" s="343">
        <v>24</v>
      </c>
      <c r="D205" s="227"/>
      <c r="E205" s="182"/>
      <c r="F205" s="510"/>
      <c r="G205" s="511"/>
      <c r="H205" s="718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50"/>
      <c r="M205" s="199" t="e">
        <f>RANK(K205, K$147:$K$176)</f>
        <v>#DIV/0!</v>
      </c>
      <c r="N205" s="668"/>
      <c r="O205" s="668"/>
      <c r="P205" s="343"/>
      <c r="Q205" s="346"/>
      <c r="R205" s="346"/>
      <c r="S205" s="500" t="e">
        <f t="shared" si="94"/>
        <v>#N/A</v>
      </c>
      <c r="T205" s="690"/>
      <c r="U205" s="359"/>
      <c r="V205" s="360"/>
      <c r="W205" s="360"/>
      <c r="X205" s="500" t="e">
        <f t="shared" si="95"/>
        <v>#N/A</v>
      </c>
      <c r="Y205" s="690"/>
      <c r="Z205" s="510"/>
      <c r="AA205" s="511"/>
      <c r="AB205" s="511"/>
      <c r="AC205" s="500" t="e">
        <f t="shared" si="96"/>
        <v>#N/A</v>
      </c>
      <c r="AD205" s="690"/>
      <c r="AE205" s="510"/>
      <c r="AF205" s="511"/>
      <c r="AG205" s="511"/>
      <c r="AH205" s="500" t="e">
        <f t="shared" si="97"/>
        <v>#N/A</v>
      </c>
      <c r="AI205" s="690"/>
      <c r="AJ205" s="510"/>
      <c r="AK205" s="511"/>
      <c r="AL205" s="511"/>
      <c r="AM205" s="500" t="e">
        <f t="shared" si="98"/>
        <v>#N/A</v>
      </c>
      <c r="AN205" s="690"/>
      <c r="AO205" s="510"/>
      <c r="AP205" s="511"/>
      <c r="AQ205" s="511"/>
      <c r="AR205" s="500" t="e">
        <f t="shared" si="99"/>
        <v>#N/A</v>
      </c>
      <c r="AS205" s="690"/>
      <c r="AT205" s="359"/>
      <c r="AU205" s="360"/>
      <c r="AV205" s="360"/>
      <c r="AW205" s="500" t="e">
        <f t="shared" si="100"/>
        <v>#N/A</v>
      </c>
      <c r="AX205" s="690"/>
    </row>
    <row r="206" spans="2:50">
      <c r="B206" s="676"/>
      <c r="C206" s="343">
        <v>25</v>
      </c>
      <c r="D206" s="227"/>
      <c r="E206" s="182"/>
      <c r="F206" s="510"/>
      <c r="G206" s="511"/>
      <c r="H206" s="718"/>
      <c r="I206" s="199"/>
      <c r="J206" s="199"/>
      <c r="K206" s="200"/>
      <c r="L206" s="650"/>
      <c r="M206" s="199" t="e">
        <f>RANK(K206, K$147:$K$176)</f>
        <v>#DIV/0!</v>
      </c>
      <c r="N206" s="668"/>
      <c r="O206" s="668"/>
      <c r="P206" s="343"/>
      <c r="Q206" s="346"/>
      <c r="R206" s="346"/>
      <c r="S206" s="500" t="e">
        <f t="shared" si="94"/>
        <v>#N/A</v>
      </c>
      <c r="T206" s="690"/>
      <c r="U206" s="359"/>
      <c r="V206" s="360"/>
      <c r="W206" s="360"/>
      <c r="X206" s="500" t="e">
        <f t="shared" si="95"/>
        <v>#N/A</v>
      </c>
      <c r="Y206" s="690"/>
      <c r="Z206" s="510"/>
      <c r="AA206" s="511"/>
      <c r="AB206" s="511"/>
      <c r="AC206" s="500" t="e">
        <f t="shared" si="96"/>
        <v>#N/A</v>
      </c>
      <c r="AD206" s="690"/>
      <c r="AE206" s="510"/>
      <c r="AF206" s="511"/>
      <c r="AG206" s="511"/>
      <c r="AH206" s="500" t="e">
        <f t="shared" si="97"/>
        <v>#N/A</v>
      </c>
      <c r="AI206" s="690"/>
      <c r="AJ206" s="510"/>
      <c r="AK206" s="511"/>
      <c r="AL206" s="511"/>
      <c r="AM206" s="500" t="e">
        <f t="shared" si="98"/>
        <v>#N/A</v>
      </c>
      <c r="AN206" s="690"/>
      <c r="AO206" s="510"/>
      <c r="AP206" s="511"/>
      <c r="AQ206" s="511"/>
      <c r="AR206" s="500" t="e">
        <f t="shared" si="99"/>
        <v>#N/A</v>
      </c>
      <c r="AS206" s="690"/>
      <c r="AT206" s="359"/>
      <c r="AU206" s="360"/>
      <c r="AV206" s="360"/>
      <c r="AW206" s="500" t="e">
        <f t="shared" si="100"/>
        <v>#N/A</v>
      </c>
      <c r="AX206" s="690"/>
    </row>
    <row r="207" spans="2:50">
      <c r="B207" s="676"/>
      <c r="C207" s="343">
        <v>26</v>
      </c>
      <c r="D207" s="227"/>
      <c r="E207" s="182"/>
      <c r="F207" s="510"/>
      <c r="G207" s="511"/>
      <c r="H207" s="718"/>
      <c r="I207" s="199"/>
      <c r="J207" s="199"/>
      <c r="K207" s="200"/>
      <c r="L207" s="650"/>
      <c r="M207" s="199" t="e">
        <f>RANK(K207, K$147:$K$176)</f>
        <v>#DIV/0!</v>
      </c>
      <c r="N207" s="668"/>
      <c r="O207" s="668"/>
      <c r="P207" s="343"/>
      <c r="Q207" s="346"/>
      <c r="R207" s="346"/>
      <c r="S207" s="500" t="e">
        <f t="shared" si="94"/>
        <v>#N/A</v>
      </c>
      <c r="T207" s="690"/>
      <c r="U207" s="359"/>
      <c r="V207" s="360"/>
      <c r="W207" s="360"/>
      <c r="X207" s="500" t="e">
        <f t="shared" si="95"/>
        <v>#N/A</v>
      </c>
      <c r="Y207" s="690"/>
      <c r="Z207" s="510"/>
      <c r="AA207" s="511"/>
      <c r="AB207" s="511"/>
      <c r="AC207" s="500" t="e">
        <f t="shared" si="96"/>
        <v>#N/A</v>
      </c>
      <c r="AD207" s="690"/>
      <c r="AE207" s="510"/>
      <c r="AF207" s="511"/>
      <c r="AG207" s="511"/>
      <c r="AH207" s="500" t="e">
        <f t="shared" si="97"/>
        <v>#N/A</v>
      </c>
      <c r="AI207" s="690"/>
      <c r="AJ207" s="510"/>
      <c r="AK207" s="511"/>
      <c r="AL207" s="511"/>
      <c r="AM207" s="500" t="e">
        <f t="shared" si="98"/>
        <v>#N/A</v>
      </c>
      <c r="AN207" s="690"/>
      <c r="AO207" s="510"/>
      <c r="AP207" s="511"/>
      <c r="AQ207" s="511"/>
      <c r="AR207" s="500" t="e">
        <f t="shared" si="99"/>
        <v>#N/A</v>
      </c>
      <c r="AS207" s="690"/>
      <c r="AT207" s="359"/>
      <c r="AU207" s="360"/>
      <c r="AV207" s="360"/>
      <c r="AW207" s="500" t="e">
        <f t="shared" si="100"/>
        <v>#N/A</v>
      </c>
      <c r="AX207" s="690"/>
    </row>
    <row r="208" spans="2:50">
      <c r="B208" s="676"/>
      <c r="C208" s="343">
        <v>27</v>
      </c>
      <c r="D208" s="227"/>
      <c r="E208" s="182"/>
      <c r="F208" s="510"/>
      <c r="G208" s="511"/>
      <c r="H208" s="718"/>
      <c r="I208" s="199"/>
      <c r="J208" s="199"/>
      <c r="K208" s="200"/>
      <c r="L208" s="650"/>
      <c r="M208" s="199" t="e">
        <f>RANK(K208, K$147:$K$176)</f>
        <v>#DIV/0!</v>
      </c>
      <c r="N208" s="668"/>
      <c r="O208" s="668"/>
      <c r="P208" s="343"/>
      <c r="Q208" s="346"/>
      <c r="R208" s="346"/>
      <c r="S208" s="500" t="e">
        <f t="shared" si="94"/>
        <v>#N/A</v>
      </c>
      <c r="T208" s="690"/>
      <c r="U208" s="359"/>
      <c r="V208" s="360"/>
      <c r="W208" s="360"/>
      <c r="X208" s="500" t="e">
        <f t="shared" si="95"/>
        <v>#N/A</v>
      </c>
      <c r="Y208" s="690"/>
      <c r="Z208" s="510"/>
      <c r="AA208" s="511"/>
      <c r="AB208" s="511"/>
      <c r="AC208" s="500" t="e">
        <f t="shared" si="96"/>
        <v>#N/A</v>
      </c>
      <c r="AD208" s="690"/>
      <c r="AE208" s="510"/>
      <c r="AF208" s="511"/>
      <c r="AG208" s="511"/>
      <c r="AH208" s="500" t="e">
        <f t="shared" si="97"/>
        <v>#N/A</v>
      </c>
      <c r="AI208" s="690"/>
      <c r="AJ208" s="510"/>
      <c r="AK208" s="511"/>
      <c r="AL208" s="511"/>
      <c r="AM208" s="500" t="e">
        <f t="shared" si="98"/>
        <v>#N/A</v>
      </c>
      <c r="AN208" s="690"/>
      <c r="AO208" s="510"/>
      <c r="AP208" s="511"/>
      <c r="AQ208" s="511"/>
      <c r="AR208" s="500" t="e">
        <f t="shared" si="99"/>
        <v>#N/A</v>
      </c>
      <c r="AS208" s="690"/>
      <c r="AT208" s="359"/>
      <c r="AU208" s="360"/>
      <c r="AV208" s="360"/>
      <c r="AW208" s="500" t="e">
        <f t="shared" si="100"/>
        <v>#N/A</v>
      </c>
      <c r="AX208" s="690"/>
    </row>
    <row r="209" spans="2:50">
      <c r="B209" s="676"/>
      <c r="C209" s="343">
        <v>28</v>
      </c>
      <c r="D209" s="227"/>
      <c r="E209" s="182"/>
      <c r="F209" s="510"/>
      <c r="G209" s="511"/>
      <c r="H209" s="718"/>
      <c r="I209" s="199"/>
      <c r="J209" s="199"/>
      <c r="K209" s="200"/>
      <c r="L209" s="650"/>
      <c r="M209" s="199" t="e">
        <f>RANK(K209, K$147:$K$176)</f>
        <v>#DIV/0!</v>
      </c>
      <c r="N209" s="668"/>
      <c r="O209" s="668"/>
      <c r="P209" s="343"/>
      <c r="Q209" s="346"/>
      <c r="R209" s="346"/>
      <c r="S209" s="500" t="e">
        <f t="shared" si="94"/>
        <v>#N/A</v>
      </c>
      <c r="T209" s="690"/>
      <c r="U209" s="343"/>
      <c r="V209" s="346"/>
      <c r="W209" s="346"/>
      <c r="X209" s="500" t="e">
        <f t="shared" si="95"/>
        <v>#N/A</v>
      </c>
      <c r="Y209" s="690"/>
      <c r="Z209" s="510"/>
      <c r="AA209" s="511"/>
      <c r="AB209" s="511"/>
      <c r="AC209" s="500" t="e">
        <f t="shared" si="96"/>
        <v>#N/A</v>
      </c>
      <c r="AD209" s="690"/>
      <c r="AE209" s="510"/>
      <c r="AF209" s="511"/>
      <c r="AG209" s="511"/>
      <c r="AH209" s="500" t="e">
        <f t="shared" si="97"/>
        <v>#N/A</v>
      </c>
      <c r="AI209" s="690"/>
      <c r="AJ209" s="510"/>
      <c r="AK209" s="511"/>
      <c r="AL209" s="511"/>
      <c r="AM209" s="500" t="e">
        <f t="shared" si="98"/>
        <v>#N/A</v>
      </c>
      <c r="AN209" s="690"/>
      <c r="AO209" s="510"/>
      <c r="AP209" s="511"/>
      <c r="AQ209" s="511"/>
      <c r="AR209" s="500" t="e">
        <f t="shared" si="99"/>
        <v>#N/A</v>
      </c>
      <c r="AS209" s="690"/>
      <c r="AT209" s="343"/>
      <c r="AU209" s="346"/>
      <c r="AV209" s="346"/>
      <c r="AW209" s="500" t="e">
        <f t="shared" si="100"/>
        <v>#N/A</v>
      </c>
      <c r="AX209" s="690"/>
    </row>
    <row r="210" spans="2:50">
      <c r="B210" s="676"/>
      <c r="C210" s="343">
        <v>29</v>
      </c>
      <c r="D210" s="227"/>
      <c r="E210" s="182"/>
      <c r="F210" s="510"/>
      <c r="G210" s="511"/>
      <c r="H210" s="718"/>
      <c r="I210" s="202"/>
      <c r="J210" s="202"/>
      <c r="K210" s="202"/>
      <c r="L210" s="650"/>
      <c r="M210" s="199" t="e">
        <f>RANK(K210, K$147:$K$176)</f>
        <v>#DIV/0!</v>
      </c>
      <c r="N210" s="668"/>
      <c r="O210" s="668"/>
      <c r="P210" s="343"/>
      <c r="Q210" s="343"/>
      <c r="R210" s="343"/>
      <c r="S210" s="500" t="e">
        <f t="shared" si="94"/>
        <v>#N/A</v>
      </c>
      <c r="T210" s="690"/>
      <c r="U210" s="343"/>
      <c r="V210" s="343"/>
      <c r="W210" s="343"/>
      <c r="X210" s="500" t="e">
        <f t="shared" si="95"/>
        <v>#N/A</v>
      </c>
      <c r="Y210" s="690"/>
      <c r="Z210" s="510"/>
      <c r="AA210" s="510"/>
      <c r="AB210" s="510"/>
      <c r="AC210" s="500" t="e">
        <f t="shared" si="96"/>
        <v>#N/A</v>
      </c>
      <c r="AD210" s="690"/>
      <c r="AE210" s="510"/>
      <c r="AF210" s="510"/>
      <c r="AG210" s="510"/>
      <c r="AH210" s="500" t="e">
        <f t="shared" si="97"/>
        <v>#N/A</v>
      </c>
      <c r="AI210" s="690"/>
      <c r="AJ210" s="510"/>
      <c r="AK210" s="510"/>
      <c r="AL210" s="510"/>
      <c r="AM210" s="500" t="e">
        <f t="shared" si="98"/>
        <v>#N/A</v>
      </c>
      <c r="AN210" s="690"/>
      <c r="AO210" s="510"/>
      <c r="AP210" s="510"/>
      <c r="AQ210" s="510"/>
      <c r="AR210" s="500" t="e">
        <f t="shared" si="99"/>
        <v>#N/A</v>
      </c>
      <c r="AS210" s="690"/>
      <c r="AT210" s="343"/>
      <c r="AU210" s="343"/>
      <c r="AV210" s="343"/>
      <c r="AW210" s="500" t="e">
        <f t="shared" si="100"/>
        <v>#N/A</v>
      </c>
      <c r="AX210" s="690"/>
    </row>
    <row r="211" spans="2:50">
      <c r="B211" s="676"/>
      <c r="C211" s="343">
        <v>30</v>
      </c>
      <c r="D211" s="227"/>
      <c r="E211" s="182"/>
      <c r="F211" s="510"/>
      <c r="G211" s="511"/>
      <c r="H211" s="719"/>
      <c r="I211" s="202"/>
      <c r="J211" s="202"/>
      <c r="K211" s="202"/>
      <c r="L211" s="651"/>
      <c r="M211" s="199" t="e">
        <f>RANK(K211, K$147:$K$176)</f>
        <v>#DIV/0!</v>
      </c>
      <c r="N211" s="668"/>
      <c r="O211" s="668"/>
      <c r="P211" s="343"/>
      <c r="Q211" s="343"/>
      <c r="R211" s="343"/>
      <c r="S211" s="500" t="e">
        <f t="shared" si="94"/>
        <v>#N/A</v>
      </c>
      <c r="T211" s="690"/>
      <c r="U211" s="343"/>
      <c r="V211" s="343"/>
      <c r="W211" s="343"/>
      <c r="X211" s="500" t="e">
        <f t="shared" si="95"/>
        <v>#N/A</v>
      </c>
      <c r="Y211" s="690"/>
      <c r="Z211" s="510"/>
      <c r="AA211" s="510"/>
      <c r="AB211" s="510"/>
      <c r="AC211" s="500" t="e">
        <f t="shared" si="96"/>
        <v>#N/A</v>
      </c>
      <c r="AD211" s="690"/>
      <c r="AE211" s="510"/>
      <c r="AF211" s="510"/>
      <c r="AG211" s="510"/>
      <c r="AH211" s="500" t="e">
        <f t="shared" si="97"/>
        <v>#N/A</v>
      </c>
      <c r="AI211" s="690"/>
      <c r="AJ211" s="510"/>
      <c r="AK211" s="510"/>
      <c r="AL211" s="510"/>
      <c r="AM211" s="500" t="e">
        <f t="shared" si="98"/>
        <v>#N/A</v>
      </c>
      <c r="AN211" s="690"/>
      <c r="AO211" s="510"/>
      <c r="AP211" s="510"/>
      <c r="AQ211" s="510"/>
      <c r="AR211" s="500" t="e">
        <f t="shared" si="99"/>
        <v>#N/A</v>
      </c>
      <c r="AS211" s="690"/>
      <c r="AT211" s="343"/>
      <c r="AU211" s="343"/>
      <c r="AV211" s="343"/>
      <c r="AW211" s="500" t="e">
        <f t="shared" si="100"/>
        <v>#N/A</v>
      </c>
      <c r="AX211" s="690"/>
    </row>
    <row r="213" spans="2:50" ht="15.75">
      <c r="B213" s="707" t="s">
        <v>660</v>
      </c>
      <c r="C213" s="708"/>
      <c r="D213" s="708"/>
      <c r="E213" s="708"/>
      <c r="F213" s="708"/>
      <c r="G213" s="708"/>
      <c r="H213" s="709"/>
      <c r="I213" s="347"/>
      <c r="J213" s="347"/>
      <c r="K213" s="347"/>
      <c r="L213" s="347"/>
      <c r="M213" s="348"/>
    </row>
    <row r="214" spans="2:50" ht="15.75">
      <c r="B214" s="710"/>
      <c r="C214" s="710"/>
      <c r="D214" s="710"/>
      <c r="E214" s="710"/>
      <c r="F214" s="710"/>
      <c r="G214" s="710"/>
      <c r="H214" s="710"/>
      <c r="I214" s="349"/>
      <c r="J214" s="349"/>
      <c r="K214" s="349"/>
      <c r="L214" s="349"/>
      <c r="M214" s="350"/>
    </row>
    <row r="215" spans="2:50">
      <c r="B215" s="668" t="s">
        <v>661</v>
      </c>
      <c r="C215" s="668" t="s">
        <v>662</v>
      </c>
      <c r="D215" s="668"/>
      <c r="E215" s="668" t="s">
        <v>663</v>
      </c>
      <c r="F215" s="668"/>
      <c r="G215" s="668"/>
      <c r="H215" s="668" t="s">
        <v>664</v>
      </c>
      <c r="I215" s="711" t="s">
        <v>665</v>
      </c>
      <c r="J215" s="711"/>
      <c r="K215" s="711"/>
      <c r="L215" s="711" t="s">
        <v>664</v>
      </c>
      <c r="M215" s="711" t="s">
        <v>666</v>
      </c>
    </row>
    <row r="216" spans="2:50">
      <c r="B216" s="668"/>
      <c r="C216" s="668"/>
      <c r="D216" s="668"/>
      <c r="E216" s="668" t="s">
        <v>667</v>
      </c>
      <c r="F216" s="668"/>
      <c r="G216" s="668"/>
      <c r="H216" s="668"/>
      <c r="I216" s="711" t="s">
        <v>667</v>
      </c>
      <c r="J216" s="711"/>
      <c r="K216" s="711"/>
      <c r="L216" s="711"/>
      <c r="M216" s="711"/>
    </row>
    <row r="217" spans="2:50">
      <c r="B217" s="668"/>
      <c r="C217" s="668"/>
      <c r="D217" s="668"/>
      <c r="E217" s="344" t="s">
        <v>668</v>
      </c>
      <c r="F217" s="344" t="s">
        <v>669</v>
      </c>
      <c r="G217" s="344" t="s">
        <v>670</v>
      </c>
      <c r="H217" s="668"/>
      <c r="I217" s="351" t="s">
        <v>668</v>
      </c>
      <c r="J217" s="351" t="s">
        <v>669</v>
      </c>
      <c r="K217" s="351" t="s">
        <v>670</v>
      </c>
      <c r="L217" s="711"/>
      <c r="M217" s="711"/>
    </row>
    <row r="218" spans="2:50">
      <c r="B218" s="668" t="s">
        <v>675</v>
      </c>
      <c r="C218" s="343">
        <v>1</v>
      </c>
      <c r="D218" s="343"/>
      <c r="E218" s="182"/>
      <c r="F218" s="343"/>
      <c r="G218" s="346"/>
      <c r="H218" s="690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714" t="e">
        <f>AVERAGE(K218:K247)</f>
        <v>#DIV/0!</v>
      </c>
      <c r="M218" s="199" t="e">
        <f>RANK(K218, K$218:$K$247)</f>
        <v>#DIV/0!</v>
      </c>
    </row>
    <row r="219" spans="2:50">
      <c r="B219" s="676"/>
      <c r="C219" s="343">
        <v>2</v>
      </c>
      <c r="D219" s="343"/>
      <c r="E219" s="182"/>
      <c r="F219" s="343"/>
      <c r="G219" s="346"/>
      <c r="H219" s="690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714"/>
      <c r="M219" s="199" t="e">
        <f>RANK(K219, K$218:$K$247)</f>
        <v>#DIV/0!</v>
      </c>
    </row>
    <row r="220" spans="2:50">
      <c r="B220" s="676"/>
      <c r="C220" s="343">
        <v>3</v>
      </c>
      <c r="D220" s="343"/>
      <c r="E220" s="182"/>
      <c r="F220" s="343"/>
      <c r="G220" s="346"/>
      <c r="H220" s="690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714"/>
      <c r="M220" s="199" t="e">
        <f>RANK(K220, K$218:$K$247)</f>
        <v>#DIV/0!</v>
      </c>
    </row>
    <row r="221" spans="2:50">
      <c r="B221" s="676"/>
      <c r="C221" s="343">
        <v>4</v>
      </c>
      <c r="D221" s="343"/>
      <c r="E221" s="182"/>
      <c r="F221" s="343"/>
      <c r="G221" s="346"/>
      <c r="H221" s="690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714"/>
      <c r="M221" s="199" t="e">
        <f>RANK(K221, K$218:$K$247)</f>
        <v>#DIV/0!</v>
      </c>
    </row>
    <row r="222" spans="2:50">
      <c r="B222" s="676"/>
      <c r="C222" s="343">
        <v>5</v>
      </c>
      <c r="D222" s="343"/>
      <c r="E222" s="182"/>
      <c r="F222" s="343"/>
      <c r="G222" s="346"/>
      <c r="H222" s="690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714"/>
      <c r="M222" s="199" t="e">
        <f>RANK(K222, K$218:$K$247)</f>
        <v>#DIV/0!</v>
      </c>
    </row>
    <row r="223" spans="2:50">
      <c r="B223" s="676"/>
      <c r="C223" s="343">
        <v>6</v>
      </c>
      <c r="D223" s="343"/>
      <c r="E223" s="182"/>
      <c r="F223" s="343"/>
      <c r="G223" s="346"/>
      <c r="H223" s="690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714"/>
      <c r="M223" s="199" t="e">
        <f>RANK(K223, K$218:$K$247)</f>
        <v>#DIV/0!</v>
      </c>
    </row>
    <row r="224" spans="2:50">
      <c r="B224" s="676"/>
      <c r="C224" s="343">
        <v>7</v>
      </c>
      <c r="D224" s="343"/>
      <c r="E224" s="182"/>
      <c r="F224" s="343"/>
      <c r="G224" s="346"/>
      <c r="H224" s="690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714"/>
      <c r="M224" s="199" t="e">
        <f>RANK(K224, K$218:$K$247)</f>
        <v>#DIV/0!</v>
      </c>
    </row>
    <row r="225" spans="2:13" s="108" customFormat="1">
      <c r="B225" s="676"/>
      <c r="C225" s="343">
        <v>8</v>
      </c>
      <c r="D225" s="343"/>
      <c r="E225" s="182"/>
      <c r="F225" s="343"/>
      <c r="G225" s="346"/>
      <c r="H225" s="690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714"/>
      <c r="M225" s="199" t="e">
        <f>RANK(K225, K$218:$K$247)</f>
        <v>#DIV/0!</v>
      </c>
    </row>
    <row r="226" spans="2:13" s="108" customFormat="1">
      <c r="B226" s="676"/>
      <c r="C226" s="343">
        <v>9</v>
      </c>
      <c r="D226" s="343"/>
      <c r="E226" s="182"/>
      <c r="F226" s="343"/>
      <c r="G226" s="346"/>
      <c r="H226" s="690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714"/>
      <c r="M226" s="199" t="e">
        <f>RANK(K226, K$218:$K$247)</f>
        <v>#DIV/0!</v>
      </c>
    </row>
    <row r="227" spans="2:13" s="108" customFormat="1">
      <c r="B227" s="676"/>
      <c r="C227" s="343">
        <v>10</v>
      </c>
      <c r="D227" s="343"/>
      <c r="E227" s="182"/>
      <c r="F227" s="343"/>
      <c r="G227" s="346"/>
      <c r="H227" s="690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714"/>
      <c r="M227" s="199" t="e">
        <f>RANK(K227, K$218:$K$247)</f>
        <v>#DIV/0!</v>
      </c>
    </row>
    <row r="228" spans="2:13" s="108" customFormat="1">
      <c r="B228" s="676"/>
      <c r="C228" s="343">
        <v>11</v>
      </c>
      <c r="D228" s="343"/>
      <c r="E228" s="182"/>
      <c r="F228" s="343"/>
      <c r="G228" s="346"/>
      <c r="H228" s="690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714"/>
      <c r="M228" s="199" t="e">
        <f>RANK(K228, K$218:$K$247)</f>
        <v>#DIV/0!</v>
      </c>
    </row>
    <row r="229" spans="2:13" s="108" customFormat="1">
      <c r="B229" s="676"/>
      <c r="C229" s="343">
        <v>12</v>
      </c>
      <c r="D229" s="343"/>
      <c r="E229" s="182"/>
      <c r="F229" s="343"/>
      <c r="G229" s="346"/>
      <c r="H229" s="690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714"/>
      <c r="M229" s="199" t="e">
        <f>RANK(K229, K$218:$K$247)</f>
        <v>#DIV/0!</v>
      </c>
    </row>
    <row r="230" spans="2:13" s="108" customFormat="1">
      <c r="B230" s="676"/>
      <c r="C230" s="343">
        <v>13</v>
      </c>
      <c r="D230" s="343"/>
      <c r="E230" s="182"/>
      <c r="F230" s="343"/>
      <c r="G230" s="346"/>
      <c r="H230" s="690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714"/>
      <c r="M230" s="199" t="e">
        <f>RANK(K230, K$218:$K$247)</f>
        <v>#DIV/0!</v>
      </c>
    </row>
    <row r="231" spans="2:13" s="108" customFormat="1">
      <c r="B231" s="676"/>
      <c r="C231" s="343">
        <v>14</v>
      </c>
      <c r="D231" s="343"/>
      <c r="E231" s="182"/>
      <c r="F231" s="343"/>
      <c r="G231" s="346"/>
      <c r="H231" s="690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714"/>
      <c r="M231" s="199" t="e">
        <f>RANK(K231, K$218:$K$247)</f>
        <v>#DIV/0!</v>
      </c>
    </row>
    <row r="232" spans="2:13" s="108" customFormat="1">
      <c r="B232" s="676"/>
      <c r="C232" s="343">
        <v>15</v>
      </c>
      <c r="D232" s="343"/>
      <c r="E232" s="182"/>
      <c r="F232" s="343"/>
      <c r="G232" s="346"/>
      <c r="H232" s="690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714"/>
      <c r="M232" s="199" t="e">
        <f>RANK(K232, K$218:$K$247)</f>
        <v>#DIV/0!</v>
      </c>
    </row>
    <row r="233" spans="2:13" s="108" customFormat="1">
      <c r="B233" s="676"/>
      <c r="C233" s="343">
        <v>16</v>
      </c>
      <c r="D233" s="343"/>
      <c r="E233" s="182"/>
      <c r="F233" s="343"/>
      <c r="G233" s="346"/>
      <c r="H233" s="690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714"/>
      <c r="M233" s="199" t="e">
        <f>RANK(K233, K$218:$K$247)</f>
        <v>#DIV/0!</v>
      </c>
    </row>
    <row r="234" spans="2:13" s="108" customFormat="1">
      <c r="B234" s="676"/>
      <c r="C234" s="343">
        <v>17</v>
      </c>
      <c r="D234" s="343"/>
      <c r="E234" s="182"/>
      <c r="F234" s="343"/>
      <c r="G234" s="346"/>
      <c r="H234" s="690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714"/>
      <c r="M234" s="199" t="e">
        <f>RANK(K234, K$218:$K$247)</f>
        <v>#DIV/0!</v>
      </c>
    </row>
    <row r="235" spans="2:13" s="108" customFormat="1">
      <c r="B235" s="676"/>
      <c r="C235" s="343">
        <v>18</v>
      </c>
      <c r="D235" s="343"/>
      <c r="E235" s="182"/>
      <c r="F235" s="343"/>
      <c r="G235" s="346"/>
      <c r="H235" s="690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714"/>
      <c r="M235" s="199" t="e">
        <f>RANK(K235, K$218:$K$247)</f>
        <v>#DIV/0!</v>
      </c>
    </row>
    <row r="236" spans="2:13" s="108" customFormat="1">
      <c r="B236" s="676"/>
      <c r="C236" s="343">
        <v>19</v>
      </c>
      <c r="D236" s="343"/>
      <c r="E236" s="182"/>
      <c r="F236" s="343"/>
      <c r="G236" s="346"/>
      <c r="H236" s="690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714"/>
      <c r="M236" s="199" t="e">
        <f>RANK(K236, K$218:$K$247)</f>
        <v>#DIV/0!</v>
      </c>
    </row>
    <row r="237" spans="2:13" s="108" customFormat="1">
      <c r="B237" s="676"/>
      <c r="C237" s="343">
        <v>20</v>
      </c>
      <c r="D237" s="343"/>
      <c r="E237" s="182"/>
      <c r="F237" s="343"/>
      <c r="G237" s="346"/>
      <c r="H237" s="690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714"/>
      <c r="M237" s="199" t="e">
        <f>RANK(K237, K$218:$K$247)</f>
        <v>#DIV/0!</v>
      </c>
    </row>
    <row r="238" spans="2:13" s="108" customFormat="1">
      <c r="B238" s="676"/>
      <c r="C238" s="343">
        <v>21</v>
      </c>
      <c r="D238" s="343"/>
      <c r="E238" s="182"/>
      <c r="F238" s="343"/>
      <c r="G238" s="346"/>
      <c r="H238" s="690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714"/>
      <c r="M238" s="199" t="e">
        <f>RANK(K238, K$218:$K$247)</f>
        <v>#DIV/0!</v>
      </c>
    </row>
    <row r="239" spans="2:13" s="108" customFormat="1">
      <c r="B239" s="676"/>
      <c r="C239" s="343">
        <v>22</v>
      </c>
      <c r="D239" s="343"/>
      <c r="E239" s="182"/>
      <c r="F239" s="343"/>
      <c r="G239" s="346"/>
      <c r="H239" s="690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714"/>
      <c r="M239" s="199" t="e">
        <f>RANK(K239, K$218:$K$247)</f>
        <v>#DIV/0!</v>
      </c>
    </row>
    <row r="240" spans="2:13" s="108" customFormat="1">
      <c r="B240" s="676"/>
      <c r="C240" s="343">
        <v>23</v>
      </c>
      <c r="D240" s="343"/>
      <c r="E240" s="182"/>
      <c r="F240" s="343"/>
      <c r="G240" s="346"/>
      <c r="H240" s="690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714"/>
      <c r="M240" s="199" t="e">
        <f>RANK(K240, K$218:$K$247)</f>
        <v>#DIV/0!</v>
      </c>
    </row>
    <row r="241" spans="2:13" s="108" customFormat="1">
      <c r="B241" s="676"/>
      <c r="C241" s="343">
        <v>24</v>
      </c>
      <c r="D241" s="343"/>
      <c r="E241" s="182"/>
      <c r="F241" s="343"/>
      <c r="G241" s="346"/>
      <c r="H241" s="690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714"/>
      <c r="M241" s="199" t="e">
        <f>RANK(K241, K$218:$K$247)</f>
        <v>#DIV/0!</v>
      </c>
    </row>
    <row r="242" spans="2:13" s="108" customFormat="1">
      <c r="B242" s="676"/>
      <c r="C242" s="343">
        <v>25</v>
      </c>
      <c r="D242" s="343"/>
      <c r="E242" s="182"/>
      <c r="F242" s="343"/>
      <c r="G242" s="346"/>
      <c r="H242" s="690"/>
      <c r="I242" s="199"/>
      <c r="J242" s="199"/>
      <c r="K242" s="199"/>
      <c r="L242" s="714"/>
      <c r="M242" s="199" t="e">
        <f>RANK(K242, K$218:$K$247)</f>
        <v>#DIV/0!</v>
      </c>
    </row>
    <row r="243" spans="2:13" s="108" customFormat="1">
      <c r="B243" s="676"/>
      <c r="C243" s="343">
        <v>26</v>
      </c>
      <c r="D243" s="343"/>
      <c r="E243" s="182"/>
      <c r="F243" s="343"/>
      <c r="G243" s="346"/>
      <c r="H243" s="690"/>
      <c r="I243" s="199"/>
      <c r="J243" s="199"/>
      <c r="K243" s="199"/>
      <c r="L243" s="714"/>
      <c r="M243" s="199" t="e">
        <f>RANK(K243, K$218:$K$247)</f>
        <v>#DIV/0!</v>
      </c>
    </row>
    <row r="244" spans="2:13" s="108" customFormat="1">
      <c r="B244" s="676"/>
      <c r="C244" s="343">
        <v>27</v>
      </c>
      <c r="D244" s="343"/>
      <c r="E244" s="182"/>
      <c r="F244" s="343"/>
      <c r="G244" s="346"/>
      <c r="H244" s="690"/>
      <c r="I244" s="199"/>
      <c r="J244" s="199"/>
      <c r="K244" s="199"/>
      <c r="L244" s="714"/>
      <c r="M244" s="199" t="e">
        <f>RANK(K244, K$218:$K$247)</f>
        <v>#DIV/0!</v>
      </c>
    </row>
    <row r="245" spans="2:13" s="108" customFormat="1">
      <c r="B245" s="676"/>
      <c r="C245" s="343">
        <v>28</v>
      </c>
      <c r="D245" s="343"/>
      <c r="E245" s="182"/>
      <c r="F245" s="343"/>
      <c r="G245" s="346"/>
      <c r="H245" s="690"/>
      <c r="I245" s="199"/>
      <c r="J245" s="199"/>
      <c r="K245" s="199"/>
      <c r="L245" s="714"/>
      <c r="M245" s="199" t="e">
        <f>RANK(K245, K$218:$K$247)</f>
        <v>#DIV/0!</v>
      </c>
    </row>
    <row r="246" spans="2:13" s="108" customFormat="1">
      <c r="B246" s="676"/>
      <c r="C246" s="343">
        <v>29</v>
      </c>
      <c r="D246" s="343"/>
      <c r="E246" s="182"/>
      <c r="F246" s="343"/>
      <c r="G246" s="346"/>
      <c r="H246" s="690"/>
      <c r="I246" s="199"/>
      <c r="J246" s="199"/>
      <c r="K246" s="199"/>
      <c r="L246" s="714"/>
      <c r="M246" s="199" t="e">
        <f>RANK(K246, K$218:$K$247)</f>
        <v>#DIV/0!</v>
      </c>
    </row>
    <row r="247" spans="2:13" s="108" customFormat="1">
      <c r="B247" s="676"/>
      <c r="C247" s="343">
        <v>30</v>
      </c>
      <c r="D247" s="343"/>
      <c r="E247" s="182"/>
      <c r="F247" s="343"/>
      <c r="G247" s="346"/>
      <c r="H247" s="690"/>
      <c r="I247" s="199"/>
      <c r="J247" s="199"/>
      <c r="K247" s="199"/>
      <c r="L247" s="714"/>
      <c r="M247" s="19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55" zoomScaleNormal="55" workbookViewId="0">
      <pane xSplit="15" topLeftCell="Z1" activePane="topRight" state="frozen"/>
      <selection activeCell="P2" sqref="P2:AX2"/>
      <selection pane="topRight" activeCell="AT67" sqref="AT67:AV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71.924032925768287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2" t="s">
        <v>158</v>
      </c>
      <c r="Q3" s="673"/>
      <c r="R3" s="673"/>
      <c r="S3" s="673"/>
      <c r="T3" s="674"/>
      <c r="U3" s="672" t="s">
        <v>114</v>
      </c>
      <c r="V3" s="673"/>
      <c r="W3" s="673"/>
      <c r="X3" s="673"/>
      <c r="Y3" s="674"/>
      <c r="Z3" s="672" t="s">
        <v>159</v>
      </c>
      <c r="AA3" s="673"/>
      <c r="AB3" s="673"/>
      <c r="AC3" s="673"/>
      <c r="AD3" s="674"/>
      <c r="AE3" s="672" t="s">
        <v>157</v>
      </c>
      <c r="AF3" s="673"/>
      <c r="AG3" s="673"/>
      <c r="AH3" s="673"/>
      <c r="AI3" s="674"/>
      <c r="AJ3" s="672" t="s">
        <v>160</v>
      </c>
      <c r="AK3" s="673"/>
      <c r="AL3" s="673"/>
      <c r="AM3" s="673"/>
      <c r="AN3" s="674"/>
      <c r="AO3" s="672" t="s">
        <v>161</v>
      </c>
      <c r="AP3" s="673"/>
      <c r="AQ3" s="673"/>
      <c r="AR3" s="673"/>
      <c r="AS3" s="674"/>
      <c r="AT3" s="672" t="s">
        <v>162</v>
      </c>
      <c r="AU3" s="673"/>
      <c r="AV3" s="673"/>
      <c r="AW3" s="673"/>
      <c r="AX3" s="674"/>
    </row>
    <row r="4" spans="1:54" ht="14.25">
      <c r="A4" s="81"/>
      <c r="B4" s="668" t="s">
        <v>154</v>
      </c>
      <c r="C4" s="668" t="s">
        <v>429</v>
      </c>
      <c r="D4" s="668"/>
      <c r="E4" s="668" t="s">
        <v>420</v>
      </c>
      <c r="F4" s="668"/>
      <c r="G4" s="668"/>
      <c r="H4" s="684" t="s">
        <v>416</v>
      </c>
      <c r="I4" s="652" t="s">
        <v>421</v>
      </c>
      <c r="J4" s="652"/>
      <c r="K4" s="652"/>
      <c r="L4" s="653" t="s">
        <v>416</v>
      </c>
      <c r="M4" s="659" t="s">
        <v>417</v>
      </c>
      <c r="N4" s="668"/>
      <c r="O4" s="668" t="s">
        <v>422</v>
      </c>
      <c r="P4" s="665" t="s">
        <v>418</v>
      </c>
      <c r="Q4" s="666"/>
      <c r="R4" s="666"/>
      <c r="S4" s="667"/>
      <c r="T4" s="668" t="s">
        <v>416</v>
      </c>
      <c r="U4" s="665" t="s">
        <v>418</v>
      </c>
      <c r="V4" s="666"/>
      <c r="W4" s="666"/>
      <c r="X4" s="667"/>
      <c r="Y4" s="668" t="s">
        <v>416</v>
      </c>
      <c r="Z4" s="665" t="s">
        <v>418</v>
      </c>
      <c r="AA4" s="666"/>
      <c r="AB4" s="666"/>
      <c r="AC4" s="667"/>
      <c r="AD4" s="668" t="s">
        <v>416</v>
      </c>
      <c r="AE4" s="665" t="s">
        <v>418</v>
      </c>
      <c r="AF4" s="666"/>
      <c r="AG4" s="666"/>
      <c r="AH4" s="667"/>
      <c r="AI4" s="668" t="s">
        <v>416</v>
      </c>
      <c r="AJ4" s="665" t="s">
        <v>418</v>
      </c>
      <c r="AK4" s="666"/>
      <c r="AL4" s="666"/>
      <c r="AM4" s="667"/>
      <c r="AN4" s="668" t="s">
        <v>416</v>
      </c>
      <c r="AO4" s="665" t="s">
        <v>418</v>
      </c>
      <c r="AP4" s="666"/>
      <c r="AQ4" s="666"/>
      <c r="AR4" s="667"/>
      <c r="AS4" s="668" t="s">
        <v>416</v>
      </c>
      <c r="AT4" s="665" t="s">
        <v>418</v>
      </c>
      <c r="AU4" s="666"/>
      <c r="AV4" s="666"/>
      <c r="AW4" s="667"/>
      <c r="AX4" s="668" t="s">
        <v>416</v>
      </c>
    </row>
    <row r="5" spans="1:54" ht="14.25">
      <c r="A5" s="81"/>
      <c r="B5" s="668"/>
      <c r="C5" s="668"/>
      <c r="D5" s="668"/>
      <c r="E5" s="668" t="s">
        <v>423</v>
      </c>
      <c r="F5" s="668"/>
      <c r="G5" s="668"/>
      <c r="H5" s="685"/>
      <c r="I5" s="652" t="s">
        <v>423</v>
      </c>
      <c r="J5" s="652"/>
      <c r="K5" s="652"/>
      <c r="L5" s="654"/>
      <c r="M5" s="660"/>
      <c r="N5" s="668"/>
      <c r="O5" s="668"/>
      <c r="P5" s="665" t="s">
        <v>424</v>
      </c>
      <c r="Q5" s="666"/>
      <c r="R5" s="666"/>
      <c r="S5" s="667"/>
      <c r="T5" s="668"/>
      <c r="U5" s="665" t="s">
        <v>424</v>
      </c>
      <c r="V5" s="666"/>
      <c r="W5" s="666"/>
      <c r="X5" s="667"/>
      <c r="Y5" s="668"/>
      <c r="Z5" s="665" t="s">
        <v>424</v>
      </c>
      <c r="AA5" s="666"/>
      <c r="AB5" s="666"/>
      <c r="AC5" s="667"/>
      <c r="AD5" s="668"/>
      <c r="AE5" s="665" t="s">
        <v>424</v>
      </c>
      <c r="AF5" s="666"/>
      <c r="AG5" s="666"/>
      <c r="AH5" s="667"/>
      <c r="AI5" s="668"/>
      <c r="AJ5" s="665" t="s">
        <v>424</v>
      </c>
      <c r="AK5" s="666"/>
      <c r="AL5" s="666"/>
      <c r="AM5" s="667"/>
      <c r="AN5" s="668"/>
      <c r="AO5" s="665" t="s">
        <v>424</v>
      </c>
      <c r="AP5" s="666"/>
      <c r="AQ5" s="666"/>
      <c r="AR5" s="667"/>
      <c r="AS5" s="668"/>
      <c r="AT5" s="665" t="s">
        <v>424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14" t="s">
        <v>425</v>
      </c>
      <c r="F6" s="514" t="s">
        <v>426</v>
      </c>
      <c r="G6" s="514" t="s">
        <v>427</v>
      </c>
      <c r="H6" s="686"/>
      <c r="I6" s="516" t="s">
        <v>425</v>
      </c>
      <c r="J6" s="516" t="s">
        <v>426</v>
      </c>
      <c r="K6" s="516" t="s">
        <v>427</v>
      </c>
      <c r="L6" s="655"/>
      <c r="M6" s="661"/>
      <c r="N6" s="668"/>
      <c r="O6" s="668"/>
      <c r="P6" s="514" t="s">
        <v>425</v>
      </c>
      <c r="Q6" s="514" t="s">
        <v>426</v>
      </c>
      <c r="R6" s="514" t="s">
        <v>427</v>
      </c>
      <c r="S6" s="514" t="s">
        <v>417</v>
      </c>
      <c r="T6" s="668"/>
      <c r="U6" s="514" t="s">
        <v>425</v>
      </c>
      <c r="V6" s="514" t="s">
        <v>426</v>
      </c>
      <c r="W6" s="514" t="s">
        <v>427</v>
      </c>
      <c r="X6" s="514" t="s">
        <v>417</v>
      </c>
      <c r="Y6" s="668"/>
      <c r="Z6" s="514" t="s">
        <v>425</v>
      </c>
      <c r="AA6" s="514" t="s">
        <v>426</v>
      </c>
      <c r="AB6" s="514" t="s">
        <v>427</v>
      </c>
      <c r="AC6" s="514" t="s">
        <v>417</v>
      </c>
      <c r="AD6" s="668"/>
      <c r="AE6" s="514" t="s">
        <v>425</v>
      </c>
      <c r="AF6" s="514" t="s">
        <v>426</v>
      </c>
      <c r="AG6" s="514" t="s">
        <v>427</v>
      </c>
      <c r="AH6" s="514" t="s">
        <v>417</v>
      </c>
      <c r="AI6" s="668"/>
      <c r="AJ6" s="514" t="s">
        <v>425</v>
      </c>
      <c r="AK6" s="514" t="s">
        <v>426</v>
      </c>
      <c r="AL6" s="514" t="s">
        <v>427</v>
      </c>
      <c r="AM6" s="514" t="s">
        <v>417</v>
      </c>
      <c r="AN6" s="668"/>
      <c r="AO6" s="514" t="s">
        <v>425</v>
      </c>
      <c r="AP6" s="514" t="s">
        <v>426</v>
      </c>
      <c r="AQ6" s="514" t="s">
        <v>427</v>
      </c>
      <c r="AR6" s="514" t="s">
        <v>417</v>
      </c>
      <c r="AS6" s="668"/>
      <c r="AT6" s="514" t="s">
        <v>425</v>
      </c>
      <c r="AU6" s="514" t="s">
        <v>426</v>
      </c>
      <c r="AV6" s="514" t="s">
        <v>427</v>
      </c>
      <c r="AW6" s="514" t="s">
        <v>417</v>
      </c>
      <c r="AX6" s="668"/>
    </row>
    <row r="7" spans="1:54" ht="14.25">
      <c r="A7" s="81"/>
      <c r="B7" s="668" t="s">
        <v>132</v>
      </c>
      <c r="C7" s="510">
        <v>1</v>
      </c>
      <c r="D7" s="227" t="s">
        <v>372</v>
      </c>
      <c r="E7" s="182">
        <v>18</v>
      </c>
      <c r="F7" s="510">
        <v>1440</v>
      </c>
      <c r="G7" s="511">
        <v>80</v>
      </c>
      <c r="H7" s="717">
        <f>AVERAGE(G7:G21)</f>
        <v>79.069999999999993</v>
      </c>
      <c r="I7" s="512">
        <f>AVERAGE(P7,U7,Z7,AE7,AJ7,AO7,AT7)</f>
        <v>18</v>
      </c>
      <c r="J7" s="512">
        <f>AVERAGE(Q7,V7,AA7,AF7,AK7,AP7,AU7)</f>
        <v>1329.4722579569279</v>
      </c>
      <c r="K7" s="200">
        <f>AVERAGE(R7,W7,AB7,AG7,AL7,AQ7,AV7)</f>
        <v>73.859569886496004</v>
      </c>
      <c r="L7" s="649">
        <f>IFERROR(AVERAGE(K7:K21),"-")</f>
        <v>71.54839030688504</v>
      </c>
      <c r="M7" s="517">
        <f>RANK(K7, K$7:$K$21)</f>
        <v>3</v>
      </c>
      <c r="N7" s="668"/>
      <c r="O7" s="668"/>
      <c r="P7" s="182">
        <v>18</v>
      </c>
      <c r="Q7" s="511">
        <v>1341.4655172413795</v>
      </c>
      <c r="R7" s="511">
        <v>74.525862068965523</v>
      </c>
      <c r="S7" s="510">
        <f>RANK(R7, R$7:R$21)</f>
        <v>4</v>
      </c>
      <c r="T7" s="717">
        <f>AVERAGE(R7:R21)</f>
        <v>72.387108537308109</v>
      </c>
      <c r="U7" s="182">
        <v>18</v>
      </c>
      <c r="V7" s="570">
        <v>1330.4854368932045</v>
      </c>
      <c r="W7" s="570">
        <v>73.915857605178019</v>
      </c>
      <c r="X7" s="510">
        <f>RANK(W7, W$7:W$21)</f>
        <v>4</v>
      </c>
      <c r="Y7" s="717">
        <f>AVERAGE(W7:W21)</f>
        <v>72.314613257324254</v>
      </c>
      <c r="Z7" s="182">
        <v>18</v>
      </c>
      <c r="AA7" s="570">
        <v>1326.9902912621365</v>
      </c>
      <c r="AB7" s="570">
        <v>73.721682847896474</v>
      </c>
      <c r="AC7" s="510">
        <f>RANK(AB7, AB$7:AB$21)</f>
        <v>4</v>
      </c>
      <c r="AD7" s="717">
        <f>AVERAGE(AB7:AB21)</f>
        <v>71.218464235565889</v>
      </c>
      <c r="AE7" s="182">
        <v>18</v>
      </c>
      <c r="AF7" s="570">
        <v>1334.2857142857138</v>
      </c>
      <c r="AG7" s="570">
        <v>74.126984126984098</v>
      </c>
      <c r="AH7" s="510">
        <f>RANK(AG7, AG$7:AG$21)</f>
        <v>3</v>
      </c>
      <c r="AI7" s="717">
        <f>AVERAGE(AG7:AG21)</f>
        <v>70.107261457127379</v>
      </c>
      <c r="AJ7" s="182">
        <v>18</v>
      </c>
      <c r="AK7" s="570">
        <v>1330.3030303030305</v>
      </c>
      <c r="AL7" s="570">
        <v>73.905723905723917</v>
      </c>
      <c r="AM7" s="510">
        <f>RANK(AL7, AL$7:AL$21)</f>
        <v>3</v>
      </c>
      <c r="AN7" s="717">
        <f>AVERAGE(AL7:AL21)</f>
        <v>71.355805207328771</v>
      </c>
      <c r="AO7" s="182">
        <v>18</v>
      </c>
      <c r="AP7" s="570">
        <v>1321.3740458015266</v>
      </c>
      <c r="AQ7" s="570">
        <v>73.409669211195919</v>
      </c>
      <c r="AR7" s="510">
        <f>RANK(AQ7, AQ$7:AQ$21)</f>
        <v>4</v>
      </c>
      <c r="AS7" s="717">
        <f>AVERAGE(AQ7:AQ21)</f>
        <v>71.724233227749238</v>
      </c>
      <c r="AT7" s="182">
        <v>18</v>
      </c>
      <c r="AU7" s="570">
        <v>1321.4017699115043</v>
      </c>
      <c r="AV7" s="570">
        <v>73.411209439528022</v>
      </c>
      <c r="AW7" s="510">
        <f>RANK(AV7, AV$7:AV$21)</f>
        <v>4</v>
      </c>
      <c r="AX7" s="690">
        <f>AVERAGE(AV7:AV21)</f>
        <v>71.73124622579158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76"/>
      <c r="C8" s="510">
        <v>2</v>
      </c>
      <c r="D8" s="227" t="s">
        <v>373</v>
      </c>
      <c r="E8" s="182">
        <v>18</v>
      </c>
      <c r="F8" s="510">
        <v>1440</v>
      </c>
      <c r="G8" s="511">
        <v>80</v>
      </c>
      <c r="H8" s="718"/>
      <c r="I8" s="512">
        <f t="shared" ref="I8:I16" si="0">AVERAGE(P8,U8,Z8,AE8,AJ8,AO8,AT8)</f>
        <v>18</v>
      </c>
      <c r="J8" s="512">
        <f t="shared" ref="J8:J16" si="1">AVERAGE(Q8,V8,AA8,AF8,AK8,AP8,AU8)</f>
        <v>1294.6219387223214</v>
      </c>
      <c r="K8" s="200">
        <f t="shared" ref="K8:K16" si="2">AVERAGE(R8,W8,AB8,AG8,AL8,AQ8,AV8)</f>
        <v>71.923441040128964</v>
      </c>
      <c r="L8" s="650"/>
      <c r="M8" s="517">
        <f>RANK(K8, K$7:$K$21)</f>
        <v>4</v>
      </c>
      <c r="N8" s="668"/>
      <c r="O8" s="668"/>
      <c r="P8" s="510">
        <v>18</v>
      </c>
      <c r="Q8" s="511">
        <v>1309.7872340425533</v>
      </c>
      <c r="R8" s="511">
        <v>72.765957446808514</v>
      </c>
      <c r="S8" s="510">
        <f t="shared" ref="S8:S21" si="3">RANK(R8, R$7:R$21)</f>
        <v>5</v>
      </c>
      <c r="T8" s="718"/>
      <c r="U8" s="569">
        <v>18</v>
      </c>
      <c r="V8" s="570">
        <v>1328.1081081081072</v>
      </c>
      <c r="W8" s="570">
        <v>73.783783783783733</v>
      </c>
      <c r="X8" s="510">
        <f t="shared" ref="X8:X21" si="4">RANK(W8, W$7:W$21)</f>
        <v>5</v>
      </c>
      <c r="Y8" s="718"/>
      <c r="Z8" s="569">
        <v>18</v>
      </c>
      <c r="AA8" s="570">
        <v>1327.8947368421043</v>
      </c>
      <c r="AB8" s="570">
        <v>73.771929824561354</v>
      </c>
      <c r="AC8" s="510">
        <f t="shared" ref="AC8:AC21" si="5">RANK(AB8, AB$7:AB$21)</f>
        <v>3</v>
      </c>
      <c r="AD8" s="718"/>
      <c r="AE8" s="569">
        <v>18</v>
      </c>
      <c r="AF8" s="570">
        <v>1137.7777777777751</v>
      </c>
      <c r="AG8" s="570">
        <v>63.209876543209731</v>
      </c>
      <c r="AH8" s="510">
        <f t="shared" ref="AH8:AH21" si="6">RANK(AG8, AG$7:AG$21)</f>
        <v>9</v>
      </c>
      <c r="AI8" s="718"/>
      <c r="AJ8" s="569">
        <v>18</v>
      </c>
      <c r="AK8" s="570">
        <v>1294.2857142857115</v>
      </c>
      <c r="AL8" s="570">
        <v>71.904761904761756</v>
      </c>
      <c r="AM8" s="510">
        <f t="shared" ref="AM8:AM21" si="7">RANK(AL8, AL$7:AL$21)</f>
        <v>4</v>
      </c>
      <c r="AN8" s="718"/>
      <c r="AO8" s="569">
        <v>18</v>
      </c>
      <c r="AP8" s="570">
        <v>1322.5000000000005</v>
      </c>
      <c r="AQ8" s="570">
        <v>73.472222222222243</v>
      </c>
      <c r="AR8" s="510">
        <f t="shared" ref="AR8:AR21" si="8">RANK(AQ8, AQ$7:AQ$21)</f>
        <v>3</v>
      </c>
      <c r="AS8" s="718"/>
      <c r="AT8" s="569">
        <v>18</v>
      </c>
      <c r="AU8" s="570">
        <v>1341.9999999999977</v>
      </c>
      <c r="AV8" s="570">
        <v>74.555555555555429</v>
      </c>
      <c r="AW8" s="510">
        <f t="shared" ref="AW8:AW21" si="9">RANK(AV8, AV$7:AV$21)</f>
        <v>3</v>
      </c>
      <c r="AX8" s="690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76"/>
      <c r="C9" s="510">
        <v>3</v>
      </c>
      <c r="D9" s="227" t="s">
        <v>374</v>
      </c>
      <c r="E9" s="182">
        <v>17</v>
      </c>
      <c r="F9" s="510">
        <v>1440</v>
      </c>
      <c r="G9" s="511">
        <v>84.7</v>
      </c>
      <c r="H9" s="718"/>
      <c r="I9" s="512">
        <f t="shared" si="0"/>
        <v>17</v>
      </c>
      <c r="J9" s="512">
        <f t="shared" si="1"/>
        <v>1337.2777997068911</v>
      </c>
      <c r="K9" s="200">
        <f t="shared" si="2"/>
        <v>78.663399982758293</v>
      </c>
      <c r="L9" s="650"/>
      <c r="M9" s="517">
        <f>RANK(K9, K$7:$K$21)</f>
        <v>2</v>
      </c>
      <c r="N9" s="668"/>
      <c r="O9" s="668"/>
      <c r="P9" s="510">
        <v>17</v>
      </c>
      <c r="Q9" s="511">
        <v>1350.4838709677415</v>
      </c>
      <c r="R9" s="511">
        <v>79.440227703984789</v>
      </c>
      <c r="S9" s="510">
        <f t="shared" si="3"/>
        <v>2</v>
      </c>
      <c r="T9" s="718"/>
      <c r="U9" s="569">
        <v>17</v>
      </c>
      <c r="V9" s="570">
        <v>1339.2660550458725</v>
      </c>
      <c r="W9" s="570">
        <v>78.780356179168962</v>
      </c>
      <c r="X9" s="510">
        <f t="shared" si="4"/>
        <v>2</v>
      </c>
      <c r="Y9" s="718"/>
      <c r="Z9" s="569">
        <v>17</v>
      </c>
      <c r="AA9" s="570">
        <v>1324.1584158415847</v>
      </c>
      <c r="AB9" s="570">
        <v>77.891671520093212</v>
      </c>
      <c r="AC9" s="510">
        <f t="shared" si="5"/>
        <v>2</v>
      </c>
      <c r="AD9" s="718"/>
      <c r="AE9" s="569">
        <v>17</v>
      </c>
      <c r="AF9" s="570">
        <v>1328.9361702127662</v>
      </c>
      <c r="AG9" s="570">
        <v>78.172715894868603</v>
      </c>
      <c r="AH9" s="510">
        <f t="shared" si="6"/>
        <v>2</v>
      </c>
      <c r="AI9" s="718"/>
      <c r="AJ9" s="569">
        <v>17</v>
      </c>
      <c r="AK9" s="570">
        <v>1348.0373831775707</v>
      </c>
      <c r="AL9" s="570">
        <v>79.296316657504164</v>
      </c>
      <c r="AM9" s="510">
        <f t="shared" si="7"/>
        <v>2</v>
      </c>
      <c r="AN9" s="718"/>
      <c r="AO9" s="569">
        <v>17</v>
      </c>
      <c r="AP9" s="570">
        <v>1339.5027027027015</v>
      </c>
      <c r="AQ9" s="570">
        <v>78.794276629570675</v>
      </c>
      <c r="AR9" s="510">
        <f t="shared" si="8"/>
        <v>2</v>
      </c>
      <c r="AS9" s="718"/>
      <c r="AT9" s="569">
        <v>17</v>
      </c>
      <c r="AU9" s="570">
        <v>1330.5600000000006</v>
      </c>
      <c r="AV9" s="570">
        <v>78.268235294117687</v>
      </c>
      <c r="AW9" s="510">
        <f t="shared" si="9"/>
        <v>2</v>
      </c>
      <c r="AX9" s="690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76"/>
      <c r="C10" s="510">
        <v>4</v>
      </c>
      <c r="D10" s="227" t="s">
        <v>375</v>
      </c>
      <c r="E10" s="182">
        <v>17</v>
      </c>
      <c r="F10" s="510">
        <v>1440</v>
      </c>
      <c r="G10" s="511">
        <v>84.7</v>
      </c>
      <c r="H10" s="718"/>
      <c r="I10" s="512">
        <f t="shared" si="0"/>
        <v>17</v>
      </c>
      <c r="J10" s="512">
        <f t="shared" si="1"/>
        <v>1166.4828876320794</v>
      </c>
      <c r="K10" s="200">
        <f t="shared" si="2"/>
        <v>68.616640448945844</v>
      </c>
      <c r="L10" s="650"/>
      <c r="M10" s="517">
        <f>RANK(K10, K$7:$K$21)</f>
        <v>8</v>
      </c>
      <c r="N10" s="668"/>
      <c r="O10" s="668"/>
      <c r="P10" s="510">
        <v>17</v>
      </c>
      <c r="Q10" s="511">
        <v>1277.4193548387077</v>
      </c>
      <c r="R10" s="511">
        <v>75.142314990512219</v>
      </c>
      <c r="S10" s="510">
        <f t="shared" si="3"/>
        <v>3</v>
      </c>
      <c r="T10" s="718"/>
      <c r="U10" s="569">
        <v>17</v>
      </c>
      <c r="V10" s="570">
        <v>1271.2499999999982</v>
      </c>
      <c r="W10" s="570">
        <v>74.77941176470577</v>
      </c>
      <c r="X10" s="510">
        <f t="shared" si="4"/>
        <v>3</v>
      </c>
      <c r="Y10" s="718"/>
      <c r="Z10" s="569">
        <v>17</v>
      </c>
      <c r="AA10" s="570">
        <v>1076.2499999999984</v>
      </c>
      <c r="AB10" s="570">
        <v>63.308823529411669</v>
      </c>
      <c r="AC10" s="510">
        <f t="shared" si="5"/>
        <v>9</v>
      </c>
      <c r="AD10" s="718"/>
      <c r="AE10" s="569">
        <v>17</v>
      </c>
      <c r="AF10" s="570">
        <v>1082.2222222222197</v>
      </c>
      <c r="AG10" s="570">
        <v>63.6601307189541</v>
      </c>
      <c r="AH10" s="510">
        <f t="shared" si="6"/>
        <v>8</v>
      </c>
      <c r="AI10" s="718"/>
      <c r="AJ10" s="569">
        <v>17</v>
      </c>
      <c r="AK10" s="570">
        <v>1072.7272727272712</v>
      </c>
      <c r="AL10" s="570">
        <v>63.101604278074774</v>
      </c>
      <c r="AM10" s="510">
        <f t="shared" si="7"/>
        <v>10</v>
      </c>
      <c r="AN10" s="718"/>
      <c r="AO10" s="569">
        <v>17</v>
      </c>
      <c r="AP10" s="570">
        <v>1201.8749999999982</v>
      </c>
      <c r="AQ10" s="570">
        <v>70.698529411764596</v>
      </c>
      <c r="AR10" s="510">
        <f t="shared" si="8"/>
        <v>7</v>
      </c>
      <c r="AS10" s="718"/>
      <c r="AT10" s="569">
        <v>17</v>
      </c>
      <c r="AU10" s="570">
        <v>1183.6363636363621</v>
      </c>
      <c r="AV10" s="570">
        <v>69.625668449197775</v>
      </c>
      <c r="AW10" s="510">
        <f t="shared" si="9"/>
        <v>8</v>
      </c>
      <c r="AX10" s="690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76"/>
      <c r="C11" s="510">
        <v>5</v>
      </c>
      <c r="D11" s="227" t="s">
        <v>376</v>
      </c>
      <c r="E11" s="182">
        <v>21</v>
      </c>
      <c r="F11" s="510">
        <v>1385</v>
      </c>
      <c r="G11" s="511">
        <v>65.900000000000006</v>
      </c>
      <c r="H11" s="718"/>
      <c r="I11" s="512">
        <f t="shared" si="0"/>
        <v>20.857142857142858</v>
      </c>
      <c r="J11" s="512">
        <f t="shared" si="1"/>
        <v>1287.2190245099193</v>
      </c>
      <c r="K11" s="200">
        <f t="shared" si="2"/>
        <v>61.732035772285428</v>
      </c>
      <c r="L11" s="650"/>
      <c r="M11" s="517">
        <f>RANK(K11, K$7:$K$21)</f>
        <v>10</v>
      </c>
      <c r="N11" s="668"/>
      <c r="O11" s="668"/>
      <c r="P11" s="510">
        <v>21</v>
      </c>
      <c r="Q11" s="511">
        <v>1291.5254237288129</v>
      </c>
      <c r="R11" s="511">
        <v>61.501210653752999</v>
      </c>
      <c r="S11" s="510">
        <f t="shared" si="3"/>
        <v>10</v>
      </c>
      <c r="T11" s="718"/>
      <c r="U11" s="569">
        <v>21</v>
      </c>
      <c r="V11" s="570">
        <v>1295.882352941177</v>
      </c>
      <c r="W11" s="570">
        <v>61.708683473389385</v>
      </c>
      <c r="X11" s="510">
        <f t="shared" si="4"/>
        <v>10</v>
      </c>
      <c r="Y11" s="718"/>
      <c r="Z11" s="569">
        <v>21</v>
      </c>
      <c r="AA11" s="570">
        <v>1290.3092783505158</v>
      </c>
      <c r="AB11" s="570">
        <v>61.443298969072181</v>
      </c>
      <c r="AC11" s="510">
        <f t="shared" si="5"/>
        <v>10</v>
      </c>
      <c r="AD11" s="718"/>
      <c r="AE11" s="569">
        <v>21</v>
      </c>
      <c r="AF11" s="570">
        <v>1280.9638554216863</v>
      </c>
      <c r="AG11" s="570">
        <v>60.998278829604111</v>
      </c>
      <c r="AH11" s="510">
        <f t="shared" si="6"/>
        <v>10</v>
      </c>
      <c r="AI11" s="718"/>
      <c r="AJ11" s="569">
        <v>20</v>
      </c>
      <c r="AK11" s="570">
        <v>1281.5217391304348</v>
      </c>
      <c r="AL11" s="570">
        <v>64.076086956521735</v>
      </c>
      <c r="AM11" s="510">
        <f t="shared" si="7"/>
        <v>9</v>
      </c>
      <c r="AN11" s="718"/>
      <c r="AO11" s="569">
        <v>21</v>
      </c>
      <c r="AP11" s="570">
        <v>1283.4146341463411</v>
      </c>
      <c r="AQ11" s="570">
        <v>61.114982578397196</v>
      </c>
      <c r="AR11" s="510">
        <f t="shared" si="8"/>
        <v>10</v>
      </c>
      <c r="AS11" s="718"/>
      <c r="AT11" s="569">
        <v>21</v>
      </c>
      <c r="AU11" s="570">
        <v>1286.9158878504682</v>
      </c>
      <c r="AV11" s="570">
        <v>61.281708945260391</v>
      </c>
      <c r="AW11" s="510">
        <f t="shared" si="9"/>
        <v>10</v>
      </c>
      <c r="AX11" s="690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76"/>
      <c r="C12" s="510">
        <v>6</v>
      </c>
      <c r="D12" s="227" t="s">
        <v>377</v>
      </c>
      <c r="E12" s="182">
        <v>19</v>
      </c>
      <c r="F12" s="510">
        <v>1440</v>
      </c>
      <c r="G12" s="511">
        <v>75.8</v>
      </c>
      <c r="H12" s="718"/>
      <c r="I12" s="512">
        <f t="shared" si="0"/>
        <v>19</v>
      </c>
      <c r="J12" s="512">
        <f t="shared" si="1"/>
        <v>1331.1494141031849</v>
      </c>
      <c r="K12" s="200">
        <f t="shared" si="2"/>
        <v>70.060495479114991</v>
      </c>
      <c r="L12" s="650"/>
      <c r="M12" s="517">
        <f>RANK(K12, K$7:$K$21)</f>
        <v>7</v>
      </c>
      <c r="N12" s="668"/>
      <c r="O12" s="668"/>
      <c r="P12" s="510">
        <v>19</v>
      </c>
      <c r="Q12" s="511">
        <v>1324.4680851063831</v>
      </c>
      <c r="R12" s="511">
        <v>69.708846584546478</v>
      </c>
      <c r="S12" s="510">
        <f t="shared" si="3"/>
        <v>8</v>
      </c>
      <c r="T12" s="718"/>
      <c r="U12" s="569">
        <v>19</v>
      </c>
      <c r="V12" s="570">
        <v>1331.7073170731703</v>
      </c>
      <c r="W12" s="570">
        <v>70.089858793324751</v>
      </c>
      <c r="X12" s="510">
        <f t="shared" si="4"/>
        <v>8</v>
      </c>
      <c r="Y12" s="718"/>
      <c r="Z12" s="569">
        <v>19</v>
      </c>
      <c r="AA12" s="570">
        <v>1342.0253164556955</v>
      </c>
      <c r="AB12" s="570">
        <v>70.63291139240502</v>
      </c>
      <c r="AC12" s="510">
        <f t="shared" si="5"/>
        <v>7</v>
      </c>
      <c r="AD12" s="718"/>
      <c r="AE12" s="569">
        <v>19</v>
      </c>
      <c r="AF12" s="570">
        <v>1322.9032258064528</v>
      </c>
      <c r="AG12" s="570">
        <v>69.626485568760671</v>
      </c>
      <c r="AH12" s="510">
        <f t="shared" si="6"/>
        <v>6</v>
      </c>
      <c r="AI12" s="718"/>
      <c r="AJ12" s="569">
        <v>19</v>
      </c>
      <c r="AK12" s="570">
        <v>1312.1739130434771</v>
      </c>
      <c r="AL12" s="570">
        <v>69.061784897025106</v>
      </c>
      <c r="AM12" s="510">
        <f t="shared" si="7"/>
        <v>7</v>
      </c>
      <c r="AN12" s="718"/>
      <c r="AO12" s="569">
        <v>19</v>
      </c>
      <c r="AP12" s="570">
        <v>1342.2680412371137</v>
      </c>
      <c r="AQ12" s="570">
        <v>70.645686380900727</v>
      </c>
      <c r="AR12" s="510">
        <f t="shared" si="8"/>
        <v>8</v>
      </c>
      <c r="AS12" s="718"/>
      <c r="AT12" s="569">
        <v>19</v>
      </c>
      <c r="AU12" s="570">
        <v>1342.5000000000016</v>
      </c>
      <c r="AV12" s="570">
        <v>70.657894736842195</v>
      </c>
      <c r="AW12" s="510">
        <f t="shared" si="9"/>
        <v>7</v>
      </c>
      <c r="AX12" s="690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76"/>
      <c r="C13" s="510">
        <v>7</v>
      </c>
      <c r="D13" s="227" t="s">
        <v>692</v>
      </c>
      <c r="E13" s="182">
        <v>18</v>
      </c>
      <c r="F13" s="510">
        <v>1385</v>
      </c>
      <c r="G13" s="511">
        <v>76.900000000000006</v>
      </c>
      <c r="H13" s="718"/>
      <c r="I13" s="512">
        <f t="shared" si="0"/>
        <v>18</v>
      </c>
      <c r="J13" s="512">
        <f t="shared" si="1"/>
        <v>1279.0932581000332</v>
      </c>
      <c r="K13" s="200">
        <f t="shared" si="2"/>
        <v>71.060736561112961</v>
      </c>
      <c r="L13" s="650"/>
      <c r="M13" s="517">
        <f>RANK(K13, K$7:$K$21)</f>
        <v>6</v>
      </c>
      <c r="N13" s="668"/>
      <c r="O13" s="668"/>
      <c r="P13" s="510">
        <v>18</v>
      </c>
      <c r="Q13" s="511">
        <v>1292.2580645161293</v>
      </c>
      <c r="R13" s="511">
        <v>71.792114695340516</v>
      </c>
      <c r="S13" s="510">
        <f t="shared" si="3"/>
        <v>6</v>
      </c>
      <c r="T13" s="718"/>
      <c r="U13" s="569">
        <v>18</v>
      </c>
      <c r="V13" s="570">
        <v>1276.0465116279067</v>
      </c>
      <c r="W13" s="570">
        <v>70.891472868217036</v>
      </c>
      <c r="X13" s="510">
        <f t="shared" si="4"/>
        <v>6</v>
      </c>
      <c r="Y13" s="718"/>
      <c r="Z13" s="569">
        <v>18</v>
      </c>
      <c r="AA13" s="570">
        <v>1286.9230769230762</v>
      </c>
      <c r="AB13" s="570">
        <v>71.495726495726458</v>
      </c>
      <c r="AC13" s="510">
        <f t="shared" si="5"/>
        <v>5</v>
      </c>
      <c r="AD13" s="718"/>
      <c r="AE13" s="569">
        <v>18</v>
      </c>
      <c r="AF13" s="570">
        <v>1280.322580645161</v>
      </c>
      <c r="AG13" s="570">
        <v>71.129032258064498</v>
      </c>
      <c r="AH13" s="510">
        <f t="shared" si="6"/>
        <v>4</v>
      </c>
      <c r="AI13" s="718"/>
      <c r="AJ13" s="569">
        <v>18</v>
      </c>
      <c r="AK13" s="570">
        <v>1270.2857142857129</v>
      </c>
      <c r="AL13" s="570">
        <v>70.571428571428498</v>
      </c>
      <c r="AM13" s="510">
        <f t="shared" si="7"/>
        <v>6</v>
      </c>
      <c r="AN13" s="718"/>
      <c r="AO13" s="569">
        <v>18</v>
      </c>
      <c r="AP13" s="570">
        <v>1275.4639175257735</v>
      </c>
      <c r="AQ13" s="570">
        <v>70.85910652920964</v>
      </c>
      <c r="AR13" s="510">
        <f t="shared" si="8"/>
        <v>6</v>
      </c>
      <c r="AS13" s="718"/>
      <c r="AT13" s="569">
        <v>18</v>
      </c>
      <c r="AU13" s="570">
        <v>1272.3529411764721</v>
      </c>
      <c r="AV13" s="570">
        <v>70.686274509804008</v>
      </c>
      <c r="AW13" s="510">
        <f t="shared" si="9"/>
        <v>6</v>
      </c>
      <c r="AX13" s="690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76"/>
      <c r="C14" s="510">
        <v>8</v>
      </c>
      <c r="D14" s="227" t="s">
        <v>695</v>
      </c>
      <c r="E14" s="182">
        <v>18</v>
      </c>
      <c r="F14" s="510">
        <v>1385</v>
      </c>
      <c r="G14" s="511">
        <v>76.900000000000006</v>
      </c>
      <c r="H14" s="718"/>
      <c r="I14" s="512">
        <f t="shared" si="0"/>
        <v>18</v>
      </c>
      <c r="J14" s="512">
        <f t="shared" si="1"/>
        <v>1279.3484885328064</v>
      </c>
      <c r="K14" s="200">
        <f t="shared" si="2"/>
        <v>71.074916029600359</v>
      </c>
      <c r="L14" s="650"/>
      <c r="M14" s="517">
        <f>RANK(K14, K$7:$K$21)</f>
        <v>5</v>
      </c>
      <c r="N14" s="668"/>
      <c r="O14" s="668"/>
      <c r="P14" s="510">
        <v>18</v>
      </c>
      <c r="Q14" s="511">
        <v>1270.9090909090924</v>
      </c>
      <c r="R14" s="511">
        <v>70.60606060606068</v>
      </c>
      <c r="S14" s="510">
        <f t="shared" si="3"/>
        <v>7</v>
      </c>
      <c r="T14" s="718"/>
      <c r="U14" s="569">
        <v>18</v>
      </c>
      <c r="V14" s="570">
        <v>1273.44827586207</v>
      </c>
      <c r="W14" s="570">
        <v>70.74712643678167</v>
      </c>
      <c r="X14" s="510">
        <f t="shared" si="4"/>
        <v>7</v>
      </c>
      <c r="Y14" s="718"/>
      <c r="Z14" s="569">
        <v>18</v>
      </c>
      <c r="AA14" s="570">
        <v>1284.2105263157903</v>
      </c>
      <c r="AB14" s="570">
        <v>71.34502923976612</v>
      </c>
      <c r="AC14" s="510">
        <f t="shared" si="5"/>
        <v>6</v>
      </c>
      <c r="AD14" s="718"/>
      <c r="AE14" s="569">
        <v>18</v>
      </c>
      <c r="AF14" s="570">
        <v>1277.3684210526305</v>
      </c>
      <c r="AG14" s="570">
        <v>70.964912280701697</v>
      </c>
      <c r="AH14" s="510">
        <f t="shared" si="6"/>
        <v>5</v>
      </c>
      <c r="AI14" s="718"/>
      <c r="AJ14" s="569">
        <v>18</v>
      </c>
      <c r="AK14" s="570">
        <v>1282.8571428571424</v>
      </c>
      <c r="AL14" s="570">
        <v>71.269841269841251</v>
      </c>
      <c r="AM14" s="510">
        <f t="shared" si="7"/>
        <v>5</v>
      </c>
      <c r="AN14" s="718"/>
      <c r="AO14" s="569">
        <v>18</v>
      </c>
      <c r="AP14" s="570">
        <v>1285.217391304348</v>
      </c>
      <c r="AQ14" s="570">
        <v>71.400966183574894</v>
      </c>
      <c r="AR14" s="510">
        <f t="shared" si="8"/>
        <v>5</v>
      </c>
      <c r="AS14" s="718"/>
      <c r="AT14" s="569">
        <v>18</v>
      </c>
      <c r="AU14" s="570">
        <v>1281.4285714285711</v>
      </c>
      <c r="AV14" s="570">
        <v>71.190476190476176</v>
      </c>
      <c r="AW14" s="510">
        <f t="shared" si="9"/>
        <v>5</v>
      </c>
      <c r="AX14" s="690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76"/>
      <c r="C15" s="510">
        <v>9</v>
      </c>
      <c r="D15" s="227" t="s">
        <v>762</v>
      </c>
      <c r="E15" s="182">
        <v>16</v>
      </c>
      <c r="F15" s="510">
        <v>1440</v>
      </c>
      <c r="G15" s="511">
        <v>90</v>
      </c>
      <c r="H15" s="718"/>
      <c r="I15" s="512">
        <f t="shared" si="0"/>
        <v>16</v>
      </c>
      <c r="J15" s="512">
        <f t="shared" si="1"/>
        <v>1330.734776802519</v>
      </c>
      <c r="K15" s="200">
        <f t="shared" si="2"/>
        <v>83.17092355015744</v>
      </c>
      <c r="L15" s="650"/>
      <c r="M15" s="517">
        <f>RANK(K15, K$7:$K$21)</f>
        <v>1</v>
      </c>
      <c r="N15" s="668"/>
      <c r="O15" s="668"/>
      <c r="P15" s="510">
        <v>16</v>
      </c>
      <c r="Q15" s="511">
        <v>1336.6666666666663</v>
      </c>
      <c r="R15" s="511">
        <v>83.541666666666643</v>
      </c>
      <c r="S15" s="510">
        <f t="shared" si="3"/>
        <v>1</v>
      </c>
      <c r="T15" s="718"/>
      <c r="U15" s="569">
        <v>16</v>
      </c>
      <c r="V15" s="570">
        <v>1327.7777777777785</v>
      </c>
      <c r="W15" s="570">
        <v>82.986111111111157</v>
      </c>
      <c r="X15" s="510">
        <f t="shared" si="4"/>
        <v>1</v>
      </c>
      <c r="Y15" s="718"/>
      <c r="Z15" s="569">
        <v>16</v>
      </c>
      <c r="AA15" s="570">
        <v>1320.0000000000005</v>
      </c>
      <c r="AB15" s="570">
        <v>82.500000000000028</v>
      </c>
      <c r="AC15" s="510">
        <f t="shared" si="5"/>
        <v>1</v>
      </c>
      <c r="AD15" s="718"/>
      <c r="AE15" s="569">
        <v>16</v>
      </c>
      <c r="AF15" s="570">
        <v>1329.8901098901099</v>
      </c>
      <c r="AG15" s="570">
        <v>83.118131868131869</v>
      </c>
      <c r="AH15" s="510">
        <f t="shared" si="6"/>
        <v>1</v>
      </c>
      <c r="AI15" s="718"/>
      <c r="AJ15" s="569">
        <v>16</v>
      </c>
      <c r="AK15" s="570">
        <v>1341.3861386138608</v>
      </c>
      <c r="AL15" s="570">
        <v>83.8366336633663</v>
      </c>
      <c r="AM15" s="510">
        <f t="shared" si="7"/>
        <v>1</v>
      </c>
      <c r="AN15" s="718"/>
      <c r="AO15" s="569">
        <v>16</v>
      </c>
      <c r="AP15" s="570">
        <v>1322.4193548387093</v>
      </c>
      <c r="AQ15" s="570">
        <v>82.651209677419331</v>
      </c>
      <c r="AR15" s="510">
        <f t="shared" si="8"/>
        <v>1</v>
      </c>
      <c r="AS15" s="718"/>
      <c r="AT15" s="569">
        <v>16</v>
      </c>
      <c r="AU15" s="570">
        <v>1337.003389830508</v>
      </c>
      <c r="AV15" s="570">
        <v>83.562711864406751</v>
      </c>
      <c r="AW15" s="510">
        <f t="shared" si="9"/>
        <v>1</v>
      </c>
      <c r="AX15" s="690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76"/>
      <c r="C16" s="510">
        <v>10</v>
      </c>
      <c r="D16" s="227" t="s">
        <v>902</v>
      </c>
      <c r="E16" s="182">
        <v>19</v>
      </c>
      <c r="F16" s="510">
        <v>1440</v>
      </c>
      <c r="G16" s="511">
        <v>75.8</v>
      </c>
      <c r="H16" s="718"/>
      <c r="I16" s="512">
        <f t="shared" si="0"/>
        <v>19</v>
      </c>
      <c r="J16" s="512">
        <f t="shared" si="1"/>
        <v>1241.1131420467518</v>
      </c>
      <c r="K16" s="200">
        <f t="shared" si="2"/>
        <v>65.321744318250083</v>
      </c>
      <c r="L16" s="650"/>
      <c r="M16" s="517">
        <f>RANK(K16, K$7:$K$21)</f>
        <v>9</v>
      </c>
      <c r="N16" s="668"/>
      <c r="O16" s="668"/>
      <c r="P16" s="510">
        <v>19</v>
      </c>
      <c r="Q16" s="511">
        <v>1232.0896551724138</v>
      </c>
      <c r="R16" s="511">
        <v>64.846823956442833</v>
      </c>
      <c r="S16" s="510">
        <f t="shared" si="3"/>
        <v>9</v>
      </c>
      <c r="T16" s="718"/>
      <c r="U16" s="569">
        <v>19</v>
      </c>
      <c r="V16" s="570">
        <v>1243.8059405940587</v>
      </c>
      <c r="W16" s="570">
        <v>65.463470557582042</v>
      </c>
      <c r="X16" s="510">
        <f t="shared" si="4"/>
        <v>9</v>
      </c>
      <c r="Y16" s="718"/>
      <c r="Z16" s="569">
        <v>19</v>
      </c>
      <c r="AA16" s="570">
        <v>1255.3978021978021</v>
      </c>
      <c r="AB16" s="570">
        <v>66.073568536726427</v>
      </c>
      <c r="AC16" s="510">
        <f t="shared" si="5"/>
        <v>8</v>
      </c>
      <c r="AD16" s="718"/>
      <c r="AE16" s="569">
        <v>19</v>
      </c>
      <c r="AF16" s="570">
        <v>1255.2552631578938</v>
      </c>
      <c r="AG16" s="570">
        <v>66.066066481994412</v>
      </c>
      <c r="AH16" s="510">
        <f t="shared" si="6"/>
        <v>7</v>
      </c>
      <c r="AI16" s="718"/>
      <c r="AJ16" s="569">
        <v>19</v>
      </c>
      <c r="AK16" s="570">
        <v>1264.1435294117643</v>
      </c>
      <c r="AL16" s="570">
        <v>66.533869969040225</v>
      </c>
      <c r="AM16" s="510">
        <f t="shared" si="7"/>
        <v>8</v>
      </c>
      <c r="AN16" s="718"/>
      <c r="AO16" s="569">
        <v>19</v>
      </c>
      <c r="AP16" s="570">
        <v>1219.7179856115108</v>
      </c>
      <c r="AQ16" s="570">
        <v>64.195683453237407</v>
      </c>
      <c r="AR16" s="510">
        <f t="shared" si="8"/>
        <v>9</v>
      </c>
      <c r="AS16" s="718"/>
      <c r="AT16" s="569">
        <v>19</v>
      </c>
      <c r="AU16" s="570">
        <v>1217.3818181818183</v>
      </c>
      <c r="AV16" s="570">
        <v>64.072727272727278</v>
      </c>
      <c r="AW16" s="510">
        <f t="shared" si="9"/>
        <v>9</v>
      </c>
      <c r="AX16" s="690"/>
      <c r="AZ16" s="362" t="e">
        <f>RANK(AX16, $K$7:AX$21)</f>
        <v>#N/A</v>
      </c>
      <c r="BB16" s="359" t="e">
        <f t="shared" si="10"/>
        <v>#N/A</v>
      </c>
    </row>
    <row r="17" spans="2:54">
      <c r="B17" s="676"/>
      <c r="C17" s="510">
        <v>11</v>
      </c>
      <c r="D17" s="227"/>
      <c r="E17" s="182"/>
      <c r="F17" s="510"/>
      <c r="G17" s="511"/>
      <c r="H17" s="718"/>
      <c r="I17" s="202"/>
      <c r="J17" s="202"/>
      <c r="K17" s="202"/>
      <c r="L17" s="650"/>
      <c r="M17" s="517" t="e">
        <f>RANK(K17, K$7:$K$21)</f>
        <v>#N/A</v>
      </c>
      <c r="N17" s="668"/>
      <c r="O17" s="668"/>
      <c r="P17" s="510"/>
      <c r="Q17" s="511"/>
      <c r="R17" s="511"/>
      <c r="S17" s="510" t="e">
        <f t="shared" si="3"/>
        <v>#N/A</v>
      </c>
      <c r="T17" s="718"/>
      <c r="U17" s="569"/>
      <c r="V17" s="570"/>
      <c r="W17" s="570"/>
      <c r="X17" s="510" t="e">
        <f t="shared" si="4"/>
        <v>#N/A</v>
      </c>
      <c r="Y17" s="718"/>
      <c r="Z17" s="569"/>
      <c r="AA17" s="570"/>
      <c r="AB17" s="570"/>
      <c r="AC17" s="510" t="e">
        <f t="shared" si="5"/>
        <v>#N/A</v>
      </c>
      <c r="AD17" s="718"/>
      <c r="AE17" s="569"/>
      <c r="AF17" s="570"/>
      <c r="AG17" s="570"/>
      <c r="AH17" s="510" t="e">
        <f t="shared" si="6"/>
        <v>#N/A</v>
      </c>
      <c r="AI17" s="718"/>
      <c r="AJ17" s="569"/>
      <c r="AK17" s="570"/>
      <c r="AL17" s="570"/>
      <c r="AM17" s="510" t="e">
        <f t="shared" si="7"/>
        <v>#N/A</v>
      </c>
      <c r="AN17" s="718"/>
      <c r="AO17" s="569"/>
      <c r="AP17" s="570"/>
      <c r="AQ17" s="570"/>
      <c r="AR17" s="510" t="e">
        <f t="shared" si="8"/>
        <v>#N/A</v>
      </c>
      <c r="AS17" s="718"/>
      <c r="AT17" s="569"/>
      <c r="AU17" s="570"/>
      <c r="AV17" s="570"/>
      <c r="AW17" s="510" t="e">
        <f t="shared" si="9"/>
        <v>#N/A</v>
      </c>
      <c r="AX17" s="690"/>
      <c r="AZ17" s="362" t="e">
        <f>RANK(AX17, $K$7:AX$21)</f>
        <v>#N/A</v>
      </c>
      <c r="BB17" s="359" t="e">
        <f t="shared" si="10"/>
        <v>#N/A</v>
      </c>
    </row>
    <row r="18" spans="2:54">
      <c r="B18" s="676"/>
      <c r="C18" s="510">
        <v>12</v>
      </c>
      <c r="D18" s="227"/>
      <c r="E18" s="182"/>
      <c r="F18" s="510"/>
      <c r="G18" s="511"/>
      <c r="H18" s="718"/>
      <c r="I18" s="202"/>
      <c r="J18" s="202"/>
      <c r="K18" s="202"/>
      <c r="L18" s="650"/>
      <c r="M18" s="517" t="e">
        <f>RANK(K18, K$7:$K$21)</f>
        <v>#N/A</v>
      </c>
      <c r="N18" s="668"/>
      <c r="O18" s="668"/>
      <c r="P18" s="510"/>
      <c r="Q18" s="511"/>
      <c r="R18" s="511"/>
      <c r="S18" s="510" t="e">
        <f t="shared" si="3"/>
        <v>#N/A</v>
      </c>
      <c r="T18" s="718"/>
      <c r="U18" s="569"/>
      <c r="V18" s="570"/>
      <c r="W18" s="570"/>
      <c r="X18" s="510" t="e">
        <f t="shared" si="4"/>
        <v>#N/A</v>
      </c>
      <c r="Y18" s="718"/>
      <c r="Z18" s="569"/>
      <c r="AA18" s="570"/>
      <c r="AB18" s="570"/>
      <c r="AC18" s="510" t="e">
        <f t="shared" si="5"/>
        <v>#N/A</v>
      </c>
      <c r="AD18" s="718"/>
      <c r="AE18" s="569"/>
      <c r="AF18" s="570"/>
      <c r="AG18" s="570"/>
      <c r="AH18" s="510" t="e">
        <f t="shared" si="6"/>
        <v>#N/A</v>
      </c>
      <c r="AI18" s="718"/>
      <c r="AJ18" s="569"/>
      <c r="AK18" s="570"/>
      <c r="AL18" s="570"/>
      <c r="AM18" s="510" t="e">
        <f t="shared" si="7"/>
        <v>#N/A</v>
      </c>
      <c r="AN18" s="718"/>
      <c r="AO18" s="569"/>
      <c r="AP18" s="570"/>
      <c r="AQ18" s="570"/>
      <c r="AR18" s="510" t="e">
        <f t="shared" si="8"/>
        <v>#N/A</v>
      </c>
      <c r="AS18" s="718"/>
      <c r="AT18" s="569"/>
      <c r="AU18" s="570"/>
      <c r="AV18" s="570"/>
      <c r="AW18" s="510" t="e">
        <f t="shared" si="9"/>
        <v>#N/A</v>
      </c>
      <c r="AX18" s="690"/>
      <c r="AZ18" s="362" t="e">
        <f>RANK(AX18, $K$7:AX$21)</f>
        <v>#N/A</v>
      </c>
      <c r="BB18" s="359" t="e">
        <f t="shared" si="10"/>
        <v>#N/A</v>
      </c>
    </row>
    <row r="19" spans="2:54">
      <c r="B19" s="676"/>
      <c r="C19" s="510">
        <v>13</v>
      </c>
      <c r="D19" s="227"/>
      <c r="E19" s="182"/>
      <c r="F19" s="510"/>
      <c r="G19" s="511"/>
      <c r="H19" s="718"/>
      <c r="I19" s="202"/>
      <c r="J19" s="202"/>
      <c r="K19" s="202"/>
      <c r="L19" s="650"/>
      <c r="M19" s="517" t="e">
        <f>RANK(K19, K$7:$K$21)</f>
        <v>#N/A</v>
      </c>
      <c r="N19" s="668"/>
      <c r="O19" s="668"/>
      <c r="P19" s="510"/>
      <c r="Q19" s="511"/>
      <c r="R19" s="511"/>
      <c r="S19" s="510" t="e">
        <f t="shared" si="3"/>
        <v>#N/A</v>
      </c>
      <c r="T19" s="718"/>
      <c r="U19" s="569"/>
      <c r="V19" s="570"/>
      <c r="W19" s="570"/>
      <c r="X19" s="510" t="e">
        <f t="shared" si="4"/>
        <v>#N/A</v>
      </c>
      <c r="Y19" s="718"/>
      <c r="Z19" s="569"/>
      <c r="AA19" s="570"/>
      <c r="AB19" s="570"/>
      <c r="AC19" s="510" t="e">
        <f t="shared" si="5"/>
        <v>#N/A</v>
      </c>
      <c r="AD19" s="718"/>
      <c r="AE19" s="569"/>
      <c r="AF19" s="570"/>
      <c r="AG19" s="570"/>
      <c r="AH19" s="510" t="e">
        <f t="shared" si="6"/>
        <v>#N/A</v>
      </c>
      <c r="AI19" s="718"/>
      <c r="AJ19" s="569"/>
      <c r="AK19" s="570"/>
      <c r="AL19" s="570"/>
      <c r="AM19" s="510" t="e">
        <f t="shared" si="7"/>
        <v>#N/A</v>
      </c>
      <c r="AN19" s="718"/>
      <c r="AO19" s="569"/>
      <c r="AP19" s="570"/>
      <c r="AQ19" s="570"/>
      <c r="AR19" s="510" t="e">
        <f t="shared" si="8"/>
        <v>#N/A</v>
      </c>
      <c r="AS19" s="718"/>
      <c r="AT19" s="569"/>
      <c r="AU19" s="570"/>
      <c r="AV19" s="570"/>
      <c r="AW19" s="510" t="e">
        <f t="shared" si="9"/>
        <v>#N/A</v>
      </c>
      <c r="AX19" s="690"/>
      <c r="AZ19" s="362" t="e">
        <f>RANK(AX19, $K$7:AX$21)</f>
        <v>#N/A</v>
      </c>
      <c r="BB19" s="359" t="e">
        <f t="shared" si="10"/>
        <v>#N/A</v>
      </c>
    </row>
    <row r="20" spans="2:54">
      <c r="B20" s="676"/>
      <c r="C20" s="510">
        <v>14</v>
      </c>
      <c r="D20" s="227"/>
      <c r="E20" s="182"/>
      <c r="F20" s="510"/>
      <c r="G20" s="511"/>
      <c r="H20" s="718"/>
      <c r="I20" s="202"/>
      <c r="J20" s="202"/>
      <c r="K20" s="202"/>
      <c r="L20" s="650"/>
      <c r="M20" s="517" t="e">
        <f>RANK(K20, K$7:$K$21)</f>
        <v>#N/A</v>
      </c>
      <c r="N20" s="668"/>
      <c r="O20" s="668"/>
      <c r="P20" s="510"/>
      <c r="Q20" s="511"/>
      <c r="R20" s="511"/>
      <c r="S20" s="510" t="e">
        <f t="shared" si="3"/>
        <v>#N/A</v>
      </c>
      <c r="T20" s="718"/>
      <c r="U20" s="569"/>
      <c r="V20" s="570"/>
      <c r="W20" s="570"/>
      <c r="X20" s="510" t="e">
        <f t="shared" si="4"/>
        <v>#N/A</v>
      </c>
      <c r="Y20" s="718"/>
      <c r="Z20" s="569"/>
      <c r="AA20" s="570"/>
      <c r="AB20" s="570"/>
      <c r="AC20" s="510" t="e">
        <f t="shared" si="5"/>
        <v>#N/A</v>
      </c>
      <c r="AD20" s="718"/>
      <c r="AE20" s="569"/>
      <c r="AF20" s="570"/>
      <c r="AG20" s="570"/>
      <c r="AH20" s="510" t="e">
        <f t="shared" si="6"/>
        <v>#N/A</v>
      </c>
      <c r="AI20" s="718"/>
      <c r="AJ20" s="569"/>
      <c r="AK20" s="570"/>
      <c r="AL20" s="570"/>
      <c r="AM20" s="510" t="e">
        <f t="shared" si="7"/>
        <v>#N/A</v>
      </c>
      <c r="AN20" s="718"/>
      <c r="AO20" s="569"/>
      <c r="AP20" s="570"/>
      <c r="AQ20" s="570"/>
      <c r="AR20" s="510" t="e">
        <f t="shared" si="8"/>
        <v>#N/A</v>
      </c>
      <c r="AS20" s="718"/>
      <c r="AT20" s="569"/>
      <c r="AU20" s="570"/>
      <c r="AV20" s="570"/>
      <c r="AW20" s="510" t="e">
        <f t="shared" si="9"/>
        <v>#N/A</v>
      </c>
      <c r="AX20" s="690"/>
      <c r="AZ20" s="362" t="e">
        <f>RANK(AX20, $K$7:AX$21)</f>
        <v>#N/A</v>
      </c>
      <c r="BB20" s="359" t="e">
        <f t="shared" si="10"/>
        <v>#N/A</v>
      </c>
    </row>
    <row r="21" spans="2:54">
      <c r="B21" s="676"/>
      <c r="C21" s="510">
        <v>15</v>
      </c>
      <c r="D21" s="227"/>
      <c r="E21" s="182"/>
      <c r="F21" s="510"/>
      <c r="G21" s="511"/>
      <c r="H21" s="719"/>
      <c r="I21" s="202"/>
      <c r="J21" s="202"/>
      <c r="K21" s="202"/>
      <c r="L21" s="651"/>
      <c r="M21" s="517" t="e">
        <f>RANK(K21, K$7:$K$21)</f>
        <v>#N/A</v>
      </c>
      <c r="N21" s="668"/>
      <c r="O21" s="668"/>
      <c r="P21" s="510"/>
      <c r="Q21" s="511"/>
      <c r="R21" s="511"/>
      <c r="S21" s="510" t="e">
        <f t="shared" si="3"/>
        <v>#N/A</v>
      </c>
      <c r="T21" s="719"/>
      <c r="U21" s="569"/>
      <c r="V21" s="570"/>
      <c r="W21" s="570"/>
      <c r="X21" s="510" t="e">
        <f t="shared" si="4"/>
        <v>#N/A</v>
      </c>
      <c r="Y21" s="719"/>
      <c r="Z21" s="569"/>
      <c r="AA21" s="570"/>
      <c r="AB21" s="570"/>
      <c r="AC21" s="510" t="e">
        <f t="shared" si="5"/>
        <v>#N/A</v>
      </c>
      <c r="AD21" s="719"/>
      <c r="AE21" s="569"/>
      <c r="AF21" s="570"/>
      <c r="AG21" s="570"/>
      <c r="AH21" s="510" t="e">
        <f t="shared" si="6"/>
        <v>#N/A</v>
      </c>
      <c r="AI21" s="719"/>
      <c r="AJ21" s="569"/>
      <c r="AK21" s="570"/>
      <c r="AL21" s="570"/>
      <c r="AM21" s="510" t="e">
        <f t="shared" si="7"/>
        <v>#N/A</v>
      </c>
      <c r="AN21" s="719"/>
      <c r="AO21" s="569"/>
      <c r="AP21" s="570"/>
      <c r="AQ21" s="570"/>
      <c r="AR21" s="510" t="e">
        <f t="shared" si="8"/>
        <v>#N/A</v>
      </c>
      <c r="AS21" s="719"/>
      <c r="AT21" s="569"/>
      <c r="AU21" s="570"/>
      <c r="AV21" s="570"/>
      <c r="AW21" s="510" t="e">
        <f t="shared" si="9"/>
        <v>#N/A</v>
      </c>
      <c r="AX21" s="690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69" t="s">
        <v>156</v>
      </c>
      <c r="O22" s="669" t="s">
        <v>105</v>
      </c>
      <c r="P22" s="675">
        <f>P2+7</f>
        <v>46091</v>
      </c>
      <c r="Q22" s="676"/>
      <c r="R22" s="676"/>
      <c r="S22" s="676"/>
      <c r="T22" s="676"/>
      <c r="U22" s="672">
        <f>P22+1</f>
        <v>46092</v>
      </c>
      <c r="V22" s="673"/>
      <c r="W22" s="673"/>
      <c r="X22" s="673"/>
      <c r="Y22" s="674"/>
      <c r="Z22" s="672">
        <f>U22+1</f>
        <v>46093</v>
      </c>
      <c r="AA22" s="673"/>
      <c r="AB22" s="673"/>
      <c r="AC22" s="673"/>
      <c r="AD22" s="674"/>
      <c r="AE22" s="672">
        <f>Z22+1</f>
        <v>46094</v>
      </c>
      <c r="AF22" s="673"/>
      <c r="AG22" s="673"/>
      <c r="AH22" s="673"/>
      <c r="AI22" s="674"/>
      <c r="AJ22" s="672">
        <f>AE22+1</f>
        <v>46095</v>
      </c>
      <c r="AK22" s="673"/>
      <c r="AL22" s="673"/>
      <c r="AM22" s="673"/>
      <c r="AN22" s="674"/>
      <c r="AO22" s="672">
        <f>AJ22+1</f>
        <v>46096</v>
      </c>
      <c r="AP22" s="673"/>
      <c r="AQ22" s="673"/>
      <c r="AR22" s="673"/>
      <c r="AS22" s="674"/>
      <c r="AT22" s="672">
        <f>AO22+1</f>
        <v>46097</v>
      </c>
      <c r="AU22" s="673"/>
      <c r="AV22" s="673"/>
      <c r="AW22" s="673"/>
      <c r="AX22" s="674"/>
    </row>
    <row r="23" spans="2:54" ht="15.75">
      <c r="B23" s="683"/>
      <c r="C23" s="683"/>
      <c r="D23" s="683"/>
      <c r="E23" s="683"/>
      <c r="F23" s="683"/>
      <c r="G23" s="683"/>
      <c r="H23" s="683"/>
      <c r="I23" s="205"/>
      <c r="J23" s="205"/>
      <c r="K23" s="205"/>
      <c r="L23" s="205"/>
      <c r="M23" s="206"/>
      <c r="N23" s="671"/>
      <c r="O23" s="671"/>
      <c r="P23" s="675" t="s">
        <v>336</v>
      </c>
      <c r="Q23" s="676"/>
      <c r="R23" s="676"/>
      <c r="S23" s="676"/>
      <c r="T23" s="676"/>
      <c r="U23" s="675" t="s">
        <v>337</v>
      </c>
      <c r="V23" s="676"/>
      <c r="W23" s="676"/>
      <c r="X23" s="676"/>
      <c r="Y23" s="676"/>
      <c r="Z23" s="675" t="s">
        <v>338</v>
      </c>
      <c r="AA23" s="676"/>
      <c r="AB23" s="676"/>
      <c r="AC23" s="676"/>
      <c r="AD23" s="676"/>
      <c r="AE23" s="675" t="s">
        <v>339</v>
      </c>
      <c r="AF23" s="676"/>
      <c r="AG23" s="676"/>
      <c r="AH23" s="676"/>
      <c r="AI23" s="676"/>
      <c r="AJ23" s="675" t="s">
        <v>340</v>
      </c>
      <c r="AK23" s="676"/>
      <c r="AL23" s="676"/>
      <c r="AM23" s="676"/>
      <c r="AN23" s="676"/>
      <c r="AO23" s="675" t="s">
        <v>341</v>
      </c>
      <c r="AP23" s="676"/>
      <c r="AQ23" s="676"/>
      <c r="AR23" s="676"/>
      <c r="AS23" s="676"/>
      <c r="AT23" s="675" t="s">
        <v>342</v>
      </c>
      <c r="AU23" s="676"/>
      <c r="AV23" s="676"/>
      <c r="AW23" s="676"/>
      <c r="AX23" s="676"/>
    </row>
    <row r="24" spans="2:54">
      <c r="B24" s="668" t="s">
        <v>154</v>
      </c>
      <c r="C24" s="668" t="s">
        <v>429</v>
      </c>
      <c r="D24" s="668"/>
      <c r="E24" s="668" t="s">
        <v>517</v>
      </c>
      <c r="F24" s="668"/>
      <c r="G24" s="668"/>
      <c r="H24" s="684" t="s">
        <v>416</v>
      </c>
      <c r="I24" s="652" t="s">
        <v>518</v>
      </c>
      <c r="J24" s="652"/>
      <c r="K24" s="652"/>
      <c r="L24" s="653" t="s">
        <v>416</v>
      </c>
      <c r="M24" s="659" t="s">
        <v>417</v>
      </c>
      <c r="N24" s="668"/>
      <c r="O24" s="668" t="s">
        <v>519</v>
      </c>
      <c r="P24" s="665" t="s">
        <v>520</v>
      </c>
      <c r="Q24" s="666"/>
      <c r="R24" s="666"/>
      <c r="S24" s="667"/>
      <c r="T24" s="668" t="s">
        <v>521</v>
      </c>
      <c r="U24" s="665" t="s">
        <v>520</v>
      </c>
      <c r="V24" s="666"/>
      <c r="W24" s="666"/>
      <c r="X24" s="667"/>
      <c r="Y24" s="668" t="s">
        <v>521</v>
      </c>
      <c r="Z24" s="665" t="s">
        <v>520</v>
      </c>
      <c r="AA24" s="666"/>
      <c r="AB24" s="666"/>
      <c r="AC24" s="667"/>
      <c r="AD24" s="668" t="s">
        <v>522</v>
      </c>
      <c r="AE24" s="665" t="s">
        <v>520</v>
      </c>
      <c r="AF24" s="666"/>
      <c r="AG24" s="666"/>
      <c r="AH24" s="667"/>
      <c r="AI24" s="668" t="s">
        <v>522</v>
      </c>
      <c r="AJ24" s="665" t="s">
        <v>418</v>
      </c>
      <c r="AK24" s="666"/>
      <c r="AL24" s="666"/>
      <c r="AM24" s="667"/>
      <c r="AN24" s="668" t="s">
        <v>522</v>
      </c>
      <c r="AO24" s="665" t="s">
        <v>523</v>
      </c>
      <c r="AP24" s="666"/>
      <c r="AQ24" s="666"/>
      <c r="AR24" s="667"/>
      <c r="AS24" s="668" t="s">
        <v>522</v>
      </c>
      <c r="AT24" s="665" t="s">
        <v>523</v>
      </c>
      <c r="AU24" s="666"/>
      <c r="AV24" s="666"/>
      <c r="AW24" s="667"/>
      <c r="AX24" s="668" t="s">
        <v>416</v>
      </c>
    </row>
    <row r="25" spans="2:54">
      <c r="B25" s="668"/>
      <c r="C25" s="668"/>
      <c r="D25" s="668"/>
      <c r="E25" s="668" t="s">
        <v>524</v>
      </c>
      <c r="F25" s="668"/>
      <c r="G25" s="668"/>
      <c r="H25" s="685"/>
      <c r="I25" s="652" t="s">
        <v>525</v>
      </c>
      <c r="J25" s="652"/>
      <c r="K25" s="652"/>
      <c r="L25" s="654"/>
      <c r="M25" s="660"/>
      <c r="N25" s="668"/>
      <c r="O25" s="668"/>
      <c r="P25" s="665" t="s">
        <v>424</v>
      </c>
      <c r="Q25" s="666"/>
      <c r="R25" s="666"/>
      <c r="S25" s="667"/>
      <c r="T25" s="668"/>
      <c r="U25" s="665" t="s">
        <v>424</v>
      </c>
      <c r="V25" s="666"/>
      <c r="W25" s="666"/>
      <c r="X25" s="667"/>
      <c r="Y25" s="668"/>
      <c r="Z25" s="665" t="s">
        <v>526</v>
      </c>
      <c r="AA25" s="666"/>
      <c r="AB25" s="666"/>
      <c r="AC25" s="667"/>
      <c r="AD25" s="668"/>
      <c r="AE25" s="665" t="s">
        <v>526</v>
      </c>
      <c r="AF25" s="666"/>
      <c r="AG25" s="666"/>
      <c r="AH25" s="667"/>
      <c r="AI25" s="668"/>
      <c r="AJ25" s="665" t="s">
        <v>424</v>
      </c>
      <c r="AK25" s="666"/>
      <c r="AL25" s="666"/>
      <c r="AM25" s="667"/>
      <c r="AN25" s="668"/>
      <c r="AO25" s="665" t="s">
        <v>526</v>
      </c>
      <c r="AP25" s="666"/>
      <c r="AQ25" s="666"/>
      <c r="AR25" s="667"/>
      <c r="AS25" s="668"/>
      <c r="AT25" s="665" t="s">
        <v>527</v>
      </c>
      <c r="AU25" s="666"/>
      <c r="AV25" s="666"/>
      <c r="AW25" s="667"/>
      <c r="AX25" s="668"/>
    </row>
    <row r="26" spans="2:54">
      <c r="B26" s="668"/>
      <c r="C26" s="668"/>
      <c r="D26" s="668"/>
      <c r="E26" s="320" t="s">
        <v>425</v>
      </c>
      <c r="F26" s="320" t="s">
        <v>426</v>
      </c>
      <c r="G26" s="320" t="s">
        <v>427</v>
      </c>
      <c r="H26" s="686"/>
      <c r="I26" s="319" t="s">
        <v>528</v>
      </c>
      <c r="J26" s="319" t="s">
        <v>426</v>
      </c>
      <c r="K26" s="319" t="s">
        <v>529</v>
      </c>
      <c r="L26" s="655"/>
      <c r="M26" s="661"/>
      <c r="N26" s="668"/>
      <c r="O26" s="668"/>
      <c r="P26" s="320" t="s">
        <v>530</v>
      </c>
      <c r="Q26" s="320" t="s">
        <v>426</v>
      </c>
      <c r="R26" s="320" t="s">
        <v>531</v>
      </c>
      <c r="S26" s="320" t="s">
        <v>532</v>
      </c>
      <c r="T26" s="668"/>
      <c r="U26" s="320" t="s">
        <v>425</v>
      </c>
      <c r="V26" s="320" t="s">
        <v>426</v>
      </c>
      <c r="W26" s="320" t="s">
        <v>427</v>
      </c>
      <c r="X26" s="320" t="s">
        <v>417</v>
      </c>
      <c r="Y26" s="668"/>
      <c r="Z26" s="320" t="s">
        <v>425</v>
      </c>
      <c r="AA26" s="320" t="s">
        <v>533</v>
      </c>
      <c r="AB26" s="320" t="s">
        <v>427</v>
      </c>
      <c r="AC26" s="320" t="s">
        <v>534</v>
      </c>
      <c r="AD26" s="668"/>
      <c r="AE26" s="320" t="s">
        <v>425</v>
      </c>
      <c r="AF26" s="320" t="s">
        <v>426</v>
      </c>
      <c r="AG26" s="320" t="s">
        <v>427</v>
      </c>
      <c r="AH26" s="320" t="s">
        <v>417</v>
      </c>
      <c r="AI26" s="668"/>
      <c r="AJ26" s="320" t="s">
        <v>535</v>
      </c>
      <c r="AK26" s="320" t="s">
        <v>426</v>
      </c>
      <c r="AL26" s="320" t="s">
        <v>531</v>
      </c>
      <c r="AM26" s="320" t="s">
        <v>532</v>
      </c>
      <c r="AN26" s="668"/>
      <c r="AO26" s="320" t="s">
        <v>425</v>
      </c>
      <c r="AP26" s="320" t="s">
        <v>426</v>
      </c>
      <c r="AQ26" s="320" t="s">
        <v>427</v>
      </c>
      <c r="AR26" s="320" t="s">
        <v>417</v>
      </c>
      <c r="AS26" s="668"/>
      <c r="AT26" s="320" t="s">
        <v>425</v>
      </c>
      <c r="AU26" s="320" t="s">
        <v>536</v>
      </c>
      <c r="AV26" s="320" t="s">
        <v>427</v>
      </c>
      <c r="AW26" s="320" t="s">
        <v>417</v>
      </c>
      <c r="AX26" s="668"/>
    </row>
    <row r="27" spans="2:54">
      <c r="B27" s="668" t="s">
        <v>132</v>
      </c>
      <c r="C27" s="321">
        <v>1</v>
      </c>
      <c r="D27" s="227" t="s">
        <v>372</v>
      </c>
      <c r="E27" s="182">
        <v>18</v>
      </c>
      <c r="F27" s="569">
        <v>1440</v>
      </c>
      <c r="G27" s="570">
        <v>80</v>
      </c>
      <c r="H27" s="717">
        <f>AVERAGE(G27:G41)</f>
        <v>79.069999999999993</v>
      </c>
      <c r="I27" s="199">
        <f>AVERAGE(P27,U27,Z27,AE27,AJ27,AO27,AT27)</f>
        <v>18</v>
      </c>
      <c r="J27" s="199">
        <f>AVERAGE(Q27,V27,AA27,AF27,AK27,AP27,AU27)</f>
        <v>1318.0809719298638</v>
      </c>
      <c r="K27" s="200">
        <f>AVERAGE(R27,W27,AB27,AG27,AL27,AQ27,AV27)</f>
        <v>73.226720662770205</v>
      </c>
      <c r="L27" s="649">
        <f>IFERROR(AVERAGE(K27:K41),"-")</f>
        <v>70.461104923591947</v>
      </c>
      <c r="M27" s="201">
        <f>RANK(K27, K$27:$K$41)</f>
        <v>3</v>
      </c>
      <c r="N27" s="668"/>
      <c r="O27" s="668"/>
      <c r="P27" s="182">
        <v>18</v>
      </c>
      <c r="Q27" s="570">
        <v>1339.7383177570091</v>
      </c>
      <c r="R27" s="570">
        <v>74.429906542056059</v>
      </c>
      <c r="S27" s="321">
        <f t="shared" ref="S27:S41" si="11">RANK(R27, R$27:R$41)</f>
        <v>3</v>
      </c>
      <c r="T27" s="717">
        <f>AVERAGE(R27:R41)</f>
        <v>71.655664989518982</v>
      </c>
      <c r="U27" s="182">
        <v>18</v>
      </c>
      <c r="V27" s="570">
        <v>1214.7428571428613</v>
      </c>
      <c r="W27" s="570">
        <v>67.485714285714522</v>
      </c>
      <c r="X27" s="475">
        <f t="shared" ref="X27:X41" si="12">RANK(W27, W$27:W$41)</f>
        <v>6</v>
      </c>
      <c r="Y27" s="717">
        <f t="shared" ref="Y27" si="13">AVERAGE(W27:W41)</f>
        <v>69.558499686271006</v>
      </c>
      <c r="Z27" s="182">
        <v>18</v>
      </c>
      <c r="AA27" s="570">
        <v>1320.5660377358486</v>
      </c>
      <c r="AB27" s="570">
        <v>73.364779874213809</v>
      </c>
      <c r="AC27" s="475">
        <f t="shared" ref="AC27:AC41" si="14">RANK(AB27, AB$27:AB$41)</f>
        <v>4</v>
      </c>
      <c r="AD27" s="717">
        <f t="shared" ref="AD27" si="15">AVERAGE(AB27:AB41)</f>
        <v>70.04339070293743</v>
      </c>
      <c r="AE27" s="182">
        <v>18</v>
      </c>
      <c r="AF27" s="570">
        <v>1326</v>
      </c>
      <c r="AG27" s="570">
        <v>73.666666666666671</v>
      </c>
      <c r="AH27" s="475">
        <f t="shared" ref="AH27:AH41" si="16">RANK(AG27, AG$27:AG$41)</f>
        <v>4</v>
      </c>
      <c r="AI27" s="717">
        <f t="shared" ref="AI27" si="17">AVERAGE(AG27:AG41)</f>
        <v>70.401774021940327</v>
      </c>
      <c r="AJ27" s="182">
        <v>18</v>
      </c>
      <c r="AK27" s="570">
        <v>1337.4000000000003</v>
      </c>
      <c r="AL27" s="570">
        <v>74.300000000000011</v>
      </c>
      <c r="AM27" s="475">
        <f t="shared" ref="AM27:AM41" si="18">RANK(AL27, AL$27:AL$41)</f>
        <v>3</v>
      </c>
      <c r="AN27" s="717">
        <f t="shared" ref="AN27" si="19">AVERAGE(AL27:AL41)</f>
        <v>70.142975438201049</v>
      </c>
      <c r="AO27" s="182">
        <v>18</v>
      </c>
      <c r="AP27" s="570">
        <v>1341.2903225806447</v>
      </c>
      <c r="AQ27" s="570">
        <v>74.516129032258036</v>
      </c>
      <c r="AR27" s="475">
        <f t="shared" ref="AR27:AR41" si="20">RANK(AQ27, AQ$27:AQ$41)</f>
        <v>3</v>
      </c>
      <c r="AS27" s="717">
        <f t="shared" ref="AS27" si="21">AVERAGE(AQ27:AQ41)</f>
        <v>71.213123572744578</v>
      </c>
      <c r="AT27" s="182">
        <v>18</v>
      </c>
      <c r="AU27" s="570">
        <v>1346.8292682926824</v>
      </c>
      <c r="AV27" s="570">
        <v>74.823848238482356</v>
      </c>
      <c r="AW27" s="475">
        <f t="shared" ref="AW27:AW41" si="22">RANK(AV27, AV$27:AV$41)</f>
        <v>3</v>
      </c>
      <c r="AX27" s="690">
        <f t="shared" ref="AX27" si="23">AVERAGE(AV27:AV41)</f>
        <v>71.718414342602046</v>
      </c>
    </row>
    <row r="28" spans="2:54">
      <c r="B28" s="676"/>
      <c r="C28" s="321">
        <v>2</v>
      </c>
      <c r="D28" s="227" t="s">
        <v>373</v>
      </c>
      <c r="E28" s="182">
        <v>18</v>
      </c>
      <c r="F28" s="569">
        <v>1440</v>
      </c>
      <c r="G28" s="570">
        <v>80</v>
      </c>
      <c r="H28" s="718"/>
      <c r="I28" s="199">
        <f t="shared" ref="I28:I33" si="24">AVERAGE(P28,U28,Z28,AE28,AJ28,AO28,AT28)</f>
        <v>18</v>
      </c>
      <c r="J28" s="199">
        <f t="shared" ref="J28:J33" si="25">AVERAGE(Q28,V28,AA28,AF28,AK28,AP28,AU28)</f>
        <v>1309.2848075371298</v>
      </c>
      <c r="K28" s="200">
        <f t="shared" ref="K28:K33" si="26">AVERAGE(R28,W28,AB28,AG28,AL28,AQ28,AV28)</f>
        <v>72.738044863173883</v>
      </c>
      <c r="L28" s="650"/>
      <c r="M28" s="201">
        <f>RANK(K28, K$27:$K$41)</f>
        <v>4</v>
      </c>
      <c r="N28" s="668"/>
      <c r="O28" s="668"/>
      <c r="P28" s="569">
        <v>18</v>
      </c>
      <c r="Q28" s="570">
        <v>1316.2499999999982</v>
      </c>
      <c r="R28" s="570">
        <v>73.124999999999901</v>
      </c>
      <c r="S28" s="321">
        <f t="shared" si="11"/>
        <v>4</v>
      </c>
      <c r="T28" s="718"/>
      <c r="U28" s="569">
        <v>18</v>
      </c>
      <c r="V28" s="570">
        <v>1306.4516129032236</v>
      </c>
      <c r="W28" s="570">
        <v>72.580645161290192</v>
      </c>
      <c r="X28" s="475">
        <f t="shared" si="12"/>
        <v>3</v>
      </c>
      <c r="Y28" s="718"/>
      <c r="Z28" s="569">
        <v>18</v>
      </c>
      <c r="AA28" s="570">
        <v>1332.4137931034459</v>
      </c>
      <c r="AB28" s="570">
        <v>74.022988505746994</v>
      </c>
      <c r="AC28" s="475">
        <f t="shared" si="14"/>
        <v>3</v>
      </c>
      <c r="AD28" s="718"/>
      <c r="AE28" s="569">
        <v>18</v>
      </c>
      <c r="AF28" s="570">
        <v>1328.5714285714257</v>
      </c>
      <c r="AG28" s="570">
        <v>73.809523809523654</v>
      </c>
      <c r="AH28" s="475">
        <f t="shared" si="16"/>
        <v>3</v>
      </c>
      <c r="AI28" s="718"/>
      <c r="AJ28" s="569">
        <v>18</v>
      </c>
      <c r="AK28" s="570">
        <v>1303.1249999999982</v>
      </c>
      <c r="AL28" s="570">
        <v>72.395833333333229</v>
      </c>
      <c r="AM28" s="475">
        <f t="shared" si="18"/>
        <v>4</v>
      </c>
      <c r="AN28" s="718"/>
      <c r="AO28" s="569">
        <v>18</v>
      </c>
      <c r="AP28" s="570">
        <v>1309.9999999999989</v>
      </c>
      <c r="AQ28" s="570">
        <v>72.777777777777715</v>
      </c>
      <c r="AR28" s="475">
        <f t="shared" si="20"/>
        <v>4</v>
      </c>
      <c r="AS28" s="718"/>
      <c r="AT28" s="569">
        <v>18</v>
      </c>
      <c r="AU28" s="570">
        <v>1268.1818181818182</v>
      </c>
      <c r="AV28" s="570">
        <v>70.454545454545453</v>
      </c>
      <c r="AW28" s="475">
        <f t="shared" si="22"/>
        <v>6</v>
      </c>
      <c r="AX28" s="690"/>
    </row>
    <row r="29" spans="2:54">
      <c r="B29" s="676"/>
      <c r="C29" s="321">
        <v>3</v>
      </c>
      <c r="D29" s="227" t="s">
        <v>374</v>
      </c>
      <c r="E29" s="182">
        <v>17</v>
      </c>
      <c r="F29" s="569">
        <v>1440</v>
      </c>
      <c r="G29" s="570">
        <v>84.7</v>
      </c>
      <c r="H29" s="718"/>
      <c r="I29" s="199">
        <f t="shared" si="24"/>
        <v>17</v>
      </c>
      <c r="J29" s="199">
        <f t="shared" si="25"/>
        <v>1313.2280235737969</v>
      </c>
      <c r="K29" s="200">
        <f t="shared" si="26"/>
        <v>77.248707269046875</v>
      </c>
      <c r="L29" s="650"/>
      <c r="M29" s="201">
        <f>RANK(K29, K$27:$K$41)</f>
        <v>2</v>
      </c>
      <c r="N29" s="668"/>
      <c r="O29" s="668"/>
      <c r="P29" s="569">
        <v>17</v>
      </c>
      <c r="Q29" s="570">
        <v>1321.538461538461</v>
      </c>
      <c r="R29" s="570">
        <v>77.737556561085938</v>
      </c>
      <c r="S29" s="321">
        <f t="shared" si="11"/>
        <v>2</v>
      </c>
      <c r="T29" s="718"/>
      <c r="U29" s="569">
        <v>17</v>
      </c>
      <c r="V29" s="570">
        <v>1318.8888888888896</v>
      </c>
      <c r="W29" s="570">
        <v>77.581699346405273</v>
      </c>
      <c r="X29" s="475">
        <f t="shared" si="12"/>
        <v>2</v>
      </c>
      <c r="Y29" s="718"/>
      <c r="Z29" s="569">
        <v>17</v>
      </c>
      <c r="AA29" s="570">
        <v>1305.92</v>
      </c>
      <c r="AB29" s="570">
        <v>76.818823529411773</v>
      </c>
      <c r="AC29" s="475">
        <f t="shared" si="14"/>
        <v>2</v>
      </c>
      <c r="AD29" s="718"/>
      <c r="AE29" s="569">
        <v>17</v>
      </c>
      <c r="AF29" s="570">
        <v>1301.0608695652174</v>
      </c>
      <c r="AG29" s="570">
        <v>76.532992327365733</v>
      </c>
      <c r="AH29" s="475">
        <f t="shared" si="16"/>
        <v>2</v>
      </c>
      <c r="AI29" s="718"/>
      <c r="AJ29" s="569">
        <v>17</v>
      </c>
      <c r="AK29" s="570">
        <v>1297.2222222222229</v>
      </c>
      <c r="AL29" s="570">
        <v>76.307189542483698</v>
      </c>
      <c r="AM29" s="475">
        <f t="shared" si="18"/>
        <v>2</v>
      </c>
      <c r="AN29" s="718"/>
      <c r="AO29" s="569">
        <v>17</v>
      </c>
      <c r="AP29" s="570">
        <v>1306.818181818182</v>
      </c>
      <c r="AQ29" s="570">
        <v>76.871657754010698</v>
      </c>
      <c r="AR29" s="475">
        <f t="shared" si="20"/>
        <v>2</v>
      </c>
      <c r="AS29" s="718"/>
      <c r="AT29" s="569">
        <v>17</v>
      </c>
      <c r="AU29" s="570">
        <v>1341.1475409836062</v>
      </c>
      <c r="AV29" s="570">
        <v>78.891031822565068</v>
      </c>
      <c r="AW29" s="475">
        <f t="shared" si="22"/>
        <v>2</v>
      </c>
      <c r="AX29" s="690"/>
    </row>
    <row r="30" spans="2:54">
      <c r="B30" s="676"/>
      <c r="C30" s="321">
        <v>4</v>
      </c>
      <c r="D30" s="227" t="s">
        <v>375</v>
      </c>
      <c r="E30" s="182">
        <v>17</v>
      </c>
      <c r="F30" s="569">
        <v>1440</v>
      </c>
      <c r="G30" s="570">
        <v>84.7</v>
      </c>
      <c r="H30" s="718"/>
      <c r="I30" s="199">
        <f t="shared" si="24"/>
        <v>17</v>
      </c>
      <c r="J30" s="199">
        <f t="shared" si="25"/>
        <v>1086.8988677093498</v>
      </c>
      <c r="K30" s="200">
        <f t="shared" si="26"/>
        <v>63.93522751231469</v>
      </c>
      <c r="L30" s="650"/>
      <c r="M30" s="201">
        <f>RANK(K30, K$27:$K$41)</f>
        <v>9</v>
      </c>
      <c r="N30" s="668"/>
      <c r="O30" s="668"/>
      <c r="P30" s="569">
        <v>17</v>
      </c>
      <c r="Q30" s="570">
        <v>1201.9354838709658</v>
      </c>
      <c r="R30" s="570">
        <v>70.702087286527401</v>
      </c>
      <c r="S30" s="321">
        <f t="shared" si="11"/>
        <v>6</v>
      </c>
      <c r="T30" s="718"/>
      <c r="U30" s="569">
        <v>17</v>
      </c>
      <c r="V30" s="570">
        <v>1027.7419354838692</v>
      </c>
      <c r="W30" s="570">
        <v>60.45540796963936</v>
      </c>
      <c r="X30" s="475">
        <f t="shared" si="12"/>
        <v>10</v>
      </c>
      <c r="Y30" s="718"/>
      <c r="Z30" s="569">
        <v>17</v>
      </c>
      <c r="AA30" s="570">
        <v>1025.6249999999986</v>
      </c>
      <c r="AB30" s="570">
        <v>60.330882352941096</v>
      </c>
      <c r="AC30" s="475">
        <f t="shared" si="14"/>
        <v>10</v>
      </c>
      <c r="AD30" s="718"/>
      <c r="AE30" s="569">
        <v>17</v>
      </c>
      <c r="AF30" s="570">
        <v>1095.5555555555529</v>
      </c>
      <c r="AG30" s="570">
        <v>64.444444444444287</v>
      </c>
      <c r="AH30" s="475">
        <f t="shared" si="16"/>
        <v>9</v>
      </c>
      <c r="AI30" s="718"/>
      <c r="AJ30" s="569">
        <v>17</v>
      </c>
      <c r="AK30" s="570">
        <v>1083.6363636363621</v>
      </c>
      <c r="AL30" s="570">
        <v>63.743315508021304</v>
      </c>
      <c r="AM30" s="475">
        <f t="shared" si="18"/>
        <v>9</v>
      </c>
      <c r="AN30" s="718"/>
      <c r="AO30" s="569" t="s">
        <v>760</v>
      </c>
      <c r="AP30" s="570" t="s">
        <v>760</v>
      </c>
      <c r="AQ30" s="570" t="s">
        <v>760</v>
      </c>
      <c r="AR30" s="475" t="e">
        <f t="shared" si="20"/>
        <v>#VALUE!</v>
      </c>
      <c r="AS30" s="718"/>
      <c r="AT30" s="569" t="s">
        <v>760</v>
      </c>
      <c r="AU30" s="570" t="s">
        <v>760</v>
      </c>
      <c r="AV30" s="570" t="s">
        <v>760</v>
      </c>
      <c r="AW30" s="475" t="e">
        <f t="shared" si="22"/>
        <v>#VALUE!</v>
      </c>
      <c r="AX30" s="690"/>
    </row>
    <row r="31" spans="2:54">
      <c r="B31" s="676"/>
      <c r="C31" s="321">
        <v>5</v>
      </c>
      <c r="D31" s="227" t="s">
        <v>376</v>
      </c>
      <c r="E31" s="182">
        <v>21</v>
      </c>
      <c r="F31" s="569">
        <v>1385</v>
      </c>
      <c r="G31" s="570">
        <v>65.900000000000006</v>
      </c>
      <c r="H31" s="718"/>
      <c r="I31" s="199">
        <f t="shared" si="24"/>
        <v>21</v>
      </c>
      <c r="J31" s="199">
        <f t="shared" si="25"/>
        <v>1282.9714075545369</v>
      </c>
      <c r="K31" s="200">
        <f t="shared" si="26"/>
        <v>61.093876550216045</v>
      </c>
      <c r="L31" s="650"/>
      <c r="M31" s="201">
        <f>RANK(K31, K$27:$K$41)</f>
        <v>10</v>
      </c>
      <c r="N31" s="668"/>
      <c r="O31" s="668"/>
      <c r="P31" s="569">
        <v>21</v>
      </c>
      <c r="Q31" s="570">
        <v>1276.4210526315792</v>
      </c>
      <c r="R31" s="570">
        <v>60.781954887218056</v>
      </c>
      <c r="S31" s="321">
        <f t="shared" si="11"/>
        <v>10</v>
      </c>
      <c r="T31" s="718"/>
      <c r="U31" s="569">
        <v>21</v>
      </c>
      <c r="V31" s="570">
        <v>1288.7234042553193</v>
      </c>
      <c r="W31" s="570">
        <v>61.367781155015209</v>
      </c>
      <c r="X31" s="475">
        <f t="shared" si="12"/>
        <v>9</v>
      </c>
      <c r="Y31" s="718"/>
      <c r="Z31" s="569">
        <v>21</v>
      </c>
      <c r="AA31" s="570">
        <v>1285.5445544554461</v>
      </c>
      <c r="AB31" s="570">
        <v>61.216407355021246</v>
      </c>
      <c r="AC31" s="475">
        <f t="shared" si="14"/>
        <v>9</v>
      </c>
      <c r="AD31" s="718"/>
      <c r="AE31" s="569">
        <v>21</v>
      </c>
      <c r="AF31" s="570">
        <v>1282.4175824175823</v>
      </c>
      <c r="AG31" s="570">
        <v>61.067503924646772</v>
      </c>
      <c r="AH31" s="475">
        <f t="shared" si="16"/>
        <v>10</v>
      </c>
      <c r="AI31" s="718"/>
      <c r="AJ31" s="569">
        <v>21</v>
      </c>
      <c r="AK31" s="570">
        <v>1272.727272727273</v>
      </c>
      <c r="AL31" s="570">
        <v>60.606060606060616</v>
      </c>
      <c r="AM31" s="475">
        <f t="shared" si="18"/>
        <v>10</v>
      </c>
      <c r="AN31" s="718"/>
      <c r="AO31" s="569">
        <v>21</v>
      </c>
      <c r="AP31" s="570">
        <v>1286.1904761904759</v>
      </c>
      <c r="AQ31" s="570">
        <v>61.247165532879805</v>
      </c>
      <c r="AR31" s="475">
        <f t="shared" si="20"/>
        <v>9</v>
      </c>
      <c r="AS31" s="718"/>
      <c r="AT31" s="569">
        <v>21</v>
      </c>
      <c r="AU31" s="570">
        <v>1288.7755102040819</v>
      </c>
      <c r="AV31" s="570">
        <v>61.370262390670568</v>
      </c>
      <c r="AW31" s="475">
        <f t="shared" si="22"/>
        <v>9</v>
      </c>
      <c r="AX31" s="690"/>
    </row>
    <row r="32" spans="2:54">
      <c r="B32" s="676"/>
      <c r="C32" s="321">
        <v>6</v>
      </c>
      <c r="D32" s="227" t="s">
        <v>377</v>
      </c>
      <c r="E32" s="182">
        <v>19</v>
      </c>
      <c r="F32" s="569">
        <v>1440</v>
      </c>
      <c r="G32" s="570">
        <v>75.8</v>
      </c>
      <c r="H32" s="718"/>
      <c r="I32" s="199">
        <f t="shared" si="24"/>
        <v>19</v>
      </c>
      <c r="J32" s="199">
        <f t="shared" si="25"/>
        <v>1332.8632983932025</v>
      </c>
      <c r="K32" s="200">
        <f t="shared" si="26"/>
        <v>70.150699915431701</v>
      </c>
      <c r="L32" s="650"/>
      <c r="M32" s="201">
        <f>RANK(K32, K$27:$K$41)</f>
        <v>5</v>
      </c>
      <c r="N32" s="668"/>
      <c r="O32" s="668"/>
      <c r="P32" s="569">
        <v>19</v>
      </c>
      <c r="Q32" s="570">
        <v>1341.0810810810799</v>
      </c>
      <c r="R32" s="570">
        <v>70.58321479374105</v>
      </c>
      <c r="S32" s="321">
        <f t="shared" si="11"/>
        <v>7</v>
      </c>
      <c r="T32" s="718"/>
      <c r="U32" s="569">
        <v>19</v>
      </c>
      <c r="V32" s="570">
        <v>1338.5915492957733</v>
      </c>
      <c r="W32" s="570">
        <v>70.452186805040697</v>
      </c>
      <c r="X32" s="475">
        <f t="shared" si="12"/>
        <v>4</v>
      </c>
      <c r="Y32" s="718"/>
      <c r="Z32" s="569">
        <v>19</v>
      </c>
      <c r="AA32" s="570">
        <v>1336.3636363636379</v>
      </c>
      <c r="AB32" s="570">
        <v>70.334928229665152</v>
      </c>
      <c r="AC32" s="475">
        <f t="shared" si="14"/>
        <v>5</v>
      </c>
      <c r="AD32" s="718"/>
      <c r="AE32" s="569">
        <v>19</v>
      </c>
      <c r="AF32" s="570">
        <v>1345.3125000000016</v>
      </c>
      <c r="AG32" s="570">
        <v>70.80592105263166</v>
      </c>
      <c r="AH32" s="475">
        <f t="shared" si="16"/>
        <v>5</v>
      </c>
      <c r="AI32" s="718"/>
      <c r="AJ32" s="569">
        <v>19</v>
      </c>
      <c r="AK32" s="570">
        <v>1327.7142857142844</v>
      </c>
      <c r="AL32" s="570">
        <v>69.879699248120232</v>
      </c>
      <c r="AM32" s="475">
        <f t="shared" si="18"/>
        <v>5</v>
      </c>
      <c r="AN32" s="718"/>
      <c r="AO32" s="569">
        <v>19</v>
      </c>
      <c r="AP32" s="570">
        <v>1324.1379310344826</v>
      </c>
      <c r="AQ32" s="570">
        <v>69.691470054446455</v>
      </c>
      <c r="AR32" s="475">
        <f t="shared" si="20"/>
        <v>5</v>
      </c>
      <c r="AS32" s="718"/>
      <c r="AT32" s="569">
        <v>19</v>
      </c>
      <c r="AU32" s="570">
        <v>1316.8421052631579</v>
      </c>
      <c r="AV32" s="570">
        <v>69.307479224376735</v>
      </c>
      <c r="AW32" s="475">
        <f t="shared" si="22"/>
        <v>7</v>
      </c>
      <c r="AX32" s="690"/>
    </row>
    <row r="33" spans="2:50">
      <c r="B33" s="676"/>
      <c r="C33" s="321">
        <v>7</v>
      </c>
      <c r="D33" s="227" t="s">
        <v>692</v>
      </c>
      <c r="E33" s="182">
        <v>18</v>
      </c>
      <c r="F33" s="569">
        <v>1385</v>
      </c>
      <c r="G33" s="570">
        <v>76.900000000000006</v>
      </c>
      <c r="H33" s="718"/>
      <c r="I33" s="199">
        <f t="shared" si="24"/>
        <v>18</v>
      </c>
      <c r="J33" s="199">
        <f t="shared" si="25"/>
        <v>1231.4545243117243</v>
      </c>
      <c r="K33" s="200">
        <f t="shared" si="26"/>
        <v>68.414140239540231</v>
      </c>
      <c r="L33" s="650"/>
      <c r="M33" s="201">
        <f>RANK(K33, K$27:$K$41)</f>
        <v>6</v>
      </c>
      <c r="N33" s="668"/>
      <c r="O33" s="668"/>
      <c r="P33" s="569">
        <v>18</v>
      </c>
      <c r="Q33" s="570">
        <v>1275.7894736842095</v>
      </c>
      <c r="R33" s="570">
        <v>70.87719298245608</v>
      </c>
      <c r="S33" s="321">
        <f t="shared" si="11"/>
        <v>5</v>
      </c>
      <c r="T33" s="718"/>
      <c r="U33" s="569">
        <v>18</v>
      </c>
      <c r="V33" s="570">
        <v>1221.0389610389602</v>
      </c>
      <c r="W33" s="570">
        <v>67.83549783549779</v>
      </c>
      <c r="X33" s="475">
        <f t="shared" si="12"/>
        <v>5</v>
      </c>
      <c r="Y33" s="718"/>
      <c r="Z33" s="569">
        <v>18</v>
      </c>
      <c r="AA33" s="570">
        <v>1210.5405405405395</v>
      </c>
      <c r="AB33" s="570">
        <v>67.252252252252191</v>
      </c>
      <c r="AC33" s="475">
        <f t="shared" si="14"/>
        <v>7</v>
      </c>
      <c r="AD33" s="718"/>
      <c r="AE33" s="569">
        <v>18</v>
      </c>
      <c r="AF33" s="570">
        <v>1206.0869565217379</v>
      </c>
      <c r="AG33" s="570">
        <v>67.00483091787433</v>
      </c>
      <c r="AH33" s="475">
        <f t="shared" si="16"/>
        <v>7</v>
      </c>
      <c r="AI33" s="718"/>
      <c r="AJ33" s="569">
        <v>18</v>
      </c>
      <c r="AK33" s="570">
        <v>1223.3333333333323</v>
      </c>
      <c r="AL33" s="570">
        <v>67.962962962962905</v>
      </c>
      <c r="AM33" s="475">
        <f t="shared" si="18"/>
        <v>6</v>
      </c>
      <c r="AN33" s="718"/>
      <c r="AO33" s="569">
        <v>18</v>
      </c>
      <c r="AP33" s="570">
        <v>1212</v>
      </c>
      <c r="AQ33" s="570">
        <v>67.333333333333329</v>
      </c>
      <c r="AR33" s="475">
        <f t="shared" si="20"/>
        <v>7</v>
      </c>
      <c r="AS33" s="718"/>
      <c r="AT33" s="569">
        <v>18</v>
      </c>
      <c r="AU33" s="570">
        <v>1271.3924050632904</v>
      </c>
      <c r="AV33" s="570">
        <v>70.63291139240502</v>
      </c>
      <c r="AW33" s="475">
        <f t="shared" si="22"/>
        <v>5</v>
      </c>
      <c r="AX33" s="690"/>
    </row>
    <row r="34" spans="2:50">
      <c r="B34" s="676"/>
      <c r="C34" s="321">
        <v>8</v>
      </c>
      <c r="D34" s="227" t="s">
        <v>695</v>
      </c>
      <c r="E34" s="182">
        <v>18</v>
      </c>
      <c r="F34" s="569">
        <v>1385</v>
      </c>
      <c r="G34" s="570">
        <v>76.900000000000006</v>
      </c>
      <c r="H34" s="718"/>
      <c r="I34" s="424">
        <f t="shared" ref="I34:I36" si="27">AVERAGE(P34,U34,Z34,AE34,AJ34,AO34,AT34)</f>
        <v>18</v>
      </c>
      <c r="J34" s="424">
        <f t="shared" ref="J34:J36" si="28">AVERAGE(Q34,V34,AA34,AF34,AK34,AP34,AU34)</f>
        <v>1228.4538160538834</v>
      </c>
      <c r="K34" s="200">
        <f t="shared" ref="K34:K36" si="29">AVERAGE(R34,W34,AB34,AG34,AL34,AQ34,AV34)</f>
        <v>68.247434225215756</v>
      </c>
      <c r="L34" s="650"/>
      <c r="M34" s="201">
        <f>RANK(K34, K$27:$K$41)</f>
        <v>7</v>
      </c>
      <c r="N34" s="668"/>
      <c r="O34" s="668"/>
      <c r="P34" s="569">
        <v>18</v>
      </c>
      <c r="Q34" s="570">
        <v>1263.7500000000005</v>
      </c>
      <c r="R34" s="570">
        <v>70.208333333333357</v>
      </c>
      <c r="S34" s="321">
        <f t="shared" si="11"/>
        <v>8</v>
      </c>
      <c r="T34" s="718"/>
      <c r="U34" s="569">
        <v>18</v>
      </c>
      <c r="V34" s="570">
        <v>1203.6000000000004</v>
      </c>
      <c r="W34" s="570">
        <v>66.866666666666688</v>
      </c>
      <c r="X34" s="475">
        <f t="shared" si="12"/>
        <v>7</v>
      </c>
      <c r="Y34" s="718"/>
      <c r="Z34" s="569">
        <v>18</v>
      </c>
      <c r="AA34" s="570">
        <v>1217.5000000000002</v>
      </c>
      <c r="AB34" s="570">
        <v>67.6388888888889</v>
      </c>
      <c r="AC34" s="475">
        <f t="shared" si="14"/>
        <v>6</v>
      </c>
      <c r="AD34" s="718"/>
      <c r="AE34" s="569">
        <v>18</v>
      </c>
      <c r="AF34" s="570">
        <v>1209.7674418604647</v>
      </c>
      <c r="AG34" s="570">
        <v>67.209302325581376</v>
      </c>
      <c r="AH34" s="475">
        <f t="shared" si="16"/>
        <v>6</v>
      </c>
      <c r="AI34" s="718"/>
      <c r="AJ34" s="569">
        <v>18</v>
      </c>
      <c r="AK34" s="570">
        <v>1210.0000000000002</v>
      </c>
      <c r="AL34" s="570">
        <v>67.222222222222229</v>
      </c>
      <c r="AM34" s="475">
        <f t="shared" si="18"/>
        <v>7</v>
      </c>
      <c r="AN34" s="718"/>
      <c r="AO34" s="569">
        <v>18</v>
      </c>
      <c r="AP34" s="570">
        <v>1212.8571428571438</v>
      </c>
      <c r="AQ34" s="570">
        <v>67.380952380952436</v>
      </c>
      <c r="AR34" s="475">
        <f t="shared" si="20"/>
        <v>6</v>
      </c>
      <c r="AS34" s="718"/>
      <c r="AT34" s="569">
        <v>18</v>
      </c>
      <c r="AU34" s="570">
        <v>1281.7021276595747</v>
      </c>
      <c r="AV34" s="570">
        <v>71.20567375886526</v>
      </c>
      <c r="AW34" s="475">
        <f t="shared" si="22"/>
        <v>4</v>
      </c>
      <c r="AX34" s="690"/>
    </row>
    <row r="35" spans="2:50">
      <c r="B35" s="676"/>
      <c r="C35" s="321">
        <v>9</v>
      </c>
      <c r="D35" s="227" t="s">
        <v>762</v>
      </c>
      <c r="E35" s="182">
        <v>16</v>
      </c>
      <c r="F35" s="569">
        <v>1440</v>
      </c>
      <c r="G35" s="570">
        <v>90</v>
      </c>
      <c r="H35" s="718"/>
      <c r="I35" s="424">
        <f t="shared" si="27"/>
        <v>16</v>
      </c>
      <c r="J35" s="424">
        <f t="shared" si="28"/>
        <v>1341.8697963046454</v>
      </c>
      <c r="K35" s="200">
        <f t="shared" si="29"/>
        <v>83.86686226904034</v>
      </c>
      <c r="L35" s="650"/>
      <c r="M35" s="201">
        <f>RANK(K35, K$27:$K$41)</f>
        <v>1</v>
      </c>
      <c r="N35" s="668"/>
      <c r="O35" s="668"/>
      <c r="P35" s="569">
        <v>16</v>
      </c>
      <c r="Q35" s="570">
        <v>1338.9473684210536</v>
      </c>
      <c r="R35" s="570">
        <v>83.684210526315852</v>
      </c>
      <c r="S35" s="321">
        <f t="shared" si="11"/>
        <v>1</v>
      </c>
      <c r="T35" s="718"/>
      <c r="U35" s="569">
        <v>16</v>
      </c>
      <c r="V35" s="570">
        <v>1349.1262135922336</v>
      </c>
      <c r="W35" s="570">
        <v>84.320388349514602</v>
      </c>
      <c r="X35" s="475">
        <f t="shared" si="12"/>
        <v>1</v>
      </c>
      <c r="Y35" s="718"/>
      <c r="Z35" s="569">
        <v>16</v>
      </c>
      <c r="AA35" s="570">
        <v>1336.1111111111118</v>
      </c>
      <c r="AB35" s="570">
        <v>83.506944444444485</v>
      </c>
      <c r="AC35" s="475">
        <f t="shared" si="14"/>
        <v>1</v>
      </c>
      <c r="AD35" s="718"/>
      <c r="AE35" s="569">
        <v>16</v>
      </c>
      <c r="AF35" s="570">
        <v>1345.6310679611656</v>
      </c>
      <c r="AG35" s="570">
        <v>84.101941747572852</v>
      </c>
      <c r="AH35" s="475">
        <f t="shared" si="16"/>
        <v>1</v>
      </c>
      <c r="AI35" s="718"/>
      <c r="AJ35" s="569">
        <v>16</v>
      </c>
      <c r="AK35" s="570">
        <v>1325.4516129032259</v>
      </c>
      <c r="AL35" s="570">
        <v>82.840725806451616</v>
      </c>
      <c r="AM35" s="475">
        <f t="shared" si="18"/>
        <v>1</v>
      </c>
      <c r="AN35" s="718"/>
      <c r="AO35" s="569">
        <v>16</v>
      </c>
      <c r="AP35" s="570">
        <v>1349.0608695652165</v>
      </c>
      <c r="AQ35" s="570">
        <v>84.316304347826033</v>
      </c>
      <c r="AR35" s="475">
        <f t="shared" si="20"/>
        <v>1</v>
      </c>
      <c r="AS35" s="718"/>
      <c r="AT35" s="569">
        <v>16</v>
      </c>
      <c r="AU35" s="570">
        <v>1348.7603305785117</v>
      </c>
      <c r="AV35" s="570">
        <v>84.29752066115698</v>
      </c>
      <c r="AW35" s="475">
        <f t="shared" si="22"/>
        <v>1</v>
      </c>
      <c r="AX35" s="690"/>
    </row>
    <row r="36" spans="2:50">
      <c r="B36" s="676"/>
      <c r="C36" s="321">
        <v>10</v>
      </c>
      <c r="D36" s="227" t="s">
        <v>902</v>
      </c>
      <c r="E36" s="182">
        <v>19</v>
      </c>
      <c r="F36" s="569">
        <v>1440</v>
      </c>
      <c r="G36" s="570">
        <v>75.8</v>
      </c>
      <c r="H36" s="718"/>
      <c r="I36" s="424">
        <f t="shared" si="27"/>
        <v>19</v>
      </c>
      <c r="J36" s="424">
        <f t="shared" si="28"/>
        <v>1248.0973788542262</v>
      </c>
      <c r="K36" s="200">
        <f t="shared" si="29"/>
        <v>65.689335729169798</v>
      </c>
      <c r="L36" s="650"/>
      <c r="M36" s="201">
        <f>RANK(K36, K$27:$K$41)</f>
        <v>8</v>
      </c>
      <c r="N36" s="668"/>
      <c r="O36" s="668"/>
      <c r="P36" s="569">
        <v>19</v>
      </c>
      <c r="Q36" s="570">
        <v>1224.1166666666675</v>
      </c>
      <c r="R36" s="570">
        <v>64.427192982456177</v>
      </c>
      <c r="S36" s="321">
        <f t="shared" si="11"/>
        <v>9</v>
      </c>
      <c r="T36" s="718"/>
      <c r="U36" s="569">
        <v>19</v>
      </c>
      <c r="V36" s="570">
        <v>1266.1411764705879</v>
      </c>
      <c r="W36" s="570">
        <v>66.639009287925674</v>
      </c>
      <c r="X36" s="475">
        <f t="shared" si="12"/>
        <v>8</v>
      </c>
      <c r="Y36" s="718"/>
      <c r="Z36" s="569">
        <v>19</v>
      </c>
      <c r="AA36" s="570">
        <v>1252.9932203389842</v>
      </c>
      <c r="AB36" s="570">
        <v>65.947011596788641</v>
      </c>
      <c r="AC36" s="475">
        <f t="shared" si="14"/>
        <v>8</v>
      </c>
      <c r="AD36" s="718"/>
      <c r="AE36" s="569">
        <v>19</v>
      </c>
      <c r="AF36" s="570">
        <v>1242.1176470588241</v>
      </c>
      <c r="AG36" s="570">
        <v>65.374613003096002</v>
      </c>
      <c r="AH36" s="475">
        <f t="shared" si="16"/>
        <v>8</v>
      </c>
      <c r="AI36" s="718"/>
      <c r="AJ36" s="569">
        <v>19</v>
      </c>
      <c r="AK36" s="570">
        <v>1257.2631578947378</v>
      </c>
      <c r="AL36" s="570">
        <v>66.171745152354617</v>
      </c>
      <c r="AM36" s="475">
        <f t="shared" si="18"/>
        <v>8</v>
      </c>
      <c r="AN36" s="718"/>
      <c r="AO36" s="569">
        <v>19</v>
      </c>
      <c r="AP36" s="570">
        <v>1268.8831168831161</v>
      </c>
      <c r="AQ36" s="570">
        <v>66.783321941216641</v>
      </c>
      <c r="AR36" s="475">
        <f t="shared" si="20"/>
        <v>8</v>
      </c>
      <c r="AS36" s="718"/>
      <c r="AT36" s="569">
        <v>19</v>
      </c>
      <c r="AU36" s="570">
        <v>1225.1666666666663</v>
      </c>
      <c r="AV36" s="570">
        <v>64.482456140350862</v>
      </c>
      <c r="AW36" s="475">
        <f t="shared" si="22"/>
        <v>8</v>
      </c>
      <c r="AX36" s="690"/>
    </row>
    <row r="37" spans="2:50">
      <c r="B37" s="676"/>
      <c r="C37" s="321">
        <v>11</v>
      </c>
      <c r="D37" s="227"/>
      <c r="E37" s="182"/>
      <c r="F37" s="569"/>
      <c r="G37" s="570"/>
      <c r="H37" s="718"/>
      <c r="I37" s="424"/>
      <c r="J37" s="424"/>
      <c r="K37" s="200"/>
      <c r="L37" s="650"/>
      <c r="M37" s="201" t="e">
        <f>RANK(K37, K$27:$K$41)</f>
        <v>#N/A</v>
      </c>
      <c r="N37" s="668"/>
      <c r="O37" s="668"/>
      <c r="P37" s="569"/>
      <c r="Q37" s="570"/>
      <c r="R37" s="570"/>
      <c r="S37" s="321" t="e">
        <f t="shared" si="11"/>
        <v>#N/A</v>
      </c>
      <c r="T37" s="718"/>
      <c r="U37" s="569"/>
      <c r="V37" s="570"/>
      <c r="W37" s="570"/>
      <c r="X37" s="475" t="e">
        <f t="shared" si="12"/>
        <v>#N/A</v>
      </c>
      <c r="Y37" s="718"/>
      <c r="Z37" s="569"/>
      <c r="AA37" s="570"/>
      <c r="AB37" s="570"/>
      <c r="AC37" s="475" t="e">
        <f t="shared" si="14"/>
        <v>#N/A</v>
      </c>
      <c r="AD37" s="718"/>
      <c r="AE37" s="569"/>
      <c r="AF37" s="570"/>
      <c r="AG37" s="570"/>
      <c r="AH37" s="475" t="e">
        <f t="shared" si="16"/>
        <v>#N/A</v>
      </c>
      <c r="AI37" s="718"/>
      <c r="AJ37" s="569"/>
      <c r="AK37" s="570"/>
      <c r="AL37" s="570"/>
      <c r="AM37" s="475" t="e">
        <f t="shared" si="18"/>
        <v>#N/A</v>
      </c>
      <c r="AN37" s="718"/>
      <c r="AO37" s="569"/>
      <c r="AP37" s="570"/>
      <c r="AQ37" s="570"/>
      <c r="AR37" s="475" t="e">
        <f t="shared" si="20"/>
        <v>#N/A</v>
      </c>
      <c r="AS37" s="718"/>
      <c r="AT37" s="569"/>
      <c r="AU37" s="570"/>
      <c r="AV37" s="570"/>
      <c r="AW37" s="475" t="e">
        <f t="shared" si="22"/>
        <v>#N/A</v>
      </c>
      <c r="AX37" s="690"/>
    </row>
    <row r="38" spans="2:50">
      <c r="B38" s="676"/>
      <c r="C38" s="321">
        <v>12</v>
      </c>
      <c r="D38" s="227"/>
      <c r="E38" s="182"/>
      <c r="F38" s="569"/>
      <c r="G38" s="570"/>
      <c r="H38" s="718"/>
      <c r="I38" s="477"/>
      <c r="J38" s="477"/>
      <c r="K38" s="200"/>
      <c r="L38" s="650"/>
      <c r="M38" s="201" t="e">
        <f>RANK(K38, K$27:$K$41)</f>
        <v>#N/A</v>
      </c>
      <c r="N38" s="668"/>
      <c r="O38" s="668"/>
      <c r="P38" s="569"/>
      <c r="Q38" s="570"/>
      <c r="R38" s="570"/>
      <c r="S38" s="321" t="e">
        <f t="shared" si="11"/>
        <v>#N/A</v>
      </c>
      <c r="T38" s="718"/>
      <c r="U38" s="569"/>
      <c r="V38" s="570"/>
      <c r="W38" s="570"/>
      <c r="X38" s="475" t="e">
        <f t="shared" si="12"/>
        <v>#N/A</v>
      </c>
      <c r="Y38" s="718"/>
      <c r="Z38" s="569"/>
      <c r="AA38" s="570"/>
      <c r="AB38" s="570"/>
      <c r="AC38" s="475" t="e">
        <f t="shared" si="14"/>
        <v>#N/A</v>
      </c>
      <c r="AD38" s="718"/>
      <c r="AE38" s="569"/>
      <c r="AF38" s="570"/>
      <c r="AG38" s="570"/>
      <c r="AH38" s="475" t="e">
        <f t="shared" si="16"/>
        <v>#N/A</v>
      </c>
      <c r="AI38" s="718"/>
      <c r="AJ38" s="569"/>
      <c r="AK38" s="570"/>
      <c r="AL38" s="570"/>
      <c r="AM38" s="475" t="e">
        <f t="shared" si="18"/>
        <v>#N/A</v>
      </c>
      <c r="AN38" s="718"/>
      <c r="AO38" s="569"/>
      <c r="AP38" s="570"/>
      <c r="AQ38" s="570"/>
      <c r="AR38" s="475" t="e">
        <f t="shared" si="20"/>
        <v>#N/A</v>
      </c>
      <c r="AS38" s="718"/>
      <c r="AT38" s="569"/>
      <c r="AU38" s="570"/>
      <c r="AV38" s="570"/>
      <c r="AW38" s="475" t="e">
        <f t="shared" si="22"/>
        <v>#N/A</v>
      </c>
      <c r="AX38" s="690"/>
    </row>
    <row r="39" spans="2:50">
      <c r="B39" s="676"/>
      <c r="C39" s="321">
        <v>13</v>
      </c>
      <c r="D39" s="227"/>
      <c r="E39" s="182"/>
      <c r="F39" s="569"/>
      <c r="G39" s="570"/>
      <c r="H39" s="718"/>
      <c r="I39" s="202"/>
      <c r="J39" s="202"/>
      <c r="K39" s="202"/>
      <c r="L39" s="650"/>
      <c r="M39" s="201" t="e">
        <f>RANK(K39, K$27:$K$41)</f>
        <v>#N/A</v>
      </c>
      <c r="N39" s="668"/>
      <c r="O39" s="668"/>
      <c r="P39" s="569"/>
      <c r="Q39" s="570"/>
      <c r="R39" s="570"/>
      <c r="S39" s="321" t="e">
        <f t="shared" si="11"/>
        <v>#N/A</v>
      </c>
      <c r="T39" s="718"/>
      <c r="U39" s="569"/>
      <c r="V39" s="570"/>
      <c r="W39" s="570"/>
      <c r="X39" s="475" t="e">
        <f t="shared" si="12"/>
        <v>#N/A</v>
      </c>
      <c r="Y39" s="718"/>
      <c r="Z39" s="569"/>
      <c r="AA39" s="570"/>
      <c r="AB39" s="570"/>
      <c r="AC39" s="475" t="e">
        <f t="shared" si="14"/>
        <v>#N/A</v>
      </c>
      <c r="AD39" s="718"/>
      <c r="AE39" s="569"/>
      <c r="AF39" s="570"/>
      <c r="AG39" s="570"/>
      <c r="AH39" s="475" t="e">
        <f t="shared" si="16"/>
        <v>#N/A</v>
      </c>
      <c r="AI39" s="718"/>
      <c r="AJ39" s="569"/>
      <c r="AK39" s="570"/>
      <c r="AL39" s="570"/>
      <c r="AM39" s="475" t="e">
        <f t="shared" si="18"/>
        <v>#N/A</v>
      </c>
      <c r="AN39" s="718"/>
      <c r="AO39" s="569"/>
      <c r="AP39" s="570"/>
      <c r="AQ39" s="570"/>
      <c r="AR39" s="475" t="e">
        <f t="shared" si="20"/>
        <v>#N/A</v>
      </c>
      <c r="AS39" s="718"/>
      <c r="AT39" s="569"/>
      <c r="AU39" s="570"/>
      <c r="AV39" s="570"/>
      <c r="AW39" s="475" t="e">
        <f t="shared" si="22"/>
        <v>#N/A</v>
      </c>
      <c r="AX39" s="690"/>
    </row>
    <row r="40" spans="2:50">
      <c r="B40" s="676"/>
      <c r="C40" s="321">
        <v>14</v>
      </c>
      <c r="D40" s="227"/>
      <c r="E40" s="182"/>
      <c r="F40" s="569"/>
      <c r="G40" s="570"/>
      <c r="H40" s="718"/>
      <c r="I40" s="202"/>
      <c r="J40" s="202"/>
      <c r="K40" s="202"/>
      <c r="L40" s="650"/>
      <c r="M40" s="201" t="e">
        <f>RANK(K40, K$27:$K$41)</f>
        <v>#N/A</v>
      </c>
      <c r="N40" s="668"/>
      <c r="O40" s="668"/>
      <c r="P40" s="569"/>
      <c r="Q40" s="570"/>
      <c r="R40" s="570"/>
      <c r="S40" s="321" t="e">
        <f t="shared" si="11"/>
        <v>#N/A</v>
      </c>
      <c r="T40" s="718"/>
      <c r="U40" s="569"/>
      <c r="V40" s="570"/>
      <c r="W40" s="570"/>
      <c r="X40" s="475" t="e">
        <f t="shared" si="12"/>
        <v>#N/A</v>
      </c>
      <c r="Y40" s="718"/>
      <c r="Z40" s="569"/>
      <c r="AA40" s="570"/>
      <c r="AB40" s="570"/>
      <c r="AC40" s="475" t="e">
        <f t="shared" si="14"/>
        <v>#N/A</v>
      </c>
      <c r="AD40" s="718"/>
      <c r="AE40" s="569"/>
      <c r="AF40" s="570"/>
      <c r="AG40" s="570"/>
      <c r="AH40" s="475" t="e">
        <f t="shared" si="16"/>
        <v>#N/A</v>
      </c>
      <c r="AI40" s="718"/>
      <c r="AJ40" s="569"/>
      <c r="AK40" s="570"/>
      <c r="AL40" s="570"/>
      <c r="AM40" s="475" t="e">
        <f t="shared" si="18"/>
        <v>#N/A</v>
      </c>
      <c r="AN40" s="718"/>
      <c r="AO40" s="569"/>
      <c r="AP40" s="570"/>
      <c r="AQ40" s="570"/>
      <c r="AR40" s="475" t="e">
        <f t="shared" si="20"/>
        <v>#N/A</v>
      </c>
      <c r="AS40" s="718"/>
      <c r="AT40" s="569"/>
      <c r="AU40" s="570"/>
      <c r="AV40" s="570"/>
      <c r="AW40" s="475" t="e">
        <f t="shared" si="22"/>
        <v>#N/A</v>
      </c>
      <c r="AX40" s="690"/>
    </row>
    <row r="41" spans="2:50">
      <c r="B41" s="676"/>
      <c r="C41" s="321">
        <v>15</v>
      </c>
      <c r="D41" s="227"/>
      <c r="E41" s="182"/>
      <c r="F41" s="569"/>
      <c r="G41" s="570"/>
      <c r="H41" s="719"/>
      <c r="I41" s="202"/>
      <c r="J41" s="202"/>
      <c r="K41" s="202"/>
      <c r="L41" s="651"/>
      <c r="M41" s="199" t="e">
        <f>RANK(K41, K$27:$K$41)</f>
        <v>#N/A</v>
      </c>
      <c r="N41" s="668"/>
      <c r="O41" s="668"/>
      <c r="P41" s="569"/>
      <c r="Q41" s="570"/>
      <c r="R41" s="570"/>
      <c r="S41" s="321" t="e">
        <f t="shared" si="11"/>
        <v>#N/A</v>
      </c>
      <c r="T41" s="719"/>
      <c r="U41" s="569"/>
      <c r="V41" s="570"/>
      <c r="W41" s="570"/>
      <c r="X41" s="475" t="e">
        <f t="shared" si="12"/>
        <v>#N/A</v>
      </c>
      <c r="Y41" s="719"/>
      <c r="Z41" s="569"/>
      <c r="AA41" s="570"/>
      <c r="AB41" s="570"/>
      <c r="AC41" s="475" t="e">
        <f t="shared" si="14"/>
        <v>#N/A</v>
      </c>
      <c r="AD41" s="719"/>
      <c r="AE41" s="569"/>
      <c r="AF41" s="570"/>
      <c r="AG41" s="570"/>
      <c r="AH41" s="475" t="e">
        <f t="shared" si="16"/>
        <v>#N/A</v>
      </c>
      <c r="AI41" s="719"/>
      <c r="AJ41" s="569"/>
      <c r="AK41" s="570"/>
      <c r="AL41" s="570"/>
      <c r="AM41" s="475" t="e">
        <f t="shared" si="18"/>
        <v>#N/A</v>
      </c>
      <c r="AN41" s="719"/>
      <c r="AO41" s="569"/>
      <c r="AP41" s="570"/>
      <c r="AQ41" s="570"/>
      <c r="AR41" s="475" t="e">
        <f t="shared" si="20"/>
        <v>#N/A</v>
      </c>
      <c r="AS41" s="719"/>
      <c r="AT41" s="569"/>
      <c r="AU41" s="570"/>
      <c r="AV41" s="570"/>
      <c r="AW41" s="475" t="e">
        <f t="shared" si="22"/>
        <v>#N/A</v>
      </c>
      <c r="AX41" s="690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69" t="s">
        <v>156</v>
      </c>
      <c r="O42" s="669" t="s">
        <v>105</v>
      </c>
      <c r="P42" s="675">
        <f>P22+7</f>
        <v>46098</v>
      </c>
      <c r="Q42" s="676"/>
      <c r="R42" s="676"/>
      <c r="S42" s="676"/>
      <c r="T42" s="676"/>
      <c r="U42" s="672">
        <f>P42+1</f>
        <v>46099</v>
      </c>
      <c r="V42" s="673"/>
      <c r="W42" s="673"/>
      <c r="X42" s="673"/>
      <c r="Y42" s="674"/>
      <c r="Z42" s="672">
        <f>U42+1</f>
        <v>46100</v>
      </c>
      <c r="AA42" s="673"/>
      <c r="AB42" s="673"/>
      <c r="AC42" s="673"/>
      <c r="AD42" s="674"/>
      <c r="AE42" s="672">
        <f>Z42+1</f>
        <v>46101</v>
      </c>
      <c r="AF42" s="673"/>
      <c r="AG42" s="673"/>
      <c r="AH42" s="673"/>
      <c r="AI42" s="674"/>
      <c r="AJ42" s="672">
        <f>AE42+1</f>
        <v>46102</v>
      </c>
      <c r="AK42" s="673"/>
      <c r="AL42" s="673"/>
      <c r="AM42" s="673"/>
      <c r="AN42" s="674"/>
      <c r="AO42" s="672">
        <f>AJ42+1</f>
        <v>46103</v>
      </c>
      <c r="AP42" s="673"/>
      <c r="AQ42" s="673"/>
      <c r="AR42" s="673"/>
      <c r="AS42" s="674"/>
      <c r="AT42" s="672">
        <f>AO42+1</f>
        <v>46104</v>
      </c>
      <c r="AU42" s="673"/>
      <c r="AV42" s="673"/>
      <c r="AW42" s="673"/>
      <c r="AX42" s="674"/>
    </row>
    <row r="43" spans="2:50" ht="15.75">
      <c r="B43" s="683"/>
      <c r="C43" s="683"/>
      <c r="D43" s="683"/>
      <c r="E43" s="683"/>
      <c r="F43" s="683"/>
      <c r="G43" s="683"/>
      <c r="H43" s="683"/>
      <c r="I43" s="205"/>
      <c r="J43" s="205"/>
      <c r="K43" s="205"/>
      <c r="L43" s="205"/>
      <c r="M43" s="206"/>
      <c r="N43" s="671"/>
      <c r="O43" s="671"/>
      <c r="P43" s="675" t="s">
        <v>336</v>
      </c>
      <c r="Q43" s="676"/>
      <c r="R43" s="676"/>
      <c r="S43" s="676"/>
      <c r="T43" s="676"/>
      <c r="U43" s="675" t="s">
        <v>337</v>
      </c>
      <c r="V43" s="676"/>
      <c r="W43" s="676"/>
      <c r="X43" s="676"/>
      <c r="Y43" s="676"/>
      <c r="Z43" s="675" t="s">
        <v>338</v>
      </c>
      <c r="AA43" s="676"/>
      <c r="AB43" s="676"/>
      <c r="AC43" s="676"/>
      <c r="AD43" s="676"/>
      <c r="AE43" s="675" t="s">
        <v>339</v>
      </c>
      <c r="AF43" s="676"/>
      <c r="AG43" s="676"/>
      <c r="AH43" s="676"/>
      <c r="AI43" s="676"/>
      <c r="AJ43" s="675" t="s">
        <v>340</v>
      </c>
      <c r="AK43" s="676"/>
      <c r="AL43" s="676"/>
      <c r="AM43" s="676"/>
      <c r="AN43" s="676"/>
      <c r="AO43" s="675" t="s">
        <v>341</v>
      </c>
      <c r="AP43" s="676"/>
      <c r="AQ43" s="676"/>
      <c r="AR43" s="676"/>
      <c r="AS43" s="676"/>
      <c r="AT43" s="675" t="s">
        <v>342</v>
      </c>
      <c r="AU43" s="676"/>
      <c r="AV43" s="676"/>
      <c r="AW43" s="676"/>
      <c r="AX43" s="676"/>
    </row>
    <row r="44" spans="2:50">
      <c r="B44" s="668" t="s">
        <v>604</v>
      </c>
      <c r="C44" s="668" t="s">
        <v>605</v>
      </c>
      <c r="D44" s="668"/>
      <c r="E44" s="668" t="s">
        <v>606</v>
      </c>
      <c r="F44" s="668"/>
      <c r="G44" s="668"/>
      <c r="H44" s="684" t="s">
        <v>607</v>
      </c>
      <c r="I44" s="652" t="s">
        <v>608</v>
      </c>
      <c r="J44" s="652"/>
      <c r="K44" s="652"/>
      <c r="L44" s="653" t="s">
        <v>607</v>
      </c>
      <c r="M44" s="659" t="s">
        <v>609</v>
      </c>
      <c r="N44" s="668"/>
      <c r="O44" s="668" t="s">
        <v>610</v>
      </c>
      <c r="P44" s="665" t="s">
        <v>889</v>
      </c>
      <c r="Q44" s="666"/>
      <c r="R44" s="666"/>
      <c r="S44" s="667"/>
      <c r="T44" s="668" t="s">
        <v>890</v>
      </c>
      <c r="U44" s="665" t="s">
        <v>889</v>
      </c>
      <c r="V44" s="666"/>
      <c r="W44" s="666"/>
      <c r="X44" s="667"/>
      <c r="Y44" s="668" t="s">
        <v>890</v>
      </c>
      <c r="Z44" s="665" t="s">
        <v>889</v>
      </c>
      <c r="AA44" s="666"/>
      <c r="AB44" s="666"/>
      <c r="AC44" s="667"/>
      <c r="AD44" s="668" t="s">
        <v>890</v>
      </c>
      <c r="AE44" s="665" t="s">
        <v>889</v>
      </c>
      <c r="AF44" s="666"/>
      <c r="AG44" s="666"/>
      <c r="AH44" s="667"/>
      <c r="AI44" s="668" t="s">
        <v>890</v>
      </c>
      <c r="AJ44" s="665" t="s">
        <v>889</v>
      </c>
      <c r="AK44" s="666"/>
      <c r="AL44" s="666"/>
      <c r="AM44" s="667"/>
      <c r="AN44" s="668" t="s">
        <v>890</v>
      </c>
      <c r="AO44" s="665" t="s">
        <v>889</v>
      </c>
      <c r="AP44" s="666"/>
      <c r="AQ44" s="666"/>
      <c r="AR44" s="667"/>
      <c r="AS44" s="668" t="s">
        <v>890</v>
      </c>
      <c r="AT44" s="665" t="s">
        <v>889</v>
      </c>
      <c r="AU44" s="666"/>
      <c r="AV44" s="666"/>
      <c r="AW44" s="667"/>
      <c r="AX44" s="668" t="s">
        <v>890</v>
      </c>
    </row>
    <row r="45" spans="2:50">
      <c r="B45" s="668"/>
      <c r="C45" s="668"/>
      <c r="D45" s="668"/>
      <c r="E45" s="668" t="s">
        <v>612</v>
      </c>
      <c r="F45" s="668"/>
      <c r="G45" s="668"/>
      <c r="H45" s="685"/>
      <c r="I45" s="652" t="s">
        <v>612</v>
      </c>
      <c r="J45" s="652"/>
      <c r="K45" s="652"/>
      <c r="L45" s="654"/>
      <c r="M45" s="660"/>
      <c r="N45" s="668"/>
      <c r="O45" s="668"/>
      <c r="P45" s="665" t="s">
        <v>891</v>
      </c>
      <c r="Q45" s="666"/>
      <c r="R45" s="666"/>
      <c r="S45" s="667"/>
      <c r="T45" s="668"/>
      <c r="U45" s="665" t="s">
        <v>891</v>
      </c>
      <c r="V45" s="666"/>
      <c r="W45" s="666"/>
      <c r="X45" s="667"/>
      <c r="Y45" s="668"/>
      <c r="Z45" s="665" t="s">
        <v>891</v>
      </c>
      <c r="AA45" s="666"/>
      <c r="AB45" s="666"/>
      <c r="AC45" s="667"/>
      <c r="AD45" s="668"/>
      <c r="AE45" s="665" t="s">
        <v>891</v>
      </c>
      <c r="AF45" s="666"/>
      <c r="AG45" s="666"/>
      <c r="AH45" s="667"/>
      <c r="AI45" s="668"/>
      <c r="AJ45" s="665" t="s">
        <v>891</v>
      </c>
      <c r="AK45" s="666"/>
      <c r="AL45" s="666"/>
      <c r="AM45" s="667"/>
      <c r="AN45" s="668"/>
      <c r="AO45" s="665" t="s">
        <v>891</v>
      </c>
      <c r="AP45" s="666"/>
      <c r="AQ45" s="666"/>
      <c r="AR45" s="667"/>
      <c r="AS45" s="668"/>
      <c r="AT45" s="665" t="s">
        <v>891</v>
      </c>
      <c r="AU45" s="666"/>
      <c r="AV45" s="666"/>
      <c r="AW45" s="667"/>
      <c r="AX45" s="668"/>
    </row>
    <row r="46" spans="2:50">
      <c r="B46" s="668"/>
      <c r="C46" s="668"/>
      <c r="D46" s="668"/>
      <c r="E46" s="326" t="s">
        <v>614</v>
      </c>
      <c r="F46" s="326" t="s">
        <v>615</v>
      </c>
      <c r="G46" s="326" t="s">
        <v>616</v>
      </c>
      <c r="H46" s="686"/>
      <c r="I46" s="325" t="s">
        <v>614</v>
      </c>
      <c r="J46" s="325" t="s">
        <v>615</v>
      </c>
      <c r="K46" s="325" t="s">
        <v>616</v>
      </c>
      <c r="L46" s="655"/>
      <c r="M46" s="661"/>
      <c r="N46" s="668"/>
      <c r="O46" s="668"/>
      <c r="P46" s="532" t="s">
        <v>892</v>
      </c>
      <c r="Q46" s="532" t="s">
        <v>893</v>
      </c>
      <c r="R46" s="532" t="s">
        <v>894</v>
      </c>
      <c r="S46" s="532" t="s">
        <v>895</v>
      </c>
      <c r="T46" s="668"/>
      <c r="U46" s="532" t="s">
        <v>892</v>
      </c>
      <c r="V46" s="532" t="s">
        <v>893</v>
      </c>
      <c r="W46" s="532" t="s">
        <v>894</v>
      </c>
      <c r="X46" s="532" t="s">
        <v>895</v>
      </c>
      <c r="Y46" s="668"/>
      <c r="Z46" s="532" t="s">
        <v>892</v>
      </c>
      <c r="AA46" s="532" t="s">
        <v>893</v>
      </c>
      <c r="AB46" s="532" t="s">
        <v>894</v>
      </c>
      <c r="AC46" s="532" t="s">
        <v>895</v>
      </c>
      <c r="AD46" s="668"/>
      <c r="AE46" s="532" t="s">
        <v>892</v>
      </c>
      <c r="AF46" s="532" t="s">
        <v>893</v>
      </c>
      <c r="AG46" s="532" t="s">
        <v>894</v>
      </c>
      <c r="AH46" s="532" t="s">
        <v>895</v>
      </c>
      <c r="AI46" s="668"/>
      <c r="AJ46" s="532" t="s">
        <v>892</v>
      </c>
      <c r="AK46" s="532" t="s">
        <v>893</v>
      </c>
      <c r="AL46" s="532" t="s">
        <v>894</v>
      </c>
      <c r="AM46" s="532" t="s">
        <v>895</v>
      </c>
      <c r="AN46" s="668"/>
      <c r="AO46" s="532" t="s">
        <v>892</v>
      </c>
      <c r="AP46" s="532" t="s">
        <v>893</v>
      </c>
      <c r="AQ46" s="532" t="s">
        <v>894</v>
      </c>
      <c r="AR46" s="532" t="s">
        <v>895</v>
      </c>
      <c r="AS46" s="668"/>
      <c r="AT46" s="532" t="s">
        <v>892</v>
      </c>
      <c r="AU46" s="532" t="s">
        <v>893</v>
      </c>
      <c r="AV46" s="532" t="s">
        <v>894</v>
      </c>
      <c r="AW46" s="532" t="s">
        <v>895</v>
      </c>
      <c r="AX46" s="668"/>
    </row>
    <row r="47" spans="2:50">
      <c r="B47" s="668" t="s">
        <v>618</v>
      </c>
      <c r="C47" s="327">
        <v>1</v>
      </c>
      <c r="D47" s="227" t="s">
        <v>372</v>
      </c>
      <c r="E47" s="182">
        <v>18</v>
      </c>
      <c r="F47" s="569">
        <v>1440</v>
      </c>
      <c r="G47" s="570">
        <v>80</v>
      </c>
      <c r="H47" s="717">
        <f>AVERAGE(G47:G61)</f>
        <v>79.069999999999993</v>
      </c>
      <c r="I47" s="199">
        <f>AVERAGE(P47,U47,Z47,AE47,AJ47,AO47,AT47)</f>
        <v>18</v>
      </c>
      <c r="J47" s="199">
        <f>AVERAGE(Q47,V47,AA47,AF47,AK47,AP47,AU47)</f>
        <v>1367.9380144466288</v>
      </c>
      <c r="K47" s="200">
        <f>AVERAGE(R47,W47,AB47,AG47,AL47,AQ47,AV47)</f>
        <v>75.996556358146037</v>
      </c>
      <c r="L47" s="649">
        <f>IFERROR(AVERAGE(K47:K61),"-")</f>
        <v>72.49043793450798</v>
      </c>
      <c r="M47" s="201">
        <f>RANK(K47, K$47:$K$61)</f>
        <v>3</v>
      </c>
      <c r="N47" s="668"/>
      <c r="O47" s="668"/>
      <c r="P47" s="182">
        <v>18</v>
      </c>
      <c r="Q47" s="570">
        <v>1369.7435897435901</v>
      </c>
      <c r="R47" s="570">
        <v>76.096866096866108</v>
      </c>
      <c r="S47" s="533">
        <f>RANK(R47, R$47:R$61)</f>
        <v>3</v>
      </c>
      <c r="T47" s="690">
        <f>AVERAGE(R47:R61)</f>
        <v>72.738907524273117</v>
      </c>
      <c r="U47" s="182">
        <v>18</v>
      </c>
      <c r="V47" s="570">
        <v>1342.8571428571427</v>
      </c>
      <c r="W47" s="570">
        <v>74.603174603174594</v>
      </c>
      <c r="X47" s="533">
        <f>RANK(W47, W$47:W$61)</f>
        <v>2</v>
      </c>
      <c r="Y47" s="690">
        <f>AVERAGE(W47:W61)</f>
        <v>71.145904113437112</v>
      </c>
      <c r="Z47" s="182">
        <v>18</v>
      </c>
      <c r="AA47" s="570">
        <v>1362.4242424242427</v>
      </c>
      <c r="AB47" s="570">
        <v>75.69023569023571</v>
      </c>
      <c r="AC47" s="533">
        <f>RANK(AB47, AB$47:AB$61)</f>
        <v>2</v>
      </c>
      <c r="AD47" s="690">
        <f>AVERAGE(AB47:AB61)</f>
        <v>70.809452612324463</v>
      </c>
      <c r="AE47" s="182">
        <v>18</v>
      </c>
      <c r="AF47" s="570">
        <v>1370.4878048780483</v>
      </c>
      <c r="AG47" s="570">
        <v>76.138211382113795</v>
      </c>
      <c r="AH47" s="533">
        <f>RANK(AG47, AG$47:AG$61)</f>
        <v>3</v>
      </c>
      <c r="AI47" s="690">
        <f>AVERAGE(AG47:AG61)</f>
        <v>72.071174834881646</v>
      </c>
      <c r="AJ47" s="182">
        <v>18</v>
      </c>
      <c r="AK47" s="570">
        <v>1366.4516129032261</v>
      </c>
      <c r="AL47" s="570">
        <v>75.913978494623677</v>
      </c>
      <c r="AM47" s="533">
        <f>RANK(AL47, AL$47:AL$61)</f>
        <v>3</v>
      </c>
      <c r="AN47" s="690">
        <f>AVERAGE(AL47:AL61)</f>
        <v>73.142525984823337</v>
      </c>
      <c r="AO47" s="182">
        <v>18</v>
      </c>
      <c r="AP47" s="570">
        <v>1388.2568807339449</v>
      </c>
      <c r="AQ47" s="570">
        <v>77.125382262996936</v>
      </c>
      <c r="AR47" s="533">
        <f>RANK(AQ47, AQ$47:AQ$61)</f>
        <v>3</v>
      </c>
      <c r="AS47" s="690">
        <f>AVERAGE(AQ47:AQ61)</f>
        <v>73.779990333877464</v>
      </c>
      <c r="AT47" s="182">
        <v>18</v>
      </c>
      <c r="AU47" s="570">
        <v>1375.3448275862072</v>
      </c>
      <c r="AV47" s="570">
        <v>76.408045977011511</v>
      </c>
      <c r="AW47" s="533">
        <f>RANK(AV47, AV$47:AV$61)</f>
        <v>3</v>
      </c>
      <c r="AX47" s="690">
        <f>AVERAGE(AV47:AV61)</f>
        <v>73.745110137938781</v>
      </c>
    </row>
    <row r="48" spans="2:50">
      <c r="B48" s="676"/>
      <c r="C48" s="327">
        <v>2</v>
      </c>
      <c r="D48" s="227" t="s">
        <v>373</v>
      </c>
      <c r="E48" s="182">
        <v>18</v>
      </c>
      <c r="F48" s="569">
        <v>1440</v>
      </c>
      <c r="G48" s="570">
        <v>80</v>
      </c>
      <c r="H48" s="718"/>
      <c r="I48" s="199">
        <f t="shared" ref="I48:I53" si="30">AVERAGE(P48,U48,Z48,AE48,AJ48,AO48,AT48)</f>
        <v>18</v>
      </c>
      <c r="J48" s="199">
        <f t="shared" ref="J48:J53" si="31">AVERAGE(Q48,V48,AA48,AF48,AK48,AP48,AU48)</f>
        <v>1263.1038987608133</v>
      </c>
      <c r="K48" s="200">
        <f t="shared" ref="K48:K53" si="32">AVERAGE(R48,W48,AB48,AG48,AL48,AQ48,AV48)</f>
        <v>70.172438820045173</v>
      </c>
      <c r="L48" s="650"/>
      <c r="M48" s="201">
        <f>RANK(K48, K$47:$K$61)</f>
        <v>9</v>
      </c>
      <c r="N48" s="668"/>
      <c r="O48" s="668"/>
      <c r="P48" s="569">
        <v>18</v>
      </c>
      <c r="Q48" s="570">
        <v>1251.0638297872342</v>
      </c>
      <c r="R48" s="570">
        <v>69.503546099290787</v>
      </c>
      <c r="S48" s="533">
        <f t="shared" ref="S48:S61" si="33">RANK(R48, R$47:R$61)</f>
        <v>9</v>
      </c>
      <c r="T48" s="690"/>
      <c r="U48" s="569">
        <v>18</v>
      </c>
      <c r="V48" s="570">
        <v>1240</v>
      </c>
      <c r="W48" s="570">
        <v>68.888888888888886</v>
      </c>
      <c r="X48" s="533">
        <f t="shared" ref="X48:X61" si="34">RANK(W48, W$47:W$61)</f>
        <v>8</v>
      </c>
      <c r="Y48" s="690"/>
      <c r="Z48" s="569">
        <v>18</v>
      </c>
      <c r="AA48" s="570">
        <v>1264.6153846153838</v>
      </c>
      <c r="AB48" s="570">
        <v>70.25641025641022</v>
      </c>
      <c r="AC48" s="533">
        <f t="shared" ref="AC48:AC61" si="35">RANK(AB48, AB$47:AB$61)</f>
        <v>8</v>
      </c>
      <c r="AD48" s="690"/>
      <c r="AE48" s="569">
        <v>18</v>
      </c>
      <c r="AF48" s="570">
        <v>1233.3333333333323</v>
      </c>
      <c r="AG48" s="570">
        <v>68.518518518518462</v>
      </c>
      <c r="AH48" s="533">
        <f t="shared" ref="AH48:AH61" si="36">RANK(AG48, AG$47:AG$61)</f>
        <v>8</v>
      </c>
      <c r="AI48" s="690"/>
      <c r="AJ48" s="569">
        <v>18</v>
      </c>
      <c r="AK48" s="570">
        <v>1288.1249999999982</v>
      </c>
      <c r="AL48" s="570">
        <v>71.562499999999901</v>
      </c>
      <c r="AM48" s="533">
        <f t="shared" ref="AM48:AM61" si="37">RANK(AL48, AL$47:AL$61)</f>
        <v>6</v>
      </c>
      <c r="AN48" s="690"/>
      <c r="AO48" s="569">
        <v>18</v>
      </c>
      <c r="AP48" s="570">
        <v>1281.9230769230776</v>
      </c>
      <c r="AQ48" s="570">
        <v>71.217948717948758</v>
      </c>
      <c r="AR48" s="533">
        <f t="shared" ref="AR48:AR61" si="38">RANK(AQ48, AQ$47:AQ$61)</f>
        <v>8</v>
      </c>
      <c r="AS48" s="690"/>
      <c r="AT48" s="569">
        <v>18</v>
      </c>
      <c r="AU48" s="570">
        <v>1282.6666666666665</v>
      </c>
      <c r="AV48" s="570">
        <v>71.259259259259252</v>
      </c>
      <c r="AW48" s="533">
        <f t="shared" ref="AW48:AW61" si="39">RANK(AV48, AV$47:AV$61)</f>
        <v>6</v>
      </c>
      <c r="AX48" s="690"/>
    </row>
    <row r="49" spans="2:50">
      <c r="B49" s="676"/>
      <c r="C49" s="327">
        <v>3</v>
      </c>
      <c r="D49" s="227" t="s">
        <v>374</v>
      </c>
      <c r="E49" s="182">
        <v>17</v>
      </c>
      <c r="F49" s="569">
        <v>1440</v>
      </c>
      <c r="G49" s="570">
        <v>84.7</v>
      </c>
      <c r="H49" s="718"/>
      <c r="I49" s="199">
        <f t="shared" si="30"/>
        <v>17</v>
      </c>
      <c r="J49" s="199">
        <f t="shared" si="31"/>
        <v>1313.6592357371985</v>
      </c>
      <c r="K49" s="200">
        <f t="shared" si="32"/>
        <v>77.274072690423438</v>
      </c>
      <c r="L49" s="650"/>
      <c r="M49" s="201">
        <f>RANK(K49, K$47:$K$61)</f>
        <v>2</v>
      </c>
      <c r="N49" s="668"/>
      <c r="O49" s="668"/>
      <c r="P49" s="569">
        <v>17</v>
      </c>
      <c r="Q49" s="570">
        <v>1342.3008849557532</v>
      </c>
      <c r="R49" s="570">
        <v>78.958875585632541</v>
      </c>
      <c r="S49" s="533">
        <f t="shared" si="33"/>
        <v>2</v>
      </c>
      <c r="T49" s="690"/>
      <c r="U49" s="569">
        <v>17</v>
      </c>
      <c r="V49" s="570">
        <v>1220.6138613861392</v>
      </c>
      <c r="W49" s="570">
        <v>71.800815375655247</v>
      </c>
      <c r="X49" s="533">
        <f t="shared" si="34"/>
        <v>6</v>
      </c>
      <c r="Y49" s="690"/>
      <c r="Z49" s="569">
        <v>17</v>
      </c>
      <c r="AA49" s="570">
        <v>1210.0645161290324</v>
      </c>
      <c r="AB49" s="570">
        <v>71.180265654648963</v>
      </c>
      <c r="AC49" s="533">
        <f t="shared" si="35"/>
        <v>7</v>
      </c>
      <c r="AD49" s="690"/>
      <c r="AE49" s="569">
        <v>17</v>
      </c>
      <c r="AF49" s="570">
        <v>1348.7174999999995</v>
      </c>
      <c r="AG49" s="570">
        <v>79.336323529411743</v>
      </c>
      <c r="AH49" s="533">
        <f t="shared" si="36"/>
        <v>2</v>
      </c>
      <c r="AI49" s="690"/>
      <c r="AJ49" s="569">
        <v>17</v>
      </c>
      <c r="AK49" s="570">
        <v>1355.0581395348834</v>
      </c>
      <c r="AL49" s="570">
        <v>79.709302325581376</v>
      </c>
      <c r="AM49" s="533">
        <f t="shared" si="37"/>
        <v>2</v>
      </c>
      <c r="AN49" s="690"/>
      <c r="AO49" s="569">
        <v>17</v>
      </c>
      <c r="AP49" s="570">
        <v>1347.0638297872342</v>
      </c>
      <c r="AQ49" s="570">
        <v>79.239048811013774</v>
      </c>
      <c r="AR49" s="533">
        <f t="shared" si="38"/>
        <v>2</v>
      </c>
      <c r="AS49" s="690"/>
      <c r="AT49" s="569">
        <v>17</v>
      </c>
      <c r="AU49" s="570">
        <v>1371.7959183673472</v>
      </c>
      <c r="AV49" s="570">
        <v>80.693877551020421</v>
      </c>
      <c r="AW49" s="533">
        <f t="shared" si="39"/>
        <v>2</v>
      </c>
      <c r="AX49" s="690"/>
    </row>
    <row r="50" spans="2:50">
      <c r="B50" s="676"/>
      <c r="C50" s="327">
        <v>4</v>
      </c>
      <c r="D50" s="227" t="s">
        <v>375</v>
      </c>
      <c r="E50" s="182">
        <v>17</v>
      </c>
      <c r="F50" s="569">
        <v>1440</v>
      </c>
      <c r="G50" s="570">
        <v>84.7</v>
      </c>
      <c r="H50" s="718"/>
      <c r="I50" s="199">
        <f t="shared" si="30"/>
        <v>17</v>
      </c>
      <c r="J50" s="199">
        <f t="shared" si="31"/>
        <v>1214.2354723490553</v>
      </c>
      <c r="K50" s="200">
        <f t="shared" si="32"/>
        <v>71.425616020532658</v>
      </c>
      <c r="L50" s="650"/>
      <c r="M50" s="201">
        <f>RANK(K50, K$47:$K$61)</f>
        <v>6</v>
      </c>
      <c r="N50" s="668"/>
      <c r="O50" s="668"/>
      <c r="P50" s="569">
        <v>17</v>
      </c>
      <c r="Q50" s="570">
        <v>1271.2871287128719</v>
      </c>
      <c r="R50" s="570">
        <v>74.78159580663953</v>
      </c>
      <c r="S50" s="533">
        <f t="shared" si="33"/>
        <v>4</v>
      </c>
      <c r="T50" s="690"/>
      <c r="U50" s="569">
        <v>17</v>
      </c>
      <c r="V50" s="570">
        <v>1248.4848484848487</v>
      </c>
      <c r="W50" s="570">
        <v>73.440285204991099</v>
      </c>
      <c r="X50" s="533">
        <f t="shared" si="34"/>
        <v>3</v>
      </c>
      <c r="Y50" s="690"/>
      <c r="Z50" s="569">
        <v>17</v>
      </c>
      <c r="AA50" s="570">
        <v>1076.3636363636349</v>
      </c>
      <c r="AB50" s="570">
        <v>63.315508021390286</v>
      </c>
      <c r="AC50" s="533">
        <f t="shared" si="35"/>
        <v>9</v>
      </c>
      <c r="AD50" s="690"/>
      <c r="AE50" s="569">
        <v>17</v>
      </c>
      <c r="AF50" s="570">
        <v>1067.9999999999982</v>
      </c>
      <c r="AG50" s="570">
        <v>62.823529411764596</v>
      </c>
      <c r="AH50" s="533">
        <f t="shared" si="36"/>
        <v>9</v>
      </c>
      <c r="AI50" s="690"/>
      <c r="AJ50" s="569">
        <v>17</v>
      </c>
      <c r="AK50" s="570">
        <v>1264.3902439024387</v>
      </c>
      <c r="AL50" s="570">
        <v>74.375896700143457</v>
      </c>
      <c r="AM50" s="533">
        <f t="shared" si="37"/>
        <v>4</v>
      </c>
      <c r="AN50" s="690"/>
      <c r="AO50" s="569">
        <v>17</v>
      </c>
      <c r="AP50" s="570">
        <v>1278.9795918367352</v>
      </c>
      <c r="AQ50" s="570">
        <v>75.234093637455004</v>
      </c>
      <c r="AR50" s="533">
        <f t="shared" si="38"/>
        <v>4</v>
      </c>
      <c r="AS50" s="690"/>
      <c r="AT50" s="569">
        <v>17</v>
      </c>
      <c r="AU50" s="570">
        <v>1292.1428571428582</v>
      </c>
      <c r="AV50" s="570">
        <v>76.008403361344605</v>
      </c>
      <c r="AW50" s="533">
        <f t="shared" si="39"/>
        <v>4</v>
      </c>
      <c r="AX50" s="690"/>
    </row>
    <row r="51" spans="2:50">
      <c r="B51" s="676"/>
      <c r="C51" s="327">
        <v>5</v>
      </c>
      <c r="D51" s="227" t="s">
        <v>376</v>
      </c>
      <c r="E51" s="182">
        <v>21</v>
      </c>
      <c r="F51" s="569">
        <v>1385</v>
      </c>
      <c r="G51" s="570">
        <v>65.900000000000006</v>
      </c>
      <c r="H51" s="718"/>
      <c r="I51" s="199">
        <f t="shared" si="30"/>
        <v>21</v>
      </c>
      <c r="J51" s="199">
        <f t="shared" si="31"/>
        <v>1247.1976407945081</v>
      </c>
      <c r="K51" s="200">
        <f t="shared" si="32"/>
        <v>59.390363847357527</v>
      </c>
      <c r="L51" s="650"/>
      <c r="M51" s="201">
        <f>RANK(K51, K$47:$K$61)</f>
        <v>10</v>
      </c>
      <c r="N51" s="668"/>
      <c r="O51" s="668"/>
      <c r="P51" s="569">
        <v>21</v>
      </c>
      <c r="Q51" s="570">
        <v>1181.3684210526355</v>
      </c>
      <c r="R51" s="570">
        <v>56.255639097744549</v>
      </c>
      <c r="S51" s="533">
        <f t="shared" si="33"/>
        <v>10</v>
      </c>
      <c r="T51" s="690"/>
      <c r="U51" s="569">
        <v>21</v>
      </c>
      <c r="V51" s="570">
        <v>1184.3478260869556</v>
      </c>
      <c r="W51" s="570">
        <v>56.397515527950269</v>
      </c>
      <c r="X51" s="533">
        <f t="shared" si="34"/>
        <v>10</v>
      </c>
      <c r="Y51" s="690"/>
      <c r="Z51" s="569">
        <v>21</v>
      </c>
      <c r="AA51" s="570">
        <v>1165.5000000000041</v>
      </c>
      <c r="AB51" s="570">
        <v>55.500000000000192</v>
      </c>
      <c r="AC51" s="533">
        <f t="shared" si="35"/>
        <v>10</v>
      </c>
      <c r="AD51" s="690"/>
      <c r="AE51" s="569">
        <v>21</v>
      </c>
      <c r="AF51" s="570">
        <v>1304.3181818181818</v>
      </c>
      <c r="AG51" s="570">
        <v>62.11038961038961</v>
      </c>
      <c r="AH51" s="533">
        <f t="shared" si="36"/>
        <v>10</v>
      </c>
      <c r="AI51" s="690"/>
      <c r="AJ51" s="569">
        <v>21</v>
      </c>
      <c r="AK51" s="570">
        <v>1279.2857142857188</v>
      </c>
      <c r="AL51" s="570">
        <v>60.918367346938986</v>
      </c>
      <c r="AM51" s="533">
        <f t="shared" si="37"/>
        <v>10</v>
      </c>
      <c r="AN51" s="690"/>
      <c r="AO51" s="569">
        <v>21</v>
      </c>
      <c r="AP51" s="570">
        <v>1309.7142857142865</v>
      </c>
      <c r="AQ51" s="570">
        <v>62.367346938775547</v>
      </c>
      <c r="AR51" s="533">
        <f t="shared" si="38"/>
        <v>10</v>
      </c>
      <c r="AS51" s="690"/>
      <c r="AT51" s="569">
        <v>21</v>
      </c>
      <c r="AU51" s="570">
        <v>1305.8490566037742</v>
      </c>
      <c r="AV51" s="570">
        <v>62.183288409703536</v>
      </c>
      <c r="AW51" s="533">
        <f t="shared" si="39"/>
        <v>10</v>
      </c>
      <c r="AX51" s="690"/>
    </row>
    <row r="52" spans="2:50">
      <c r="B52" s="676"/>
      <c r="C52" s="327">
        <v>6</v>
      </c>
      <c r="D52" s="227" t="s">
        <v>377</v>
      </c>
      <c r="E52" s="182">
        <v>19</v>
      </c>
      <c r="F52" s="569">
        <v>1440</v>
      </c>
      <c r="G52" s="570">
        <v>75.8</v>
      </c>
      <c r="H52" s="718"/>
      <c r="I52" s="199">
        <f t="shared" si="30"/>
        <v>19</v>
      </c>
      <c r="J52" s="199">
        <f t="shared" si="31"/>
        <v>1347.3339179629061</v>
      </c>
      <c r="K52" s="200">
        <f t="shared" si="32"/>
        <v>70.912311471731897</v>
      </c>
      <c r="L52" s="650"/>
      <c r="M52" s="201">
        <f>RANK(K52, K$47:$K$61)</f>
        <v>7</v>
      </c>
      <c r="N52" s="668"/>
      <c r="O52" s="668"/>
      <c r="P52" s="569">
        <v>19</v>
      </c>
      <c r="Q52" s="570">
        <v>1344.1463414634143</v>
      </c>
      <c r="R52" s="570">
        <v>70.744544287548123</v>
      </c>
      <c r="S52" s="533">
        <f t="shared" si="33"/>
        <v>8</v>
      </c>
      <c r="T52" s="690"/>
      <c r="U52" s="569">
        <v>19</v>
      </c>
      <c r="V52" s="570">
        <v>1372.4999999999995</v>
      </c>
      <c r="W52" s="570">
        <v>72.236842105263136</v>
      </c>
      <c r="X52" s="533">
        <f t="shared" si="34"/>
        <v>5</v>
      </c>
      <c r="Y52" s="690"/>
      <c r="Z52" s="569">
        <v>19</v>
      </c>
      <c r="AA52" s="570">
        <v>1357.8082191780811</v>
      </c>
      <c r="AB52" s="570">
        <v>71.463590483056905</v>
      </c>
      <c r="AC52" s="533">
        <f t="shared" si="35"/>
        <v>5</v>
      </c>
      <c r="AD52" s="690"/>
      <c r="AE52" s="569">
        <v>19</v>
      </c>
      <c r="AF52" s="570">
        <v>1366.4000000000049</v>
      </c>
      <c r="AG52" s="570">
        <v>71.91578947368447</v>
      </c>
      <c r="AH52" s="533">
        <f t="shared" si="36"/>
        <v>5</v>
      </c>
      <c r="AI52" s="690"/>
      <c r="AJ52" s="569">
        <v>19</v>
      </c>
      <c r="AK52" s="570">
        <v>1335.6521739130421</v>
      </c>
      <c r="AL52" s="570">
        <v>70.297482837528534</v>
      </c>
      <c r="AM52" s="533">
        <f t="shared" si="37"/>
        <v>9</v>
      </c>
      <c r="AN52" s="690"/>
      <c r="AO52" s="569">
        <v>19</v>
      </c>
      <c r="AP52" s="570">
        <v>1312.4210526315837</v>
      </c>
      <c r="AQ52" s="570">
        <v>69.074792243767561</v>
      </c>
      <c r="AR52" s="533">
        <f t="shared" si="38"/>
        <v>9</v>
      </c>
      <c r="AS52" s="690"/>
      <c r="AT52" s="569">
        <v>19</v>
      </c>
      <c r="AU52" s="570">
        <v>1342.4096385542164</v>
      </c>
      <c r="AV52" s="570">
        <v>70.65313887127455</v>
      </c>
      <c r="AW52" s="533">
        <f t="shared" si="39"/>
        <v>9</v>
      </c>
      <c r="AX52" s="690"/>
    </row>
    <row r="53" spans="2:50">
      <c r="B53" s="676"/>
      <c r="C53" s="327">
        <v>7</v>
      </c>
      <c r="D53" s="227" t="s">
        <v>692</v>
      </c>
      <c r="E53" s="182">
        <v>18</v>
      </c>
      <c r="F53" s="569">
        <v>1385</v>
      </c>
      <c r="G53" s="570">
        <v>76.900000000000006</v>
      </c>
      <c r="H53" s="718"/>
      <c r="I53" s="199">
        <f t="shared" si="30"/>
        <v>18</v>
      </c>
      <c r="J53" s="199">
        <f t="shared" si="31"/>
        <v>1301.1624442828177</v>
      </c>
      <c r="K53" s="200">
        <f t="shared" si="32"/>
        <v>72.286802460156522</v>
      </c>
      <c r="L53" s="650"/>
      <c r="M53" s="201">
        <f>RANK(K53, K$47:$K$61)</f>
        <v>4</v>
      </c>
      <c r="N53" s="668"/>
      <c r="O53" s="668"/>
      <c r="P53" s="569">
        <v>18</v>
      </c>
      <c r="Q53" s="570">
        <v>1281.5314285714273</v>
      </c>
      <c r="R53" s="570">
        <v>71.196190476190409</v>
      </c>
      <c r="S53" s="533">
        <f t="shared" si="33"/>
        <v>7</v>
      </c>
      <c r="T53" s="690"/>
      <c r="U53" s="569">
        <v>18</v>
      </c>
      <c r="V53" s="570">
        <v>1306.8493150684919</v>
      </c>
      <c r="W53" s="570">
        <v>72.602739726027323</v>
      </c>
      <c r="X53" s="533">
        <f t="shared" si="34"/>
        <v>4</v>
      </c>
      <c r="Y53" s="690"/>
      <c r="Z53" s="569">
        <v>18</v>
      </c>
      <c r="AA53" s="570">
        <v>1321.7910447761178</v>
      </c>
      <c r="AB53" s="570">
        <v>73.432835820895434</v>
      </c>
      <c r="AC53" s="533">
        <f t="shared" si="35"/>
        <v>3</v>
      </c>
      <c r="AD53" s="690"/>
      <c r="AE53" s="569">
        <v>18</v>
      </c>
      <c r="AF53" s="570">
        <v>1285.8461538461552</v>
      </c>
      <c r="AG53" s="570">
        <v>71.435897435897516</v>
      </c>
      <c r="AH53" s="533">
        <f t="shared" si="36"/>
        <v>6</v>
      </c>
      <c r="AI53" s="690"/>
      <c r="AJ53" s="569">
        <v>18</v>
      </c>
      <c r="AK53" s="570">
        <v>1280.3076923076937</v>
      </c>
      <c r="AL53" s="570">
        <v>71.128205128205209</v>
      </c>
      <c r="AM53" s="533">
        <f t="shared" si="37"/>
        <v>7</v>
      </c>
      <c r="AN53" s="690"/>
      <c r="AO53" s="569">
        <v>18</v>
      </c>
      <c r="AP53" s="570">
        <v>1318.4999999999995</v>
      </c>
      <c r="AQ53" s="570">
        <v>73.249999999999972</v>
      </c>
      <c r="AR53" s="533">
        <f t="shared" si="38"/>
        <v>5</v>
      </c>
      <c r="AS53" s="690"/>
      <c r="AT53" s="569">
        <v>18</v>
      </c>
      <c r="AU53" s="570">
        <v>1313.3114754098374</v>
      </c>
      <c r="AV53" s="570">
        <v>72.96174863387985</v>
      </c>
      <c r="AW53" s="533">
        <f t="shared" si="39"/>
        <v>5</v>
      </c>
      <c r="AX53" s="690"/>
    </row>
    <row r="54" spans="2:50">
      <c r="B54" s="676"/>
      <c r="C54" s="327">
        <v>8</v>
      </c>
      <c r="D54" s="227" t="s">
        <v>695</v>
      </c>
      <c r="E54" s="182">
        <v>18</v>
      </c>
      <c r="F54" s="569">
        <v>1385</v>
      </c>
      <c r="G54" s="570">
        <v>76.900000000000006</v>
      </c>
      <c r="H54" s="718"/>
      <c r="I54" s="427">
        <f t="shared" ref="I54:I56" si="40">AVERAGE(P54,U54,Z54,AE54,AJ54,AO54,AT54)</f>
        <v>18</v>
      </c>
      <c r="J54" s="427">
        <f t="shared" ref="J54:J56" si="41">AVERAGE(Q54,V54,AA54,AF54,AK54,AP54,AU54)</f>
        <v>1294.4292495856696</v>
      </c>
      <c r="K54" s="200">
        <f t="shared" ref="K54:K56" si="42">AVERAGE(R54,W54,AB54,AG54,AL54,AQ54,AV54)</f>
        <v>71.912736088092757</v>
      </c>
      <c r="L54" s="650"/>
      <c r="M54" s="201">
        <f>RANK(K54, K$47:$K$61)</f>
        <v>5</v>
      </c>
      <c r="N54" s="668"/>
      <c r="O54" s="668"/>
      <c r="P54" s="569">
        <v>18</v>
      </c>
      <c r="Q54" s="570">
        <v>1314.5454545454554</v>
      </c>
      <c r="R54" s="570">
        <v>73.030303030303074</v>
      </c>
      <c r="S54" s="533">
        <f t="shared" si="33"/>
        <v>5</v>
      </c>
      <c r="T54" s="690"/>
      <c r="U54" s="569">
        <v>18</v>
      </c>
      <c r="V54" s="570">
        <v>1275.0000000000005</v>
      </c>
      <c r="W54" s="570">
        <v>70.833333333333357</v>
      </c>
      <c r="X54" s="533">
        <f t="shared" si="34"/>
        <v>7</v>
      </c>
      <c r="Y54" s="690"/>
      <c r="Z54" s="569">
        <v>18</v>
      </c>
      <c r="AA54" s="570">
        <v>1285.714285714286</v>
      </c>
      <c r="AB54" s="570">
        <v>71.428571428571445</v>
      </c>
      <c r="AC54" s="533">
        <f t="shared" si="35"/>
        <v>6</v>
      </c>
      <c r="AD54" s="690"/>
      <c r="AE54" s="569">
        <v>18</v>
      </c>
      <c r="AF54" s="570">
        <v>1299.9999999999995</v>
      </c>
      <c r="AG54" s="570">
        <v>72.2222222222222</v>
      </c>
      <c r="AH54" s="533">
        <f t="shared" si="36"/>
        <v>4</v>
      </c>
      <c r="AI54" s="690"/>
      <c r="AJ54" s="569">
        <v>18</v>
      </c>
      <c r="AK54" s="570">
        <v>1297.674418604651</v>
      </c>
      <c r="AL54" s="570">
        <v>72.093023255813947</v>
      </c>
      <c r="AM54" s="533">
        <f t="shared" si="37"/>
        <v>5</v>
      </c>
      <c r="AN54" s="690"/>
      <c r="AO54" s="569">
        <v>18</v>
      </c>
      <c r="AP54" s="570">
        <v>1311.6000000000004</v>
      </c>
      <c r="AQ54" s="570">
        <v>72.866666666666688</v>
      </c>
      <c r="AR54" s="533">
        <f t="shared" si="38"/>
        <v>6</v>
      </c>
      <c r="AS54" s="690"/>
      <c r="AT54" s="569">
        <v>18</v>
      </c>
      <c r="AU54" s="570">
        <v>1276.4705882352946</v>
      </c>
      <c r="AV54" s="570">
        <v>70.915032679738587</v>
      </c>
      <c r="AW54" s="533">
        <f t="shared" si="39"/>
        <v>7</v>
      </c>
      <c r="AX54" s="690"/>
    </row>
    <row r="55" spans="2:50">
      <c r="B55" s="676"/>
      <c r="C55" s="327">
        <v>9</v>
      </c>
      <c r="D55" s="227" t="s">
        <v>762</v>
      </c>
      <c r="E55" s="182">
        <v>16</v>
      </c>
      <c r="F55" s="569">
        <v>1440</v>
      </c>
      <c r="G55" s="570">
        <v>90</v>
      </c>
      <c r="H55" s="718"/>
      <c r="I55" s="427">
        <f t="shared" si="40"/>
        <v>16</v>
      </c>
      <c r="J55" s="427">
        <f t="shared" si="41"/>
        <v>1357.167943527357</v>
      </c>
      <c r="K55" s="200">
        <f t="shared" si="42"/>
        <v>84.822996470459813</v>
      </c>
      <c r="L55" s="650"/>
      <c r="M55" s="201">
        <f>RANK(K55, K$47:$K$61)</f>
        <v>1</v>
      </c>
      <c r="N55" s="668"/>
      <c r="O55" s="668"/>
      <c r="P55" s="569">
        <v>16</v>
      </c>
      <c r="Q55" s="570">
        <v>1367.0400000000009</v>
      </c>
      <c r="R55" s="570">
        <v>85.440000000000055</v>
      </c>
      <c r="S55" s="533">
        <f t="shared" si="33"/>
        <v>1</v>
      </c>
      <c r="T55" s="690"/>
      <c r="U55" s="569">
        <v>16</v>
      </c>
      <c r="V55" s="570">
        <v>1338.4210526315799</v>
      </c>
      <c r="W55" s="570">
        <v>83.651315789473742</v>
      </c>
      <c r="X55" s="533">
        <f t="shared" si="34"/>
        <v>1</v>
      </c>
      <c r="Y55" s="690"/>
      <c r="Z55" s="569">
        <v>16</v>
      </c>
      <c r="AA55" s="570">
        <v>1344.33962264151</v>
      </c>
      <c r="AB55" s="570">
        <v>84.021226415094375</v>
      </c>
      <c r="AC55" s="533">
        <f t="shared" si="35"/>
        <v>1</v>
      </c>
      <c r="AD55" s="690"/>
      <c r="AE55" s="569">
        <v>16</v>
      </c>
      <c r="AF55" s="570">
        <v>1358.5090909090923</v>
      </c>
      <c r="AG55" s="570">
        <v>84.906818181818267</v>
      </c>
      <c r="AH55" s="533">
        <f t="shared" si="36"/>
        <v>1</v>
      </c>
      <c r="AI55" s="690"/>
      <c r="AJ55" s="569">
        <v>16</v>
      </c>
      <c r="AK55" s="570">
        <v>1354.7999999999995</v>
      </c>
      <c r="AL55" s="570">
        <v>84.674999999999969</v>
      </c>
      <c r="AM55" s="533">
        <f t="shared" si="37"/>
        <v>1</v>
      </c>
      <c r="AN55" s="690"/>
      <c r="AO55" s="569">
        <v>16</v>
      </c>
      <c r="AP55" s="570">
        <v>1366.4571428571433</v>
      </c>
      <c r="AQ55" s="570">
        <v>85.403571428571453</v>
      </c>
      <c r="AR55" s="533">
        <f t="shared" si="38"/>
        <v>1</v>
      </c>
      <c r="AS55" s="690"/>
      <c r="AT55" s="569">
        <v>16</v>
      </c>
      <c r="AU55" s="570">
        <v>1370.6086956521731</v>
      </c>
      <c r="AV55" s="570">
        <v>85.663043478260818</v>
      </c>
      <c r="AW55" s="533">
        <f t="shared" si="39"/>
        <v>1</v>
      </c>
      <c r="AX55" s="690"/>
    </row>
    <row r="56" spans="2:50">
      <c r="B56" s="676"/>
      <c r="C56" s="327">
        <v>10</v>
      </c>
      <c r="D56" s="227" t="s">
        <v>902</v>
      </c>
      <c r="E56" s="182">
        <v>19</v>
      </c>
      <c r="F56" s="569">
        <v>1440</v>
      </c>
      <c r="G56" s="570">
        <v>75.8</v>
      </c>
      <c r="H56" s="718"/>
      <c r="I56" s="427">
        <f t="shared" si="40"/>
        <v>19</v>
      </c>
      <c r="J56" s="427">
        <f t="shared" si="41"/>
        <v>1343.4992172445475</v>
      </c>
      <c r="K56" s="200">
        <f t="shared" si="42"/>
        <v>70.710485118134073</v>
      </c>
      <c r="L56" s="650"/>
      <c r="M56" s="201">
        <f>RANK(K56, K$47:$K$61)</f>
        <v>8</v>
      </c>
      <c r="N56" s="668"/>
      <c r="O56" s="668"/>
      <c r="P56" s="569">
        <v>19</v>
      </c>
      <c r="Q56" s="570">
        <v>1356.2487804878042</v>
      </c>
      <c r="R56" s="570">
        <v>71.381514762516005</v>
      </c>
      <c r="S56" s="533">
        <f t="shared" si="33"/>
        <v>6</v>
      </c>
      <c r="T56" s="690"/>
      <c r="U56" s="569">
        <v>19</v>
      </c>
      <c r="V56" s="570">
        <v>1273.0784810126574</v>
      </c>
      <c r="W56" s="570">
        <v>67.004130579613545</v>
      </c>
      <c r="X56" s="533">
        <f t="shared" si="34"/>
        <v>9</v>
      </c>
      <c r="Y56" s="690"/>
      <c r="Z56" s="569">
        <v>19</v>
      </c>
      <c r="AA56" s="570">
        <v>1364.3117647058841</v>
      </c>
      <c r="AB56" s="570">
        <v>71.805882352941268</v>
      </c>
      <c r="AC56" s="533">
        <f t="shared" si="35"/>
        <v>4</v>
      </c>
      <c r="AD56" s="690"/>
      <c r="AE56" s="569">
        <v>19</v>
      </c>
      <c r="AF56" s="570">
        <v>1354.7769230769195</v>
      </c>
      <c r="AG56" s="570">
        <v>71.304048582995762</v>
      </c>
      <c r="AH56" s="533">
        <f t="shared" si="36"/>
        <v>7</v>
      </c>
      <c r="AI56" s="690"/>
      <c r="AJ56" s="569">
        <v>19</v>
      </c>
      <c r="AK56" s="570">
        <v>1344.2785714285687</v>
      </c>
      <c r="AL56" s="570">
        <v>70.751503759398361</v>
      </c>
      <c r="AM56" s="533">
        <f t="shared" si="37"/>
        <v>8</v>
      </c>
      <c r="AN56" s="690"/>
      <c r="AO56" s="569">
        <v>19</v>
      </c>
      <c r="AP56" s="570">
        <v>1368.3999999999983</v>
      </c>
      <c r="AQ56" s="570">
        <v>72.021052631578854</v>
      </c>
      <c r="AR56" s="533">
        <f t="shared" si="38"/>
        <v>7</v>
      </c>
      <c r="AS56" s="690"/>
      <c r="AT56" s="569">
        <v>19</v>
      </c>
      <c r="AU56" s="570">
        <v>1343.4000000000005</v>
      </c>
      <c r="AV56" s="570">
        <v>70.705263157894763</v>
      </c>
      <c r="AW56" s="533">
        <f t="shared" si="39"/>
        <v>8</v>
      </c>
      <c r="AX56" s="690"/>
    </row>
    <row r="57" spans="2:50">
      <c r="B57" s="676"/>
      <c r="C57" s="327">
        <v>11</v>
      </c>
      <c r="D57" s="227"/>
      <c r="E57" s="182"/>
      <c r="F57" s="569"/>
      <c r="G57" s="570"/>
      <c r="H57" s="718"/>
      <c r="I57" s="464"/>
      <c r="J57" s="464"/>
      <c r="K57" s="200"/>
      <c r="L57" s="650"/>
      <c r="M57" s="201" t="e">
        <f>RANK(K57, K$47:$K$61)</f>
        <v>#N/A</v>
      </c>
      <c r="N57" s="668"/>
      <c r="O57" s="668"/>
      <c r="P57" s="569"/>
      <c r="Q57" s="570"/>
      <c r="R57" s="570"/>
      <c r="S57" s="533" t="e">
        <f t="shared" si="33"/>
        <v>#N/A</v>
      </c>
      <c r="T57" s="690"/>
      <c r="U57" s="569"/>
      <c r="V57" s="570"/>
      <c r="W57" s="570"/>
      <c r="X57" s="533" t="e">
        <f t="shared" si="34"/>
        <v>#N/A</v>
      </c>
      <c r="Y57" s="690"/>
      <c r="Z57" s="569"/>
      <c r="AA57" s="570"/>
      <c r="AB57" s="570"/>
      <c r="AC57" s="533" t="e">
        <f t="shared" si="35"/>
        <v>#N/A</v>
      </c>
      <c r="AD57" s="690"/>
      <c r="AE57" s="569"/>
      <c r="AF57" s="570"/>
      <c r="AG57" s="570"/>
      <c r="AH57" s="533" t="e">
        <f t="shared" si="36"/>
        <v>#N/A</v>
      </c>
      <c r="AI57" s="690"/>
      <c r="AJ57" s="569"/>
      <c r="AK57" s="570"/>
      <c r="AL57" s="570"/>
      <c r="AM57" s="533" t="e">
        <f t="shared" si="37"/>
        <v>#N/A</v>
      </c>
      <c r="AN57" s="690"/>
      <c r="AO57" s="569"/>
      <c r="AP57" s="570"/>
      <c r="AQ57" s="570"/>
      <c r="AR57" s="533" t="e">
        <f t="shared" si="38"/>
        <v>#N/A</v>
      </c>
      <c r="AS57" s="690"/>
      <c r="AT57" s="569"/>
      <c r="AU57" s="570"/>
      <c r="AV57" s="570"/>
      <c r="AW57" s="533" t="e">
        <f t="shared" si="39"/>
        <v>#N/A</v>
      </c>
      <c r="AX57" s="690"/>
    </row>
    <row r="58" spans="2:50">
      <c r="B58" s="676"/>
      <c r="C58" s="327">
        <v>12</v>
      </c>
      <c r="D58" s="227"/>
      <c r="E58" s="182"/>
      <c r="F58" s="569"/>
      <c r="G58" s="570"/>
      <c r="H58" s="718"/>
      <c r="I58" s="479"/>
      <c r="J58" s="479"/>
      <c r="K58" s="200"/>
      <c r="L58" s="650"/>
      <c r="M58" s="201" t="e">
        <f>RANK(K58, K$47:$K$61)</f>
        <v>#N/A</v>
      </c>
      <c r="N58" s="668"/>
      <c r="O58" s="668"/>
      <c r="P58" s="569"/>
      <c r="Q58" s="570"/>
      <c r="R58" s="570"/>
      <c r="S58" s="533" t="e">
        <f t="shared" si="33"/>
        <v>#N/A</v>
      </c>
      <c r="T58" s="690"/>
      <c r="U58" s="569"/>
      <c r="V58" s="570"/>
      <c r="W58" s="570"/>
      <c r="X58" s="533" t="e">
        <f t="shared" si="34"/>
        <v>#N/A</v>
      </c>
      <c r="Y58" s="690"/>
      <c r="Z58" s="569"/>
      <c r="AA58" s="570"/>
      <c r="AB58" s="570"/>
      <c r="AC58" s="533" t="e">
        <f t="shared" si="35"/>
        <v>#N/A</v>
      </c>
      <c r="AD58" s="690"/>
      <c r="AE58" s="569"/>
      <c r="AF58" s="570"/>
      <c r="AG58" s="570"/>
      <c r="AH58" s="533" t="e">
        <f t="shared" si="36"/>
        <v>#N/A</v>
      </c>
      <c r="AI58" s="690"/>
      <c r="AJ58" s="569"/>
      <c r="AK58" s="570"/>
      <c r="AL58" s="570"/>
      <c r="AM58" s="533" t="e">
        <f t="shared" si="37"/>
        <v>#N/A</v>
      </c>
      <c r="AN58" s="690"/>
      <c r="AO58" s="569"/>
      <c r="AP58" s="570"/>
      <c r="AQ58" s="570"/>
      <c r="AR58" s="533" t="e">
        <f t="shared" si="38"/>
        <v>#N/A</v>
      </c>
      <c r="AS58" s="690"/>
      <c r="AT58" s="569"/>
      <c r="AU58" s="570"/>
      <c r="AV58" s="570"/>
      <c r="AW58" s="533" t="e">
        <f t="shared" si="39"/>
        <v>#N/A</v>
      </c>
      <c r="AX58" s="690"/>
    </row>
    <row r="59" spans="2:50">
      <c r="B59" s="676"/>
      <c r="C59" s="327">
        <v>13</v>
      </c>
      <c r="D59" s="227"/>
      <c r="E59" s="182"/>
      <c r="F59" s="569"/>
      <c r="G59" s="570"/>
      <c r="H59" s="718"/>
      <c r="I59" s="202"/>
      <c r="J59" s="202"/>
      <c r="K59" s="202"/>
      <c r="L59" s="650"/>
      <c r="M59" s="201" t="e">
        <f>RANK(K59, K$47:$K$61)</f>
        <v>#N/A</v>
      </c>
      <c r="N59" s="668"/>
      <c r="O59" s="668"/>
      <c r="P59" s="569"/>
      <c r="Q59" s="570"/>
      <c r="R59" s="570"/>
      <c r="S59" s="533" t="e">
        <f t="shared" si="33"/>
        <v>#N/A</v>
      </c>
      <c r="T59" s="690"/>
      <c r="U59" s="569"/>
      <c r="V59" s="570"/>
      <c r="W59" s="570"/>
      <c r="X59" s="533" t="e">
        <f t="shared" si="34"/>
        <v>#N/A</v>
      </c>
      <c r="Y59" s="690"/>
      <c r="Z59" s="569"/>
      <c r="AA59" s="570"/>
      <c r="AB59" s="570"/>
      <c r="AC59" s="533" t="e">
        <f t="shared" si="35"/>
        <v>#N/A</v>
      </c>
      <c r="AD59" s="690"/>
      <c r="AE59" s="569"/>
      <c r="AF59" s="570"/>
      <c r="AG59" s="570"/>
      <c r="AH59" s="533" t="e">
        <f t="shared" si="36"/>
        <v>#N/A</v>
      </c>
      <c r="AI59" s="690"/>
      <c r="AJ59" s="569"/>
      <c r="AK59" s="570"/>
      <c r="AL59" s="570"/>
      <c r="AM59" s="533" t="e">
        <f t="shared" si="37"/>
        <v>#N/A</v>
      </c>
      <c r="AN59" s="690"/>
      <c r="AO59" s="569"/>
      <c r="AP59" s="570"/>
      <c r="AQ59" s="570"/>
      <c r="AR59" s="533" t="e">
        <f t="shared" si="38"/>
        <v>#N/A</v>
      </c>
      <c r="AS59" s="690"/>
      <c r="AT59" s="569"/>
      <c r="AU59" s="570"/>
      <c r="AV59" s="570"/>
      <c r="AW59" s="533" t="e">
        <f t="shared" si="39"/>
        <v>#N/A</v>
      </c>
      <c r="AX59" s="690"/>
    </row>
    <row r="60" spans="2:50">
      <c r="B60" s="676"/>
      <c r="C60" s="327">
        <v>14</v>
      </c>
      <c r="D60" s="227"/>
      <c r="E60" s="182"/>
      <c r="F60" s="569"/>
      <c r="G60" s="570"/>
      <c r="H60" s="718"/>
      <c r="I60" s="202"/>
      <c r="J60" s="202"/>
      <c r="K60" s="202"/>
      <c r="L60" s="650"/>
      <c r="M60" s="201" t="e">
        <f>RANK(K60, K$47:$K$61)</f>
        <v>#N/A</v>
      </c>
      <c r="N60" s="668"/>
      <c r="O60" s="668"/>
      <c r="P60" s="569"/>
      <c r="Q60" s="570"/>
      <c r="R60" s="570"/>
      <c r="S60" s="533" t="e">
        <f t="shared" si="33"/>
        <v>#N/A</v>
      </c>
      <c r="T60" s="690"/>
      <c r="U60" s="569"/>
      <c r="V60" s="570"/>
      <c r="W60" s="570"/>
      <c r="X60" s="533" t="e">
        <f t="shared" si="34"/>
        <v>#N/A</v>
      </c>
      <c r="Y60" s="690"/>
      <c r="Z60" s="569"/>
      <c r="AA60" s="570"/>
      <c r="AB60" s="570"/>
      <c r="AC60" s="533" t="e">
        <f t="shared" si="35"/>
        <v>#N/A</v>
      </c>
      <c r="AD60" s="690"/>
      <c r="AE60" s="569"/>
      <c r="AF60" s="570"/>
      <c r="AG60" s="570"/>
      <c r="AH60" s="533" t="e">
        <f t="shared" si="36"/>
        <v>#N/A</v>
      </c>
      <c r="AI60" s="690"/>
      <c r="AJ60" s="569"/>
      <c r="AK60" s="570"/>
      <c r="AL60" s="570"/>
      <c r="AM60" s="533" t="e">
        <f t="shared" si="37"/>
        <v>#N/A</v>
      </c>
      <c r="AN60" s="690"/>
      <c r="AO60" s="569"/>
      <c r="AP60" s="570"/>
      <c r="AQ60" s="570"/>
      <c r="AR60" s="533" t="e">
        <f t="shared" si="38"/>
        <v>#N/A</v>
      </c>
      <c r="AS60" s="690"/>
      <c r="AT60" s="569"/>
      <c r="AU60" s="570"/>
      <c r="AV60" s="570"/>
      <c r="AW60" s="533" t="e">
        <f t="shared" si="39"/>
        <v>#N/A</v>
      </c>
      <c r="AX60" s="690"/>
    </row>
    <row r="61" spans="2:50">
      <c r="B61" s="676"/>
      <c r="C61" s="327">
        <v>15</v>
      </c>
      <c r="D61" s="227"/>
      <c r="E61" s="182"/>
      <c r="F61" s="569"/>
      <c r="G61" s="570"/>
      <c r="H61" s="719"/>
      <c r="I61" s="202"/>
      <c r="J61" s="202"/>
      <c r="K61" s="202"/>
      <c r="L61" s="651"/>
      <c r="M61" s="201" t="e">
        <f>RANK(K61, K$47:$K$61)</f>
        <v>#N/A</v>
      </c>
      <c r="N61" s="668"/>
      <c r="O61" s="668"/>
      <c r="P61" s="569"/>
      <c r="Q61" s="570"/>
      <c r="R61" s="570"/>
      <c r="S61" s="533" t="e">
        <f t="shared" si="33"/>
        <v>#N/A</v>
      </c>
      <c r="T61" s="690"/>
      <c r="U61" s="569"/>
      <c r="V61" s="570"/>
      <c r="W61" s="570"/>
      <c r="X61" s="533" t="e">
        <f t="shared" si="34"/>
        <v>#N/A</v>
      </c>
      <c r="Y61" s="690"/>
      <c r="Z61" s="569"/>
      <c r="AA61" s="570"/>
      <c r="AB61" s="570"/>
      <c r="AC61" s="533" t="e">
        <f t="shared" si="35"/>
        <v>#N/A</v>
      </c>
      <c r="AD61" s="690"/>
      <c r="AE61" s="569"/>
      <c r="AF61" s="570"/>
      <c r="AG61" s="570"/>
      <c r="AH61" s="533" t="e">
        <f t="shared" si="36"/>
        <v>#N/A</v>
      </c>
      <c r="AI61" s="690"/>
      <c r="AJ61" s="569"/>
      <c r="AK61" s="570"/>
      <c r="AL61" s="570"/>
      <c r="AM61" s="533" t="e">
        <f t="shared" si="37"/>
        <v>#N/A</v>
      </c>
      <c r="AN61" s="690"/>
      <c r="AO61" s="569"/>
      <c r="AP61" s="570"/>
      <c r="AQ61" s="570"/>
      <c r="AR61" s="533" t="e">
        <f t="shared" si="38"/>
        <v>#N/A</v>
      </c>
      <c r="AS61" s="690"/>
      <c r="AT61" s="569"/>
      <c r="AU61" s="570"/>
      <c r="AV61" s="570"/>
      <c r="AW61" s="533" t="e">
        <f t="shared" si="39"/>
        <v>#N/A</v>
      </c>
      <c r="AX61" s="690"/>
    </row>
    <row r="62" spans="2:50" ht="15.75">
      <c r="B62" s="680" t="s">
        <v>163</v>
      </c>
      <c r="C62" s="681"/>
      <c r="D62" s="681"/>
      <c r="E62" s="681"/>
      <c r="F62" s="681"/>
      <c r="G62" s="681"/>
      <c r="H62" s="682"/>
      <c r="I62" s="208"/>
      <c r="J62" s="208"/>
      <c r="K62" s="208"/>
      <c r="L62" s="208"/>
      <c r="M62" s="207"/>
      <c r="N62" s="669" t="s">
        <v>156</v>
      </c>
      <c r="O62" s="669" t="s">
        <v>105</v>
      </c>
      <c r="P62" s="675">
        <f>P42+7</f>
        <v>46105</v>
      </c>
      <c r="Q62" s="676"/>
      <c r="R62" s="676"/>
      <c r="S62" s="676"/>
      <c r="T62" s="676"/>
      <c r="U62" s="672">
        <f>P62+1</f>
        <v>46106</v>
      </c>
      <c r="V62" s="673"/>
      <c r="W62" s="673"/>
      <c r="X62" s="673"/>
      <c r="Y62" s="674"/>
      <c r="Z62" s="672">
        <f>U62+1</f>
        <v>46107</v>
      </c>
      <c r="AA62" s="673"/>
      <c r="AB62" s="673"/>
      <c r="AC62" s="673"/>
      <c r="AD62" s="674"/>
      <c r="AE62" s="672">
        <f>Z62+1</f>
        <v>46108</v>
      </c>
      <c r="AF62" s="673"/>
      <c r="AG62" s="673"/>
      <c r="AH62" s="673"/>
      <c r="AI62" s="674"/>
      <c r="AJ62" s="672">
        <f>AE62+1</f>
        <v>46109</v>
      </c>
      <c r="AK62" s="673"/>
      <c r="AL62" s="673"/>
      <c r="AM62" s="673"/>
      <c r="AN62" s="674"/>
      <c r="AO62" s="672">
        <f>AJ62+1</f>
        <v>46110</v>
      </c>
      <c r="AP62" s="673"/>
      <c r="AQ62" s="673"/>
      <c r="AR62" s="673"/>
      <c r="AS62" s="674"/>
      <c r="AT62" s="672">
        <f>AO62+1</f>
        <v>46111</v>
      </c>
      <c r="AU62" s="673"/>
      <c r="AV62" s="673"/>
      <c r="AW62" s="673"/>
      <c r="AX62" s="674"/>
    </row>
    <row r="63" spans="2:50" ht="15.75">
      <c r="B63" s="683"/>
      <c r="C63" s="683"/>
      <c r="D63" s="683"/>
      <c r="E63" s="683"/>
      <c r="F63" s="683"/>
      <c r="G63" s="683"/>
      <c r="H63" s="683"/>
      <c r="I63" s="205"/>
      <c r="J63" s="205"/>
      <c r="K63" s="205"/>
      <c r="L63" s="205"/>
      <c r="M63" s="206"/>
      <c r="N63" s="671"/>
      <c r="O63" s="671"/>
      <c r="P63" s="675" t="s">
        <v>336</v>
      </c>
      <c r="Q63" s="676"/>
      <c r="R63" s="676"/>
      <c r="S63" s="676"/>
      <c r="T63" s="676"/>
      <c r="U63" s="675" t="s">
        <v>337</v>
      </c>
      <c r="V63" s="676"/>
      <c r="W63" s="676"/>
      <c r="X63" s="676"/>
      <c r="Y63" s="676"/>
      <c r="Z63" s="675" t="s">
        <v>338</v>
      </c>
      <c r="AA63" s="676"/>
      <c r="AB63" s="676"/>
      <c r="AC63" s="676"/>
      <c r="AD63" s="676"/>
      <c r="AE63" s="675" t="s">
        <v>339</v>
      </c>
      <c r="AF63" s="676"/>
      <c r="AG63" s="676"/>
      <c r="AH63" s="676"/>
      <c r="AI63" s="676"/>
      <c r="AJ63" s="675" t="s">
        <v>340</v>
      </c>
      <c r="AK63" s="676"/>
      <c r="AL63" s="676"/>
      <c r="AM63" s="676"/>
      <c r="AN63" s="676"/>
      <c r="AO63" s="675" t="s">
        <v>341</v>
      </c>
      <c r="AP63" s="676"/>
      <c r="AQ63" s="676"/>
      <c r="AR63" s="676"/>
      <c r="AS63" s="676"/>
      <c r="AT63" s="675" t="s">
        <v>342</v>
      </c>
      <c r="AU63" s="676"/>
      <c r="AV63" s="676"/>
      <c r="AW63" s="676"/>
      <c r="AX63" s="676"/>
    </row>
    <row r="64" spans="2:50">
      <c r="B64" s="668" t="s">
        <v>419</v>
      </c>
      <c r="C64" s="668" t="s">
        <v>429</v>
      </c>
      <c r="D64" s="668"/>
      <c r="E64" s="668" t="s">
        <v>420</v>
      </c>
      <c r="F64" s="668"/>
      <c r="G64" s="668"/>
      <c r="H64" s="684" t="s">
        <v>416</v>
      </c>
      <c r="I64" s="652" t="s">
        <v>421</v>
      </c>
      <c r="J64" s="652"/>
      <c r="K64" s="652"/>
      <c r="L64" s="653" t="s">
        <v>416</v>
      </c>
      <c r="M64" s="659" t="s">
        <v>417</v>
      </c>
      <c r="N64" s="668"/>
      <c r="O64" s="668" t="s">
        <v>422</v>
      </c>
      <c r="P64" s="665" t="s">
        <v>418</v>
      </c>
      <c r="Q64" s="666"/>
      <c r="R64" s="666"/>
      <c r="S64" s="667"/>
      <c r="T64" s="668" t="s">
        <v>416</v>
      </c>
      <c r="U64" s="665" t="s">
        <v>418</v>
      </c>
      <c r="V64" s="666"/>
      <c r="W64" s="666"/>
      <c r="X64" s="667"/>
      <c r="Y64" s="668" t="s">
        <v>416</v>
      </c>
      <c r="Z64" s="665" t="s">
        <v>418</v>
      </c>
      <c r="AA64" s="666"/>
      <c r="AB64" s="666"/>
      <c r="AC64" s="667"/>
      <c r="AD64" s="668" t="s">
        <v>416</v>
      </c>
      <c r="AE64" s="665" t="s">
        <v>418</v>
      </c>
      <c r="AF64" s="666"/>
      <c r="AG64" s="666"/>
      <c r="AH64" s="667"/>
      <c r="AI64" s="668" t="s">
        <v>416</v>
      </c>
      <c r="AJ64" s="665" t="s">
        <v>418</v>
      </c>
      <c r="AK64" s="666"/>
      <c r="AL64" s="666"/>
      <c r="AM64" s="667"/>
      <c r="AN64" s="668" t="s">
        <v>416</v>
      </c>
      <c r="AO64" s="665" t="s">
        <v>418</v>
      </c>
      <c r="AP64" s="666"/>
      <c r="AQ64" s="666"/>
      <c r="AR64" s="667"/>
      <c r="AS64" s="668" t="s">
        <v>416</v>
      </c>
      <c r="AT64" s="665" t="s">
        <v>418</v>
      </c>
      <c r="AU64" s="666"/>
      <c r="AV64" s="666"/>
      <c r="AW64" s="667"/>
      <c r="AX64" s="668" t="s">
        <v>416</v>
      </c>
    </row>
    <row r="65" spans="2:50">
      <c r="B65" s="668"/>
      <c r="C65" s="668"/>
      <c r="D65" s="668"/>
      <c r="E65" s="668" t="s">
        <v>423</v>
      </c>
      <c r="F65" s="668"/>
      <c r="G65" s="668"/>
      <c r="H65" s="685"/>
      <c r="I65" s="652" t="s">
        <v>423</v>
      </c>
      <c r="J65" s="652"/>
      <c r="K65" s="652"/>
      <c r="L65" s="654"/>
      <c r="M65" s="660"/>
      <c r="N65" s="668"/>
      <c r="O65" s="668"/>
      <c r="P65" s="665" t="s">
        <v>424</v>
      </c>
      <c r="Q65" s="666"/>
      <c r="R65" s="666"/>
      <c r="S65" s="667"/>
      <c r="T65" s="668"/>
      <c r="U65" s="665" t="s">
        <v>424</v>
      </c>
      <c r="V65" s="666"/>
      <c r="W65" s="666"/>
      <c r="X65" s="667"/>
      <c r="Y65" s="668"/>
      <c r="Z65" s="665" t="s">
        <v>424</v>
      </c>
      <c r="AA65" s="666"/>
      <c r="AB65" s="666"/>
      <c r="AC65" s="667"/>
      <c r="AD65" s="668"/>
      <c r="AE65" s="665" t="s">
        <v>424</v>
      </c>
      <c r="AF65" s="666"/>
      <c r="AG65" s="666"/>
      <c r="AH65" s="667"/>
      <c r="AI65" s="668"/>
      <c r="AJ65" s="665" t="s">
        <v>424</v>
      </c>
      <c r="AK65" s="666"/>
      <c r="AL65" s="666"/>
      <c r="AM65" s="667"/>
      <c r="AN65" s="668"/>
      <c r="AO65" s="665" t="s">
        <v>424</v>
      </c>
      <c r="AP65" s="666"/>
      <c r="AQ65" s="666"/>
      <c r="AR65" s="667"/>
      <c r="AS65" s="668"/>
      <c r="AT65" s="665" t="s">
        <v>424</v>
      </c>
      <c r="AU65" s="666"/>
      <c r="AV65" s="666"/>
      <c r="AW65" s="667"/>
      <c r="AX65" s="668"/>
    </row>
    <row r="66" spans="2:50">
      <c r="B66" s="668"/>
      <c r="C66" s="668"/>
      <c r="D66" s="668"/>
      <c r="E66" s="308" t="s">
        <v>425</v>
      </c>
      <c r="F66" s="308" t="s">
        <v>426</v>
      </c>
      <c r="G66" s="308" t="s">
        <v>427</v>
      </c>
      <c r="H66" s="686"/>
      <c r="I66" s="307" t="s">
        <v>425</v>
      </c>
      <c r="J66" s="307" t="s">
        <v>426</v>
      </c>
      <c r="K66" s="307" t="s">
        <v>427</v>
      </c>
      <c r="L66" s="655"/>
      <c r="M66" s="661"/>
      <c r="N66" s="668"/>
      <c r="O66" s="668"/>
      <c r="P66" s="308" t="s">
        <v>425</v>
      </c>
      <c r="Q66" s="308" t="s">
        <v>426</v>
      </c>
      <c r="R66" s="308" t="s">
        <v>427</v>
      </c>
      <c r="S66" s="308" t="s">
        <v>417</v>
      </c>
      <c r="T66" s="668"/>
      <c r="U66" s="308" t="s">
        <v>425</v>
      </c>
      <c r="V66" s="308" t="s">
        <v>426</v>
      </c>
      <c r="W66" s="308" t="s">
        <v>427</v>
      </c>
      <c r="X66" s="308" t="s">
        <v>417</v>
      </c>
      <c r="Y66" s="668"/>
      <c r="Z66" s="308" t="s">
        <v>425</v>
      </c>
      <c r="AA66" s="308" t="s">
        <v>426</v>
      </c>
      <c r="AB66" s="308" t="s">
        <v>427</v>
      </c>
      <c r="AC66" s="308" t="s">
        <v>417</v>
      </c>
      <c r="AD66" s="668"/>
      <c r="AE66" s="308" t="s">
        <v>425</v>
      </c>
      <c r="AF66" s="308" t="s">
        <v>426</v>
      </c>
      <c r="AG66" s="308" t="s">
        <v>427</v>
      </c>
      <c r="AH66" s="308" t="s">
        <v>417</v>
      </c>
      <c r="AI66" s="668"/>
      <c r="AJ66" s="308" t="s">
        <v>425</v>
      </c>
      <c r="AK66" s="308" t="s">
        <v>426</v>
      </c>
      <c r="AL66" s="308" t="s">
        <v>427</v>
      </c>
      <c r="AM66" s="308" t="s">
        <v>417</v>
      </c>
      <c r="AN66" s="668"/>
      <c r="AO66" s="308" t="s">
        <v>425</v>
      </c>
      <c r="AP66" s="308" t="s">
        <v>426</v>
      </c>
      <c r="AQ66" s="308" t="s">
        <v>427</v>
      </c>
      <c r="AR66" s="308" t="s">
        <v>417</v>
      </c>
      <c r="AS66" s="668"/>
      <c r="AT66" s="308" t="s">
        <v>425</v>
      </c>
      <c r="AU66" s="308" t="s">
        <v>426</v>
      </c>
      <c r="AV66" s="308" t="s">
        <v>427</v>
      </c>
      <c r="AW66" s="308" t="s">
        <v>417</v>
      </c>
      <c r="AX66" s="668"/>
    </row>
    <row r="67" spans="2:50">
      <c r="B67" s="668" t="s">
        <v>456</v>
      </c>
      <c r="C67" s="309">
        <v>1</v>
      </c>
      <c r="D67" s="227" t="s">
        <v>372</v>
      </c>
      <c r="E67" s="182">
        <v>18</v>
      </c>
      <c r="F67" s="569">
        <v>1440</v>
      </c>
      <c r="G67" s="570">
        <v>80</v>
      </c>
      <c r="H67" s="717">
        <f>AVERAGE(G67:G81)</f>
        <v>79.069999999999993</v>
      </c>
      <c r="I67" s="199">
        <f>AVERAGE(P67,U67,Z67,AE67,AJ67,AO67,AT67)</f>
        <v>18</v>
      </c>
      <c r="J67" s="199">
        <f>AVERAGE(Q67,V67,AA67,AF67,AK67,AP67,AU67)</f>
        <v>1351.614244345428</v>
      </c>
      <c r="K67" s="200">
        <f>AVERAGE(R67,W67,AB67,AG67,AL67,AQ67,AV67)</f>
        <v>75.089680241412665</v>
      </c>
      <c r="L67" s="649">
        <f>IFERROR(AVERAGE(K67:K81),"-")</f>
        <v>73.196198538088169</v>
      </c>
      <c r="M67" s="201">
        <f>RANK(K67, K$67:$K$81)</f>
        <v>4</v>
      </c>
      <c r="N67" s="668"/>
      <c r="O67" s="668"/>
      <c r="P67" s="182">
        <v>18</v>
      </c>
      <c r="Q67" s="570">
        <v>1361.6666666666665</v>
      </c>
      <c r="R67" s="570">
        <v>75.648148148148138</v>
      </c>
      <c r="S67" s="309">
        <f>RANK(R67, R$67:R$81)</f>
        <v>3</v>
      </c>
      <c r="T67" s="717">
        <f>AVERAGE(R67:R81)</f>
        <v>73.42416769221208</v>
      </c>
      <c r="U67" s="182">
        <v>18</v>
      </c>
      <c r="V67" s="570">
        <v>1345.7142857142853</v>
      </c>
      <c r="W67" s="570">
        <v>74.761904761904745</v>
      </c>
      <c r="X67" s="475">
        <f t="shared" ref="X67:X81" si="43">RANK(W67, W$67:W$81)</f>
        <v>3</v>
      </c>
      <c r="Y67" s="717">
        <f t="shared" ref="Y67" si="44">AVERAGE(W67:W81)</f>
        <v>72.97311624228783</v>
      </c>
      <c r="Z67" s="182">
        <v>18</v>
      </c>
      <c r="AA67" s="570">
        <v>1345.3608247422683</v>
      </c>
      <c r="AB67" s="570">
        <v>74.742268041237125</v>
      </c>
      <c r="AC67" s="475">
        <f t="shared" ref="AC67:AC81" si="45">RANK(AB67, AB$67:AB$81)</f>
        <v>3</v>
      </c>
      <c r="AD67" s="717">
        <f t="shared" ref="AD67" si="46">AVERAGE(AB67:AB81)</f>
        <v>73.29062844587969</v>
      </c>
      <c r="AE67" s="182">
        <v>18</v>
      </c>
      <c r="AF67" s="570">
        <v>1358.5714285714282</v>
      </c>
      <c r="AG67" s="570">
        <v>75.476190476190453</v>
      </c>
      <c r="AH67" s="475">
        <f t="shared" ref="AH67:AH81" si="47">RANK(AG67, AG$67:AG$81)</f>
        <v>4</v>
      </c>
      <c r="AI67" s="717">
        <f t="shared" ref="AI67" si="48">AVERAGE(AG67:AG81)</f>
        <v>73.224979740974234</v>
      </c>
      <c r="AJ67" s="182">
        <v>18</v>
      </c>
      <c r="AK67" s="570">
        <v>1370.0000000000005</v>
      </c>
      <c r="AL67" s="570">
        <v>76.111111111111143</v>
      </c>
      <c r="AM67" s="475">
        <f t="shared" ref="AM67:AM81" si="49">RANK(AL67, AL$67:AL$81)</f>
        <v>3</v>
      </c>
      <c r="AN67" s="717">
        <f t="shared" ref="AN67" si="50">AVERAGE(AL67:AL81)</f>
        <v>73.655166513987069</v>
      </c>
      <c r="AO67" s="182">
        <v>18</v>
      </c>
      <c r="AP67" s="570">
        <v>1339.4736842105262</v>
      </c>
      <c r="AQ67" s="570">
        <v>74.415204678362571</v>
      </c>
      <c r="AR67" s="475">
        <f t="shared" ref="AR67:AR81" si="51">RANK(AQ67, AQ$67:AQ$81)</f>
        <v>4</v>
      </c>
      <c r="AS67" s="717">
        <f t="shared" ref="AS67" si="52">AVERAGE(AQ67:AQ81)</f>
        <v>73.245309724735804</v>
      </c>
      <c r="AT67" s="182">
        <v>18</v>
      </c>
      <c r="AU67" s="570">
        <v>1340.5128205128206</v>
      </c>
      <c r="AV67" s="570">
        <v>74.472934472934469</v>
      </c>
      <c r="AW67" s="475">
        <f t="shared" ref="AW67:AW81" si="53">RANK(AV67, AV$67:AV$81)</f>
        <v>4</v>
      </c>
      <c r="AX67" s="690">
        <f t="shared" ref="AX67" si="54">AVERAGE(AV67:AV81)</f>
        <v>72.560021406540656</v>
      </c>
    </row>
    <row r="68" spans="2:50">
      <c r="B68" s="676"/>
      <c r="C68" s="309">
        <v>2</v>
      </c>
      <c r="D68" s="227" t="s">
        <v>373</v>
      </c>
      <c r="E68" s="182">
        <v>18</v>
      </c>
      <c r="F68" s="569">
        <v>1440</v>
      </c>
      <c r="G68" s="570">
        <v>80</v>
      </c>
      <c r="H68" s="718"/>
      <c r="I68" s="199">
        <f t="shared" ref="I68:I74" si="55">AVERAGE(P68,U68,Z68,AE68,AJ68,AO68,AT68)</f>
        <v>18</v>
      </c>
      <c r="J68" s="199">
        <f t="shared" ref="J68:J74" si="56">AVERAGE(Q68,V68,AA68,AF68,AK68,AP68,AU68)</f>
        <v>1276.1500994730402</v>
      </c>
      <c r="K68" s="200">
        <f t="shared" ref="K68:K74" si="57">AVERAGE(R68,W68,AB68,AG68,AL68,AQ68,AV68)</f>
        <v>70.897227748502232</v>
      </c>
      <c r="L68" s="650"/>
      <c r="M68" s="201">
        <f>RANK(K68, K$67:$K$81)</f>
        <v>8</v>
      </c>
      <c r="N68" s="668"/>
      <c r="O68" s="668"/>
      <c r="P68" s="569">
        <v>18</v>
      </c>
      <c r="Q68" s="570">
        <v>1269.7297297297289</v>
      </c>
      <c r="R68" s="570">
        <v>70.540540540540491</v>
      </c>
      <c r="S68" s="339">
        <f t="shared" ref="S68:S81" si="58">RANK(R68, R$67:R$81)</f>
        <v>9</v>
      </c>
      <c r="T68" s="718"/>
      <c r="U68" s="569">
        <v>18</v>
      </c>
      <c r="V68" s="570">
        <v>1264.285714285714</v>
      </c>
      <c r="W68" s="570">
        <v>70.238095238095227</v>
      </c>
      <c r="X68" s="475">
        <f t="shared" si="43"/>
        <v>8</v>
      </c>
      <c r="Y68" s="718"/>
      <c r="Z68" s="569">
        <v>18</v>
      </c>
      <c r="AA68" s="570">
        <v>1275.7894736842095</v>
      </c>
      <c r="AB68" s="570">
        <v>70.87719298245608</v>
      </c>
      <c r="AC68" s="475">
        <f t="shared" si="45"/>
        <v>8</v>
      </c>
      <c r="AD68" s="718"/>
      <c r="AE68" s="569">
        <v>18</v>
      </c>
      <c r="AF68" s="570">
        <v>1274.9999999999989</v>
      </c>
      <c r="AG68" s="570">
        <v>70.833333333333272</v>
      </c>
      <c r="AH68" s="475">
        <f t="shared" si="47"/>
        <v>8</v>
      </c>
      <c r="AI68" s="718"/>
      <c r="AJ68" s="569">
        <v>18</v>
      </c>
      <c r="AK68" s="570">
        <v>1301.5384615384608</v>
      </c>
      <c r="AL68" s="570">
        <v>72.307692307692264</v>
      </c>
      <c r="AM68" s="475">
        <f t="shared" si="49"/>
        <v>6</v>
      </c>
      <c r="AN68" s="718"/>
      <c r="AO68" s="569">
        <v>18</v>
      </c>
      <c r="AP68" s="570">
        <v>1274.9999999999995</v>
      </c>
      <c r="AQ68" s="570">
        <v>70.833333333333314</v>
      </c>
      <c r="AR68" s="475">
        <f t="shared" si="51"/>
        <v>8</v>
      </c>
      <c r="AS68" s="718"/>
      <c r="AT68" s="569">
        <v>18</v>
      </c>
      <c r="AU68" s="570">
        <v>1271.7073170731703</v>
      </c>
      <c r="AV68" s="570">
        <v>70.650406504065018</v>
      </c>
      <c r="AW68" s="475">
        <f t="shared" si="53"/>
        <v>6</v>
      </c>
      <c r="AX68" s="690"/>
    </row>
    <row r="69" spans="2:50">
      <c r="B69" s="676"/>
      <c r="C69" s="309">
        <v>3</v>
      </c>
      <c r="D69" s="227" t="s">
        <v>374</v>
      </c>
      <c r="E69" s="182">
        <v>17</v>
      </c>
      <c r="F69" s="569">
        <v>1440</v>
      </c>
      <c r="G69" s="570">
        <v>84.7</v>
      </c>
      <c r="H69" s="718"/>
      <c r="I69" s="199">
        <f t="shared" si="55"/>
        <v>17</v>
      </c>
      <c r="J69" s="199">
        <f t="shared" si="56"/>
        <v>1356.3503508004057</v>
      </c>
      <c r="K69" s="200">
        <f t="shared" si="57"/>
        <v>79.785314752965064</v>
      </c>
      <c r="L69" s="650"/>
      <c r="M69" s="201">
        <f>RANK(K69, K$67:$K$81)</f>
        <v>2</v>
      </c>
      <c r="N69" s="668"/>
      <c r="O69" s="668"/>
      <c r="P69" s="569">
        <v>17</v>
      </c>
      <c r="Q69" s="570">
        <v>1369.0909090909101</v>
      </c>
      <c r="R69" s="570">
        <v>80.534759358288838</v>
      </c>
      <c r="S69" s="339">
        <f t="shared" si="58"/>
        <v>2</v>
      </c>
      <c r="T69" s="718"/>
      <c r="U69" s="569">
        <v>17</v>
      </c>
      <c r="V69" s="570">
        <v>1349.7142857142865</v>
      </c>
      <c r="W69" s="570">
        <v>79.394957983193322</v>
      </c>
      <c r="X69" s="475">
        <f t="shared" si="43"/>
        <v>2</v>
      </c>
      <c r="Y69" s="718"/>
      <c r="Z69" s="569">
        <v>17</v>
      </c>
      <c r="AA69" s="570">
        <v>1362.5806451612907</v>
      </c>
      <c r="AB69" s="570">
        <v>80.151802656546508</v>
      </c>
      <c r="AC69" s="475">
        <f t="shared" si="45"/>
        <v>2</v>
      </c>
      <c r="AD69" s="718"/>
      <c r="AE69" s="569">
        <v>17</v>
      </c>
      <c r="AF69" s="570">
        <v>1333.6633663366342</v>
      </c>
      <c r="AG69" s="570">
        <v>78.450786255096133</v>
      </c>
      <c r="AH69" s="475">
        <f t="shared" si="47"/>
        <v>2</v>
      </c>
      <c r="AI69" s="718"/>
      <c r="AJ69" s="569">
        <v>17</v>
      </c>
      <c r="AK69" s="570">
        <v>1363.3333333333342</v>
      </c>
      <c r="AL69" s="570">
        <v>80.196078431372598</v>
      </c>
      <c r="AM69" s="475">
        <f t="shared" si="49"/>
        <v>2</v>
      </c>
      <c r="AN69" s="718"/>
      <c r="AO69" s="569">
        <v>17</v>
      </c>
      <c r="AP69" s="570">
        <v>1361.2799999999997</v>
      </c>
      <c r="AQ69" s="570">
        <v>80.075294117647047</v>
      </c>
      <c r="AR69" s="475">
        <f t="shared" si="51"/>
        <v>2</v>
      </c>
      <c r="AS69" s="718"/>
      <c r="AT69" s="569">
        <v>17</v>
      </c>
      <c r="AU69" s="570">
        <v>1354.7899159663859</v>
      </c>
      <c r="AV69" s="570">
        <v>79.693524468610931</v>
      </c>
      <c r="AW69" s="475">
        <f t="shared" si="53"/>
        <v>2</v>
      </c>
      <c r="AX69" s="690"/>
    </row>
    <row r="70" spans="2:50">
      <c r="B70" s="676"/>
      <c r="C70" s="309">
        <v>4</v>
      </c>
      <c r="D70" s="227" t="s">
        <v>375</v>
      </c>
      <c r="E70" s="182">
        <v>17</v>
      </c>
      <c r="F70" s="569">
        <v>1440</v>
      </c>
      <c r="G70" s="570">
        <v>84.7</v>
      </c>
      <c r="H70" s="718"/>
      <c r="I70" s="199">
        <f t="shared" si="55"/>
        <v>17</v>
      </c>
      <c r="J70" s="199">
        <f t="shared" si="56"/>
        <v>1282.7880064324952</v>
      </c>
      <c r="K70" s="200">
        <f t="shared" si="57"/>
        <v>75.458118025440896</v>
      </c>
      <c r="L70" s="650"/>
      <c r="M70" s="201">
        <f>RANK(K70, K$67:$K$81)</f>
        <v>3</v>
      </c>
      <c r="N70" s="668"/>
      <c r="O70" s="668"/>
      <c r="P70" s="569">
        <v>17</v>
      </c>
      <c r="Q70" s="570">
        <v>1278.9473684210516</v>
      </c>
      <c r="R70" s="570">
        <v>75.232198142414802</v>
      </c>
      <c r="S70" s="339">
        <f t="shared" si="58"/>
        <v>4</v>
      </c>
      <c r="T70" s="718"/>
      <c r="U70" s="569">
        <v>17</v>
      </c>
      <c r="V70" s="570">
        <v>1270.1886792452838</v>
      </c>
      <c r="W70" s="570">
        <v>74.716981132075517</v>
      </c>
      <c r="X70" s="475">
        <f t="shared" si="43"/>
        <v>4</v>
      </c>
      <c r="Y70" s="718"/>
      <c r="Z70" s="569">
        <v>17</v>
      </c>
      <c r="AA70" s="570">
        <v>1269.2307692307697</v>
      </c>
      <c r="AB70" s="570">
        <v>74.660633484162929</v>
      </c>
      <c r="AC70" s="475">
        <f t="shared" si="45"/>
        <v>4</v>
      </c>
      <c r="AD70" s="718"/>
      <c r="AE70" s="569">
        <v>17</v>
      </c>
      <c r="AF70" s="570">
        <v>1284.5454545454545</v>
      </c>
      <c r="AG70" s="570">
        <v>75.561497326203209</v>
      </c>
      <c r="AH70" s="475">
        <f t="shared" si="47"/>
        <v>3</v>
      </c>
      <c r="AI70" s="718"/>
      <c r="AJ70" s="569">
        <v>17</v>
      </c>
      <c r="AK70" s="570">
        <v>1288.3018867924536</v>
      </c>
      <c r="AL70" s="570">
        <v>75.782463928967857</v>
      </c>
      <c r="AM70" s="475">
        <f t="shared" si="49"/>
        <v>4</v>
      </c>
      <c r="AN70" s="718"/>
      <c r="AO70" s="569">
        <v>17</v>
      </c>
      <c r="AP70" s="570">
        <v>1300.0000000000005</v>
      </c>
      <c r="AQ70" s="570">
        <v>76.470588235294144</v>
      </c>
      <c r="AR70" s="475">
        <f t="shared" si="51"/>
        <v>3</v>
      </c>
      <c r="AS70" s="718"/>
      <c r="AT70" s="569">
        <v>17</v>
      </c>
      <c r="AU70" s="570">
        <v>1288.3018867924536</v>
      </c>
      <c r="AV70" s="570">
        <v>75.782463928967857</v>
      </c>
      <c r="AW70" s="475">
        <f t="shared" si="53"/>
        <v>3</v>
      </c>
      <c r="AX70" s="690"/>
    </row>
    <row r="71" spans="2:50">
      <c r="B71" s="676"/>
      <c r="C71" s="309">
        <v>5</v>
      </c>
      <c r="D71" s="227" t="s">
        <v>376</v>
      </c>
      <c r="E71" s="182">
        <v>21</v>
      </c>
      <c r="F71" s="569">
        <v>1385</v>
      </c>
      <c r="G71" s="570">
        <v>65.900000000000006</v>
      </c>
      <c r="H71" s="718"/>
      <c r="I71" s="199">
        <f t="shared" si="55"/>
        <v>21</v>
      </c>
      <c r="J71" s="199">
        <f t="shared" si="56"/>
        <v>1301.0613089601732</v>
      </c>
      <c r="K71" s="200">
        <f t="shared" si="57"/>
        <v>61.955300426674917</v>
      </c>
      <c r="L71" s="650"/>
      <c r="M71" s="201">
        <f>RANK(K71, K$67:$K$81)</f>
        <v>10</v>
      </c>
      <c r="N71" s="668"/>
      <c r="O71" s="668"/>
      <c r="P71" s="569">
        <v>21</v>
      </c>
      <c r="Q71" s="570">
        <v>1325.7692307692314</v>
      </c>
      <c r="R71" s="570">
        <v>63.13186813186816</v>
      </c>
      <c r="S71" s="339">
        <f t="shared" si="58"/>
        <v>10</v>
      </c>
      <c r="T71" s="718"/>
      <c r="U71" s="569">
        <v>21</v>
      </c>
      <c r="V71" s="570">
        <v>1308.3673469387759</v>
      </c>
      <c r="W71" s="570">
        <v>62.303206997084565</v>
      </c>
      <c r="X71" s="475">
        <f t="shared" si="43"/>
        <v>10</v>
      </c>
      <c r="Y71" s="718"/>
      <c r="Z71" s="569">
        <v>21</v>
      </c>
      <c r="AA71" s="570">
        <v>1324.6666666666667</v>
      </c>
      <c r="AB71" s="570">
        <v>63.079365079365083</v>
      </c>
      <c r="AC71" s="475">
        <f t="shared" si="45"/>
        <v>10</v>
      </c>
      <c r="AD71" s="718"/>
      <c r="AE71" s="569">
        <v>21</v>
      </c>
      <c r="AF71" s="570">
        <v>1314.1935483870971</v>
      </c>
      <c r="AG71" s="570">
        <v>62.580645161290334</v>
      </c>
      <c r="AH71" s="475">
        <f t="shared" si="47"/>
        <v>10</v>
      </c>
      <c r="AI71" s="718"/>
      <c r="AJ71" s="569">
        <v>21</v>
      </c>
      <c r="AK71" s="570">
        <v>1303.0303030303035</v>
      </c>
      <c r="AL71" s="570">
        <v>62.049062049062073</v>
      </c>
      <c r="AM71" s="475">
        <f t="shared" si="49"/>
        <v>10</v>
      </c>
      <c r="AN71" s="718"/>
      <c r="AO71" s="569">
        <v>21</v>
      </c>
      <c r="AP71" s="570">
        <v>1303.4645669291335</v>
      </c>
      <c r="AQ71" s="570">
        <v>62.069741282339692</v>
      </c>
      <c r="AR71" s="475">
        <f t="shared" si="51"/>
        <v>10</v>
      </c>
      <c r="AS71" s="718"/>
      <c r="AT71" s="569">
        <v>21</v>
      </c>
      <c r="AU71" s="570">
        <v>1227.9375000000043</v>
      </c>
      <c r="AV71" s="570">
        <v>58.473214285714491</v>
      </c>
      <c r="AW71" s="475">
        <f t="shared" si="53"/>
        <v>10</v>
      </c>
      <c r="AX71" s="690"/>
    </row>
    <row r="72" spans="2:50">
      <c r="B72" s="676"/>
      <c r="C72" s="309">
        <v>6</v>
      </c>
      <c r="D72" s="227" t="s">
        <v>377</v>
      </c>
      <c r="E72" s="182">
        <v>19</v>
      </c>
      <c r="F72" s="569">
        <v>1440</v>
      </c>
      <c r="G72" s="570">
        <v>75.8</v>
      </c>
      <c r="H72" s="718"/>
      <c r="I72" s="199">
        <f t="shared" si="55"/>
        <v>19</v>
      </c>
      <c r="J72" s="199">
        <f t="shared" si="56"/>
        <v>1354.857975757463</v>
      </c>
      <c r="K72" s="200">
        <f t="shared" si="57"/>
        <v>71.308314513550684</v>
      </c>
      <c r="L72" s="650"/>
      <c r="M72" s="201">
        <f>RANK(K72, K$67:$K$81)</f>
        <v>7</v>
      </c>
      <c r="N72" s="668"/>
      <c r="O72" s="668"/>
      <c r="P72" s="569">
        <v>19</v>
      </c>
      <c r="Q72" s="570">
        <v>1349.9999999999982</v>
      </c>
      <c r="R72" s="570">
        <v>71.05263157894727</v>
      </c>
      <c r="S72" s="339">
        <f t="shared" si="58"/>
        <v>8</v>
      </c>
      <c r="T72" s="718"/>
      <c r="U72" s="569">
        <v>19</v>
      </c>
      <c r="V72" s="570">
        <v>1352.799999999999</v>
      </c>
      <c r="W72" s="570">
        <v>71.199999999999946</v>
      </c>
      <c r="X72" s="475">
        <f t="shared" si="43"/>
        <v>6</v>
      </c>
      <c r="Y72" s="718"/>
      <c r="Z72" s="569">
        <v>19</v>
      </c>
      <c r="AA72" s="570">
        <v>1356.3636363636379</v>
      </c>
      <c r="AB72" s="570">
        <v>71.387559808612522</v>
      </c>
      <c r="AC72" s="475">
        <f t="shared" si="45"/>
        <v>7</v>
      </c>
      <c r="AD72" s="718"/>
      <c r="AE72" s="569">
        <v>19</v>
      </c>
      <c r="AF72" s="570">
        <v>1372.5000000000016</v>
      </c>
      <c r="AG72" s="570">
        <v>72.236842105263236</v>
      </c>
      <c r="AH72" s="475">
        <f t="shared" si="47"/>
        <v>5</v>
      </c>
      <c r="AI72" s="718"/>
      <c r="AJ72" s="569">
        <v>19</v>
      </c>
      <c r="AK72" s="570">
        <v>1350.4225352112662</v>
      </c>
      <c r="AL72" s="570">
        <v>71.074870274277174</v>
      </c>
      <c r="AM72" s="475">
        <f t="shared" si="49"/>
        <v>8</v>
      </c>
      <c r="AN72" s="718"/>
      <c r="AO72" s="569">
        <v>19</v>
      </c>
      <c r="AP72" s="570">
        <v>1363.2989690721654</v>
      </c>
      <c r="AQ72" s="570">
        <v>71.752577319587658</v>
      </c>
      <c r="AR72" s="475">
        <f t="shared" si="51"/>
        <v>5</v>
      </c>
      <c r="AS72" s="718"/>
      <c r="AT72" s="569">
        <v>19</v>
      </c>
      <c r="AU72" s="570">
        <v>1338.6206896551721</v>
      </c>
      <c r="AV72" s="570">
        <v>70.453720508166953</v>
      </c>
      <c r="AW72" s="475">
        <f t="shared" si="53"/>
        <v>7</v>
      </c>
      <c r="AX72" s="690"/>
    </row>
    <row r="73" spans="2:50">
      <c r="B73" s="676"/>
      <c r="C73" s="309">
        <v>7</v>
      </c>
      <c r="D73" s="227" t="s">
        <v>692</v>
      </c>
      <c r="E73" s="182">
        <v>18</v>
      </c>
      <c r="F73" s="569">
        <v>1385</v>
      </c>
      <c r="G73" s="570">
        <v>76.900000000000006</v>
      </c>
      <c r="H73" s="718"/>
      <c r="I73" s="199">
        <f t="shared" si="55"/>
        <v>18</v>
      </c>
      <c r="J73" s="199">
        <f t="shared" si="56"/>
        <v>1286.327237281723</v>
      </c>
      <c r="K73" s="200">
        <f t="shared" si="57"/>
        <v>71.462624293429059</v>
      </c>
      <c r="L73" s="650"/>
      <c r="M73" s="201">
        <f>RANK(K73, K$67:$K$81)</f>
        <v>6</v>
      </c>
      <c r="N73" s="668"/>
      <c r="O73" s="668"/>
      <c r="P73" s="569">
        <v>18</v>
      </c>
      <c r="Q73" s="570">
        <v>1307.0163934426243</v>
      </c>
      <c r="R73" s="570">
        <v>72.61202185792358</v>
      </c>
      <c r="S73" s="339">
        <f t="shared" si="58"/>
        <v>6</v>
      </c>
      <c r="T73" s="718"/>
      <c r="U73" s="569">
        <v>18</v>
      </c>
      <c r="V73" s="570">
        <v>1279.7260273972593</v>
      </c>
      <c r="W73" s="570">
        <v>71.095890410958845</v>
      </c>
      <c r="X73" s="475">
        <f t="shared" si="43"/>
        <v>7</v>
      </c>
      <c r="Y73" s="718"/>
      <c r="Z73" s="569">
        <v>18</v>
      </c>
      <c r="AA73" s="570">
        <v>1296.3636363636379</v>
      </c>
      <c r="AB73" s="570">
        <v>72.020202020202106</v>
      </c>
      <c r="AC73" s="475">
        <f t="shared" si="45"/>
        <v>6</v>
      </c>
      <c r="AD73" s="718"/>
      <c r="AE73" s="569">
        <v>18</v>
      </c>
      <c r="AF73" s="570">
        <v>1298.709677419356</v>
      </c>
      <c r="AG73" s="570">
        <v>72.150537634408664</v>
      </c>
      <c r="AH73" s="475">
        <f t="shared" si="47"/>
        <v>6</v>
      </c>
      <c r="AI73" s="718"/>
      <c r="AJ73" s="569">
        <v>18</v>
      </c>
      <c r="AK73" s="570">
        <v>1280.8695652173899</v>
      </c>
      <c r="AL73" s="570">
        <v>71.159420289854992</v>
      </c>
      <c r="AM73" s="475">
        <f t="shared" si="49"/>
        <v>7</v>
      </c>
      <c r="AN73" s="718"/>
      <c r="AO73" s="569">
        <v>18</v>
      </c>
      <c r="AP73" s="570">
        <v>1275.5294117647056</v>
      </c>
      <c r="AQ73" s="570">
        <v>70.862745098039198</v>
      </c>
      <c r="AR73" s="475">
        <f t="shared" si="51"/>
        <v>7</v>
      </c>
      <c r="AS73" s="718"/>
      <c r="AT73" s="569">
        <v>18</v>
      </c>
      <c r="AU73" s="570">
        <v>1266.075949367088</v>
      </c>
      <c r="AV73" s="570">
        <v>70.337552742615998</v>
      </c>
      <c r="AW73" s="475">
        <f t="shared" si="53"/>
        <v>8</v>
      </c>
      <c r="AX73" s="690"/>
    </row>
    <row r="74" spans="2:50">
      <c r="B74" s="676"/>
      <c r="C74" s="309">
        <v>8</v>
      </c>
      <c r="D74" s="227" t="s">
        <v>695</v>
      </c>
      <c r="E74" s="182">
        <v>18</v>
      </c>
      <c r="F74" s="569">
        <v>1385</v>
      </c>
      <c r="G74" s="570">
        <v>76.900000000000006</v>
      </c>
      <c r="H74" s="718"/>
      <c r="I74" s="199">
        <f t="shared" si="55"/>
        <v>18</v>
      </c>
      <c r="J74" s="199">
        <f t="shared" si="56"/>
        <v>1299.7256659849306</v>
      </c>
      <c r="K74" s="200">
        <f t="shared" si="57"/>
        <v>72.206981443607248</v>
      </c>
      <c r="L74" s="650"/>
      <c r="M74" s="201">
        <f>RANK(K74, K$67:$K$81)</f>
        <v>5</v>
      </c>
      <c r="N74" s="668"/>
      <c r="O74" s="668"/>
      <c r="P74" s="569">
        <v>18</v>
      </c>
      <c r="Q74" s="570">
        <v>1310.2040816326535</v>
      </c>
      <c r="R74" s="570">
        <v>72.789115646258523</v>
      </c>
      <c r="S74" s="339">
        <f t="shared" si="58"/>
        <v>5</v>
      </c>
      <c r="T74" s="718"/>
      <c r="U74" s="569">
        <v>18</v>
      </c>
      <c r="V74" s="570">
        <v>1303.4042553191491</v>
      </c>
      <c r="W74" s="570">
        <v>72.411347517730505</v>
      </c>
      <c r="X74" s="475">
        <f t="shared" si="43"/>
        <v>5</v>
      </c>
      <c r="Y74" s="718"/>
      <c r="Z74" s="569">
        <v>18</v>
      </c>
      <c r="AA74" s="570">
        <v>1301.8604651162789</v>
      </c>
      <c r="AB74" s="570">
        <v>72.32558139534882</v>
      </c>
      <c r="AC74" s="475">
        <f t="shared" si="45"/>
        <v>5</v>
      </c>
      <c r="AD74" s="718"/>
      <c r="AE74" s="569">
        <v>18</v>
      </c>
      <c r="AF74" s="570">
        <v>1295.1219512195119</v>
      </c>
      <c r="AG74" s="570">
        <v>71.951219512195109</v>
      </c>
      <c r="AH74" s="475">
        <f t="shared" si="47"/>
        <v>7</v>
      </c>
      <c r="AI74" s="718"/>
      <c r="AJ74" s="569">
        <v>18</v>
      </c>
      <c r="AK74" s="570">
        <v>1305.6521739130435</v>
      </c>
      <c r="AL74" s="570">
        <v>72.536231884057969</v>
      </c>
      <c r="AM74" s="475">
        <f t="shared" si="49"/>
        <v>5</v>
      </c>
      <c r="AN74" s="718"/>
      <c r="AO74" s="569">
        <v>18</v>
      </c>
      <c r="AP74" s="570">
        <v>1290.0000000000005</v>
      </c>
      <c r="AQ74" s="570">
        <v>71.666666666666686</v>
      </c>
      <c r="AR74" s="475">
        <f t="shared" si="51"/>
        <v>6</v>
      </c>
      <c r="AS74" s="718"/>
      <c r="AT74" s="569">
        <v>18</v>
      </c>
      <c r="AU74" s="570">
        <v>1291.836734693878</v>
      </c>
      <c r="AV74" s="570">
        <v>71.768707482993221</v>
      </c>
      <c r="AW74" s="475">
        <f t="shared" si="53"/>
        <v>5</v>
      </c>
      <c r="AX74" s="690"/>
    </row>
    <row r="75" spans="2:50">
      <c r="B75" s="676"/>
      <c r="C75" s="309">
        <v>9</v>
      </c>
      <c r="D75" s="227" t="s">
        <v>762</v>
      </c>
      <c r="E75" s="182">
        <v>16</v>
      </c>
      <c r="F75" s="569">
        <v>1440</v>
      </c>
      <c r="G75" s="570">
        <v>90</v>
      </c>
      <c r="H75" s="718"/>
      <c r="I75" s="428">
        <f t="shared" ref="I75:I76" si="59">AVERAGE(P75,U75,Z75,AE75,AJ75,AO75,AT75)</f>
        <v>16.142857142857142</v>
      </c>
      <c r="J75" s="428">
        <f t="shared" ref="J75:J76" si="60">AVERAGE(Q75,V75,AA75,AF75,AK75,AP75,AU75)</f>
        <v>1355.3270519413495</v>
      </c>
      <c r="K75" s="200">
        <f t="shared" ref="K75:K76" si="61">AVERAGE(R75,W75,AB75,AG75,AL75,AQ75,AV75)</f>
        <v>83.982388987169131</v>
      </c>
      <c r="L75" s="650"/>
      <c r="M75" s="201">
        <f>RANK(K75, K$67:$K$81)</f>
        <v>1</v>
      </c>
      <c r="N75" s="668"/>
      <c r="O75" s="668"/>
      <c r="P75" s="569">
        <v>17</v>
      </c>
      <c r="Q75" s="570">
        <v>1381.4505494505497</v>
      </c>
      <c r="R75" s="570">
        <v>81.261797026502919</v>
      </c>
      <c r="S75" s="339">
        <f t="shared" si="58"/>
        <v>1</v>
      </c>
      <c r="T75" s="718"/>
      <c r="U75" s="569">
        <v>16</v>
      </c>
      <c r="V75" s="570">
        <v>1336.9811320754725</v>
      </c>
      <c r="W75" s="570">
        <v>83.56132075471703</v>
      </c>
      <c r="X75" s="475">
        <f t="shared" si="43"/>
        <v>1</v>
      </c>
      <c r="Y75" s="718"/>
      <c r="Z75" s="569">
        <v>16</v>
      </c>
      <c r="AA75" s="570">
        <v>1347.2000000000003</v>
      </c>
      <c r="AB75" s="570">
        <v>84.200000000000017</v>
      </c>
      <c r="AC75" s="475">
        <f t="shared" si="45"/>
        <v>1</v>
      </c>
      <c r="AD75" s="718"/>
      <c r="AE75" s="569">
        <v>16</v>
      </c>
      <c r="AF75" s="570">
        <v>1336.5137614678906</v>
      </c>
      <c r="AG75" s="570">
        <v>83.532110091743164</v>
      </c>
      <c r="AH75" s="475">
        <f t="shared" si="47"/>
        <v>1</v>
      </c>
      <c r="AI75" s="718"/>
      <c r="AJ75" s="569">
        <v>16</v>
      </c>
      <c r="AK75" s="570">
        <v>1362.0000000000009</v>
      </c>
      <c r="AL75" s="570">
        <v>85.125000000000057</v>
      </c>
      <c r="AM75" s="475">
        <f t="shared" si="49"/>
        <v>1</v>
      </c>
      <c r="AN75" s="718"/>
      <c r="AO75" s="569">
        <v>16</v>
      </c>
      <c r="AP75" s="570">
        <v>1371.6923076923074</v>
      </c>
      <c r="AQ75" s="570">
        <v>85.730769230769212</v>
      </c>
      <c r="AR75" s="475">
        <f t="shared" si="51"/>
        <v>1</v>
      </c>
      <c r="AS75" s="718"/>
      <c r="AT75" s="569">
        <v>16</v>
      </c>
      <c r="AU75" s="570">
        <v>1351.4516129032254</v>
      </c>
      <c r="AV75" s="570">
        <v>84.465725806451587</v>
      </c>
      <c r="AW75" s="475">
        <f t="shared" si="53"/>
        <v>1</v>
      </c>
      <c r="AX75" s="690"/>
    </row>
    <row r="76" spans="2:50">
      <c r="B76" s="676"/>
      <c r="C76" s="309">
        <v>10</v>
      </c>
      <c r="D76" s="227" t="s">
        <v>902</v>
      </c>
      <c r="E76" s="182">
        <v>19</v>
      </c>
      <c r="F76" s="569">
        <v>1440</v>
      </c>
      <c r="G76" s="570">
        <v>75.8</v>
      </c>
      <c r="H76" s="718"/>
      <c r="I76" s="428">
        <f t="shared" si="59"/>
        <v>19</v>
      </c>
      <c r="J76" s="428">
        <f t="shared" si="60"/>
        <v>1326.5046640144703</v>
      </c>
      <c r="K76" s="200">
        <f t="shared" si="61"/>
        <v>69.816034948130024</v>
      </c>
      <c r="L76" s="650"/>
      <c r="M76" s="201">
        <f>RANK(K76, K$67:$K$81)</f>
        <v>9</v>
      </c>
      <c r="N76" s="668"/>
      <c r="O76" s="668"/>
      <c r="P76" s="569">
        <v>19</v>
      </c>
      <c r="Q76" s="570">
        <v>1357.3333333333337</v>
      </c>
      <c r="R76" s="570">
        <v>71.438596491228097</v>
      </c>
      <c r="S76" s="339">
        <f t="shared" si="58"/>
        <v>7</v>
      </c>
      <c r="T76" s="718"/>
      <c r="U76" s="569">
        <v>19</v>
      </c>
      <c r="V76" s="570">
        <v>1330.9016949152544</v>
      </c>
      <c r="W76" s="570">
        <v>70.047457627118661</v>
      </c>
      <c r="X76" s="475">
        <f t="shared" si="43"/>
        <v>9</v>
      </c>
      <c r="Y76" s="718"/>
      <c r="Z76" s="569">
        <v>19</v>
      </c>
      <c r="AA76" s="570">
        <v>1319.7719008264464</v>
      </c>
      <c r="AB76" s="570">
        <v>69.461678990865607</v>
      </c>
      <c r="AC76" s="475">
        <f t="shared" si="45"/>
        <v>9</v>
      </c>
      <c r="AD76" s="718"/>
      <c r="AE76" s="569">
        <v>19</v>
      </c>
      <c r="AF76" s="570">
        <v>1320.0560747663549</v>
      </c>
      <c r="AG76" s="570">
        <v>69.476635514018682</v>
      </c>
      <c r="AH76" s="475">
        <f t="shared" si="47"/>
        <v>9</v>
      </c>
      <c r="AI76" s="718"/>
      <c r="AJ76" s="569">
        <v>19</v>
      </c>
      <c r="AK76" s="570">
        <v>1333.984962406015</v>
      </c>
      <c r="AL76" s="570">
        <v>70.20973486347448</v>
      </c>
      <c r="AM76" s="475">
        <f t="shared" si="49"/>
        <v>9</v>
      </c>
      <c r="AN76" s="718"/>
      <c r="AO76" s="569">
        <v>19</v>
      </c>
      <c r="AP76" s="570">
        <v>1302.9473684210525</v>
      </c>
      <c r="AQ76" s="570">
        <v>68.576177285318551</v>
      </c>
      <c r="AR76" s="475">
        <f t="shared" si="51"/>
        <v>9</v>
      </c>
      <c r="AS76" s="718"/>
      <c r="AT76" s="569">
        <v>19</v>
      </c>
      <c r="AU76" s="570">
        <v>1320.5373134328358</v>
      </c>
      <c r="AV76" s="570">
        <v>69.501963864886093</v>
      </c>
      <c r="AW76" s="475">
        <f t="shared" si="53"/>
        <v>9</v>
      </c>
      <c r="AX76" s="690"/>
    </row>
    <row r="77" spans="2:50">
      <c r="B77" s="676"/>
      <c r="C77" s="309">
        <v>11</v>
      </c>
      <c r="D77" s="227"/>
      <c r="E77" s="182"/>
      <c r="F77" s="569"/>
      <c r="G77" s="570"/>
      <c r="H77" s="718"/>
      <c r="I77" s="466"/>
      <c r="J77" s="466"/>
      <c r="K77" s="200"/>
      <c r="L77" s="650"/>
      <c r="M77" s="201" t="e">
        <f>RANK(K77, K$67:$K$81)</f>
        <v>#N/A</v>
      </c>
      <c r="N77" s="668"/>
      <c r="O77" s="668"/>
      <c r="P77" s="569" t="s">
        <v>760</v>
      </c>
      <c r="Q77" s="570" t="s">
        <v>760</v>
      </c>
      <c r="R77" s="570" t="s">
        <v>760</v>
      </c>
      <c r="S77" s="339" t="e">
        <f t="shared" si="58"/>
        <v>#VALUE!</v>
      </c>
      <c r="T77" s="718"/>
      <c r="U77" s="569"/>
      <c r="V77" s="570"/>
      <c r="W77" s="570"/>
      <c r="X77" s="475" t="e">
        <f t="shared" si="43"/>
        <v>#N/A</v>
      </c>
      <c r="Y77" s="718"/>
      <c r="Z77" s="569"/>
      <c r="AA77" s="570"/>
      <c r="AB77" s="570"/>
      <c r="AC77" s="475" t="e">
        <f t="shared" si="45"/>
        <v>#N/A</v>
      </c>
      <c r="AD77" s="718"/>
      <c r="AE77" s="569"/>
      <c r="AF77" s="570"/>
      <c r="AG77" s="570"/>
      <c r="AH77" s="475" t="e">
        <f t="shared" si="47"/>
        <v>#N/A</v>
      </c>
      <c r="AI77" s="718"/>
      <c r="AJ77" s="569"/>
      <c r="AK77" s="570"/>
      <c r="AL77" s="570"/>
      <c r="AM77" s="475" t="e">
        <f t="shared" si="49"/>
        <v>#N/A</v>
      </c>
      <c r="AN77" s="718"/>
      <c r="AO77" s="569"/>
      <c r="AP77" s="570"/>
      <c r="AQ77" s="570"/>
      <c r="AR77" s="475" t="e">
        <f t="shared" si="51"/>
        <v>#N/A</v>
      </c>
      <c r="AS77" s="718"/>
      <c r="AT77" s="569"/>
      <c r="AU77" s="570"/>
      <c r="AV77" s="570"/>
      <c r="AW77" s="475" t="e">
        <f t="shared" si="53"/>
        <v>#N/A</v>
      </c>
      <c r="AX77" s="690"/>
    </row>
    <row r="78" spans="2:50">
      <c r="B78" s="676"/>
      <c r="C78" s="309">
        <v>12</v>
      </c>
      <c r="D78" s="227"/>
      <c r="E78" s="182"/>
      <c r="F78" s="569"/>
      <c r="G78" s="570"/>
      <c r="H78" s="718"/>
      <c r="I78" s="466"/>
      <c r="J78" s="466"/>
      <c r="K78" s="200"/>
      <c r="L78" s="650"/>
      <c r="M78" s="201" t="e">
        <f>RANK(K78, K$67:$K$81)</f>
        <v>#N/A</v>
      </c>
      <c r="N78" s="668"/>
      <c r="O78" s="668"/>
      <c r="P78" s="569"/>
      <c r="Q78" s="570"/>
      <c r="R78" s="570"/>
      <c r="S78" s="339" t="e">
        <f t="shared" si="58"/>
        <v>#N/A</v>
      </c>
      <c r="T78" s="718"/>
      <c r="U78" s="569"/>
      <c r="V78" s="570"/>
      <c r="W78" s="570"/>
      <c r="X78" s="475" t="e">
        <f t="shared" si="43"/>
        <v>#N/A</v>
      </c>
      <c r="Y78" s="718"/>
      <c r="Z78" s="569"/>
      <c r="AA78" s="570"/>
      <c r="AB78" s="570"/>
      <c r="AC78" s="475" t="e">
        <f t="shared" si="45"/>
        <v>#N/A</v>
      </c>
      <c r="AD78" s="718"/>
      <c r="AE78" s="569"/>
      <c r="AF78" s="570"/>
      <c r="AG78" s="570"/>
      <c r="AH78" s="475" t="e">
        <f t="shared" si="47"/>
        <v>#N/A</v>
      </c>
      <c r="AI78" s="718"/>
      <c r="AJ78" s="569"/>
      <c r="AK78" s="570"/>
      <c r="AL78" s="570"/>
      <c r="AM78" s="475" t="e">
        <f t="shared" si="49"/>
        <v>#N/A</v>
      </c>
      <c r="AN78" s="718"/>
      <c r="AO78" s="569"/>
      <c r="AP78" s="570"/>
      <c r="AQ78" s="570"/>
      <c r="AR78" s="475" t="e">
        <f t="shared" si="51"/>
        <v>#N/A</v>
      </c>
      <c r="AS78" s="718"/>
      <c r="AT78" s="569"/>
      <c r="AU78" s="570"/>
      <c r="AV78" s="570"/>
      <c r="AW78" s="475" t="e">
        <f t="shared" si="53"/>
        <v>#N/A</v>
      </c>
      <c r="AX78" s="690"/>
    </row>
    <row r="79" spans="2:50">
      <c r="B79" s="676"/>
      <c r="C79" s="309">
        <v>13</v>
      </c>
      <c r="D79" s="227"/>
      <c r="E79" s="182"/>
      <c r="F79" s="569"/>
      <c r="G79" s="570"/>
      <c r="H79" s="718"/>
      <c r="I79" s="202"/>
      <c r="J79" s="202"/>
      <c r="K79" s="202"/>
      <c r="L79" s="650"/>
      <c r="M79" s="201" t="e">
        <f>RANK(K79, K$67:$K$81)</f>
        <v>#N/A</v>
      </c>
      <c r="N79" s="668"/>
      <c r="O79" s="668"/>
      <c r="P79" s="569"/>
      <c r="Q79" s="570"/>
      <c r="R79" s="570"/>
      <c r="S79" s="339" t="e">
        <f t="shared" si="58"/>
        <v>#N/A</v>
      </c>
      <c r="T79" s="718"/>
      <c r="U79" s="569"/>
      <c r="V79" s="570"/>
      <c r="W79" s="570"/>
      <c r="X79" s="475" t="e">
        <f t="shared" si="43"/>
        <v>#N/A</v>
      </c>
      <c r="Y79" s="718"/>
      <c r="Z79" s="569"/>
      <c r="AA79" s="570"/>
      <c r="AB79" s="570"/>
      <c r="AC79" s="475" t="e">
        <f t="shared" si="45"/>
        <v>#N/A</v>
      </c>
      <c r="AD79" s="718"/>
      <c r="AE79" s="569"/>
      <c r="AF79" s="570"/>
      <c r="AG79" s="570"/>
      <c r="AH79" s="475" t="e">
        <f t="shared" si="47"/>
        <v>#N/A</v>
      </c>
      <c r="AI79" s="718"/>
      <c r="AJ79" s="569"/>
      <c r="AK79" s="570"/>
      <c r="AL79" s="570"/>
      <c r="AM79" s="475" t="e">
        <f t="shared" si="49"/>
        <v>#N/A</v>
      </c>
      <c r="AN79" s="718"/>
      <c r="AO79" s="569"/>
      <c r="AP79" s="570"/>
      <c r="AQ79" s="570"/>
      <c r="AR79" s="475" t="e">
        <f t="shared" si="51"/>
        <v>#N/A</v>
      </c>
      <c r="AS79" s="718"/>
      <c r="AT79" s="569"/>
      <c r="AU79" s="570"/>
      <c r="AV79" s="570"/>
      <c r="AW79" s="475" t="e">
        <f t="shared" si="53"/>
        <v>#N/A</v>
      </c>
      <c r="AX79" s="690"/>
    </row>
    <row r="80" spans="2:50">
      <c r="B80" s="676"/>
      <c r="C80" s="309">
        <v>14</v>
      </c>
      <c r="D80" s="227"/>
      <c r="E80" s="182"/>
      <c r="F80" s="569"/>
      <c r="G80" s="570"/>
      <c r="H80" s="718"/>
      <c r="I80" s="202"/>
      <c r="J80" s="202"/>
      <c r="K80" s="202"/>
      <c r="L80" s="650"/>
      <c r="M80" s="201" t="e">
        <f>RANK(K80, K$67:$K$81)</f>
        <v>#N/A</v>
      </c>
      <c r="N80" s="668"/>
      <c r="O80" s="668"/>
      <c r="P80" s="569"/>
      <c r="Q80" s="570"/>
      <c r="R80" s="570"/>
      <c r="S80" s="339" t="e">
        <f t="shared" si="58"/>
        <v>#N/A</v>
      </c>
      <c r="T80" s="718"/>
      <c r="U80" s="569"/>
      <c r="V80" s="570"/>
      <c r="W80" s="570"/>
      <c r="X80" s="475" t="e">
        <f t="shared" si="43"/>
        <v>#N/A</v>
      </c>
      <c r="Y80" s="718"/>
      <c r="Z80" s="569"/>
      <c r="AA80" s="570"/>
      <c r="AB80" s="570"/>
      <c r="AC80" s="475" t="e">
        <f t="shared" si="45"/>
        <v>#N/A</v>
      </c>
      <c r="AD80" s="718"/>
      <c r="AE80" s="569"/>
      <c r="AF80" s="570"/>
      <c r="AG80" s="570"/>
      <c r="AH80" s="475" t="e">
        <f t="shared" si="47"/>
        <v>#N/A</v>
      </c>
      <c r="AI80" s="718"/>
      <c r="AJ80" s="569"/>
      <c r="AK80" s="570"/>
      <c r="AL80" s="570"/>
      <c r="AM80" s="475" t="e">
        <f t="shared" si="49"/>
        <v>#N/A</v>
      </c>
      <c r="AN80" s="718"/>
      <c r="AO80" s="569"/>
      <c r="AP80" s="570"/>
      <c r="AQ80" s="570"/>
      <c r="AR80" s="475" t="e">
        <f t="shared" si="51"/>
        <v>#N/A</v>
      </c>
      <c r="AS80" s="718"/>
      <c r="AT80" s="569"/>
      <c r="AU80" s="570"/>
      <c r="AV80" s="570"/>
      <c r="AW80" s="475" t="e">
        <f t="shared" si="53"/>
        <v>#N/A</v>
      </c>
      <c r="AX80" s="690"/>
    </row>
    <row r="81" spans="2:50">
      <c r="B81" s="676"/>
      <c r="C81" s="309">
        <v>15</v>
      </c>
      <c r="D81" s="227"/>
      <c r="E81" s="182"/>
      <c r="F81" s="569"/>
      <c r="G81" s="570"/>
      <c r="H81" s="719"/>
      <c r="I81" s="202"/>
      <c r="J81" s="202"/>
      <c r="K81" s="202"/>
      <c r="L81" s="651"/>
      <c r="M81" s="201" t="e">
        <f>RANK(K81, K$67:$K$81)</f>
        <v>#N/A</v>
      </c>
      <c r="N81" s="668"/>
      <c r="O81" s="668"/>
      <c r="P81" s="569"/>
      <c r="Q81" s="570"/>
      <c r="R81" s="570"/>
      <c r="S81" s="339" t="e">
        <f t="shared" si="58"/>
        <v>#N/A</v>
      </c>
      <c r="T81" s="719"/>
      <c r="U81" s="569"/>
      <c r="V81" s="570"/>
      <c r="W81" s="570"/>
      <c r="X81" s="475" t="e">
        <f t="shared" si="43"/>
        <v>#N/A</v>
      </c>
      <c r="Y81" s="719"/>
      <c r="Z81" s="569"/>
      <c r="AA81" s="570"/>
      <c r="AB81" s="570"/>
      <c r="AC81" s="475" t="e">
        <f t="shared" si="45"/>
        <v>#N/A</v>
      </c>
      <c r="AD81" s="719"/>
      <c r="AE81" s="569"/>
      <c r="AF81" s="570"/>
      <c r="AG81" s="570"/>
      <c r="AH81" s="475" t="e">
        <f t="shared" si="47"/>
        <v>#N/A</v>
      </c>
      <c r="AI81" s="719"/>
      <c r="AJ81" s="569"/>
      <c r="AK81" s="570"/>
      <c r="AL81" s="570"/>
      <c r="AM81" s="475" t="e">
        <f t="shared" si="49"/>
        <v>#N/A</v>
      </c>
      <c r="AN81" s="719"/>
      <c r="AO81" s="569"/>
      <c r="AP81" s="570"/>
      <c r="AQ81" s="570"/>
      <c r="AR81" s="475" t="e">
        <f t="shared" si="51"/>
        <v>#N/A</v>
      </c>
      <c r="AS81" s="719"/>
      <c r="AT81" s="569"/>
      <c r="AU81" s="570"/>
      <c r="AV81" s="570"/>
      <c r="AW81" s="475" t="e">
        <f t="shared" si="53"/>
        <v>#N/A</v>
      </c>
      <c r="AX81" s="690"/>
    </row>
    <row r="82" spans="2:50" ht="15.75">
      <c r="B82" s="680" t="s">
        <v>163</v>
      </c>
      <c r="C82" s="681"/>
      <c r="D82" s="681"/>
      <c r="E82" s="681"/>
      <c r="F82" s="681"/>
      <c r="G82" s="681"/>
      <c r="H82" s="682"/>
      <c r="I82" s="208"/>
      <c r="J82" s="208"/>
      <c r="K82" s="208"/>
      <c r="L82" s="208"/>
      <c r="M82" s="207"/>
      <c r="N82" s="669" t="s">
        <v>156</v>
      </c>
      <c r="O82" s="669" t="s">
        <v>105</v>
      </c>
      <c r="P82" s="675">
        <f>P62+7</f>
        <v>46112</v>
      </c>
      <c r="Q82" s="676"/>
      <c r="R82" s="676"/>
      <c r="S82" s="676"/>
      <c r="T82" s="676"/>
      <c r="U82" s="672">
        <f>P82+1</f>
        <v>46113</v>
      </c>
      <c r="V82" s="673"/>
      <c r="W82" s="673"/>
      <c r="X82" s="673"/>
      <c r="Y82" s="674"/>
      <c r="Z82" s="672">
        <f>U82+1</f>
        <v>46114</v>
      </c>
      <c r="AA82" s="673"/>
      <c r="AB82" s="673"/>
      <c r="AC82" s="673"/>
      <c r="AD82" s="674"/>
      <c r="AE82" s="672">
        <f>Z82+1</f>
        <v>46115</v>
      </c>
      <c r="AF82" s="673"/>
      <c r="AG82" s="673"/>
      <c r="AH82" s="673"/>
      <c r="AI82" s="674"/>
      <c r="AJ82" s="672">
        <f>AE82+1</f>
        <v>46116</v>
      </c>
      <c r="AK82" s="673"/>
      <c r="AL82" s="673"/>
      <c r="AM82" s="673"/>
      <c r="AN82" s="674"/>
      <c r="AO82" s="672">
        <f>AJ82+1</f>
        <v>46117</v>
      </c>
      <c r="AP82" s="673"/>
      <c r="AQ82" s="673"/>
      <c r="AR82" s="673"/>
      <c r="AS82" s="674"/>
      <c r="AT82" s="672">
        <f>AO82+1</f>
        <v>46118</v>
      </c>
      <c r="AU82" s="673"/>
      <c r="AV82" s="673"/>
      <c r="AW82" s="673"/>
      <c r="AX82" s="674"/>
    </row>
    <row r="83" spans="2:50" ht="15.75">
      <c r="B83" s="683"/>
      <c r="C83" s="683"/>
      <c r="D83" s="683"/>
      <c r="E83" s="683"/>
      <c r="F83" s="683"/>
      <c r="G83" s="683"/>
      <c r="H83" s="683"/>
      <c r="I83" s="205"/>
      <c r="J83" s="205"/>
      <c r="K83" s="205"/>
      <c r="L83" s="205"/>
      <c r="M83" s="206"/>
      <c r="N83" s="671"/>
      <c r="O83" s="671"/>
      <c r="P83" s="675" t="s">
        <v>336</v>
      </c>
      <c r="Q83" s="676"/>
      <c r="R83" s="676"/>
      <c r="S83" s="676"/>
      <c r="T83" s="676"/>
      <c r="U83" s="675" t="s">
        <v>337</v>
      </c>
      <c r="V83" s="676"/>
      <c r="W83" s="676"/>
      <c r="X83" s="676"/>
      <c r="Y83" s="676"/>
      <c r="Z83" s="675" t="s">
        <v>338</v>
      </c>
      <c r="AA83" s="676"/>
      <c r="AB83" s="676"/>
      <c r="AC83" s="676"/>
      <c r="AD83" s="676"/>
      <c r="AE83" s="675" t="s">
        <v>339</v>
      </c>
      <c r="AF83" s="676"/>
      <c r="AG83" s="676"/>
      <c r="AH83" s="676"/>
      <c r="AI83" s="676"/>
      <c r="AJ83" s="675" t="s">
        <v>340</v>
      </c>
      <c r="AK83" s="676"/>
      <c r="AL83" s="676"/>
      <c r="AM83" s="676"/>
      <c r="AN83" s="676"/>
      <c r="AO83" s="675" t="s">
        <v>341</v>
      </c>
      <c r="AP83" s="676"/>
      <c r="AQ83" s="676"/>
      <c r="AR83" s="676"/>
      <c r="AS83" s="676"/>
      <c r="AT83" s="675" t="s">
        <v>342</v>
      </c>
      <c r="AU83" s="676"/>
      <c r="AV83" s="676"/>
      <c r="AW83" s="676"/>
      <c r="AX83" s="676"/>
    </row>
    <row r="84" spans="2:50">
      <c r="B84" s="668" t="s">
        <v>459</v>
      </c>
      <c r="C84" s="668" t="s">
        <v>460</v>
      </c>
      <c r="D84" s="668"/>
      <c r="E84" s="668" t="s">
        <v>461</v>
      </c>
      <c r="F84" s="668"/>
      <c r="G84" s="668"/>
      <c r="H84" s="684" t="s">
        <v>462</v>
      </c>
      <c r="I84" s="652" t="s">
        <v>463</v>
      </c>
      <c r="J84" s="652"/>
      <c r="K84" s="652"/>
      <c r="L84" s="653" t="s">
        <v>462</v>
      </c>
      <c r="M84" s="659" t="s">
        <v>464</v>
      </c>
      <c r="N84" s="668"/>
      <c r="O84" s="668" t="s">
        <v>465</v>
      </c>
      <c r="P84" s="665" t="s">
        <v>466</v>
      </c>
      <c r="Q84" s="666"/>
      <c r="R84" s="666"/>
      <c r="S84" s="667"/>
      <c r="T84" s="668" t="s">
        <v>462</v>
      </c>
      <c r="U84" s="665" t="s">
        <v>466</v>
      </c>
      <c r="V84" s="666"/>
      <c r="W84" s="666"/>
      <c r="X84" s="667"/>
      <c r="Y84" s="668" t="s">
        <v>462</v>
      </c>
      <c r="Z84" s="665" t="s">
        <v>466</v>
      </c>
      <c r="AA84" s="666"/>
      <c r="AB84" s="666"/>
      <c r="AC84" s="667"/>
      <c r="AD84" s="668" t="s">
        <v>462</v>
      </c>
      <c r="AE84" s="665" t="s">
        <v>466</v>
      </c>
      <c r="AF84" s="666"/>
      <c r="AG84" s="666"/>
      <c r="AH84" s="667"/>
      <c r="AI84" s="668" t="s">
        <v>462</v>
      </c>
      <c r="AJ84" s="665" t="s">
        <v>466</v>
      </c>
      <c r="AK84" s="666"/>
      <c r="AL84" s="666"/>
      <c r="AM84" s="667"/>
      <c r="AN84" s="668" t="s">
        <v>462</v>
      </c>
      <c r="AO84" s="665" t="s">
        <v>466</v>
      </c>
      <c r="AP84" s="666"/>
      <c r="AQ84" s="666"/>
      <c r="AR84" s="667"/>
      <c r="AS84" s="668" t="s">
        <v>462</v>
      </c>
      <c r="AT84" s="665" t="s">
        <v>466</v>
      </c>
      <c r="AU84" s="666"/>
      <c r="AV84" s="666"/>
      <c r="AW84" s="667"/>
      <c r="AX84" s="668" t="s">
        <v>462</v>
      </c>
    </row>
    <row r="85" spans="2:50">
      <c r="B85" s="668"/>
      <c r="C85" s="668"/>
      <c r="D85" s="668"/>
      <c r="E85" s="668" t="s">
        <v>467</v>
      </c>
      <c r="F85" s="668"/>
      <c r="G85" s="668"/>
      <c r="H85" s="685"/>
      <c r="I85" s="652" t="s">
        <v>467</v>
      </c>
      <c r="J85" s="652"/>
      <c r="K85" s="652"/>
      <c r="L85" s="654"/>
      <c r="M85" s="660"/>
      <c r="N85" s="668"/>
      <c r="O85" s="668"/>
      <c r="P85" s="665" t="s">
        <v>468</v>
      </c>
      <c r="Q85" s="666"/>
      <c r="R85" s="666"/>
      <c r="S85" s="667"/>
      <c r="T85" s="668"/>
      <c r="U85" s="665" t="s">
        <v>468</v>
      </c>
      <c r="V85" s="666"/>
      <c r="W85" s="666"/>
      <c r="X85" s="667"/>
      <c r="Y85" s="668"/>
      <c r="Z85" s="665" t="s">
        <v>468</v>
      </c>
      <c r="AA85" s="666"/>
      <c r="AB85" s="666"/>
      <c r="AC85" s="667"/>
      <c r="AD85" s="668"/>
      <c r="AE85" s="665" t="s">
        <v>468</v>
      </c>
      <c r="AF85" s="666"/>
      <c r="AG85" s="666"/>
      <c r="AH85" s="667"/>
      <c r="AI85" s="668"/>
      <c r="AJ85" s="665" t="s">
        <v>468</v>
      </c>
      <c r="AK85" s="666"/>
      <c r="AL85" s="666"/>
      <c r="AM85" s="667"/>
      <c r="AN85" s="668"/>
      <c r="AO85" s="665" t="s">
        <v>468</v>
      </c>
      <c r="AP85" s="666"/>
      <c r="AQ85" s="666"/>
      <c r="AR85" s="667"/>
      <c r="AS85" s="668"/>
      <c r="AT85" s="665" t="s">
        <v>468</v>
      </c>
      <c r="AU85" s="666"/>
      <c r="AV85" s="666"/>
      <c r="AW85" s="667"/>
      <c r="AX85" s="668"/>
    </row>
    <row r="86" spans="2:50">
      <c r="B86" s="668"/>
      <c r="C86" s="668"/>
      <c r="D86" s="668"/>
      <c r="E86" s="302" t="s">
        <v>469</v>
      </c>
      <c r="F86" s="302" t="s">
        <v>470</v>
      </c>
      <c r="G86" s="302" t="s">
        <v>471</v>
      </c>
      <c r="H86" s="686"/>
      <c r="I86" s="303" t="s">
        <v>469</v>
      </c>
      <c r="J86" s="303" t="s">
        <v>470</v>
      </c>
      <c r="K86" s="303" t="s">
        <v>471</v>
      </c>
      <c r="L86" s="655"/>
      <c r="M86" s="661"/>
      <c r="N86" s="668"/>
      <c r="O86" s="668"/>
      <c r="P86" s="302" t="s">
        <v>469</v>
      </c>
      <c r="Q86" s="302" t="s">
        <v>470</v>
      </c>
      <c r="R86" s="302" t="s">
        <v>471</v>
      </c>
      <c r="S86" s="302" t="s">
        <v>464</v>
      </c>
      <c r="T86" s="668"/>
      <c r="U86" s="302" t="s">
        <v>469</v>
      </c>
      <c r="V86" s="302" t="s">
        <v>470</v>
      </c>
      <c r="W86" s="302" t="s">
        <v>471</v>
      </c>
      <c r="X86" s="302" t="s">
        <v>464</v>
      </c>
      <c r="Y86" s="668"/>
      <c r="Z86" s="302" t="s">
        <v>469</v>
      </c>
      <c r="AA86" s="302" t="s">
        <v>470</v>
      </c>
      <c r="AB86" s="302" t="s">
        <v>471</v>
      </c>
      <c r="AC86" s="302" t="s">
        <v>464</v>
      </c>
      <c r="AD86" s="668"/>
      <c r="AE86" s="302" t="s">
        <v>469</v>
      </c>
      <c r="AF86" s="302" t="s">
        <v>470</v>
      </c>
      <c r="AG86" s="302" t="s">
        <v>471</v>
      </c>
      <c r="AH86" s="302" t="s">
        <v>464</v>
      </c>
      <c r="AI86" s="668"/>
      <c r="AJ86" s="302" t="s">
        <v>469</v>
      </c>
      <c r="AK86" s="302" t="s">
        <v>470</v>
      </c>
      <c r="AL86" s="302" t="s">
        <v>471</v>
      </c>
      <c r="AM86" s="302" t="s">
        <v>464</v>
      </c>
      <c r="AN86" s="668"/>
      <c r="AO86" s="302" t="s">
        <v>469</v>
      </c>
      <c r="AP86" s="302" t="s">
        <v>470</v>
      </c>
      <c r="AQ86" s="302" t="s">
        <v>471</v>
      </c>
      <c r="AR86" s="302" t="s">
        <v>464</v>
      </c>
      <c r="AS86" s="668"/>
      <c r="AT86" s="302" t="s">
        <v>469</v>
      </c>
      <c r="AU86" s="302" t="s">
        <v>470</v>
      </c>
      <c r="AV86" s="302" t="s">
        <v>471</v>
      </c>
      <c r="AW86" s="302" t="s">
        <v>464</v>
      </c>
      <c r="AX86" s="668"/>
    </row>
    <row r="87" spans="2:50">
      <c r="B87" s="668" t="s">
        <v>475</v>
      </c>
      <c r="C87" s="301">
        <v>1</v>
      </c>
      <c r="D87" s="227"/>
      <c r="E87" s="182"/>
      <c r="F87" s="545"/>
      <c r="G87" s="546"/>
      <c r="H87" s="71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68"/>
      <c r="O87" s="668"/>
      <c r="P87" s="182"/>
      <c r="Q87" s="570"/>
      <c r="R87" s="570"/>
      <c r="S87" s="301" t="e">
        <f>RANK(R87, R$87:R$101)</f>
        <v>#N/A</v>
      </c>
      <c r="T87" s="717" t="e">
        <f>AVERAGE(R87:R101)</f>
        <v>#DIV/0!</v>
      </c>
      <c r="U87" s="182"/>
      <c r="V87" s="570"/>
      <c r="W87" s="570"/>
      <c r="X87" s="475" t="e">
        <f t="shared" ref="X87:X101" si="62">RANK(W87, W$87:W$101)</f>
        <v>#N/A</v>
      </c>
      <c r="Y87" s="717" t="e">
        <f t="shared" ref="Y87" si="63">AVERAGE(W87:W101)</f>
        <v>#DIV/0!</v>
      </c>
      <c r="Z87" s="182"/>
      <c r="AA87" s="570"/>
      <c r="AB87" s="570"/>
      <c r="AC87" s="475" t="e">
        <f t="shared" ref="AC87:AC101" si="64">RANK(AB87, AB$87:AB$101)</f>
        <v>#N/A</v>
      </c>
      <c r="AD87" s="717" t="e">
        <f t="shared" ref="AD87" si="65">AVERAGE(AB87:AB101)</f>
        <v>#DIV/0!</v>
      </c>
      <c r="AE87" s="182"/>
      <c r="AF87" s="570"/>
      <c r="AG87" s="570"/>
      <c r="AH87" s="475" t="e">
        <f t="shared" ref="AH87:AH101" si="66">RANK(AG87, AG$87:AG$101)</f>
        <v>#N/A</v>
      </c>
      <c r="AI87" s="717" t="e">
        <f t="shared" ref="AI87" si="67">AVERAGE(AG87:AG101)</f>
        <v>#DIV/0!</v>
      </c>
      <c r="AJ87" s="182"/>
      <c r="AK87" s="570"/>
      <c r="AL87" s="570"/>
      <c r="AM87" s="475" t="e">
        <f t="shared" ref="AM87:AM101" si="68">RANK(AL87, AL$87:AL$101)</f>
        <v>#N/A</v>
      </c>
      <c r="AN87" s="717" t="e">
        <f t="shared" ref="AN87" si="69">AVERAGE(AL87:AL101)</f>
        <v>#DIV/0!</v>
      </c>
      <c r="AO87" s="182"/>
      <c r="AP87" s="570"/>
      <c r="AQ87" s="570"/>
      <c r="AR87" s="475" t="e">
        <f t="shared" ref="AR87:AR101" si="70">RANK(AQ87, AQ$87:AQ$101)</f>
        <v>#N/A</v>
      </c>
      <c r="AS87" s="717" t="e">
        <f t="shared" ref="AS87" si="71">AVERAGE(AQ87:AQ101)</f>
        <v>#DIV/0!</v>
      </c>
      <c r="AT87" s="182"/>
      <c r="AU87" s="570"/>
      <c r="AV87" s="570"/>
      <c r="AW87" s="475" t="e">
        <f t="shared" ref="AW87:AW101" si="72">RANK(AV87, AV$87:AV$101)</f>
        <v>#N/A</v>
      </c>
      <c r="AX87" s="690" t="e">
        <f t="shared" ref="AX87" si="73">AVERAGE(AV87:AV101)</f>
        <v>#DIV/0!</v>
      </c>
    </row>
    <row r="88" spans="2:50">
      <c r="B88" s="676"/>
      <c r="C88" s="301">
        <v>2</v>
      </c>
      <c r="D88" s="227"/>
      <c r="E88" s="182"/>
      <c r="F88" s="545"/>
      <c r="G88" s="546"/>
      <c r="H88" s="718"/>
      <c r="I88" s="199" t="e">
        <f t="shared" ref="I88:K94" si="74">AVERAGE(P88,U88,Z88,AE88,AJ88,AO88,AT88)</f>
        <v>#DIV/0!</v>
      </c>
      <c r="J88" s="199" t="e">
        <f t="shared" si="74"/>
        <v>#DIV/0!</v>
      </c>
      <c r="K88" s="200" t="e">
        <f t="shared" si="74"/>
        <v>#DIV/0!</v>
      </c>
      <c r="L88" s="650"/>
      <c r="M88" s="201" t="e">
        <f>RANK(K88, K$87:$K$101)</f>
        <v>#DIV/0!</v>
      </c>
      <c r="N88" s="668"/>
      <c r="O88" s="668"/>
      <c r="P88" s="569"/>
      <c r="Q88" s="570"/>
      <c r="R88" s="570"/>
      <c r="S88" s="301" t="e">
        <f t="shared" ref="S88:S101" si="75">RANK(R88, R$87:R$101)</f>
        <v>#N/A</v>
      </c>
      <c r="T88" s="718"/>
      <c r="U88" s="569"/>
      <c r="V88" s="570"/>
      <c r="W88" s="570"/>
      <c r="X88" s="475" t="e">
        <f t="shared" si="62"/>
        <v>#N/A</v>
      </c>
      <c r="Y88" s="718"/>
      <c r="Z88" s="569"/>
      <c r="AA88" s="570"/>
      <c r="AB88" s="570"/>
      <c r="AC88" s="475" t="e">
        <f t="shared" si="64"/>
        <v>#N/A</v>
      </c>
      <c r="AD88" s="718"/>
      <c r="AE88" s="569"/>
      <c r="AF88" s="570"/>
      <c r="AG88" s="570"/>
      <c r="AH88" s="475" t="e">
        <f t="shared" si="66"/>
        <v>#N/A</v>
      </c>
      <c r="AI88" s="718"/>
      <c r="AJ88" s="569"/>
      <c r="AK88" s="570"/>
      <c r="AL88" s="570"/>
      <c r="AM88" s="475" t="e">
        <f t="shared" si="68"/>
        <v>#N/A</v>
      </c>
      <c r="AN88" s="718"/>
      <c r="AO88" s="569"/>
      <c r="AP88" s="570"/>
      <c r="AQ88" s="570"/>
      <c r="AR88" s="475" t="e">
        <f t="shared" si="70"/>
        <v>#N/A</v>
      </c>
      <c r="AS88" s="718"/>
      <c r="AT88" s="569"/>
      <c r="AU88" s="570"/>
      <c r="AV88" s="570"/>
      <c r="AW88" s="475" t="e">
        <f t="shared" si="72"/>
        <v>#N/A</v>
      </c>
      <c r="AX88" s="690"/>
    </row>
    <row r="89" spans="2:50">
      <c r="B89" s="676"/>
      <c r="C89" s="301">
        <v>3</v>
      </c>
      <c r="D89" s="227"/>
      <c r="E89" s="182"/>
      <c r="F89" s="545"/>
      <c r="G89" s="546"/>
      <c r="H89" s="718"/>
      <c r="I89" s="199" t="e">
        <f t="shared" si="74"/>
        <v>#DIV/0!</v>
      </c>
      <c r="J89" s="199" t="e">
        <f t="shared" si="74"/>
        <v>#DIV/0!</v>
      </c>
      <c r="K89" s="200" t="e">
        <f t="shared" si="74"/>
        <v>#DIV/0!</v>
      </c>
      <c r="L89" s="650"/>
      <c r="M89" s="201" t="e">
        <f>RANK(K89, K$87:$K$101)</f>
        <v>#DIV/0!</v>
      </c>
      <c r="N89" s="668"/>
      <c r="O89" s="668"/>
      <c r="P89" s="569"/>
      <c r="Q89" s="570"/>
      <c r="R89" s="570"/>
      <c r="S89" s="301" t="e">
        <f t="shared" si="75"/>
        <v>#N/A</v>
      </c>
      <c r="T89" s="718"/>
      <c r="U89" s="569"/>
      <c r="V89" s="570"/>
      <c r="W89" s="570"/>
      <c r="X89" s="475" t="e">
        <f t="shared" si="62"/>
        <v>#N/A</v>
      </c>
      <c r="Y89" s="718"/>
      <c r="Z89" s="569"/>
      <c r="AA89" s="570"/>
      <c r="AB89" s="570"/>
      <c r="AC89" s="475" t="e">
        <f t="shared" si="64"/>
        <v>#N/A</v>
      </c>
      <c r="AD89" s="718"/>
      <c r="AE89" s="569"/>
      <c r="AF89" s="570"/>
      <c r="AG89" s="570"/>
      <c r="AH89" s="475" t="e">
        <f t="shared" si="66"/>
        <v>#N/A</v>
      </c>
      <c r="AI89" s="718"/>
      <c r="AJ89" s="569"/>
      <c r="AK89" s="570"/>
      <c r="AL89" s="570"/>
      <c r="AM89" s="475" t="e">
        <f t="shared" si="68"/>
        <v>#N/A</v>
      </c>
      <c r="AN89" s="718"/>
      <c r="AO89" s="569"/>
      <c r="AP89" s="570"/>
      <c r="AQ89" s="570"/>
      <c r="AR89" s="475" t="e">
        <f t="shared" si="70"/>
        <v>#N/A</v>
      </c>
      <c r="AS89" s="718"/>
      <c r="AT89" s="569"/>
      <c r="AU89" s="570"/>
      <c r="AV89" s="570"/>
      <c r="AW89" s="475" t="e">
        <f t="shared" si="72"/>
        <v>#N/A</v>
      </c>
      <c r="AX89" s="690"/>
    </row>
    <row r="90" spans="2:50">
      <c r="B90" s="676"/>
      <c r="C90" s="301">
        <v>4</v>
      </c>
      <c r="D90" s="227"/>
      <c r="E90" s="182"/>
      <c r="F90" s="545"/>
      <c r="G90" s="546"/>
      <c r="H90" s="718"/>
      <c r="I90" s="199" t="e">
        <f t="shared" si="74"/>
        <v>#DIV/0!</v>
      </c>
      <c r="J90" s="199" t="e">
        <f t="shared" si="74"/>
        <v>#DIV/0!</v>
      </c>
      <c r="K90" s="200" t="e">
        <f t="shared" si="74"/>
        <v>#DIV/0!</v>
      </c>
      <c r="L90" s="650"/>
      <c r="M90" s="201" t="e">
        <f>RANK(K90, K$87:$K$101)</f>
        <v>#DIV/0!</v>
      </c>
      <c r="N90" s="668"/>
      <c r="O90" s="668"/>
      <c r="P90" s="569"/>
      <c r="Q90" s="570"/>
      <c r="R90" s="570"/>
      <c r="S90" s="301" t="e">
        <f t="shared" si="75"/>
        <v>#N/A</v>
      </c>
      <c r="T90" s="718"/>
      <c r="U90" s="569"/>
      <c r="V90" s="570"/>
      <c r="W90" s="570"/>
      <c r="X90" s="475" t="e">
        <f t="shared" si="62"/>
        <v>#N/A</v>
      </c>
      <c r="Y90" s="718"/>
      <c r="Z90" s="569"/>
      <c r="AA90" s="570"/>
      <c r="AB90" s="570"/>
      <c r="AC90" s="475" t="e">
        <f t="shared" si="64"/>
        <v>#N/A</v>
      </c>
      <c r="AD90" s="718"/>
      <c r="AE90" s="569"/>
      <c r="AF90" s="570"/>
      <c r="AG90" s="570"/>
      <c r="AH90" s="475" t="e">
        <f t="shared" si="66"/>
        <v>#N/A</v>
      </c>
      <c r="AI90" s="718"/>
      <c r="AJ90" s="569"/>
      <c r="AK90" s="570"/>
      <c r="AL90" s="570"/>
      <c r="AM90" s="475" t="e">
        <f t="shared" si="68"/>
        <v>#N/A</v>
      </c>
      <c r="AN90" s="718"/>
      <c r="AO90" s="569"/>
      <c r="AP90" s="570"/>
      <c r="AQ90" s="570"/>
      <c r="AR90" s="475" t="e">
        <f t="shared" si="70"/>
        <v>#N/A</v>
      </c>
      <c r="AS90" s="718"/>
      <c r="AT90" s="569"/>
      <c r="AU90" s="570"/>
      <c r="AV90" s="570"/>
      <c r="AW90" s="475" t="e">
        <f t="shared" si="72"/>
        <v>#N/A</v>
      </c>
      <c r="AX90" s="690"/>
    </row>
    <row r="91" spans="2:50">
      <c r="B91" s="676"/>
      <c r="C91" s="301">
        <v>5</v>
      </c>
      <c r="D91" s="227"/>
      <c r="E91" s="182"/>
      <c r="F91" s="545"/>
      <c r="G91" s="546"/>
      <c r="H91" s="718"/>
      <c r="I91" s="199" t="e">
        <f t="shared" si="74"/>
        <v>#DIV/0!</v>
      </c>
      <c r="J91" s="199" t="e">
        <f t="shared" si="74"/>
        <v>#DIV/0!</v>
      </c>
      <c r="K91" s="200" t="e">
        <f t="shared" si="74"/>
        <v>#DIV/0!</v>
      </c>
      <c r="L91" s="650"/>
      <c r="M91" s="201" t="e">
        <f>RANK(K91, K$87:$K$101)</f>
        <v>#DIV/0!</v>
      </c>
      <c r="N91" s="668"/>
      <c r="O91" s="668"/>
      <c r="P91" s="569"/>
      <c r="Q91" s="570"/>
      <c r="R91" s="570"/>
      <c r="S91" s="301" t="e">
        <f t="shared" si="75"/>
        <v>#N/A</v>
      </c>
      <c r="T91" s="718"/>
      <c r="U91" s="569"/>
      <c r="V91" s="570"/>
      <c r="W91" s="570"/>
      <c r="X91" s="475" t="e">
        <f t="shared" si="62"/>
        <v>#N/A</v>
      </c>
      <c r="Y91" s="718"/>
      <c r="Z91" s="569"/>
      <c r="AA91" s="570"/>
      <c r="AB91" s="570"/>
      <c r="AC91" s="475" t="e">
        <f t="shared" si="64"/>
        <v>#N/A</v>
      </c>
      <c r="AD91" s="718"/>
      <c r="AE91" s="569"/>
      <c r="AF91" s="570"/>
      <c r="AG91" s="570"/>
      <c r="AH91" s="475" t="e">
        <f t="shared" si="66"/>
        <v>#N/A</v>
      </c>
      <c r="AI91" s="718"/>
      <c r="AJ91" s="569"/>
      <c r="AK91" s="570"/>
      <c r="AL91" s="570"/>
      <c r="AM91" s="475" t="e">
        <f t="shared" si="68"/>
        <v>#N/A</v>
      </c>
      <c r="AN91" s="718"/>
      <c r="AO91" s="569"/>
      <c r="AP91" s="570"/>
      <c r="AQ91" s="570"/>
      <c r="AR91" s="475" t="e">
        <f t="shared" si="70"/>
        <v>#N/A</v>
      </c>
      <c r="AS91" s="718"/>
      <c r="AT91" s="569"/>
      <c r="AU91" s="570"/>
      <c r="AV91" s="570"/>
      <c r="AW91" s="475" t="e">
        <f t="shared" si="72"/>
        <v>#N/A</v>
      </c>
      <c r="AX91" s="690"/>
    </row>
    <row r="92" spans="2:50">
      <c r="B92" s="676"/>
      <c r="C92" s="301">
        <v>6</v>
      </c>
      <c r="D92" s="227"/>
      <c r="E92" s="182"/>
      <c r="F92" s="545"/>
      <c r="G92" s="546"/>
      <c r="H92" s="718"/>
      <c r="I92" s="199" t="e">
        <f t="shared" si="74"/>
        <v>#DIV/0!</v>
      </c>
      <c r="J92" s="199" t="e">
        <f t="shared" si="74"/>
        <v>#DIV/0!</v>
      </c>
      <c r="K92" s="200" t="e">
        <f t="shared" si="74"/>
        <v>#DIV/0!</v>
      </c>
      <c r="L92" s="650"/>
      <c r="M92" s="201" t="e">
        <f>RANK(K92, K$87:$K$101)</f>
        <v>#DIV/0!</v>
      </c>
      <c r="N92" s="668"/>
      <c r="O92" s="668"/>
      <c r="P92" s="569"/>
      <c r="Q92" s="570"/>
      <c r="R92" s="570"/>
      <c r="S92" s="301" t="e">
        <f t="shared" si="75"/>
        <v>#N/A</v>
      </c>
      <c r="T92" s="718"/>
      <c r="U92" s="569"/>
      <c r="V92" s="570"/>
      <c r="W92" s="570"/>
      <c r="X92" s="475" t="e">
        <f t="shared" si="62"/>
        <v>#N/A</v>
      </c>
      <c r="Y92" s="718"/>
      <c r="Z92" s="569"/>
      <c r="AA92" s="570"/>
      <c r="AB92" s="570"/>
      <c r="AC92" s="475" t="e">
        <f t="shared" si="64"/>
        <v>#N/A</v>
      </c>
      <c r="AD92" s="718"/>
      <c r="AE92" s="569"/>
      <c r="AF92" s="570"/>
      <c r="AG92" s="570"/>
      <c r="AH92" s="475" t="e">
        <f t="shared" si="66"/>
        <v>#N/A</v>
      </c>
      <c r="AI92" s="718"/>
      <c r="AJ92" s="569"/>
      <c r="AK92" s="570"/>
      <c r="AL92" s="570"/>
      <c r="AM92" s="475" t="e">
        <f t="shared" si="68"/>
        <v>#N/A</v>
      </c>
      <c r="AN92" s="718"/>
      <c r="AO92" s="569"/>
      <c r="AP92" s="570"/>
      <c r="AQ92" s="570"/>
      <c r="AR92" s="475" t="e">
        <f t="shared" si="70"/>
        <v>#N/A</v>
      </c>
      <c r="AS92" s="718"/>
      <c r="AT92" s="569"/>
      <c r="AU92" s="570"/>
      <c r="AV92" s="570"/>
      <c r="AW92" s="475" t="e">
        <f t="shared" si="72"/>
        <v>#N/A</v>
      </c>
      <c r="AX92" s="690"/>
    </row>
    <row r="93" spans="2:50">
      <c r="B93" s="676"/>
      <c r="C93" s="301">
        <v>7</v>
      </c>
      <c r="D93" s="227"/>
      <c r="E93" s="182"/>
      <c r="F93" s="545"/>
      <c r="G93" s="546"/>
      <c r="H93" s="718"/>
      <c r="I93" s="199" t="e">
        <f t="shared" si="74"/>
        <v>#DIV/0!</v>
      </c>
      <c r="J93" s="199" t="e">
        <f t="shared" si="74"/>
        <v>#DIV/0!</v>
      </c>
      <c r="K93" s="200" t="e">
        <f t="shared" si="74"/>
        <v>#DIV/0!</v>
      </c>
      <c r="L93" s="650"/>
      <c r="M93" s="201" t="e">
        <f>RANK(K93, K$87:$K$101)</f>
        <v>#DIV/0!</v>
      </c>
      <c r="N93" s="668"/>
      <c r="O93" s="668"/>
      <c r="P93" s="569"/>
      <c r="Q93" s="570"/>
      <c r="R93" s="570"/>
      <c r="S93" s="301" t="e">
        <f t="shared" si="75"/>
        <v>#N/A</v>
      </c>
      <c r="T93" s="718"/>
      <c r="U93" s="569"/>
      <c r="V93" s="570"/>
      <c r="W93" s="570"/>
      <c r="X93" s="475" t="e">
        <f t="shared" si="62"/>
        <v>#N/A</v>
      </c>
      <c r="Y93" s="718"/>
      <c r="Z93" s="569"/>
      <c r="AA93" s="570"/>
      <c r="AB93" s="570"/>
      <c r="AC93" s="475" t="e">
        <f t="shared" si="64"/>
        <v>#N/A</v>
      </c>
      <c r="AD93" s="718"/>
      <c r="AE93" s="569"/>
      <c r="AF93" s="570"/>
      <c r="AG93" s="570"/>
      <c r="AH93" s="475" t="e">
        <f t="shared" si="66"/>
        <v>#N/A</v>
      </c>
      <c r="AI93" s="718"/>
      <c r="AJ93" s="569"/>
      <c r="AK93" s="570"/>
      <c r="AL93" s="570"/>
      <c r="AM93" s="475" t="e">
        <f t="shared" si="68"/>
        <v>#N/A</v>
      </c>
      <c r="AN93" s="718"/>
      <c r="AO93" s="569"/>
      <c r="AP93" s="570"/>
      <c r="AQ93" s="570"/>
      <c r="AR93" s="475" t="e">
        <f t="shared" si="70"/>
        <v>#N/A</v>
      </c>
      <c r="AS93" s="718"/>
      <c r="AT93" s="569"/>
      <c r="AU93" s="570"/>
      <c r="AV93" s="570"/>
      <c r="AW93" s="475" t="e">
        <f t="shared" si="72"/>
        <v>#N/A</v>
      </c>
      <c r="AX93" s="690"/>
    </row>
    <row r="94" spans="2:50">
      <c r="B94" s="676"/>
      <c r="C94" s="301">
        <v>8</v>
      </c>
      <c r="D94" s="227"/>
      <c r="E94" s="182"/>
      <c r="F94" s="545"/>
      <c r="G94" s="546"/>
      <c r="H94" s="718"/>
      <c r="I94" s="199" t="e">
        <f t="shared" si="74"/>
        <v>#DIV/0!</v>
      </c>
      <c r="J94" s="199" t="e">
        <f t="shared" si="74"/>
        <v>#DIV/0!</v>
      </c>
      <c r="K94" s="200" t="e">
        <f t="shared" si="74"/>
        <v>#DIV/0!</v>
      </c>
      <c r="L94" s="650"/>
      <c r="M94" s="201" t="e">
        <f>RANK(K94, K$87:$K$101)</f>
        <v>#DIV/0!</v>
      </c>
      <c r="N94" s="668"/>
      <c r="O94" s="668"/>
      <c r="P94" s="569"/>
      <c r="Q94" s="570"/>
      <c r="R94" s="570"/>
      <c r="S94" s="301" t="e">
        <f t="shared" si="75"/>
        <v>#N/A</v>
      </c>
      <c r="T94" s="718"/>
      <c r="U94" s="569"/>
      <c r="V94" s="570"/>
      <c r="W94" s="570"/>
      <c r="X94" s="475" t="e">
        <f t="shared" si="62"/>
        <v>#N/A</v>
      </c>
      <c r="Y94" s="718"/>
      <c r="Z94" s="569"/>
      <c r="AA94" s="570"/>
      <c r="AB94" s="570"/>
      <c r="AC94" s="475" t="e">
        <f t="shared" si="64"/>
        <v>#N/A</v>
      </c>
      <c r="AD94" s="718"/>
      <c r="AE94" s="569"/>
      <c r="AF94" s="570"/>
      <c r="AG94" s="570"/>
      <c r="AH94" s="475" t="e">
        <f t="shared" si="66"/>
        <v>#N/A</v>
      </c>
      <c r="AI94" s="718"/>
      <c r="AJ94" s="569"/>
      <c r="AK94" s="570"/>
      <c r="AL94" s="570"/>
      <c r="AM94" s="475" t="e">
        <f t="shared" si="68"/>
        <v>#N/A</v>
      </c>
      <c r="AN94" s="718"/>
      <c r="AO94" s="569"/>
      <c r="AP94" s="570"/>
      <c r="AQ94" s="570"/>
      <c r="AR94" s="475" t="e">
        <f t="shared" si="70"/>
        <v>#N/A</v>
      </c>
      <c r="AS94" s="718"/>
      <c r="AT94" s="569"/>
      <c r="AU94" s="570"/>
      <c r="AV94" s="570"/>
      <c r="AW94" s="475" t="e">
        <f t="shared" si="72"/>
        <v>#N/A</v>
      </c>
      <c r="AX94" s="690"/>
    </row>
    <row r="95" spans="2:50">
      <c r="B95" s="676"/>
      <c r="C95" s="301">
        <v>9</v>
      </c>
      <c r="D95" s="227"/>
      <c r="E95" s="182"/>
      <c r="F95" s="545"/>
      <c r="G95" s="546"/>
      <c r="H95" s="718"/>
      <c r="I95" s="446" t="e">
        <f t="shared" ref="I95:I96" si="76">AVERAGE(P95,U95,Z95,AE95,AJ95,AO95,AT95)</f>
        <v>#DIV/0!</v>
      </c>
      <c r="J95" s="446" t="e">
        <f t="shared" ref="J95:J96" si="77">AVERAGE(Q95,V95,AA95,AF95,AK95,AP95,AU95)</f>
        <v>#DIV/0!</v>
      </c>
      <c r="K95" s="200" t="e">
        <f t="shared" ref="K95:K96" si="78">AVERAGE(R95,W95,AB95,AG95,AL95,AQ95,AV95)</f>
        <v>#DIV/0!</v>
      </c>
      <c r="L95" s="650"/>
      <c r="M95" s="201" t="e">
        <f>RANK(K95, K$87:$K$101)</f>
        <v>#DIV/0!</v>
      </c>
      <c r="N95" s="668"/>
      <c r="O95" s="668"/>
      <c r="P95" s="569"/>
      <c r="Q95" s="570"/>
      <c r="R95" s="570"/>
      <c r="S95" s="301" t="e">
        <f t="shared" si="75"/>
        <v>#N/A</v>
      </c>
      <c r="T95" s="718"/>
      <c r="U95" s="569"/>
      <c r="V95" s="570"/>
      <c r="W95" s="570"/>
      <c r="X95" s="475" t="e">
        <f t="shared" si="62"/>
        <v>#N/A</v>
      </c>
      <c r="Y95" s="718"/>
      <c r="Z95" s="569"/>
      <c r="AA95" s="570"/>
      <c r="AB95" s="570"/>
      <c r="AC95" s="475" t="e">
        <f t="shared" si="64"/>
        <v>#N/A</v>
      </c>
      <c r="AD95" s="718"/>
      <c r="AE95" s="569"/>
      <c r="AF95" s="570"/>
      <c r="AG95" s="570"/>
      <c r="AH95" s="475" t="e">
        <f t="shared" si="66"/>
        <v>#N/A</v>
      </c>
      <c r="AI95" s="718"/>
      <c r="AJ95" s="569"/>
      <c r="AK95" s="570"/>
      <c r="AL95" s="570"/>
      <c r="AM95" s="475" t="e">
        <f t="shared" si="68"/>
        <v>#N/A</v>
      </c>
      <c r="AN95" s="718"/>
      <c r="AO95" s="569"/>
      <c r="AP95" s="570"/>
      <c r="AQ95" s="570"/>
      <c r="AR95" s="475" t="e">
        <f t="shared" si="70"/>
        <v>#N/A</v>
      </c>
      <c r="AS95" s="718"/>
      <c r="AT95" s="569"/>
      <c r="AU95" s="570"/>
      <c r="AV95" s="570"/>
      <c r="AW95" s="475" t="e">
        <f t="shared" si="72"/>
        <v>#N/A</v>
      </c>
      <c r="AX95" s="690"/>
    </row>
    <row r="96" spans="2:50">
      <c r="B96" s="676"/>
      <c r="C96" s="301">
        <v>10</v>
      </c>
      <c r="D96" s="227"/>
      <c r="E96" s="182"/>
      <c r="F96" s="545"/>
      <c r="G96" s="546"/>
      <c r="H96" s="718"/>
      <c r="I96" s="446" t="e">
        <f t="shared" si="76"/>
        <v>#DIV/0!</v>
      </c>
      <c r="J96" s="446" t="e">
        <f t="shared" si="77"/>
        <v>#DIV/0!</v>
      </c>
      <c r="K96" s="200" t="e">
        <f t="shared" si="78"/>
        <v>#DIV/0!</v>
      </c>
      <c r="L96" s="650"/>
      <c r="M96" s="201" t="e">
        <f>RANK(K96, K$87:$K$101)</f>
        <v>#DIV/0!</v>
      </c>
      <c r="N96" s="668"/>
      <c r="O96" s="668"/>
      <c r="P96" s="569"/>
      <c r="Q96" s="570"/>
      <c r="R96" s="570"/>
      <c r="S96" s="301" t="e">
        <f t="shared" si="75"/>
        <v>#N/A</v>
      </c>
      <c r="T96" s="718"/>
      <c r="U96" s="569"/>
      <c r="V96" s="570"/>
      <c r="W96" s="570"/>
      <c r="X96" s="475" t="e">
        <f t="shared" si="62"/>
        <v>#N/A</v>
      </c>
      <c r="Y96" s="718"/>
      <c r="Z96" s="569"/>
      <c r="AA96" s="570"/>
      <c r="AB96" s="570"/>
      <c r="AC96" s="475" t="e">
        <f t="shared" si="64"/>
        <v>#N/A</v>
      </c>
      <c r="AD96" s="718"/>
      <c r="AE96" s="569"/>
      <c r="AF96" s="570"/>
      <c r="AG96" s="570"/>
      <c r="AH96" s="475" t="e">
        <f t="shared" si="66"/>
        <v>#N/A</v>
      </c>
      <c r="AI96" s="718"/>
      <c r="AJ96" s="569"/>
      <c r="AK96" s="570"/>
      <c r="AL96" s="570"/>
      <c r="AM96" s="475" t="e">
        <f t="shared" si="68"/>
        <v>#N/A</v>
      </c>
      <c r="AN96" s="718"/>
      <c r="AO96" s="569"/>
      <c r="AP96" s="570"/>
      <c r="AQ96" s="570"/>
      <c r="AR96" s="475" t="e">
        <f t="shared" si="70"/>
        <v>#N/A</v>
      </c>
      <c r="AS96" s="718"/>
      <c r="AT96" s="569"/>
      <c r="AU96" s="570"/>
      <c r="AV96" s="570"/>
      <c r="AW96" s="475" t="e">
        <f t="shared" si="72"/>
        <v>#N/A</v>
      </c>
      <c r="AX96" s="690"/>
    </row>
    <row r="97" spans="2:50">
      <c r="B97" s="676"/>
      <c r="C97" s="301">
        <v>11</v>
      </c>
      <c r="D97" s="227"/>
      <c r="E97" s="182"/>
      <c r="F97" s="545"/>
      <c r="G97" s="546"/>
      <c r="H97" s="718"/>
      <c r="I97" s="446"/>
      <c r="J97" s="446"/>
      <c r="K97" s="200"/>
      <c r="L97" s="650"/>
      <c r="M97" s="201" t="e">
        <f>RANK(K97, K$87:$K$101)</f>
        <v>#DIV/0!</v>
      </c>
      <c r="N97" s="668"/>
      <c r="O97" s="668"/>
      <c r="P97" s="569"/>
      <c r="Q97" s="570"/>
      <c r="R97" s="570"/>
      <c r="S97" s="301" t="e">
        <f t="shared" si="75"/>
        <v>#N/A</v>
      </c>
      <c r="T97" s="718"/>
      <c r="U97" s="569"/>
      <c r="V97" s="570"/>
      <c r="W97" s="570"/>
      <c r="X97" s="475" t="e">
        <f t="shared" si="62"/>
        <v>#N/A</v>
      </c>
      <c r="Y97" s="718"/>
      <c r="Z97" s="569"/>
      <c r="AA97" s="570"/>
      <c r="AB97" s="570"/>
      <c r="AC97" s="475" t="e">
        <f t="shared" si="64"/>
        <v>#N/A</v>
      </c>
      <c r="AD97" s="718"/>
      <c r="AE97" s="569"/>
      <c r="AF97" s="570"/>
      <c r="AG97" s="570"/>
      <c r="AH97" s="475" t="e">
        <f t="shared" si="66"/>
        <v>#N/A</v>
      </c>
      <c r="AI97" s="718"/>
      <c r="AJ97" s="569"/>
      <c r="AK97" s="570"/>
      <c r="AL97" s="570"/>
      <c r="AM97" s="475" t="e">
        <f t="shared" si="68"/>
        <v>#N/A</v>
      </c>
      <c r="AN97" s="718"/>
      <c r="AO97" s="569"/>
      <c r="AP97" s="570"/>
      <c r="AQ97" s="570"/>
      <c r="AR97" s="475" t="e">
        <f t="shared" si="70"/>
        <v>#N/A</v>
      </c>
      <c r="AS97" s="718"/>
      <c r="AT97" s="569"/>
      <c r="AU97" s="570"/>
      <c r="AV97" s="570"/>
      <c r="AW97" s="475" t="e">
        <f t="shared" si="72"/>
        <v>#N/A</v>
      </c>
      <c r="AX97" s="690"/>
    </row>
    <row r="98" spans="2:50">
      <c r="B98" s="676"/>
      <c r="C98" s="301">
        <v>12</v>
      </c>
      <c r="D98" s="227"/>
      <c r="E98" s="182"/>
      <c r="F98" s="545"/>
      <c r="G98" s="546"/>
      <c r="H98" s="718"/>
      <c r="I98" s="469"/>
      <c r="J98" s="469"/>
      <c r="K98" s="200"/>
      <c r="L98" s="650"/>
      <c r="M98" s="201" t="e">
        <f>RANK(K98, K$87:$K$101)</f>
        <v>#DIV/0!</v>
      </c>
      <c r="N98" s="668"/>
      <c r="O98" s="668"/>
      <c r="P98" s="569"/>
      <c r="Q98" s="570"/>
      <c r="R98" s="570"/>
      <c r="S98" s="301" t="e">
        <f t="shared" si="75"/>
        <v>#N/A</v>
      </c>
      <c r="T98" s="718"/>
      <c r="U98" s="569"/>
      <c r="V98" s="570"/>
      <c r="W98" s="570"/>
      <c r="X98" s="475" t="e">
        <f t="shared" si="62"/>
        <v>#N/A</v>
      </c>
      <c r="Y98" s="718"/>
      <c r="Z98" s="569"/>
      <c r="AA98" s="570"/>
      <c r="AB98" s="570"/>
      <c r="AC98" s="475" t="e">
        <f t="shared" si="64"/>
        <v>#N/A</v>
      </c>
      <c r="AD98" s="718"/>
      <c r="AE98" s="569"/>
      <c r="AF98" s="570"/>
      <c r="AG98" s="570"/>
      <c r="AH98" s="475" t="e">
        <f t="shared" si="66"/>
        <v>#N/A</v>
      </c>
      <c r="AI98" s="718"/>
      <c r="AJ98" s="569"/>
      <c r="AK98" s="570"/>
      <c r="AL98" s="570"/>
      <c r="AM98" s="475" t="e">
        <f t="shared" si="68"/>
        <v>#N/A</v>
      </c>
      <c r="AN98" s="718"/>
      <c r="AO98" s="569"/>
      <c r="AP98" s="570"/>
      <c r="AQ98" s="570"/>
      <c r="AR98" s="475" t="e">
        <f t="shared" si="70"/>
        <v>#N/A</v>
      </c>
      <c r="AS98" s="718"/>
      <c r="AT98" s="569"/>
      <c r="AU98" s="570"/>
      <c r="AV98" s="570"/>
      <c r="AW98" s="475" t="e">
        <f t="shared" si="72"/>
        <v>#N/A</v>
      </c>
      <c r="AX98" s="690"/>
    </row>
    <row r="99" spans="2:50">
      <c r="B99" s="676"/>
      <c r="C99" s="301">
        <v>13</v>
      </c>
      <c r="D99" s="227"/>
      <c r="E99" s="182"/>
      <c r="F99" s="545"/>
      <c r="G99" s="546"/>
      <c r="H99" s="718"/>
      <c r="I99" s="202"/>
      <c r="J99" s="202"/>
      <c r="K99" s="202"/>
      <c r="L99" s="650"/>
      <c r="M99" s="201" t="e">
        <f>RANK(K99, K$87:$K$101)</f>
        <v>#DIV/0!</v>
      </c>
      <c r="N99" s="668"/>
      <c r="O99" s="668"/>
      <c r="P99" s="569"/>
      <c r="Q99" s="570"/>
      <c r="R99" s="570"/>
      <c r="S99" s="301" t="e">
        <f t="shared" si="75"/>
        <v>#N/A</v>
      </c>
      <c r="T99" s="718"/>
      <c r="U99" s="569"/>
      <c r="V99" s="570"/>
      <c r="W99" s="570"/>
      <c r="X99" s="475" t="e">
        <f t="shared" si="62"/>
        <v>#N/A</v>
      </c>
      <c r="Y99" s="718"/>
      <c r="Z99" s="569"/>
      <c r="AA99" s="570"/>
      <c r="AB99" s="570"/>
      <c r="AC99" s="475" t="e">
        <f t="shared" si="64"/>
        <v>#N/A</v>
      </c>
      <c r="AD99" s="718"/>
      <c r="AE99" s="569"/>
      <c r="AF99" s="570"/>
      <c r="AG99" s="570"/>
      <c r="AH99" s="475" t="e">
        <f t="shared" si="66"/>
        <v>#N/A</v>
      </c>
      <c r="AI99" s="718"/>
      <c r="AJ99" s="569"/>
      <c r="AK99" s="570"/>
      <c r="AL99" s="570"/>
      <c r="AM99" s="475" t="e">
        <f t="shared" si="68"/>
        <v>#N/A</v>
      </c>
      <c r="AN99" s="718"/>
      <c r="AO99" s="569"/>
      <c r="AP99" s="570"/>
      <c r="AQ99" s="570"/>
      <c r="AR99" s="475" t="e">
        <f t="shared" si="70"/>
        <v>#N/A</v>
      </c>
      <c r="AS99" s="718"/>
      <c r="AT99" s="569"/>
      <c r="AU99" s="570"/>
      <c r="AV99" s="570"/>
      <c r="AW99" s="475" t="e">
        <f t="shared" si="72"/>
        <v>#N/A</v>
      </c>
      <c r="AX99" s="690"/>
    </row>
    <row r="100" spans="2:50">
      <c r="B100" s="676"/>
      <c r="C100" s="301">
        <v>14</v>
      </c>
      <c r="D100" s="227"/>
      <c r="E100" s="182"/>
      <c r="F100" s="545"/>
      <c r="G100" s="546"/>
      <c r="H100" s="718"/>
      <c r="I100" s="202"/>
      <c r="J100" s="202"/>
      <c r="K100" s="202"/>
      <c r="L100" s="650"/>
      <c r="M100" s="201" t="e">
        <f>RANK(K100, K$87:$K$101)</f>
        <v>#DIV/0!</v>
      </c>
      <c r="N100" s="668"/>
      <c r="O100" s="668"/>
      <c r="P100" s="569"/>
      <c r="Q100" s="570"/>
      <c r="R100" s="570"/>
      <c r="S100" s="301" t="e">
        <f t="shared" si="75"/>
        <v>#N/A</v>
      </c>
      <c r="T100" s="718"/>
      <c r="U100" s="569"/>
      <c r="V100" s="570"/>
      <c r="W100" s="570"/>
      <c r="X100" s="475" t="e">
        <f t="shared" si="62"/>
        <v>#N/A</v>
      </c>
      <c r="Y100" s="718"/>
      <c r="Z100" s="569"/>
      <c r="AA100" s="570"/>
      <c r="AB100" s="570"/>
      <c r="AC100" s="475" t="e">
        <f t="shared" si="64"/>
        <v>#N/A</v>
      </c>
      <c r="AD100" s="718"/>
      <c r="AE100" s="569"/>
      <c r="AF100" s="570"/>
      <c r="AG100" s="570"/>
      <c r="AH100" s="475" t="e">
        <f t="shared" si="66"/>
        <v>#N/A</v>
      </c>
      <c r="AI100" s="718"/>
      <c r="AJ100" s="569"/>
      <c r="AK100" s="570"/>
      <c r="AL100" s="570"/>
      <c r="AM100" s="475" t="e">
        <f t="shared" si="68"/>
        <v>#N/A</v>
      </c>
      <c r="AN100" s="718"/>
      <c r="AO100" s="569"/>
      <c r="AP100" s="570"/>
      <c r="AQ100" s="570"/>
      <c r="AR100" s="475" t="e">
        <f t="shared" si="70"/>
        <v>#N/A</v>
      </c>
      <c r="AS100" s="718"/>
      <c r="AT100" s="569"/>
      <c r="AU100" s="570"/>
      <c r="AV100" s="570"/>
      <c r="AW100" s="475" t="e">
        <f t="shared" si="72"/>
        <v>#N/A</v>
      </c>
      <c r="AX100" s="690"/>
    </row>
    <row r="101" spans="2:50">
      <c r="B101" s="676"/>
      <c r="C101" s="301">
        <v>15</v>
      </c>
      <c r="D101" s="227"/>
      <c r="E101" s="182"/>
      <c r="F101" s="545"/>
      <c r="G101" s="546"/>
      <c r="H101" s="719"/>
      <c r="I101" s="202"/>
      <c r="J101" s="202"/>
      <c r="K101" s="202"/>
      <c r="L101" s="651"/>
      <c r="M101" s="199" t="e">
        <f>RANK(K101, K$87:$K$101)</f>
        <v>#DIV/0!</v>
      </c>
      <c r="N101" s="668"/>
      <c r="O101" s="668"/>
      <c r="P101" s="569"/>
      <c r="Q101" s="570"/>
      <c r="R101" s="570"/>
      <c r="S101" s="301" t="e">
        <f t="shared" si="75"/>
        <v>#N/A</v>
      </c>
      <c r="T101" s="719"/>
      <c r="U101" s="569"/>
      <c r="V101" s="570"/>
      <c r="W101" s="570"/>
      <c r="X101" s="475" t="e">
        <f t="shared" si="62"/>
        <v>#N/A</v>
      </c>
      <c r="Y101" s="719"/>
      <c r="Z101" s="569"/>
      <c r="AA101" s="570"/>
      <c r="AB101" s="570"/>
      <c r="AC101" s="475" t="e">
        <f t="shared" si="64"/>
        <v>#N/A</v>
      </c>
      <c r="AD101" s="719"/>
      <c r="AE101" s="569"/>
      <c r="AF101" s="570"/>
      <c r="AG101" s="570"/>
      <c r="AH101" s="475" t="e">
        <f t="shared" si="66"/>
        <v>#N/A</v>
      </c>
      <c r="AI101" s="719"/>
      <c r="AJ101" s="569"/>
      <c r="AK101" s="570"/>
      <c r="AL101" s="570"/>
      <c r="AM101" s="475" t="e">
        <f t="shared" si="68"/>
        <v>#N/A</v>
      </c>
      <c r="AN101" s="719"/>
      <c r="AO101" s="569"/>
      <c r="AP101" s="570"/>
      <c r="AQ101" s="570"/>
      <c r="AR101" s="475" t="e">
        <f t="shared" si="70"/>
        <v>#N/A</v>
      </c>
      <c r="AS101" s="719"/>
      <c r="AT101" s="569"/>
      <c r="AU101" s="570"/>
      <c r="AV101" s="570"/>
      <c r="AW101" s="475" t="e">
        <f t="shared" si="72"/>
        <v>#N/A</v>
      </c>
      <c r="AX101" s="690"/>
    </row>
    <row r="102" spans="2:50" ht="15.75">
      <c r="B102" s="680" t="s">
        <v>163</v>
      </c>
      <c r="C102" s="681"/>
      <c r="D102" s="681"/>
      <c r="E102" s="681"/>
      <c r="F102" s="681"/>
      <c r="G102" s="681"/>
      <c r="H102" s="682"/>
      <c r="I102" s="208"/>
      <c r="J102" s="208"/>
      <c r="K102" s="208"/>
      <c r="L102" s="208"/>
      <c r="M102" s="207"/>
      <c r="N102" s="669" t="s">
        <v>156</v>
      </c>
      <c r="O102" s="669" t="s">
        <v>105</v>
      </c>
      <c r="P102" s="675">
        <f>P82+7</f>
        <v>46119</v>
      </c>
      <c r="Q102" s="676"/>
      <c r="R102" s="676"/>
      <c r="S102" s="676"/>
      <c r="T102" s="676"/>
      <c r="U102" s="672">
        <f>P102+1</f>
        <v>46120</v>
      </c>
      <c r="V102" s="673"/>
      <c r="W102" s="673"/>
      <c r="X102" s="673"/>
      <c r="Y102" s="674"/>
      <c r="Z102" s="672">
        <f>U102+1</f>
        <v>46121</v>
      </c>
      <c r="AA102" s="673"/>
      <c r="AB102" s="673"/>
      <c r="AC102" s="673"/>
      <c r="AD102" s="674"/>
      <c r="AE102" s="672">
        <f>Z102+1</f>
        <v>46122</v>
      </c>
      <c r="AF102" s="673"/>
      <c r="AG102" s="673"/>
      <c r="AH102" s="673"/>
      <c r="AI102" s="674"/>
      <c r="AJ102" s="672">
        <f>AE102+1</f>
        <v>46123</v>
      </c>
      <c r="AK102" s="673"/>
      <c r="AL102" s="673"/>
      <c r="AM102" s="673"/>
      <c r="AN102" s="674"/>
      <c r="AO102" s="672">
        <f>AJ102+1</f>
        <v>46124</v>
      </c>
      <c r="AP102" s="673"/>
      <c r="AQ102" s="673"/>
      <c r="AR102" s="673"/>
      <c r="AS102" s="674"/>
      <c r="AT102" s="672">
        <f>AO102+1</f>
        <v>46125</v>
      </c>
      <c r="AU102" s="673"/>
      <c r="AV102" s="673"/>
      <c r="AW102" s="673"/>
      <c r="AX102" s="674"/>
    </row>
    <row r="103" spans="2:50" ht="15.75">
      <c r="B103" s="683"/>
      <c r="C103" s="683"/>
      <c r="D103" s="683"/>
      <c r="E103" s="683"/>
      <c r="F103" s="683"/>
      <c r="G103" s="683"/>
      <c r="H103" s="683"/>
      <c r="I103" s="205"/>
      <c r="J103" s="205"/>
      <c r="K103" s="205"/>
      <c r="L103" s="205"/>
      <c r="M103" s="206"/>
      <c r="N103" s="671"/>
      <c r="O103" s="671"/>
      <c r="P103" s="675" t="s">
        <v>158</v>
      </c>
      <c r="Q103" s="676"/>
      <c r="R103" s="676"/>
      <c r="S103" s="676"/>
      <c r="T103" s="676"/>
      <c r="U103" s="675" t="s">
        <v>114</v>
      </c>
      <c r="V103" s="676"/>
      <c r="W103" s="676"/>
      <c r="X103" s="676"/>
      <c r="Y103" s="676"/>
      <c r="Z103" s="675" t="s">
        <v>159</v>
      </c>
      <c r="AA103" s="676"/>
      <c r="AB103" s="676"/>
      <c r="AC103" s="676"/>
      <c r="AD103" s="676"/>
      <c r="AE103" s="675" t="s">
        <v>157</v>
      </c>
      <c r="AF103" s="676"/>
      <c r="AG103" s="676"/>
      <c r="AH103" s="676"/>
      <c r="AI103" s="676"/>
      <c r="AJ103" s="675" t="s">
        <v>160</v>
      </c>
      <c r="AK103" s="676"/>
      <c r="AL103" s="676"/>
      <c r="AM103" s="676"/>
      <c r="AN103" s="676"/>
      <c r="AO103" s="675" t="s">
        <v>115</v>
      </c>
      <c r="AP103" s="676"/>
      <c r="AQ103" s="676"/>
      <c r="AR103" s="676"/>
      <c r="AS103" s="676"/>
      <c r="AT103" s="675" t="s">
        <v>162</v>
      </c>
      <c r="AU103" s="676"/>
      <c r="AV103" s="676"/>
      <c r="AW103" s="676"/>
      <c r="AX103" s="676"/>
    </row>
    <row r="104" spans="2:50">
      <c r="B104" s="668" t="s">
        <v>154</v>
      </c>
      <c r="C104" s="668" t="s">
        <v>429</v>
      </c>
      <c r="D104" s="668"/>
      <c r="E104" s="668" t="s">
        <v>420</v>
      </c>
      <c r="F104" s="668"/>
      <c r="G104" s="668"/>
      <c r="H104" s="684" t="s">
        <v>416</v>
      </c>
      <c r="I104" s="652" t="s">
        <v>421</v>
      </c>
      <c r="J104" s="652"/>
      <c r="K104" s="652"/>
      <c r="L104" s="653" t="s">
        <v>416</v>
      </c>
      <c r="M104" s="659" t="s">
        <v>417</v>
      </c>
      <c r="N104" s="668"/>
      <c r="O104" s="668" t="s">
        <v>422</v>
      </c>
      <c r="P104" s="665" t="s">
        <v>418</v>
      </c>
      <c r="Q104" s="666"/>
      <c r="R104" s="666"/>
      <c r="S104" s="667"/>
      <c r="T104" s="668" t="s">
        <v>416</v>
      </c>
      <c r="U104" s="665" t="s">
        <v>418</v>
      </c>
      <c r="V104" s="666"/>
      <c r="W104" s="666"/>
      <c r="X104" s="667"/>
      <c r="Y104" s="668" t="s">
        <v>416</v>
      </c>
      <c r="Z104" s="665" t="s">
        <v>418</v>
      </c>
      <c r="AA104" s="666"/>
      <c r="AB104" s="666"/>
      <c r="AC104" s="667"/>
      <c r="AD104" s="668" t="s">
        <v>416</v>
      </c>
      <c r="AE104" s="665" t="s">
        <v>418</v>
      </c>
      <c r="AF104" s="666"/>
      <c r="AG104" s="666"/>
      <c r="AH104" s="667"/>
      <c r="AI104" s="668" t="s">
        <v>416</v>
      </c>
      <c r="AJ104" s="665" t="s">
        <v>418</v>
      </c>
      <c r="AK104" s="666"/>
      <c r="AL104" s="666"/>
      <c r="AM104" s="667"/>
      <c r="AN104" s="668" t="s">
        <v>416</v>
      </c>
      <c r="AO104" s="665" t="s">
        <v>418</v>
      </c>
      <c r="AP104" s="666"/>
      <c r="AQ104" s="666"/>
      <c r="AR104" s="667"/>
      <c r="AS104" s="668" t="s">
        <v>416</v>
      </c>
      <c r="AT104" s="665" t="s">
        <v>418</v>
      </c>
      <c r="AU104" s="666"/>
      <c r="AV104" s="666"/>
      <c r="AW104" s="667"/>
      <c r="AX104" s="668" t="s">
        <v>416</v>
      </c>
    </row>
    <row r="105" spans="2:50">
      <c r="B105" s="668"/>
      <c r="C105" s="668"/>
      <c r="D105" s="668"/>
      <c r="E105" s="668" t="s">
        <v>423</v>
      </c>
      <c r="F105" s="668"/>
      <c r="G105" s="668"/>
      <c r="H105" s="685"/>
      <c r="I105" s="652" t="s">
        <v>423</v>
      </c>
      <c r="J105" s="652"/>
      <c r="K105" s="652"/>
      <c r="L105" s="654"/>
      <c r="M105" s="660"/>
      <c r="N105" s="668"/>
      <c r="O105" s="668"/>
      <c r="P105" s="665" t="s">
        <v>424</v>
      </c>
      <c r="Q105" s="666"/>
      <c r="R105" s="666"/>
      <c r="S105" s="667"/>
      <c r="T105" s="668"/>
      <c r="U105" s="665" t="s">
        <v>424</v>
      </c>
      <c r="V105" s="666"/>
      <c r="W105" s="666"/>
      <c r="X105" s="667"/>
      <c r="Y105" s="668"/>
      <c r="Z105" s="665" t="s">
        <v>424</v>
      </c>
      <c r="AA105" s="666"/>
      <c r="AB105" s="666"/>
      <c r="AC105" s="667"/>
      <c r="AD105" s="668"/>
      <c r="AE105" s="665" t="s">
        <v>424</v>
      </c>
      <c r="AF105" s="666"/>
      <c r="AG105" s="666"/>
      <c r="AH105" s="667"/>
      <c r="AI105" s="668"/>
      <c r="AJ105" s="665" t="s">
        <v>424</v>
      </c>
      <c r="AK105" s="666"/>
      <c r="AL105" s="666"/>
      <c r="AM105" s="667"/>
      <c r="AN105" s="668"/>
      <c r="AO105" s="665" t="s">
        <v>424</v>
      </c>
      <c r="AP105" s="666"/>
      <c r="AQ105" s="666"/>
      <c r="AR105" s="667"/>
      <c r="AS105" s="668"/>
      <c r="AT105" s="665" t="s">
        <v>424</v>
      </c>
      <c r="AU105" s="666"/>
      <c r="AV105" s="666"/>
      <c r="AW105" s="667"/>
      <c r="AX105" s="668"/>
    </row>
    <row r="106" spans="2:50">
      <c r="B106" s="668"/>
      <c r="C106" s="668"/>
      <c r="D106" s="668"/>
      <c r="E106" s="344" t="s">
        <v>425</v>
      </c>
      <c r="F106" s="344" t="s">
        <v>426</v>
      </c>
      <c r="G106" s="344" t="s">
        <v>427</v>
      </c>
      <c r="H106" s="686"/>
      <c r="I106" s="345" t="s">
        <v>425</v>
      </c>
      <c r="J106" s="345" t="s">
        <v>426</v>
      </c>
      <c r="K106" s="345" t="s">
        <v>427</v>
      </c>
      <c r="L106" s="655"/>
      <c r="M106" s="661"/>
      <c r="N106" s="668"/>
      <c r="O106" s="668"/>
      <c r="P106" s="344" t="s">
        <v>425</v>
      </c>
      <c r="Q106" s="344" t="s">
        <v>426</v>
      </c>
      <c r="R106" s="344" t="s">
        <v>427</v>
      </c>
      <c r="S106" s="344" t="s">
        <v>417</v>
      </c>
      <c r="T106" s="668"/>
      <c r="U106" s="344" t="s">
        <v>425</v>
      </c>
      <c r="V106" s="344" t="s">
        <v>426</v>
      </c>
      <c r="W106" s="344" t="s">
        <v>427</v>
      </c>
      <c r="X106" s="344" t="s">
        <v>417</v>
      </c>
      <c r="Y106" s="668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68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68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68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68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68"/>
    </row>
    <row r="107" spans="2:50">
      <c r="B107" s="668" t="s">
        <v>132</v>
      </c>
      <c r="C107" s="343">
        <v>1</v>
      </c>
      <c r="D107" s="227"/>
      <c r="E107" s="182"/>
      <c r="F107" s="510"/>
      <c r="G107" s="511"/>
      <c r="H107" s="717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49" t="str">
        <f>IFERROR(AVERAGE(K107:K121),"-")</f>
        <v>-</v>
      </c>
      <c r="M107" s="201" t="e">
        <f>RANK(K107, K$107:$K$121)</f>
        <v>#DIV/0!</v>
      </c>
      <c r="N107" s="668"/>
      <c r="O107" s="668"/>
      <c r="P107" s="182"/>
      <c r="Q107" s="346"/>
      <c r="R107" s="346"/>
      <c r="S107" s="343" t="e">
        <f>RANK(R107, R$107:R$121)</f>
        <v>#N/A</v>
      </c>
      <c r="T107" s="717" t="e">
        <f>AVERAGE(R107:R121)</f>
        <v>#DIV/0!</v>
      </c>
      <c r="U107" s="182"/>
      <c r="V107" s="511"/>
      <c r="W107" s="511"/>
      <c r="X107" s="343" t="e">
        <f>RANK(W107, W$107:W$121)</f>
        <v>#N/A</v>
      </c>
      <c r="Y107" s="717" t="e">
        <f>AVERAGE(W107:W121)</f>
        <v>#DIV/0!</v>
      </c>
      <c r="Z107" s="182"/>
      <c r="AA107" s="511"/>
      <c r="AB107" s="511"/>
      <c r="AC107" s="343" t="e">
        <f>RANK(AB107, AB$107:AB$121)</f>
        <v>#N/A</v>
      </c>
      <c r="AD107" s="717" t="e">
        <f>AVERAGE(AB107:AB121)</f>
        <v>#DIV/0!</v>
      </c>
      <c r="AE107" s="182"/>
      <c r="AF107" s="511"/>
      <c r="AG107" s="511"/>
      <c r="AH107" s="343" t="e">
        <f>RANK(AG107, AG$107:AG$121)</f>
        <v>#N/A</v>
      </c>
      <c r="AI107" s="717" t="e">
        <f>AVERAGE(AG107:AG121)</f>
        <v>#DIV/0!</v>
      </c>
      <c r="AJ107" s="182"/>
      <c r="AK107" s="511"/>
      <c r="AL107" s="511"/>
      <c r="AM107" s="343" t="e">
        <f>RANK(AL107, AL$107:AL$121)</f>
        <v>#N/A</v>
      </c>
      <c r="AN107" s="717" t="e">
        <f>AVERAGE(AL107:AL121)</f>
        <v>#DIV/0!</v>
      </c>
      <c r="AO107" s="182"/>
      <c r="AP107" s="511"/>
      <c r="AQ107" s="511"/>
      <c r="AR107" s="343" t="e">
        <f>RANK(AQ107, AQ$107:AQ$121)</f>
        <v>#N/A</v>
      </c>
      <c r="AS107" s="717" t="e">
        <f>AVERAGE(AQ107:AQ121)</f>
        <v>#DIV/0!</v>
      </c>
      <c r="AT107" s="182"/>
      <c r="AU107" s="511"/>
      <c r="AV107" s="511"/>
      <c r="AW107" s="343" t="e">
        <f>RANK(AV107, AV$107:AV$121)</f>
        <v>#N/A</v>
      </c>
      <c r="AX107" s="690" t="e">
        <f>AVERAGE(AV107:AV121)</f>
        <v>#DIV/0!</v>
      </c>
    </row>
    <row r="108" spans="2:50">
      <c r="B108" s="676"/>
      <c r="C108" s="343">
        <v>2</v>
      </c>
      <c r="D108" s="227"/>
      <c r="E108" s="182"/>
      <c r="F108" s="510"/>
      <c r="G108" s="511"/>
      <c r="H108" s="718"/>
      <c r="I108" s="199" t="e">
        <f t="shared" ref="I108:I114" si="79">AVERAGE(P108,U108,Z108,AE108,AJ108,AO108,AT108)</f>
        <v>#DIV/0!</v>
      </c>
      <c r="J108" s="199" t="e">
        <f t="shared" ref="J108:J114" si="80">AVERAGE(Q108,V108,AA108,AF108,AK108,AP108,AU108)</f>
        <v>#DIV/0!</v>
      </c>
      <c r="K108" s="200" t="e">
        <f t="shared" ref="K108:K114" si="81">AVERAGE(R108,W108,AB108,AG108,AL108,AQ108,AV108)</f>
        <v>#DIV/0!</v>
      </c>
      <c r="L108" s="650"/>
      <c r="M108" s="358" t="e">
        <f>RANK(K108, K$107:$K$121)</f>
        <v>#DIV/0!</v>
      </c>
      <c r="N108" s="668"/>
      <c r="O108" s="668"/>
      <c r="P108" s="343"/>
      <c r="Q108" s="346"/>
      <c r="R108" s="346"/>
      <c r="S108" s="355" t="e">
        <f t="shared" ref="S108:S121" si="82">RANK(R108, R$107:R$121)</f>
        <v>#N/A</v>
      </c>
      <c r="T108" s="718"/>
      <c r="U108" s="510"/>
      <c r="V108" s="511"/>
      <c r="W108" s="511"/>
      <c r="X108" s="343" t="e">
        <f t="shared" ref="X108:X121" si="83">RANK(W108, W$107:W$121)</f>
        <v>#N/A</v>
      </c>
      <c r="Y108" s="718"/>
      <c r="Z108" s="510"/>
      <c r="AA108" s="511"/>
      <c r="AB108" s="511"/>
      <c r="AC108" s="343" t="e">
        <f t="shared" ref="AC108:AC121" si="84">RANK(AB108, AB$107:AB$121)</f>
        <v>#N/A</v>
      </c>
      <c r="AD108" s="718"/>
      <c r="AE108" s="510"/>
      <c r="AF108" s="511"/>
      <c r="AG108" s="511"/>
      <c r="AH108" s="343" t="e">
        <f t="shared" ref="AH108:AH121" si="85">RANK(AG108, AG$107:AG$121)</f>
        <v>#N/A</v>
      </c>
      <c r="AI108" s="718"/>
      <c r="AJ108" s="510"/>
      <c r="AK108" s="511"/>
      <c r="AL108" s="511"/>
      <c r="AM108" s="343" t="e">
        <f t="shared" ref="AM108:AM121" si="86">RANK(AL108, AL$107:AL$121)</f>
        <v>#N/A</v>
      </c>
      <c r="AN108" s="718"/>
      <c r="AO108" s="510"/>
      <c r="AP108" s="511"/>
      <c r="AQ108" s="511"/>
      <c r="AR108" s="343" t="e">
        <f t="shared" ref="AR108:AR121" si="87">RANK(AQ108, AQ$107:AQ$121)</f>
        <v>#N/A</v>
      </c>
      <c r="AS108" s="718"/>
      <c r="AT108" s="510"/>
      <c r="AU108" s="511"/>
      <c r="AV108" s="511"/>
      <c r="AW108" s="343" t="e">
        <f t="shared" ref="AW108:AW121" si="88">RANK(AV108, AV$107:AV$121)</f>
        <v>#N/A</v>
      </c>
      <c r="AX108" s="690"/>
    </row>
    <row r="109" spans="2:50">
      <c r="B109" s="676"/>
      <c r="C109" s="343">
        <v>3</v>
      </c>
      <c r="D109" s="227"/>
      <c r="E109" s="182"/>
      <c r="F109" s="510"/>
      <c r="G109" s="511"/>
      <c r="H109" s="718"/>
      <c r="I109" s="199" t="e">
        <f t="shared" si="79"/>
        <v>#DIV/0!</v>
      </c>
      <c r="J109" s="199" t="e">
        <f t="shared" si="80"/>
        <v>#DIV/0!</v>
      </c>
      <c r="K109" s="200" t="e">
        <f t="shared" si="81"/>
        <v>#DIV/0!</v>
      </c>
      <c r="L109" s="650"/>
      <c r="M109" s="358" t="e">
        <f>RANK(K109, K$107:$K$121)</f>
        <v>#DIV/0!</v>
      </c>
      <c r="N109" s="668"/>
      <c r="O109" s="668"/>
      <c r="P109" s="343"/>
      <c r="Q109" s="346"/>
      <c r="R109" s="346"/>
      <c r="S109" s="355" t="e">
        <f t="shared" si="82"/>
        <v>#N/A</v>
      </c>
      <c r="T109" s="718"/>
      <c r="U109" s="510"/>
      <c r="V109" s="511"/>
      <c r="W109" s="511"/>
      <c r="X109" s="343" t="e">
        <f t="shared" si="83"/>
        <v>#N/A</v>
      </c>
      <c r="Y109" s="718"/>
      <c r="Z109" s="510"/>
      <c r="AA109" s="511"/>
      <c r="AB109" s="511"/>
      <c r="AC109" s="343" t="e">
        <f t="shared" si="84"/>
        <v>#N/A</v>
      </c>
      <c r="AD109" s="718"/>
      <c r="AE109" s="510"/>
      <c r="AF109" s="511"/>
      <c r="AG109" s="511"/>
      <c r="AH109" s="343" t="e">
        <f t="shared" si="85"/>
        <v>#N/A</v>
      </c>
      <c r="AI109" s="718"/>
      <c r="AJ109" s="510"/>
      <c r="AK109" s="511"/>
      <c r="AL109" s="511"/>
      <c r="AM109" s="343" t="e">
        <f t="shared" si="86"/>
        <v>#N/A</v>
      </c>
      <c r="AN109" s="718"/>
      <c r="AO109" s="510"/>
      <c r="AP109" s="511"/>
      <c r="AQ109" s="511"/>
      <c r="AR109" s="343" t="e">
        <f t="shared" si="87"/>
        <v>#N/A</v>
      </c>
      <c r="AS109" s="718"/>
      <c r="AT109" s="510"/>
      <c r="AU109" s="511"/>
      <c r="AV109" s="511"/>
      <c r="AW109" s="343" t="e">
        <f t="shared" si="88"/>
        <v>#N/A</v>
      </c>
      <c r="AX109" s="690"/>
    </row>
    <row r="110" spans="2:50">
      <c r="B110" s="676"/>
      <c r="C110" s="343">
        <v>4</v>
      </c>
      <c r="D110" s="227"/>
      <c r="E110" s="182"/>
      <c r="F110" s="510"/>
      <c r="G110" s="511"/>
      <c r="H110" s="718"/>
      <c r="I110" s="199" t="e">
        <f t="shared" si="79"/>
        <v>#DIV/0!</v>
      </c>
      <c r="J110" s="199" t="e">
        <f t="shared" si="80"/>
        <v>#DIV/0!</v>
      </c>
      <c r="K110" s="200" t="e">
        <f t="shared" si="81"/>
        <v>#DIV/0!</v>
      </c>
      <c r="L110" s="650"/>
      <c r="M110" s="358" t="e">
        <f>RANK(K110, K$107:$K$121)</f>
        <v>#DIV/0!</v>
      </c>
      <c r="N110" s="668"/>
      <c r="O110" s="668"/>
      <c r="P110" s="343"/>
      <c r="Q110" s="346"/>
      <c r="R110" s="346"/>
      <c r="S110" s="355" t="e">
        <f t="shared" si="82"/>
        <v>#N/A</v>
      </c>
      <c r="T110" s="718"/>
      <c r="U110" s="510"/>
      <c r="V110" s="511"/>
      <c r="W110" s="511"/>
      <c r="X110" s="343" t="e">
        <f t="shared" si="83"/>
        <v>#N/A</v>
      </c>
      <c r="Y110" s="718"/>
      <c r="Z110" s="510"/>
      <c r="AA110" s="511"/>
      <c r="AB110" s="511"/>
      <c r="AC110" s="343" t="e">
        <f t="shared" si="84"/>
        <v>#N/A</v>
      </c>
      <c r="AD110" s="718"/>
      <c r="AE110" s="510"/>
      <c r="AF110" s="511"/>
      <c r="AG110" s="511"/>
      <c r="AH110" s="343" t="e">
        <f t="shared" si="85"/>
        <v>#N/A</v>
      </c>
      <c r="AI110" s="718"/>
      <c r="AJ110" s="510"/>
      <c r="AK110" s="511"/>
      <c r="AL110" s="511"/>
      <c r="AM110" s="343" t="e">
        <f t="shared" si="86"/>
        <v>#N/A</v>
      </c>
      <c r="AN110" s="718"/>
      <c r="AO110" s="510"/>
      <c r="AP110" s="511"/>
      <c r="AQ110" s="511"/>
      <c r="AR110" s="343" t="e">
        <f t="shared" si="87"/>
        <v>#N/A</v>
      </c>
      <c r="AS110" s="718"/>
      <c r="AT110" s="510"/>
      <c r="AU110" s="511"/>
      <c r="AV110" s="511"/>
      <c r="AW110" s="343" t="e">
        <f t="shared" si="88"/>
        <v>#N/A</v>
      </c>
      <c r="AX110" s="690"/>
    </row>
    <row r="111" spans="2:50">
      <c r="B111" s="676"/>
      <c r="C111" s="343">
        <v>5</v>
      </c>
      <c r="D111" s="227"/>
      <c r="E111" s="182"/>
      <c r="F111" s="510"/>
      <c r="G111" s="511"/>
      <c r="H111" s="718"/>
      <c r="I111" s="199" t="e">
        <f t="shared" si="79"/>
        <v>#DIV/0!</v>
      </c>
      <c r="J111" s="199" t="e">
        <f t="shared" si="80"/>
        <v>#DIV/0!</v>
      </c>
      <c r="K111" s="200" t="e">
        <f t="shared" si="81"/>
        <v>#DIV/0!</v>
      </c>
      <c r="L111" s="650"/>
      <c r="M111" s="358" t="e">
        <f>RANK(K111, K$107:$K$121)</f>
        <v>#DIV/0!</v>
      </c>
      <c r="N111" s="668"/>
      <c r="O111" s="668"/>
      <c r="P111" s="343"/>
      <c r="Q111" s="346"/>
      <c r="R111" s="346"/>
      <c r="S111" s="355" t="e">
        <f t="shared" si="82"/>
        <v>#N/A</v>
      </c>
      <c r="T111" s="718"/>
      <c r="U111" s="510"/>
      <c r="V111" s="511"/>
      <c r="W111" s="511"/>
      <c r="X111" s="343" t="e">
        <f t="shared" si="83"/>
        <v>#N/A</v>
      </c>
      <c r="Y111" s="718"/>
      <c r="Z111" s="510"/>
      <c r="AA111" s="511"/>
      <c r="AB111" s="511"/>
      <c r="AC111" s="343" t="e">
        <f t="shared" si="84"/>
        <v>#N/A</v>
      </c>
      <c r="AD111" s="718"/>
      <c r="AE111" s="510"/>
      <c r="AF111" s="511"/>
      <c r="AG111" s="511"/>
      <c r="AH111" s="343" t="e">
        <f t="shared" si="85"/>
        <v>#N/A</v>
      </c>
      <c r="AI111" s="718"/>
      <c r="AJ111" s="510"/>
      <c r="AK111" s="511"/>
      <c r="AL111" s="511"/>
      <c r="AM111" s="343" t="e">
        <f t="shared" si="86"/>
        <v>#N/A</v>
      </c>
      <c r="AN111" s="718"/>
      <c r="AO111" s="510"/>
      <c r="AP111" s="511"/>
      <c r="AQ111" s="511"/>
      <c r="AR111" s="343" t="e">
        <f t="shared" si="87"/>
        <v>#N/A</v>
      </c>
      <c r="AS111" s="718"/>
      <c r="AT111" s="510"/>
      <c r="AU111" s="511"/>
      <c r="AV111" s="511"/>
      <c r="AW111" s="343" t="e">
        <f t="shared" si="88"/>
        <v>#N/A</v>
      </c>
      <c r="AX111" s="690"/>
    </row>
    <row r="112" spans="2:50">
      <c r="B112" s="676"/>
      <c r="C112" s="343">
        <v>6</v>
      </c>
      <c r="D112" s="227"/>
      <c r="E112" s="182"/>
      <c r="F112" s="510"/>
      <c r="G112" s="511"/>
      <c r="H112" s="718"/>
      <c r="I112" s="199" t="e">
        <f t="shared" si="79"/>
        <v>#DIV/0!</v>
      </c>
      <c r="J112" s="199" t="e">
        <f t="shared" si="80"/>
        <v>#DIV/0!</v>
      </c>
      <c r="K112" s="200" t="e">
        <f t="shared" si="81"/>
        <v>#DIV/0!</v>
      </c>
      <c r="L112" s="650"/>
      <c r="M112" s="358" t="e">
        <f>RANK(K112, K$107:$K$121)</f>
        <v>#DIV/0!</v>
      </c>
      <c r="N112" s="668"/>
      <c r="O112" s="668"/>
      <c r="P112" s="343"/>
      <c r="Q112" s="346"/>
      <c r="R112" s="346"/>
      <c r="S112" s="355" t="e">
        <f t="shared" si="82"/>
        <v>#N/A</v>
      </c>
      <c r="T112" s="718"/>
      <c r="U112" s="510"/>
      <c r="V112" s="511"/>
      <c r="W112" s="511"/>
      <c r="X112" s="343" t="e">
        <f t="shared" si="83"/>
        <v>#N/A</v>
      </c>
      <c r="Y112" s="718"/>
      <c r="Z112" s="510"/>
      <c r="AA112" s="511"/>
      <c r="AB112" s="511"/>
      <c r="AC112" s="343" t="e">
        <f t="shared" si="84"/>
        <v>#N/A</v>
      </c>
      <c r="AD112" s="718"/>
      <c r="AE112" s="510"/>
      <c r="AF112" s="511"/>
      <c r="AG112" s="511"/>
      <c r="AH112" s="343" t="e">
        <f t="shared" si="85"/>
        <v>#N/A</v>
      </c>
      <c r="AI112" s="718"/>
      <c r="AJ112" s="510"/>
      <c r="AK112" s="511"/>
      <c r="AL112" s="511"/>
      <c r="AM112" s="343" t="e">
        <f t="shared" si="86"/>
        <v>#N/A</v>
      </c>
      <c r="AN112" s="718"/>
      <c r="AO112" s="510"/>
      <c r="AP112" s="511"/>
      <c r="AQ112" s="511"/>
      <c r="AR112" s="343" t="e">
        <f t="shared" si="87"/>
        <v>#N/A</v>
      </c>
      <c r="AS112" s="718"/>
      <c r="AT112" s="510"/>
      <c r="AU112" s="511"/>
      <c r="AV112" s="511"/>
      <c r="AW112" s="343" t="e">
        <f t="shared" si="88"/>
        <v>#N/A</v>
      </c>
      <c r="AX112" s="690"/>
    </row>
    <row r="113" spans="2:50">
      <c r="B113" s="676"/>
      <c r="C113" s="343">
        <v>7</v>
      </c>
      <c r="D113" s="227"/>
      <c r="E113" s="182"/>
      <c r="F113" s="510"/>
      <c r="G113" s="511"/>
      <c r="H113" s="718"/>
      <c r="I113" s="199" t="e">
        <f t="shared" si="79"/>
        <v>#DIV/0!</v>
      </c>
      <c r="J113" s="199" t="e">
        <f t="shared" si="80"/>
        <v>#DIV/0!</v>
      </c>
      <c r="K113" s="200" t="e">
        <f t="shared" si="81"/>
        <v>#DIV/0!</v>
      </c>
      <c r="L113" s="650"/>
      <c r="M113" s="358" t="e">
        <f>RANK(K113, K$107:$K$121)</f>
        <v>#DIV/0!</v>
      </c>
      <c r="N113" s="668"/>
      <c r="O113" s="668"/>
      <c r="P113" s="343"/>
      <c r="Q113" s="346"/>
      <c r="R113" s="346"/>
      <c r="S113" s="355" t="e">
        <f t="shared" si="82"/>
        <v>#N/A</v>
      </c>
      <c r="T113" s="718"/>
      <c r="U113" s="510"/>
      <c r="V113" s="511"/>
      <c r="W113" s="511"/>
      <c r="X113" s="343" t="e">
        <f t="shared" si="83"/>
        <v>#N/A</v>
      </c>
      <c r="Y113" s="718"/>
      <c r="Z113" s="510"/>
      <c r="AA113" s="511"/>
      <c r="AB113" s="511"/>
      <c r="AC113" s="343" t="e">
        <f t="shared" si="84"/>
        <v>#N/A</v>
      </c>
      <c r="AD113" s="718"/>
      <c r="AE113" s="510"/>
      <c r="AF113" s="511"/>
      <c r="AG113" s="511"/>
      <c r="AH113" s="343" t="e">
        <f t="shared" si="85"/>
        <v>#N/A</v>
      </c>
      <c r="AI113" s="718"/>
      <c r="AJ113" s="510"/>
      <c r="AK113" s="511"/>
      <c r="AL113" s="511"/>
      <c r="AM113" s="343" t="e">
        <f t="shared" si="86"/>
        <v>#N/A</v>
      </c>
      <c r="AN113" s="718"/>
      <c r="AO113" s="510"/>
      <c r="AP113" s="511"/>
      <c r="AQ113" s="511"/>
      <c r="AR113" s="343" t="e">
        <f t="shared" si="87"/>
        <v>#N/A</v>
      </c>
      <c r="AS113" s="718"/>
      <c r="AT113" s="510"/>
      <c r="AU113" s="511"/>
      <c r="AV113" s="511"/>
      <c r="AW113" s="343" t="e">
        <f t="shared" si="88"/>
        <v>#N/A</v>
      </c>
      <c r="AX113" s="690"/>
    </row>
    <row r="114" spans="2:50">
      <c r="B114" s="676"/>
      <c r="C114" s="343">
        <v>8</v>
      </c>
      <c r="D114" s="227"/>
      <c r="E114" s="182"/>
      <c r="F114" s="510"/>
      <c r="G114" s="511"/>
      <c r="H114" s="718"/>
      <c r="I114" s="199" t="e">
        <f t="shared" si="79"/>
        <v>#DIV/0!</v>
      </c>
      <c r="J114" s="199" t="e">
        <f t="shared" si="80"/>
        <v>#DIV/0!</v>
      </c>
      <c r="K114" s="200" t="e">
        <f t="shared" si="81"/>
        <v>#DIV/0!</v>
      </c>
      <c r="L114" s="650"/>
      <c r="M114" s="358" t="e">
        <f>RANK(K114, K$107:$K$121)</f>
        <v>#DIV/0!</v>
      </c>
      <c r="N114" s="668"/>
      <c r="O114" s="668"/>
      <c r="P114" s="343"/>
      <c r="Q114" s="346"/>
      <c r="R114" s="346"/>
      <c r="S114" s="355" t="e">
        <f t="shared" si="82"/>
        <v>#N/A</v>
      </c>
      <c r="T114" s="718"/>
      <c r="U114" s="510"/>
      <c r="V114" s="511"/>
      <c r="W114" s="511"/>
      <c r="X114" s="343" t="e">
        <f t="shared" si="83"/>
        <v>#N/A</v>
      </c>
      <c r="Y114" s="718"/>
      <c r="Z114" s="510"/>
      <c r="AA114" s="511"/>
      <c r="AB114" s="511"/>
      <c r="AC114" s="343" t="e">
        <f t="shared" si="84"/>
        <v>#N/A</v>
      </c>
      <c r="AD114" s="718"/>
      <c r="AE114" s="510"/>
      <c r="AF114" s="511"/>
      <c r="AG114" s="511"/>
      <c r="AH114" s="343" t="e">
        <f t="shared" si="85"/>
        <v>#N/A</v>
      </c>
      <c r="AI114" s="718"/>
      <c r="AJ114" s="510"/>
      <c r="AK114" s="511"/>
      <c r="AL114" s="511"/>
      <c r="AM114" s="343" t="e">
        <f t="shared" si="86"/>
        <v>#N/A</v>
      </c>
      <c r="AN114" s="718"/>
      <c r="AO114" s="510"/>
      <c r="AP114" s="511"/>
      <c r="AQ114" s="511"/>
      <c r="AR114" s="343" t="e">
        <f t="shared" si="87"/>
        <v>#N/A</v>
      </c>
      <c r="AS114" s="718"/>
      <c r="AT114" s="510"/>
      <c r="AU114" s="511"/>
      <c r="AV114" s="511"/>
      <c r="AW114" s="343" t="e">
        <f t="shared" si="88"/>
        <v>#N/A</v>
      </c>
      <c r="AX114" s="690"/>
    </row>
    <row r="115" spans="2:50">
      <c r="B115" s="676"/>
      <c r="C115" s="343">
        <v>9</v>
      </c>
      <c r="D115" s="227"/>
      <c r="E115" s="182"/>
      <c r="F115" s="510"/>
      <c r="G115" s="511"/>
      <c r="H115" s="718"/>
      <c r="I115" s="357" t="e">
        <f t="shared" ref="I115:I116" si="89">AVERAGE(P115,U115,Z115,AE115,AJ115,AO115,AT115)</f>
        <v>#DIV/0!</v>
      </c>
      <c r="J115" s="357" t="e">
        <f t="shared" ref="J115:J116" si="90">AVERAGE(Q115,V115,AA115,AF115,AK115,AP115,AU115)</f>
        <v>#DIV/0!</v>
      </c>
      <c r="K115" s="200" t="e">
        <f t="shared" ref="K115:K116" si="91">AVERAGE(R115,W115,AB115,AG115,AL115,AQ115,AV115)</f>
        <v>#DIV/0!</v>
      </c>
      <c r="L115" s="650"/>
      <c r="M115" s="358" t="e">
        <f>RANK(K115, K$107:$K$121)</f>
        <v>#DIV/0!</v>
      </c>
      <c r="N115" s="668"/>
      <c r="O115" s="668"/>
      <c r="P115" s="343"/>
      <c r="Q115" s="346"/>
      <c r="R115" s="346"/>
      <c r="S115" s="355" t="e">
        <f t="shared" si="82"/>
        <v>#N/A</v>
      </c>
      <c r="T115" s="718"/>
      <c r="U115" s="510"/>
      <c r="V115" s="511"/>
      <c r="W115" s="511"/>
      <c r="X115" s="343" t="e">
        <f t="shared" si="83"/>
        <v>#N/A</v>
      </c>
      <c r="Y115" s="718"/>
      <c r="Z115" s="510"/>
      <c r="AA115" s="511"/>
      <c r="AB115" s="511"/>
      <c r="AC115" s="343" t="e">
        <f t="shared" si="84"/>
        <v>#N/A</v>
      </c>
      <c r="AD115" s="718"/>
      <c r="AE115" s="510"/>
      <c r="AF115" s="511"/>
      <c r="AG115" s="511"/>
      <c r="AH115" s="343" t="e">
        <f t="shared" si="85"/>
        <v>#N/A</v>
      </c>
      <c r="AI115" s="718"/>
      <c r="AJ115" s="510"/>
      <c r="AK115" s="511"/>
      <c r="AL115" s="511"/>
      <c r="AM115" s="343" t="e">
        <f t="shared" si="86"/>
        <v>#N/A</v>
      </c>
      <c r="AN115" s="718"/>
      <c r="AO115" s="510"/>
      <c r="AP115" s="511"/>
      <c r="AQ115" s="511"/>
      <c r="AR115" s="343" t="e">
        <f t="shared" si="87"/>
        <v>#N/A</v>
      </c>
      <c r="AS115" s="718"/>
      <c r="AT115" s="510"/>
      <c r="AU115" s="511"/>
      <c r="AV115" s="511"/>
      <c r="AW115" s="343" t="e">
        <f t="shared" si="88"/>
        <v>#N/A</v>
      </c>
      <c r="AX115" s="690"/>
    </row>
    <row r="116" spans="2:50">
      <c r="B116" s="676"/>
      <c r="C116" s="343">
        <v>10</v>
      </c>
      <c r="D116" s="227"/>
      <c r="E116" s="182"/>
      <c r="F116" s="510"/>
      <c r="G116" s="511"/>
      <c r="H116" s="718"/>
      <c r="I116" s="357" t="e">
        <f t="shared" si="89"/>
        <v>#DIV/0!</v>
      </c>
      <c r="J116" s="357" t="e">
        <f t="shared" si="90"/>
        <v>#DIV/0!</v>
      </c>
      <c r="K116" s="200" t="e">
        <f t="shared" si="91"/>
        <v>#DIV/0!</v>
      </c>
      <c r="L116" s="650"/>
      <c r="M116" s="358" t="e">
        <f>RANK(K116, K$107:$K$121)</f>
        <v>#DIV/0!</v>
      </c>
      <c r="N116" s="668"/>
      <c r="O116" s="668"/>
      <c r="P116" s="343"/>
      <c r="Q116" s="346"/>
      <c r="R116" s="346"/>
      <c r="S116" s="355" t="e">
        <f t="shared" si="82"/>
        <v>#N/A</v>
      </c>
      <c r="T116" s="718"/>
      <c r="U116" s="510"/>
      <c r="V116" s="511"/>
      <c r="W116" s="511"/>
      <c r="X116" s="343" t="e">
        <f t="shared" si="83"/>
        <v>#N/A</v>
      </c>
      <c r="Y116" s="718"/>
      <c r="Z116" s="510"/>
      <c r="AA116" s="511"/>
      <c r="AB116" s="511"/>
      <c r="AC116" s="343" t="e">
        <f t="shared" si="84"/>
        <v>#N/A</v>
      </c>
      <c r="AD116" s="718"/>
      <c r="AE116" s="510"/>
      <c r="AF116" s="511"/>
      <c r="AG116" s="511"/>
      <c r="AH116" s="343" t="e">
        <f t="shared" si="85"/>
        <v>#N/A</v>
      </c>
      <c r="AI116" s="718"/>
      <c r="AJ116" s="510"/>
      <c r="AK116" s="511"/>
      <c r="AL116" s="511"/>
      <c r="AM116" s="343" t="e">
        <f t="shared" si="86"/>
        <v>#N/A</v>
      </c>
      <c r="AN116" s="718"/>
      <c r="AO116" s="510"/>
      <c r="AP116" s="511"/>
      <c r="AQ116" s="511"/>
      <c r="AR116" s="343" t="e">
        <f t="shared" si="87"/>
        <v>#N/A</v>
      </c>
      <c r="AS116" s="718"/>
      <c r="AT116" s="510"/>
      <c r="AU116" s="511"/>
      <c r="AV116" s="511"/>
      <c r="AW116" s="343" t="e">
        <f t="shared" si="88"/>
        <v>#N/A</v>
      </c>
      <c r="AX116" s="690"/>
    </row>
    <row r="117" spans="2:50">
      <c r="B117" s="676"/>
      <c r="C117" s="343">
        <v>11</v>
      </c>
      <c r="D117" s="227"/>
      <c r="E117" s="182"/>
      <c r="F117" s="510"/>
      <c r="G117" s="511"/>
      <c r="H117" s="718"/>
      <c r="I117" s="202"/>
      <c r="J117" s="202"/>
      <c r="K117" s="202"/>
      <c r="L117" s="650"/>
      <c r="M117" s="358" t="e">
        <f>RANK(K117, K$107:$K$121)</f>
        <v>#DIV/0!</v>
      </c>
      <c r="N117" s="668"/>
      <c r="O117" s="668"/>
      <c r="P117" s="343"/>
      <c r="Q117" s="346"/>
      <c r="R117" s="346"/>
      <c r="S117" s="355" t="e">
        <f t="shared" si="82"/>
        <v>#N/A</v>
      </c>
      <c r="T117" s="718"/>
      <c r="U117" s="510"/>
      <c r="V117" s="511"/>
      <c r="W117" s="511"/>
      <c r="X117" s="343" t="e">
        <f t="shared" si="83"/>
        <v>#N/A</v>
      </c>
      <c r="Y117" s="718"/>
      <c r="Z117" s="510"/>
      <c r="AA117" s="511"/>
      <c r="AB117" s="511"/>
      <c r="AC117" s="343" t="e">
        <f t="shared" si="84"/>
        <v>#N/A</v>
      </c>
      <c r="AD117" s="718"/>
      <c r="AE117" s="510"/>
      <c r="AF117" s="511"/>
      <c r="AG117" s="511"/>
      <c r="AH117" s="343" t="e">
        <f t="shared" si="85"/>
        <v>#N/A</v>
      </c>
      <c r="AI117" s="718"/>
      <c r="AJ117" s="510"/>
      <c r="AK117" s="511"/>
      <c r="AL117" s="511"/>
      <c r="AM117" s="343" t="e">
        <f t="shared" si="86"/>
        <v>#N/A</v>
      </c>
      <c r="AN117" s="718"/>
      <c r="AO117" s="510"/>
      <c r="AP117" s="511"/>
      <c r="AQ117" s="511"/>
      <c r="AR117" s="343" t="e">
        <f t="shared" si="87"/>
        <v>#N/A</v>
      </c>
      <c r="AS117" s="718"/>
      <c r="AT117" s="510"/>
      <c r="AU117" s="511"/>
      <c r="AV117" s="511"/>
      <c r="AW117" s="343" t="e">
        <f t="shared" si="88"/>
        <v>#N/A</v>
      </c>
      <c r="AX117" s="690"/>
    </row>
    <row r="118" spans="2:50">
      <c r="B118" s="676"/>
      <c r="C118" s="343">
        <v>12</v>
      </c>
      <c r="D118" s="227"/>
      <c r="E118" s="182"/>
      <c r="F118" s="510"/>
      <c r="G118" s="511"/>
      <c r="H118" s="718"/>
      <c r="I118" s="202"/>
      <c r="J118" s="202"/>
      <c r="K118" s="202"/>
      <c r="L118" s="650"/>
      <c r="M118" s="358" t="e">
        <f>RANK(K118, K$107:$K$121)</f>
        <v>#DIV/0!</v>
      </c>
      <c r="N118" s="668"/>
      <c r="O118" s="668"/>
      <c r="P118" s="343"/>
      <c r="Q118" s="346"/>
      <c r="R118" s="346"/>
      <c r="S118" s="355" t="e">
        <f t="shared" si="82"/>
        <v>#N/A</v>
      </c>
      <c r="T118" s="718"/>
      <c r="U118" s="510"/>
      <c r="V118" s="511"/>
      <c r="W118" s="511"/>
      <c r="X118" s="343" t="e">
        <f t="shared" si="83"/>
        <v>#N/A</v>
      </c>
      <c r="Y118" s="718"/>
      <c r="Z118" s="510"/>
      <c r="AA118" s="511"/>
      <c r="AB118" s="511"/>
      <c r="AC118" s="343" t="e">
        <f t="shared" si="84"/>
        <v>#N/A</v>
      </c>
      <c r="AD118" s="718"/>
      <c r="AE118" s="510"/>
      <c r="AF118" s="511"/>
      <c r="AG118" s="511"/>
      <c r="AH118" s="343" t="e">
        <f t="shared" si="85"/>
        <v>#N/A</v>
      </c>
      <c r="AI118" s="718"/>
      <c r="AJ118" s="510"/>
      <c r="AK118" s="511"/>
      <c r="AL118" s="511"/>
      <c r="AM118" s="343" t="e">
        <f t="shared" si="86"/>
        <v>#N/A</v>
      </c>
      <c r="AN118" s="718"/>
      <c r="AO118" s="510"/>
      <c r="AP118" s="511"/>
      <c r="AQ118" s="511"/>
      <c r="AR118" s="343" t="e">
        <f t="shared" si="87"/>
        <v>#N/A</v>
      </c>
      <c r="AS118" s="718"/>
      <c r="AT118" s="510"/>
      <c r="AU118" s="511"/>
      <c r="AV118" s="511"/>
      <c r="AW118" s="343" t="e">
        <f t="shared" si="88"/>
        <v>#N/A</v>
      </c>
      <c r="AX118" s="690"/>
    </row>
    <row r="119" spans="2:50">
      <c r="B119" s="676"/>
      <c r="C119" s="343">
        <v>13</v>
      </c>
      <c r="D119" s="227"/>
      <c r="E119" s="182"/>
      <c r="F119" s="510"/>
      <c r="G119" s="511"/>
      <c r="H119" s="718"/>
      <c r="I119" s="202"/>
      <c r="J119" s="202"/>
      <c r="K119" s="202"/>
      <c r="L119" s="650"/>
      <c r="M119" s="358" t="e">
        <f>RANK(K119, K$107:$K$121)</f>
        <v>#DIV/0!</v>
      </c>
      <c r="N119" s="668"/>
      <c r="O119" s="668"/>
      <c r="P119" s="343"/>
      <c r="Q119" s="346"/>
      <c r="R119" s="346"/>
      <c r="S119" s="355" t="e">
        <f t="shared" si="82"/>
        <v>#N/A</v>
      </c>
      <c r="T119" s="718"/>
      <c r="U119" s="510"/>
      <c r="V119" s="511"/>
      <c r="W119" s="511"/>
      <c r="X119" s="343" t="e">
        <f t="shared" si="83"/>
        <v>#N/A</v>
      </c>
      <c r="Y119" s="718"/>
      <c r="Z119" s="510"/>
      <c r="AA119" s="511"/>
      <c r="AB119" s="511"/>
      <c r="AC119" s="343" t="e">
        <f t="shared" si="84"/>
        <v>#N/A</v>
      </c>
      <c r="AD119" s="718"/>
      <c r="AE119" s="510"/>
      <c r="AF119" s="511"/>
      <c r="AG119" s="511"/>
      <c r="AH119" s="343" t="e">
        <f t="shared" si="85"/>
        <v>#N/A</v>
      </c>
      <c r="AI119" s="718"/>
      <c r="AJ119" s="510"/>
      <c r="AK119" s="511"/>
      <c r="AL119" s="511"/>
      <c r="AM119" s="343" t="e">
        <f t="shared" si="86"/>
        <v>#N/A</v>
      </c>
      <c r="AN119" s="718"/>
      <c r="AO119" s="510"/>
      <c r="AP119" s="511"/>
      <c r="AQ119" s="511"/>
      <c r="AR119" s="343" t="e">
        <f t="shared" si="87"/>
        <v>#N/A</v>
      </c>
      <c r="AS119" s="718"/>
      <c r="AT119" s="510"/>
      <c r="AU119" s="511"/>
      <c r="AV119" s="511"/>
      <c r="AW119" s="343" t="e">
        <f t="shared" si="88"/>
        <v>#N/A</v>
      </c>
      <c r="AX119" s="690"/>
    </row>
    <row r="120" spans="2:50">
      <c r="B120" s="676"/>
      <c r="C120" s="343">
        <v>14</v>
      </c>
      <c r="D120" s="227"/>
      <c r="E120" s="182"/>
      <c r="F120" s="510"/>
      <c r="G120" s="511"/>
      <c r="H120" s="718"/>
      <c r="I120" s="202"/>
      <c r="J120" s="202"/>
      <c r="K120" s="202"/>
      <c r="L120" s="650"/>
      <c r="M120" s="358" t="e">
        <f>RANK(K120, K$107:$K$121)</f>
        <v>#DIV/0!</v>
      </c>
      <c r="N120" s="668"/>
      <c r="O120" s="668"/>
      <c r="P120" s="343"/>
      <c r="Q120" s="346"/>
      <c r="R120" s="346"/>
      <c r="S120" s="355" t="e">
        <f t="shared" si="82"/>
        <v>#N/A</v>
      </c>
      <c r="T120" s="718"/>
      <c r="U120" s="510"/>
      <c r="V120" s="511"/>
      <c r="W120" s="511"/>
      <c r="X120" s="343" t="e">
        <f t="shared" si="83"/>
        <v>#N/A</v>
      </c>
      <c r="Y120" s="718"/>
      <c r="Z120" s="510"/>
      <c r="AA120" s="511"/>
      <c r="AB120" s="511"/>
      <c r="AC120" s="343" t="e">
        <f t="shared" si="84"/>
        <v>#N/A</v>
      </c>
      <c r="AD120" s="718"/>
      <c r="AE120" s="510"/>
      <c r="AF120" s="511"/>
      <c r="AG120" s="511"/>
      <c r="AH120" s="343" t="e">
        <f t="shared" si="85"/>
        <v>#N/A</v>
      </c>
      <c r="AI120" s="718"/>
      <c r="AJ120" s="510"/>
      <c r="AK120" s="511"/>
      <c r="AL120" s="511"/>
      <c r="AM120" s="343" t="e">
        <f t="shared" si="86"/>
        <v>#N/A</v>
      </c>
      <c r="AN120" s="718"/>
      <c r="AO120" s="510"/>
      <c r="AP120" s="511"/>
      <c r="AQ120" s="511"/>
      <c r="AR120" s="343" t="e">
        <f t="shared" si="87"/>
        <v>#N/A</v>
      </c>
      <c r="AS120" s="718"/>
      <c r="AT120" s="510"/>
      <c r="AU120" s="511"/>
      <c r="AV120" s="511"/>
      <c r="AW120" s="343" t="e">
        <f t="shared" si="88"/>
        <v>#N/A</v>
      </c>
      <c r="AX120" s="690"/>
    </row>
    <row r="121" spans="2:50">
      <c r="B121" s="676"/>
      <c r="C121" s="343">
        <v>15</v>
      </c>
      <c r="D121" s="227"/>
      <c r="E121" s="182"/>
      <c r="F121" s="510"/>
      <c r="G121" s="511"/>
      <c r="H121" s="719"/>
      <c r="I121" s="202"/>
      <c r="J121" s="202"/>
      <c r="K121" s="202"/>
      <c r="L121" s="651"/>
      <c r="M121" s="358" t="e">
        <f>RANK(K121, K$107:$K$121)</f>
        <v>#DIV/0!</v>
      </c>
      <c r="N121" s="668"/>
      <c r="O121" s="668"/>
      <c r="P121" s="343"/>
      <c r="Q121" s="346"/>
      <c r="R121" s="346"/>
      <c r="S121" s="355" t="e">
        <f t="shared" si="82"/>
        <v>#N/A</v>
      </c>
      <c r="T121" s="719"/>
      <c r="U121" s="510"/>
      <c r="V121" s="511"/>
      <c r="W121" s="511"/>
      <c r="X121" s="343" t="e">
        <f t="shared" si="83"/>
        <v>#N/A</v>
      </c>
      <c r="Y121" s="719"/>
      <c r="Z121" s="510"/>
      <c r="AA121" s="511"/>
      <c r="AB121" s="511"/>
      <c r="AC121" s="343" t="e">
        <f t="shared" si="84"/>
        <v>#N/A</v>
      </c>
      <c r="AD121" s="719"/>
      <c r="AE121" s="510"/>
      <c r="AF121" s="511"/>
      <c r="AG121" s="511"/>
      <c r="AH121" s="343" t="e">
        <f t="shared" si="85"/>
        <v>#N/A</v>
      </c>
      <c r="AI121" s="719"/>
      <c r="AJ121" s="510"/>
      <c r="AK121" s="511"/>
      <c r="AL121" s="511"/>
      <c r="AM121" s="343" t="e">
        <f t="shared" si="86"/>
        <v>#N/A</v>
      </c>
      <c r="AN121" s="719"/>
      <c r="AO121" s="510"/>
      <c r="AP121" s="511"/>
      <c r="AQ121" s="511"/>
      <c r="AR121" s="343" t="e">
        <f t="shared" si="87"/>
        <v>#N/A</v>
      </c>
      <c r="AS121" s="719"/>
      <c r="AT121" s="510"/>
      <c r="AU121" s="511"/>
      <c r="AV121" s="511"/>
      <c r="AW121" s="343" t="e">
        <f t="shared" si="88"/>
        <v>#N/A</v>
      </c>
      <c r="AX121" s="690"/>
    </row>
    <row r="123" spans="2:50" ht="15.75">
      <c r="B123" s="707" t="s">
        <v>660</v>
      </c>
      <c r="C123" s="708"/>
      <c r="D123" s="708"/>
      <c r="E123" s="708"/>
      <c r="F123" s="708"/>
      <c r="G123" s="708"/>
      <c r="H123" s="709"/>
      <c r="I123" s="347"/>
      <c r="J123" s="347"/>
      <c r="K123" s="347"/>
      <c r="L123" s="347"/>
      <c r="M123" s="348"/>
    </row>
    <row r="124" spans="2:50" ht="15.75">
      <c r="B124" s="710"/>
      <c r="C124" s="710"/>
      <c r="D124" s="710"/>
      <c r="E124" s="710"/>
      <c r="F124" s="710"/>
      <c r="G124" s="710"/>
      <c r="H124" s="710"/>
      <c r="I124" s="349"/>
      <c r="J124" s="349"/>
      <c r="K124" s="349"/>
      <c r="L124" s="349"/>
      <c r="M124" s="350"/>
    </row>
    <row r="125" spans="2:50">
      <c r="B125" s="668" t="s">
        <v>661</v>
      </c>
      <c r="C125" s="668" t="s">
        <v>662</v>
      </c>
      <c r="D125" s="668"/>
      <c r="E125" s="668" t="s">
        <v>663</v>
      </c>
      <c r="F125" s="668"/>
      <c r="G125" s="668"/>
      <c r="H125" s="684" t="s">
        <v>664</v>
      </c>
      <c r="I125" s="711" t="s">
        <v>665</v>
      </c>
      <c r="J125" s="711"/>
      <c r="K125" s="711"/>
      <c r="L125" s="727" t="s">
        <v>664</v>
      </c>
      <c r="M125" s="730" t="s">
        <v>666</v>
      </c>
    </row>
    <row r="126" spans="2:50">
      <c r="B126" s="668"/>
      <c r="C126" s="668"/>
      <c r="D126" s="668"/>
      <c r="E126" s="668" t="s">
        <v>667</v>
      </c>
      <c r="F126" s="668"/>
      <c r="G126" s="668"/>
      <c r="H126" s="685"/>
      <c r="I126" s="711" t="s">
        <v>667</v>
      </c>
      <c r="J126" s="711"/>
      <c r="K126" s="711"/>
      <c r="L126" s="728"/>
      <c r="M126" s="731"/>
    </row>
    <row r="127" spans="2:50">
      <c r="B127" s="668"/>
      <c r="C127" s="668"/>
      <c r="D127" s="668"/>
      <c r="E127" s="344" t="s">
        <v>668</v>
      </c>
      <c r="F127" s="344" t="s">
        <v>669</v>
      </c>
      <c r="G127" s="344" t="s">
        <v>670</v>
      </c>
      <c r="H127" s="686"/>
      <c r="I127" s="351" t="s">
        <v>668</v>
      </c>
      <c r="J127" s="351" t="s">
        <v>669</v>
      </c>
      <c r="K127" s="351" t="s">
        <v>670</v>
      </c>
      <c r="L127" s="729"/>
      <c r="M127" s="732"/>
    </row>
    <row r="128" spans="2:50">
      <c r="B128" s="668" t="s">
        <v>676</v>
      </c>
      <c r="C128" s="343">
        <v>1</v>
      </c>
      <c r="D128" s="227"/>
      <c r="E128" s="182"/>
      <c r="F128" s="343"/>
      <c r="G128" s="346"/>
      <c r="H128" s="717" t="e">
        <f>AVERAGE(G128:G142)</f>
        <v>#DIV/0!</v>
      </c>
      <c r="I128" s="199" t="e">
        <f t="shared" ref="I128:J135" si="92">AVERAGEIF($D$7:$D$121,$D128,I$7:I$121)</f>
        <v>#DIV/0!</v>
      </c>
      <c r="J128" s="199" t="e">
        <f t="shared" si="92"/>
        <v>#DIV/0!</v>
      </c>
      <c r="K128" s="199" t="e">
        <f t="shared" ref="K128:K135" si="93">AVERAGEIF($D$7:$D$121,$D128,K$7:K$121)</f>
        <v>#DIV/0!</v>
      </c>
      <c r="L128" s="724" t="e">
        <f>AVERAGE(K128:K142)</f>
        <v>#DIV/0!</v>
      </c>
      <c r="M128" s="199" t="e">
        <f>RANK(K128, K$128:$K$142)</f>
        <v>#DIV/0!</v>
      </c>
    </row>
    <row r="129" spans="2:13" s="108" customFormat="1">
      <c r="B129" s="676"/>
      <c r="C129" s="343">
        <v>2</v>
      </c>
      <c r="D129" s="227"/>
      <c r="E129" s="182"/>
      <c r="F129" s="343"/>
      <c r="G129" s="346"/>
      <c r="H129" s="718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725"/>
      <c r="M129" s="199" t="e">
        <f>RANK(K129, K$128:$K$142)</f>
        <v>#DIV/0!</v>
      </c>
    </row>
    <row r="130" spans="2:13" s="108" customFormat="1">
      <c r="B130" s="676"/>
      <c r="C130" s="343">
        <v>3</v>
      </c>
      <c r="D130" s="227"/>
      <c r="E130" s="182"/>
      <c r="F130" s="343"/>
      <c r="G130" s="346"/>
      <c r="H130" s="718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725"/>
      <c r="M130" s="199" t="e">
        <f>RANK(K130, K$128:$K$142)</f>
        <v>#DIV/0!</v>
      </c>
    </row>
    <row r="131" spans="2:13" s="108" customFormat="1">
      <c r="B131" s="676"/>
      <c r="C131" s="343">
        <v>4</v>
      </c>
      <c r="D131" s="227"/>
      <c r="E131" s="182"/>
      <c r="F131" s="343"/>
      <c r="G131" s="346"/>
      <c r="H131" s="718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725"/>
      <c r="M131" s="199" t="e">
        <f>RANK(K131, K$128:$K$142)</f>
        <v>#DIV/0!</v>
      </c>
    </row>
    <row r="132" spans="2:13" s="108" customFormat="1">
      <c r="B132" s="676"/>
      <c r="C132" s="343">
        <v>5</v>
      </c>
      <c r="D132" s="227"/>
      <c r="E132" s="182"/>
      <c r="F132" s="343"/>
      <c r="G132" s="346"/>
      <c r="H132" s="718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725"/>
      <c r="M132" s="199" t="e">
        <f>RANK(K132, K$128:$K$142)</f>
        <v>#DIV/0!</v>
      </c>
    </row>
    <row r="133" spans="2:13" s="108" customFormat="1">
      <c r="B133" s="676"/>
      <c r="C133" s="343">
        <v>6</v>
      </c>
      <c r="D133" s="352"/>
      <c r="E133" s="182"/>
      <c r="F133" s="343"/>
      <c r="G133" s="346"/>
      <c r="H133" s="718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725"/>
      <c r="M133" s="199" t="e">
        <f>RANK(K133, K$128:$K$142)</f>
        <v>#DIV/0!</v>
      </c>
    </row>
    <row r="134" spans="2:13" s="108" customFormat="1">
      <c r="B134" s="676"/>
      <c r="C134" s="343">
        <v>7</v>
      </c>
      <c r="D134" s="227"/>
      <c r="E134" s="182"/>
      <c r="F134" s="343"/>
      <c r="G134" s="346"/>
      <c r="H134" s="718"/>
      <c r="I134" s="199" t="e">
        <f t="shared" si="92"/>
        <v>#DIV/0!</v>
      </c>
      <c r="J134" s="199" t="e">
        <f t="shared" si="92"/>
        <v>#DIV/0!</v>
      </c>
      <c r="K134" s="199" t="e">
        <f t="shared" si="93"/>
        <v>#DIV/0!</v>
      </c>
      <c r="L134" s="725"/>
      <c r="M134" s="199" t="e">
        <f>RANK(K134, K$128:$K$142)</f>
        <v>#DIV/0!</v>
      </c>
    </row>
    <row r="135" spans="2:13" s="108" customFormat="1">
      <c r="B135" s="676"/>
      <c r="C135" s="343">
        <v>8</v>
      </c>
      <c r="D135" s="227"/>
      <c r="E135" s="182"/>
      <c r="F135" s="343"/>
      <c r="G135" s="346"/>
      <c r="H135" s="718"/>
      <c r="I135" s="199" t="e">
        <f t="shared" si="92"/>
        <v>#DIV/0!</v>
      </c>
      <c r="J135" s="199" t="e">
        <f t="shared" si="92"/>
        <v>#DIV/0!</v>
      </c>
      <c r="K135" s="199" t="e">
        <f t="shared" si="93"/>
        <v>#DIV/0!</v>
      </c>
      <c r="L135" s="725"/>
      <c r="M135" s="199" t="e">
        <f>RANK(K135, K$128:$K$142)</f>
        <v>#DIV/0!</v>
      </c>
    </row>
    <row r="136" spans="2:13" s="108" customFormat="1">
      <c r="B136" s="676"/>
      <c r="C136" s="343">
        <v>9</v>
      </c>
      <c r="D136" s="227"/>
      <c r="E136" s="343"/>
      <c r="F136" s="343"/>
      <c r="G136" s="343"/>
      <c r="H136" s="718"/>
      <c r="I136" s="199"/>
      <c r="J136" s="199"/>
      <c r="K136" s="199"/>
      <c r="L136" s="725"/>
      <c r="M136" s="199" t="e">
        <f>RANK(K136, K$128:$K$142)</f>
        <v>#DIV/0!</v>
      </c>
    </row>
    <row r="137" spans="2:13" s="108" customFormat="1">
      <c r="B137" s="676"/>
      <c r="C137" s="343">
        <v>10</v>
      </c>
      <c r="D137" s="227"/>
      <c r="E137" s="343"/>
      <c r="F137" s="343"/>
      <c r="G137" s="343"/>
      <c r="H137" s="718"/>
      <c r="I137" s="199"/>
      <c r="J137" s="199"/>
      <c r="K137" s="199"/>
      <c r="L137" s="725"/>
      <c r="M137" s="199" t="e">
        <f>RANK(K137, K$128:$K$142)</f>
        <v>#DIV/0!</v>
      </c>
    </row>
    <row r="138" spans="2:13" s="108" customFormat="1">
      <c r="B138" s="676"/>
      <c r="C138" s="343">
        <v>11</v>
      </c>
      <c r="D138" s="227"/>
      <c r="E138" s="343"/>
      <c r="F138" s="343"/>
      <c r="G138" s="343"/>
      <c r="H138" s="718"/>
      <c r="I138" s="199"/>
      <c r="J138" s="199"/>
      <c r="K138" s="199"/>
      <c r="L138" s="725"/>
      <c r="M138" s="199" t="e">
        <f>RANK(K138, K$128:$K$142)</f>
        <v>#DIV/0!</v>
      </c>
    </row>
    <row r="139" spans="2:13" s="108" customFormat="1">
      <c r="B139" s="676"/>
      <c r="C139" s="343">
        <v>12</v>
      </c>
      <c r="D139" s="227"/>
      <c r="E139" s="343"/>
      <c r="F139" s="343"/>
      <c r="G139" s="343"/>
      <c r="H139" s="718"/>
      <c r="I139" s="199"/>
      <c r="J139" s="199"/>
      <c r="K139" s="199"/>
      <c r="L139" s="725"/>
      <c r="M139" s="199" t="e">
        <f>RANK(K139, K$128:$K$142)</f>
        <v>#DIV/0!</v>
      </c>
    </row>
    <row r="140" spans="2:13" s="108" customFormat="1">
      <c r="B140" s="676"/>
      <c r="C140" s="343">
        <v>13</v>
      </c>
      <c r="D140" s="227"/>
      <c r="E140" s="343"/>
      <c r="F140" s="343"/>
      <c r="G140" s="343"/>
      <c r="H140" s="718"/>
      <c r="I140" s="199"/>
      <c r="J140" s="199"/>
      <c r="K140" s="199"/>
      <c r="L140" s="725"/>
      <c r="M140" s="199" t="e">
        <f>RANK(K140, K$128:$K$142)</f>
        <v>#DIV/0!</v>
      </c>
    </row>
    <row r="141" spans="2:13" s="108" customFormat="1">
      <c r="B141" s="676"/>
      <c r="C141" s="343">
        <v>14</v>
      </c>
      <c r="D141" s="227"/>
      <c r="E141" s="343"/>
      <c r="F141" s="343"/>
      <c r="G141" s="343"/>
      <c r="H141" s="718"/>
      <c r="I141" s="199"/>
      <c r="J141" s="199"/>
      <c r="K141" s="199"/>
      <c r="L141" s="725"/>
      <c r="M141" s="199" t="e">
        <f>RANK(K141, K$128:$K$142)</f>
        <v>#DIV/0!</v>
      </c>
    </row>
    <row r="142" spans="2:13" s="108" customFormat="1">
      <c r="B142" s="676"/>
      <c r="C142" s="343">
        <v>15</v>
      </c>
      <c r="D142" s="227"/>
      <c r="E142" s="343"/>
      <c r="F142" s="343"/>
      <c r="G142" s="343"/>
      <c r="H142" s="719"/>
      <c r="I142" s="199"/>
      <c r="J142" s="199"/>
      <c r="K142" s="199"/>
      <c r="L142" s="726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55" zoomScaleNormal="55" workbookViewId="0">
      <pane xSplit="15" topLeftCell="Z1" activePane="topRight" state="frozen"/>
      <selection activeCell="P2" sqref="P2:AX2"/>
      <selection pane="topRight" activeCell="AT67" sqref="AT67:AV6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86.311819658327607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2" t="s">
        <v>158</v>
      </c>
      <c r="Q3" s="673"/>
      <c r="R3" s="673"/>
      <c r="S3" s="673"/>
      <c r="T3" s="674"/>
      <c r="U3" s="672" t="s">
        <v>114</v>
      </c>
      <c r="V3" s="673"/>
      <c r="W3" s="673"/>
      <c r="X3" s="673"/>
      <c r="Y3" s="674"/>
      <c r="Z3" s="672" t="s">
        <v>159</v>
      </c>
      <c r="AA3" s="673"/>
      <c r="AB3" s="673"/>
      <c r="AC3" s="673"/>
      <c r="AD3" s="674"/>
      <c r="AE3" s="672" t="s">
        <v>157</v>
      </c>
      <c r="AF3" s="673"/>
      <c r="AG3" s="673"/>
      <c r="AH3" s="673"/>
      <c r="AI3" s="674"/>
      <c r="AJ3" s="672" t="s">
        <v>160</v>
      </c>
      <c r="AK3" s="673"/>
      <c r="AL3" s="673"/>
      <c r="AM3" s="673"/>
      <c r="AN3" s="674"/>
      <c r="AO3" s="672" t="s">
        <v>161</v>
      </c>
      <c r="AP3" s="673"/>
      <c r="AQ3" s="673"/>
      <c r="AR3" s="673"/>
      <c r="AS3" s="674"/>
      <c r="AT3" s="672" t="s">
        <v>162</v>
      </c>
      <c r="AU3" s="673"/>
      <c r="AV3" s="673"/>
      <c r="AW3" s="673"/>
      <c r="AX3" s="674"/>
    </row>
    <row r="4" spans="1:54" ht="14.25">
      <c r="A4" s="81"/>
      <c r="B4" s="668" t="s">
        <v>822</v>
      </c>
      <c r="C4" s="668" t="s">
        <v>823</v>
      </c>
      <c r="D4" s="668"/>
      <c r="E4" s="668" t="s">
        <v>824</v>
      </c>
      <c r="F4" s="668"/>
      <c r="G4" s="668"/>
      <c r="H4" s="684" t="s">
        <v>825</v>
      </c>
      <c r="I4" s="668" t="s">
        <v>826</v>
      </c>
      <c r="J4" s="668"/>
      <c r="K4" s="668"/>
      <c r="L4" s="684" t="s">
        <v>825</v>
      </c>
      <c r="M4" s="669" t="s">
        <v>827</v>
      </c>
      <c r="N4" s="668"/>
      <c r="O4" s="668" t="s">
        <v>828</v>
      </c>
      <c r="P4" s="665" t="s">
        <v>418</v>
      </c>
      <c r="Q4" s="666"/>
      <c r="R4" s="666"/>
      <c r="S4" s="667"/>
      <c r="T4" s="668" t="s">
        <v>416</v>
      </c>
      <c r="U4" s="665" t="s">
        <v>418</v>
      </c>
      <c r="V4" s="666"/>
      <c r="W4" s="666"/>
      <c r="X4" s="667"/>
      <c r="Y4" s="668" t="s">
        <v>416</v>
      </c>
      <c r="Z4" s="665" t="s">
        <v>418</v>
      </c>
      <c r="AA4" s="666"/>
      <c r="AB4" s="666"/>
      <c r="AC4" s="667"/>
      <c r="AD4" s="668" t="s">
        <v>416</v>
      </c>
      <c r="AE4" s="665" t="s">
        <v>418</v>
      </c>
      <c r="AF4" s="666"/>
      <c r="AG4" s="666"/>
      <c r="AH4" s="667"/>
      <c r="AI4" s="668" t="s">
        <v>416</v>
      </c>
      <c r="AJ4" s="665" t="s">
        <v>418</v>
      </c>
      <c r="AK4" s="666"/>
      <c r="AL4" s="666"/>
      <c r="AM4" s="667"/>
      <c r="AN4" s="668" t="s">
        <v>416</v>
      </c>
      <c r="AO4" s="665" t="s">
        <v>418</v>
      </c>
      <c r="AP4" s="666"/>
      <c r="AQ4" s="666"/>
      <c r="AR4" s="667"/>
      <c r="AS4" s="668" t="s">
        <v>416</v>
      </c>
      <c r="AT4" s="665" t="s">
        <v>418</v>
      </c>
      <c r="AU4" s="666"/>
      <c r="AV4" s="666"/>
      <c r="AW4" s="667"/>
      <c r="AX4" s="668" t="s">
        <v>416</v>
      </c>
    </row>
    <row r="5" spans="1:54" ht="14.25">
      <c r="A5" s="81"/>
      <c r="B5" s="668"/>
      <c r="C5" s="668"/>
      <c r="D5" s="668"/>
      <c r="E5" s="668" t="s">
        <v>829</v>
      </c>
      <c r="F5" s="668"/>
      <c r="G5" s="668"/>
      <c r="H5" s="685"/>
      <c r="I5" s="668" t="s">
        <v>829</v>
      </c>
      <c r="J5" s="668"/>
      <c r="K5" s="668"/>
      <c r="L5" s="685"/>
      <c r="M5" s="670"/>
      <c r="N5" s="668"/>
      <c r="O5" s="668"/>
      <c r="P5" s="665" t="s">
        <v>816</v>
      </c>
      <c r="Q5" s="666"/>
      <c r="R5" s="666"/>
      <c r="S5" s="667"/>
      <c r="T5" s="668"/>
      <c r="U5" s="665" t="s">
        <v>816</v>
      </c>
      <c r="V5" s="666"/>
      <c r="W5" s="666"/>
      <c r="X5" s="667"/>
      <c r="Y5" s="668"/>
      <c r="Z5" s="665" t="s">
        <v>816</v>
      </c>
      <c r="AA5" s="666"/>
      <c r="AB5" s="666"/>
      <c r="AC5" s="667"/>
      <c r="AD5" s="668"/>
      <c r="AE5" s="665" t="s">
        <v>816</v>
      </c>
      <c r="AF5" s="666"/>
      <c r="AG5" s="666"/>
      <c r="AH5" s="667"/>
      <c r="AI5" s="668"/>
      <c r="AJ5" s="665" t="s">
        <v>816</v>
      </c>
      <c r="AK5" s="666"/>
      <c r="AL5" s="666"/>
      <c r="AM5" s="667"/>
      <c r="AN5" s="668"/>
      <c r="AO5" s="665" t="s">
        <v>816</v>
      </c>
      <c r="AP5" s="666"/>
      <c r="AQ5" s="666"/>
      <c r="AR5" s="667"/>
      <c r="AS5" s="668"/>
      <c r="AT5" s="665" t="s">
        <v>816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14" t="s">
        <v>830</v>
      </c>
      <c r="F6" s="514" t="s">
        <v>831</v>
      </c>
      <c r="G6" s="514" t="s">
        <v>832</v>
      </c>
      <c r="H6" s="686"/>
      <c r="I6" s="514" t="s">
        <v>830</v>
      </c>
      <c r="J6" s="514" t="s">
        <v>831</v>
      </c>
      <c r="K6" s="514" t="s">
        <v>832</v>
      </c>
      <c r="L6" s="686"/>
      <c r="M6" s="671"/>
      <c r="N6" s="668"/>
      <c r="O6" s="668"/>
      <c r="P6" s="514" t="s">
        <v>425</v>
      </c>
      <c r="Q6" s="514" t="s">
        <v>818</v>
      </c>
      <c r="R6" s="514" t="s">
        <v>819</v>
      </c>
      <c r="S6" s="514" t="s">
        <v>417</v>
      </c>
      <c r="T6" s="668"/>
      <c r="U6" s="514" t="s">
        <v>425</v>
      </c>
      <c r="V6" s="514" t="s">
        <v>818</v>
      </c>
      <c r="W6" s="514" t="s">
        <v>819</v>
      </c>
      <c r="X6" s="514" t="s">
        <v>417</v>
      </c>
      <c r="Y6" s="668"/>
      <c r="Z6" s="514" t="s">
        <v>425</v>
      </c>
      <c r="AA6" s="514" t="s">
        <v>818</v>
      </c>
      <c r="AB6" s="514" t="s">
        <v>819</v>
      </c>
      <c r="AC6" s="514" t="s">
        <v>417</v>
      </c>
      <c r="AD6" s="668"/>
      <c r="AE6" s="514" t="s">
        <v>425</v>
      </c>
      <c r="AF6" s="514" t="s">
        <v>818</v>
      </c>
      <c r="AG6" s="514" t="s">
        <v>819</v>
      </c>
      <c r="AH6" s="514" t="s">
        <v>417</v>
      </c>
      <c r="AI6" s="668"/>
      <c r="AJ6" s="514" t="s">
        <v>425</v>
      </c>
      <c r="AK6" s="514" t="s">
        <v>818</v>
      </c>
      <c r="AL6" s="514" t="s">
        <v>819</v>
      </c>
      <c r="AM6" s="514" t="s">
        <v>417</v>
      </c>
      <c r="AN6" s="668"/>
      <c r="AO6" s="514" t="s">
        <v>425</v>
      </c>
      <c r="AP6" s="514" t="s">
        <v>818</v>
      </c>
      <c r="AQ6" s="514" t="s">
        <v>819</v>
      </c>
      <c r="AR6" s="514" t="s">
        <v>417</v>
      </c>
      <c r="AS6" s="668"/>
      <c r="AT6" s="514" t="s">
        <v>425</v>
      </c>
      <c r="AU6" s="514" t="s">
        <v>818</v>
      </c>
      <c r="AV6" s="514" t="s">
        <v>819</v>
      </c>
      <c r="AW6" s="514" t="s">
        <v>417</v>
      </c>
      <c r="AX6" s="668"/>
    </row>
    <row r="7" spans="1:54" ht="14.25">
      <c r="A7" s="81"/>
      <c r="B7" s="668" t="s">
        <v>135</v>
      </c>
      <c r="C7" s="515">
        <v>1</v>
      </c>
      <c r="D7" s="227" t="s">
        <v>756</v>
      </c>
      <c r="E7" s="182">
        <v>14</v>
      </c>
      <c r="F7" s="545">
        <v>1500</v>
      </c>
      <c r="G7" s="546">
        <v>107.1</v>
      </c>
      <c r="H7" s="712">
        <f>AVERAGE(G7:G21)</f>
        <v>99.199999999999989</v>
      </c>
      <c r="I7" s="518">
        <f>AVERAGE(P7,U7,Z7,AE7,AJ7,AO7,AT7)</f>
        <v>13.714285714285714</v>
      </c>
      <c r="J7" s="518">
        <f>AVERAGE(Q7,V7,AA7,AF7,AK7,AP7,AU7)</f>
        <v>1234.146770653341</v>
      </c>
      <c r="K7" s="513">
        <f>AVERAGE(R7,W7,AB7,AG7,AL7,AQ7,AV7)</f>
        <v>90.07514527223114</v>
      </c>
      <c r="L7" s="712">
        <f>AVERAGE(K7:K21)</f>
        <v>83.877892489433421</v>
      </c>
      <c r="M7" s="517">
        <f>RANK(K7, K$7:$K$21)</f>
        <v>1</v>
      </c>
      <c r="N7" s="668"/>
      <c r="O7" s="668"/>
      <c r="P7" s="515">
        <v>13</v>
      </c>
      <c r="Q7" s="518">
        <v>1216.8000000000002</v>
      </c>
      <c r="R7" s="518">
        <v>93.600000000000009</v>
      </c>
      <c r="S7" s="518">
        <f>RANK(R7, R$7:R$21)</f>
        <v>1</v>
      </c>
      <c r="T7" s="734">
        <f>AVERAGE(R7:R21)</f>
        <v>85.352027126640152</v>
      </c>
      <c r="U7" s="573">
        <v>14</v>
      </c>
      <c r="V7" s="574">
        <v>1262.8571428571424</v>
      </c>
      <c r="W7" s="574">
        <v>90.204081632653029</v>
      </c>
      <c r="X7" s="518">
        <f>RANK(W7, W$7:W$21)</f>
        <v>1</v>
      </c>
      <c r="Y7" s="715">
        <f>AVERAGE(W7:W21)</f>
        <v>85.256969010325534</v>
      </c>
      <c r="Z7" s="573">
        <v>13</v>
      </c>
      <c r="AA7" s="574">
        <v>1231.5789473684201</v>
      </c>
      <c r="AB7" s="574">
        <v>94.736842105263094</v>
      </c>
      <c r="AC7" s="518">
        <f>RANK(AB7, AB$7:AB$21)</f>
        <v>1</v>
      </c>
      <c r="AD7" s="715">
        <f>AVERAGE(AB7:AB21)</f>
        <v>85.902506966738613</v>
      </c>
      <c r="AE7" s="573">
        <v>14</v>
      </c>
      <c r="AF7" s="574">
        <v>1219.9999999999995</v>
      </c>
      <c r="AG7" s="574">
        <v>87.14285714285711</v>
      </c>
      <c r="AH7" s="518">
        <f>RANK(AG7, AG$7:AG$21)</f>
        <v>1</v>
      </c>
      <c r="AI7" s="715">
        <f>AVERAGE(AG7:AG21)</f>
        <v>83.513273802671748</v>
      </c>
      <c r="AJ7" s="573">
        <v>14</v>
      </c>
      <c r="AK7" s="574">
        <v>1226.0869565217392</v>
      </c>
      <c r="AL7" s="574">
        <v>87.577639751552809</v>
      </c>
      <c r="AM7" s="518">
        <f>RANK(AL7, AL$7:AL$21)</f>
        <v>1</v>
      </c>
      <c r="AN7" s="715">
        <f>AVERAGE(AL7:AL21)</f>
        <v>82.602553176774549</v>
      </c>
      <c r="AO7" s="573">
        <v>14</v>
      </c>
      <c r="AP7" s="574">
        <v>1231.304347826087</v>
      </c>
      <c r="AQ7" s="574">
        <v>87.950310559006212</v>
      </c>
      <c r="AR7" s="518">
        <f>RANK(AQ7, AQ$7:AQ$21)</f>
        <v>1</v>
      </c>
      <c r="AS7" s="734">
        <f>AVERAGE(AQ7:AQ21)</f>
        <v>82.17014177887485</v>
      </c>
      <c r="AT7" s="573">
        <v>14</v>
      </c>
      <c r="AU7" s="574">
        <v>1250.4000000000003</v>
      </c>
      <c r="AV7" s="574">
        <v>89.314285714285731</v>
      </c>
      <c r="AW7" s="518">
        <f>RANK(AV7, AV$7:AV$21)</f>
        <v>1</v>
      </c>
      <c r="AX7" s="733">
        <f>AVERAGE(AV7:AV21)</f>
        <v>82.347775564008401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701"/>
      <c r="C8" s="515">
        <v>2</v>
      </c>
      <c r="D8" s="227" t="s">
        <v>799</v>
      </c>
      <c r="E8" s="182">
        <v>16</v>
      </c>
      <c r="F8" s="545">
        <v>1636</v>
      </c>
      <c r="G8" s="546">
        <v>102.3</v>
      </c>
      <c r="H8" s="713"/>
      <c r="I8" s="518">
        <f t="shared" ref="I8:I9" si="0">AVERAGE(P8,U8,Z8,AE8,AJ8,AO8,AT8)</f>
        <v>17</v>
      </c>
      <c r="J8" s="518">
        <f t="shared" ref="J8:J9" si="1">AVERAGE(Q8,V8,AA8,AF8,AK8,AP8,AU8)</f>
        <v>1425.0097611143108</v>
      </c>
      <c r="K8" s="513">
        <f t="shared" ref="K8:K9" si="2">AVERAGE(R8,W8,AB8,AG8,AL8,AQ8,AV8)</f>
        <v>83.824103594959482</v>
      </c>
      <c r="L8" s="713"/>
      <c r="M8" s="517">
        <f>RANK(K8, K$7:$K$21)</f>
        <v>2</v>
      </c>
      <c r="N8" s="668"/>
      <c r="O8" s="668"/>
      <c r="P8" s="515">
        <v>17</v>
      </c>
      <c r="Q8" s="518">
        <v>1438.610526315789</v>
      </c>
      <c r="R8" s="518">
        <v>84.624148606811119</v>
      </c>
      <c r="S8" s="518">
        <f t="shared" ref="S8:S21" si="3">RANK(R8, R$7:R$21)</f>
        <v>2</v>
      </c>
      <c r="T8" s="734"/>
      <c r="U8" s="573">
        <v>17</v>
      </c>
      <c r="V8" s="574">
        <v>1417.7560975609758</v>
      </c>
      <c r="W8" s="574">
        <v>83.397417503586809</v>
      </c>
      <c r="X8" s="518">
        <f t="shared" ref="X8:X21" si="4">RANK(W8, W$7:W$21)</f>
        <v>2</v>
      </c>
      <c r="Y8" s="715"/>
      <c r="Z8" s="573">
        <v>17</v>
      </c>
      <c r="AA8" s="574">
        <v>1456.1772151898726</v>
      </c>
      <c r="AB8" s="574">
        <v>85.657483246463102</v>
      </c>
      <c r="AC8" s="518">
        <f t="shared" ref="AC8:AC21" si="5">RANK(AB8, AB$7:AB$21)</f>
        <v>2</v>
      </c>
      <c r="AD8" s="715"/>
      <c r="AE8" s="573">
        <v>17</v>
      </c>
      <c r="AF8" s="574">
        <v>1451.0136986301372</v>
      </c>
      <c r="AG8" s="574">
        <v>85.353746978243365</v>
      </c>
      <c r="AH8" s="518">
        <f t="shared" ref="AH8:AH21" si="6">RANK(AG8, AG$7:AG$21)</f>
        <v>2</v>
      </c>
      <c r="AI8" s="715"/>
      <c r="AJ8" s="573">
        <v>17</v>
      </c>
      <c r="AK8" s="574">
        <v>1423.636363636364</v>
      </c>
      <c r="AL8" s="574">
        <v>83.743315508021411</v>
      </c>
      <c r="AM8" s="518">
        <f t="shared" ref="AM8:AM21" si="7">RANK(AL8, AL$7:AL$21)</f>
        <v>2</v>
      </c>
      <c r="AN8" s="715"/>
      <c r="AO8" s="573">
        <v>17</v>
      </c>
      <c r="AP8" s="574">
        <v>1403.1219512195125</v>
      </c>
      <c r="AQ8" s="574">
        <v>82.536585365853682</v>
      </c>
      <c r="AR8" s="518">
        <f t="shared" ref="AR8:AR21" si="8">RANK(AQ8, AQ$7:AQ$21)</f>
        <v>2</v>
      </c>
      <c r="AS8" s="734"/>
      <c r="AT8" s="573">
        <v>17</v>
      </c>
      <c r="AU8" s="574">
        <v>1384.7524752475254</v>
      </c>
      <c r="AV8" s="574">
        <v>81.456027955736786</v>
      </c>
      <c r="AW8" s="518">
        <f t="shared" ref="AW8:AW21" si="9">RANK(AV8, AV$7:AV$21)</f>
        <v>2</v>
      </c>
      <c r="AX8" s="733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701"/>
      <c r="C9" s="515">
        <v>3</v>
      </c>
      <c r="D9" s="227" t="s">
        <v>940</v>
      </c>
      <c r="E9" s="182">
        <v>17</v>
      </c>
      <c r="F9" s="545">
        <v>1500</v>
      </c>
      <c r="G9" s="546">
        <v>88.2</v>
      </c>
      <c r="H9" s="713"/>
      <c r="I9" s="518">
        <f t="shared" si="0"/>
        <v>16.857142857142858</v>
      </c>
      <c r="J9" s="518">
        <f t="shared" si="1"/>
        <v>1309.7467993767582</v>
      </c>
      <c r="K9" s="513">
        <f t="shared" si="2"/>
        <v>77.734428601109613</v>
      </c>
      <c r="L9" s="713"/>
      <c r="M9" s="517">
        <f>RANK(K9, K$7:$K$21)</f>
        <v>3</v>
      </c>
      <c r="N9" s="668"/>
      <c r="O9" s="668"/>
      <c r="P9" s="515">
        <v>17</v>
      </c>
      <c r="Q9" s="518">
        <v>1323.1428571428585</v>
      </c>
      <c r="R9" s="518">
        <v>77.831932773109315</v>
      </c>
      <c r="S9" s="518">
        <f t="shared" si="3"/>
        <v>3</v>
      </c>
      <c r="T9" s="734"/>
      <c r="U9" s="573">
        <v>16</v>
      </c>
      <c r="V9" s="574">
        <v>1314.7105263157885</v>
      </c>
      <c r="W9" s="574">
        <v>82.169407894736779</v>
      </c>
      <c r="X9" s="518">
        <f t="shared" si="4"/>
        <v>3</v>
      </c>
      <c r="Y9" s="715"/>
      <c r="Z9" s="573">
        <v>17</v>
      </c>
      <c r="AA9" s="574">
        <v>1314.3243243243244</v>
      </c>
      <c r="AB9" s="574">
        <v>77.313195548489674</v>
      </c>
      <c r="AC9" s="518">
        <f t="shared" si="5"/>
        <v>3</v>
      </c>
      <c r="AD9" s="715"/>
      <c r="AE9" s="573">
        <v>17</v>
      </c>
      <c r="AF9" s="574">
        <v>1326.7346938775513</v>
      </c>
      <c r="AG9" s="574">
        <v>78.043217286914782</v>
      </c>
      <c r="AH9" s="518">
        <f t="shared" si="6"/>
        <v>3</v>
      </c>
      <c r="AI9" s="715"/>
      <c r="AJ9" s="573">
        <v>17</v>
      </c>
      <c r="AK9" s="574">
        <v>1300.2739726027401</v>
      </c>
      <c r="AL9" s="574">
        <v>76.486704270749414</v>
      </c>
      <c r="AM9" s="518">
        <f t="shared" si="7"/>
        <v>3</v>
      </c>
      <c r="AN9" s="715"/>
      <c r="AO9" s="573">
        <v>17</v>
      </c>
      <c r="AP9" s="574">
        <v>1292.3999999999996</v>
      </c>
      <c r="AQ9" s="574">
        <v>76.023529411764684</v>
      </c>
      <c r="AR9" s="518">
        <f t="shared" si="8"/>
        <v>3</v>
      </c>
      <c r="AS9" s="734"/>
      <c r="AT9" s="573">
        <v>17</v>
      </c>
      <c r="AU9" s="574">
        <v>1296.6412213740457</v>
      </c>
      <c r="AV9" s="574">
        <v>76.273013022002687</v>
      </c>
      <c r="AW9" s="518">
        <f t="shared" si="9"/>
        <v>3</v>
      </c>
      <c r="AX9" s="733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701"/>
      <c r="C10" s="515">
        <v>4</v>
      </c>
      <c r="D10" s="227"/>
      <c r="E10" s="182"/>
      <c r="F10" s="545"/>
      <c r="G10" s="546"/>
      <c r="H10" s="713"/>
      <c r="I10" s="518"/>
      <c r="J10" s="518"/>
      <c r="K10" s="513"/>
      <c r="L10" s="713"/>
      <c r="M10" s="517" t="e">
        <f>RANK(K10, K$7:$K$21)</f>
        <v>#N/A</v>
      </c>
      <c r="N10" s="668"/>
      <c r="O10" s="668"/>
      <c r="P10" s="515"/>
      <c r="Q10" s="518"/>
      <c r="R10" s="518"/>
      <c r="S10" s="518" t="e">
        <f t="shared" si="3"/>
        <v>#N/A</v>
      </c>
      <c r="T10" s="734"/>
      <c r="U10" s="573"/>
      <c r="V10" s="574"/>
      <c r="W10" s="574"/>
      <c r="X10" s="518" t="e">
        <f t="shared" si="4"/>
        <v>#N/A</v>
      </c>
      <c r="Y10" s="715"/>
      <c r="Z10" s="573"/>
      <c r="AA10" s="574"/>
      <c r="AB10" s="574"/>
      <c r="AC10" s="518" t="e">
        <f t="shared" si="5"/>
        <v>#N/A</v>
      </c>
      <c r="AD10" s="715"/>
      <c r="AE10" s="573"/>
      <c r="AF10" s="574"/>
      <c r="AG10" s="574"/>
      <c r="AH10" s="518" t="e">
        <f t="shared" si="6"/>
        <v>#N/A</v>
      </c>
      <c r="AI10" s="715"/>
      <c r="AJ10" s="573"/>
      <c r="AK10" s="574"/>
      <c r="AL10" s="574"/>
      <c r="AM10" s="518" t="e">
        <f t="shared" si="7"/>
        <v>#N/A</v>
      </c>
      <c r="AN10" s="715"/>
      <c r="AO10" s="573"/>
      <c r="AP10" s="574"/>
      <c r="AQ10" s="574"/>
      <c r="AR10" s="518" t="e">
        <f t="shared" si="8"/>
        <v>#N/A</v>
      </c>
      <c r="AS10" s="734"/>
      <c r="AT10" s="573"/>
      <c r="AU10" s="574"/>
      <c r="AV10" s="574"/>
      <c r="AW10" s="518" t="e">
        <f t="shared" si="9"/>
        <v>#N/A</v>
      </c>
      <c r="AX10" s="733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701"/>
      <c r="C11" s="515">
        <v>5</v>
      </c>
      <c r="D11" s="227"/>
      <c r="E11" s="182"/>
      <c r="F11" s="545"/>
      <c r="G11" s="546"/>
      <c r="H11" s="713"/>
      <c r="I11" s="518"/>
      <c r="J11" s="518"/>
      <c r="K11" s="513"/>
      <c r="L11" s="713"/>
      <c r="M11" s="517" t="e">
        <f>RANK(K11, K$7:$K$21)</f>
        <v>#N/A</v>
      </c>
      <c r="N11" s="668"/>
      <c r="O11" s="668"/>
      <c r="P11" s="515"/>
      <c r="Q11" s="518"/>
      <c r="R11" s="518"/>
      <c r="S11" s="518" t="e">
        <f t="shared" si="3"/>
        <v>#N/A</v>
      </c>
      <c r="T11" s="734"/>
      <c r="U11" s="573"/>
      <c r="V11" s="574"/>
      <c r="W11" s="574"/>
      <c r="X11" s="518" t="e">
        <f t="shared" si="4"/>
        <v>#N/A</v>
      </c>
      <c r="Y11" s="715"/>
      <c r="Z11" s="573"/>
      <c r="AA11" s="574"/>
      <c r="AB11" s="574"/>
      <c r="AC11" s="518" t="e">
        <f t="shared" si="5"/>
        <v>#N/A</v>
      </c>
      <c r="AD11" s="715"/>
      <c r="AE11" s="573"/>
      <c r="AF11" s="574"/>
      <c r="AG11" s="574"/>
      <c r="AH11" s="518" t="e">
        <f t="shared" si="6"/>
        <v>#N/A</v>
      </c>
      <c r="AI11" s="715"/>
      <c r="AJ11" s="573"/>
      <c r="AK11" s="574"/>
      <c r="AL11" s="574"/>
      <c r="AM11" s="518" t="e">
        <f t="shared" si="7"/>
        <v>#N/A</v>
      </c>
      <c r="AN11" s="715"/>
      <c r="AO11" s="573"/>
      <c r="AP11" s="574"/>
      <c r="AQ11" s="574"/>
      <c r="AR11" s="518" t="e">
        <f t="shared" si="8"/>
        <v>#N/A</v>
      </c>
      <c r="AS11" s="734"/>
      <c r="AT11" s="573"/>
      <c r="AU11" s="574"/>
      <c r="AV11" s="574"/>
      <c r="AW11" s="518" t="e">
        <f t="shared" si="9"/>
        <v>#N/A</v>
      </c>
      <c r="AX11" s="733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701"/>
      <c r="C12" s="515">
        <v>6</v>
      </c>
      <c r="D12" s="227"/>
      <c r="E12" s="182"/>
      <c r="F12" s="545"/>
      <c r="G12" s="546"/>
      <c r="H12" s="713"/>
      <c r="I12" s="518"/>
      <c r="J12" s="518"/>
      <c r="K12" s="513"/>
      <c r="L12" s="713"/>
      <c r="M12" s="517" t="e">
        <f>RANK(K12, K$7:$K$21)</f>
        <v>#N/A</v>
      </c>
      <c r="N12" s="668"/>
      <c r="O12" s="668"/>
      <c r="P12" s="515"/>
      <c r="Q12" s="518"/>
      <c r="R12" s="518"/>
      <c r="S12" s="518" t="e">
        <f t="shared" si="3"/>
        <v>#N/A</v>
      </c>
      <c r="T12" s="734"/>
      <c r="U12" s="573"/>
      <c r="V12" s="574"/>
      <c r="W12" s="574"/>
      <c r="X12" s="518" t="e">
        <f t="shared" si="4"/>
        <v>#N/A</v>
      </c>
      <c r="Y12" s="715"/>
      <c r="Z12" s="573"/>
      <c r="AA12" s="574"/>
      <c r="AB12" s="574"/>
      <c r="AC12" s="518" t="e">
        <f t="shared" si="5"/>
        <v>#N/A</v>
      </c>
      <c r="AD12" s="715"/>
      <c r="AE12" s="573"/>
      <c r="AF12" s="574"/>
      <c r="AG12" s="574"/>
      <c r="AH12" s="518" t="e">
        <f t="shared" si="6"/>
        <v>#N/A</v>
      </c>
      <c r="AI12" s="715"/>
      <c r="AJ12" s="573"/>
      <c r="AK12" s="574"/>
      <c r="AL12" s="574"/>
      <c r="AM12" s="518" t="e">
        <f t="shared" si="7"/>
        <v>#N/A</v>
      </c>
      <c r="AN12" s="715"/>
      <c r="AO12" s="573"/>
      <c r="AP12" s="574"/>
      <c r="AQ12" s="574"/>
      <c r="AR12" s="518" t="e">
        <f t="shared" si="8"/>
        <v>#N/A</v>
      </c>
      <c r="AS12" s="734"/>
      <c r="AT12" s="573"/>
      <c r="AU12" s="574"/>
      <c r="AV12" s="574"/>
      <c r="AW12" s="518" t="e">
        <f t="shared" si="9"/>
        <v>#N/A</v>
      </c>
      <c r="AX12" s="733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701"/>
      <c r="C13" s="515">
        <v>7</v>
      </c>
      <c r="D13" s="498"/>
      <c r="E13" s="518"/>
      <c r="F13" s="518"/>
      <c r="G13" s="518"/>
      <c r="H13" s="713"/>
      <c r="I13" s="518"/>
      <c r="J13" s="518"/>
      <c r="K13" s="513"/>
      <c r="L13" s="713"/>
      <c r="M13" s="517" t="e">
        <f>RANK(K13, K$7:$K$21)</f>
        <v>#N/A</v>
      </c>
      <c r="N13" s="668"/>
      <c r="O13" s="668"/>
      <c r="P13" s="515"/>
      <c r="Q13" s="518"/>
      <c r="R13" s="518"/>
      <c r="S13" s="518" t="e">
        <f t="shared" si="3"/>
        <v>#N/A</v>
      </c>
      <c r="T13" s="734"/>
      <c r="U13" s="573"/>
      <c r="V13" s="574"/>
      <c r="W13" s="574"/>
      <c r="X13" s="518" t="e">
        <f t="shared" si="4"/>
        <v>#N/A</v>
      </c>
      <c r="Y13" s="715"/>
      <c r="Z13" s="573"/>
      <c r="AA13" s="574"/>
      <c r="AB13" s="574"/>
      <c r="AC13" s="518" t="e">
        <f t="shared" si="5"/>
        <v>#N/A</v>
      </c>
      <c r="AD13" s="715"/>
      <c r="AE13" s="573"/>
      <c r="AF13" s="574"/>
      <c r="AG13" s="574"/>
      <c r="AH13" s="518" t="e">
        <f t="shared" si="6"/>
        <v>#N/A</v>
      </c>
      <c r="AI13" s="715"/>
      <c r="AJ13" s="573"/>
      <c r="AK13" s="574"/>
      <c r="AL13" s="574"/>
      <c r="AM13" s="518" t="e">
        <f t="shared" si="7"/>
        <v>#N/A</v>
      </c>
      <c r="AN13" s="715"/>
      <c r="AO13" s="573"/>
      <c r="AP13" s="574"/>
      <c r="AQ13" s="574"/>
      <c r="AR13" s="518" t="e">
        <f t="shared" si="8"/>
        <v>#N/A</v>
      </c>
      <c r="AS13" s="734"/>
      <c r="AT13" s="573"/>
      <c r="AU13" s="574"/>
      <c r="AV13" s="574"/>
      <c r="AW13" s="518" t="e">
        <f t="shared" si="9"/>
        <v>#N/A</v>
      </c>
      <c r="AX13" s="733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701"/>
      <c r="C14" s="515">
        <v>8</v>
      </c>
      <c r="D14" s="498"/>
      <c r="E14" s="518"/>
      <c r="F14" s="518"/>
      <c r="G14" s="518"/>
      <c r="H14" s="713"/>
      <c r="I14" s="518"/>
      <c r="J14" s="518"/>
      <c r="K14" s="513"/>
      <c r="L14" s="713"/>
      <c r="M14" s="517" t="e">
        <f>RANK(K14, K$7:$K$21)</f>
        <v>#N/A</v>
      </c>
      <c r="N14" s="668"/>
      <c r="O14" s="668"/>
      <c r="P14" s="515"/>
      <c r="Q14" s="518"/>
      <c r="R14" s="518"/>
      <c r="S14" s="518" t="e">
        <f t="shared" si="3"/>
        <v>#N/A</v>
      </c>
      <c r="T14" s="734"/>
      <c r="U14" s="573"/>
      <c r="V14" s="574"/>
      <c r="W14" s="574"/>
      <c r="X14" s="518" t="e">
        <f t="shared" si="4"/>
        <v>#N/A</v>
      </c>
      <c r="Y14" s="715"/>
      <c r="Z14" s="573"/>
      <c r="AA14" s="574"/>
      <c r="AB14" s="574"/>
      <c r="AC14" s="518" t="e">
        <f t="shared" si="5"/>
        <v>#N/A</v>
      </c>
      <c r="AD14" s="715"/>
      <c r="AE14" s="573"/>
      <c r="AF14" s="574"/>
      <c r="AG14" s="574"/>
      <c r="AH14" s="518" t="e">
        <f t="shared" si="6"/>
        <v>#N/A</v>
      </c>
      <c r="AI14" s="715"/>
      <c r="AJ14" s="573"/>
      <c r="AK14" s="574"/>
      <c r="AL14" s="574"/>
      <c r="AM14" s="518" t="e">
        <f t="shared" si="7"/>
        <v>#N/A</v>
      </c>
      <c r="AN14" s="715"/>
      <c r="AO14" s="573"/>
      <c r="AP14" s="574"/>
      <c r="AQ14" s="574"/>
      <c r="AR14" s="518" t="e">
        <f t="shared" si="8"/>
        <v>#N/A</v>
      </c>
      <c r="AS14" s="734"/>
      <c r="AT14" s="573"/>
      <c r="AU14" s="574"/>
      <c r="AV14" s="574"/>
      <c r="AW14" s="518" t="e">
        <f t="shared" si="9"/>
        <v>#N/A</v>
      </c>
      <c r="AX14" s="733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701"/>
      <c r="C15" s="515">
        <v>9</v>
      </c>
      <c r="D15" s="498"/>
      <c r="E15" s="518"/>
      <c r="F15" s="518"/>
      <c r="G15" s="518"/>
      <c r="H15" s="713"/>
      <c r="I15" s="518"/>
      <c r="J15" s="518"/>
      <c r="K15" s="513"/>
      <c r="L15" s="713"/>
      <c r="M15" s="517" t="e">
        <f>RANK(K15, K$7:$K$21)</f>
        <v>#N/A</v>
      </c>
      <c r="N15" s="668"/>
      <c r="O15" s="668"/>
      <c r="P15" s="515"/>
      <c r="Q15" s="518"/>
      <c r="R15" s="518"/>
      <c r="S15" s="518" t="e">
        <f t="shared" si="3"/>
        <v>#N/A</v>
      </c>
      <c r="T15" s="734"/>
      <c r="U15" s="573"/>
      <c r="V15" s="574"/>
      <c r="W15" s="574"/>
      <c r="X15" s="518" t="e">
        <f t="shared" si="4"/>
        <v>#N/A</v>
      </c>
      <c r="Y15" s="715"/>
      <c r="Z15" s="573"/>
      <c r="AA15" s="574"/>
      <c r="AB15" s="574"/>
      <c r="AC15" s="518" t="e">
        <f t="shared" si="5"/>
        <v>#N/A</v>
      </c>
      <c r="AD15" s="715"/>
      <c r="AE15" s="573"/>
      <c r="AF15" s="574"/>
      <c r="AG15" s="574"/>
      <c r="AH15" s="518" t="e">
        <f t="shared" si="6"/>
        <v>#N/A</v>
      </c>
      <c r="AI15" s="715"/>
      <c r="AJ15" s="573"/>
      <c r="AK15" s="574"/>
      <c r="AL15" s="574"/>
      <c r="AM15" s="518" t="e">
        <f t="shared" si="7"/>
        <v>#N/A</v>
      </c>
      <c r="AN15" s="715"/>
      <c r="AO15" s="573"/>
      <c r="AP15" s="574"/>
      <c r="AQ15" s="574"/>
      <c r="AR15" s="518" t="e">
        <f t="shared" si="8"/>
        <v>#N/A</v>
      </c>
      <c r="AS15" s="734"/>
      <c r="AT15" s="573"/>
      <c r="AU15" s="574"/>
      <c r="AV15" s="574"/>
      <c r="AW15" s="518" t="e">
        <f t="shared" si="9"/>
        <v>#N/A</v>
      </c>
      <c r="AX15" s="733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701"/>
      <c r="C16" s="515">
        <v>10</v>
      </c>
      <c r="D16" s="498"/>
      <c r="E16" s="518"/>
      <c r="F16" s="518"/>
      <c r="G16" s="518"/>
      <c r="H16" s="713"/>
      <c r="I16" s="518"/>
      <c r="J16" s="518"/>
      <c r="K16" s="513"/>
      <c r="L16" s="713"/>
      <c r="M16" s="517" t="e">
        <f>RANK(K16, K$7:$K$21)</f>
        <v>#N/A</v>
      </c>
      <c r="N16" s="668"/>
      <c r="O16" s="668"/>
      <c r="P16" s="515"/>
      <c r="Q16" s="518"/>
      <c r="R16" s="518"/>
      <c r="S16" s="518" t="e">
        <f t="shared" si="3"/>
        <v>#N/A</v>
      </c>
      <c r="T16" s="734"/>
      <c r="U16" s="573"/>
      <c r="V16" s="574"/>
      <c r="W16" s="574"/>
      <c r="X16" s="518" t="e">
        <f t="shared" si="4"/>
        <v>#N/A</v>
      </c>
      <c r="Y16" s="715"/>
      <c r="Z16" s="573"/>
      <c r="AA16" s="574"/>
      <c r="AB16" s="574"/>
      <c r="AC16" s="518" t="e">
        <f t="shared" si="5"/>
        <v>#N/A</v>
      </c>
      <c r="AD16" s="715"/>
      <c r="AE16" s="573"/>
      <c r="AF16" s="574"/>
      <c r="AG16" s="574"/>
      <c r="AH16" s="518" t="e">
        <f t="shared" si="6"/>
        <v>#N/A</v>
      </c>
      <c r="AI16" s="715"/>
      <c r="AJ16" s="573"/>
      <c r="AK16" s="574"/>
      <c r="AL16" s="574"/>
      <c r="AM16" s="518" t="e">
        <f t="shared" si="7"/>
        <v>#N/A</v>
      </c>
      <c r="AN16" s="715"/>
      <c r="AO16" s="573"/>
      <c r="AP16" s="574"/>
      <c r="AQ16" s="574"/>
      <c r="AR16" s="518" t="e">
        <f t="shared" si="8"/>
        <v>#N/A</v>
      </c>
      <c r="AS16" s="734"/>
      <c r="AT16" s="573"/>
      <c r="AU16" s="574"/>
      <c r="AV16" s="574"/>
      <c r="AW16" s="518" t="e">
        <f t="shared" si="9"/>
        <v>#N/A</v>
      </c>
      <c r="AX16" s="733"/>
      <c r="AZ16" s="362" t="e">
        <f>RANK(AX16, $K$7:AX$21)</f>
        <v>#N/A</v>
      </c>
      <c r="BB16" s="359" t="e">
        <f t="shared" si="10"/>
        <v>#N/A</v>
      </c>
    </row>
    <row r="17" spans="2:54">
      <c r="B17" s="701"/>
      <c r="C17" s="515">
        <v>11</v>
      </c>
      <c r="D17" s="498"/>
      <c r="E17" s="518"/>
      <c r="F17" s="518"/>
      <c r="G17" s="518"/>
      <c r="H17" s="713"/>
      <c r="I17" s="518"/>
      <c r="J17" s="518"/>
      <c r="K17" s="513"/>
      <c r="L17" s="713"/>
      <c r="M17" s="517" t="e">
        <f>RANK(K17, K$7:$K$21)</f>
        <v>#N/A</v>
      </c>
      <c r="N17" s="668"/>
      <c r="O17" s="668"/>
      <c r="P17" s="515"/>
      <c r="Q17" s="518"/>
      <c r="R17" s="518"/>
      <c r="S17" s="518" t="e">
        <f t="shared" si="3"/>
        <v>#N/A</v>
      </c>
      <c r="T17" s="734"/>
      <c r="U17" s="573"/>
      <c r="V17" s="574"/>
      <c r="W17" s="574"/>
      <c r="X17" s="518" t="e">
        <f t="shared" si="4"/>
        <v>#N/A</v>
      </c>
      <c r="Y17" s="715"/>
      <c r="Z17" s="573"/>
      <c r="AA17" s="574"/>
      <c r="AB17" s="574"/>
      <c r="AC17" s="518" t="e">
        <f t="shared" si="5"/>
        <v>#N/A</v>
      </c>
      <c r="AD17" s="715"/>
      <c r="AE17" s="573"/>
      <c r="AF17" s="574"/>
      <c r="AG17" s="574"/>
      <c r="AH17" s="518" t="e">
        <f t="shared" si="6"/>
        <v>#N/A</v>
      </c>
      <c r="AI17" s="715"/>
      <c r="AJ17" s="573"/>
      <c r="AK17" s="574"/>
      <c r="AL17" s="574"/>
      <c r="AM17" s="518" t="e">
        <f t="shared" si="7"/>
        <v>#N/A</v>
      </c>
      <c r="AN17" s="715"/>
      <c r="AO17" s="573"/>
      <c r="AP17" s="574"/>
      <c r="AQ17" s="574"/>
      <c r="AR17" s="518" t="e">
        <f t="shared" si="8"/>
        <v>#N/A</v>
      </c>
      <c r="AS17" s="734"/>
      <c r="AT17" s="573"/>
      <c r="AU17" s="574"/>
      <c r="AV17" s="574"/>
      <c r="AW17" s="518" t="e">
        <f t="shared" si="9"/>
        <v>#N/A</v>
      </c>
      <c r="AX17" s="733"/>
      <c r="AZ17" s="362" t="e">
        <f>RANK(AX17, $K$7:AX$21)</f>
        <v>#N/A</v>
      </c>
      <c r="BB17" s="359" t="e">
        <f t="shared" si="10"/>
        <v>#N/A</v>
      </c>
    </row>
    <row r="18" spans="2:54">
      <c r="B18" s="701"/>
      <c r="C18" s="515">
        <v>12</v>
      </c>
      <c r="D18" s="498"/>
      <c r="E18" s="518"/>
      <c r="F18" s="518"/>
      <c r="G18" s="518"/>
      <c r="H18" s="713"/>
      <c r="I18" s="518"/>
      <c r="J18" s="518"/>
      <c r="K18" s="513"/>
      <c r="L18" s="713"/>
      <c r="M18" s="517" t="e">
        <f>RANK(K18, K$7:$K$21)</f>
        <v>#N/A</v>
      </c>
      <c r="N18" s="668"/>
      <c r="O18" s="668"/>
      <c r="P18" s="515"/>
      <c r="Q18" s="518"/>
      <c r="R18" s="518"/>
      <c r="S18" s="518" t="e">
        <f t="shared" si="3"/>
        <v>#N/A</v>
      </c>
      <c r="T18" s="734"/>
      <c r="U18" s="573"/>
      <c r="V18" s="574"/>
      <c r="W18" s="574"/>
      <c r="X18" s="518" t="e">
        <f t="shared" si="4"/>
        <v>#N/A</v>
      </c>
      <c r="Y18" s="715"/>
      <c r="Z18" s="573"/>
      <c r="AA18" s="574"/>
      <c r="AB18" s="574"/>
      <c r="AC18" s="518" t="e">
        <f t="shared" si="5"/>
        <v>#N/A</v>
      </c>
      <c r="AD18" s="715"/>
      <c r="AE18" s="573"/>
      <c r="AF18" s="574"/>
      <c r="AG18" s="574"/>
      <c r="AH18" s="518" t="e">
        <f t="shared" si="6"/>
        <v>#N/A</v>
      </c>
      <c r="AI18" s="715"/>
      <c r="AJ18" s="573"/>
      <c r="AK18" s="574"/>
      <c r="AL18" s="574"/>
      <c r="AM18" s="518" t="e">
        <f t="shared" si="7"/>
        <v>#N/A</v>
      </c>
      <c r="AN18" s="715"/>
      <c r="AO18" s="573"/>
      <c r="AP18" s="574"/>
      <c r="AQ18" s="574"/>
      <c r="AR18" s="518" t="e">
        <f t="shared" si="8"/>
        <v>#N/A</v>
      </c>
      <c r="AS18" s="734"/>
      <c r="AT18" s="573"/>
      <c r="AU18" s="574"/>
      <c r="AV18" s="574"/>
      <c r="AW18" s="518" t="e">
        <f t="shared" si="9"/>
        <v>#N/A</v>
      </c>
      <c r="AX18" s="733"/>
      <c r="AZ18" s="362" t="e">
        <f>RANK(AX18, $K$7:AX$21)</f>
        <v>#N/A</v>
      </c>
      <c r="BB18" s="359" t="e">
        <f t="shared" si="10"/>
        <v>#N/A</v>
      </c>
    </row>
    <row r="19" spans="2:54">
      <c r="B19" s="701"/>
      <c r="C19" s="515">
        <v>13</v>
      </c>
      <c r="D19" s="498"/>
      <c r="E19" s="518"/>
      <c r="F19" s="518"/>
      <c r="G19" s="518"/>
      <c r="H19" s="713"/>
      <c r="I19" s="515"/>
      <c r="J19" s="515"/>
      <c r="K19" s="515"/>
      <c r="L19" s="713"/>
      <c r="M19" s="517" t="e">
        <f>RANK(K19, K$7:$K$21)</f>
        <v>#N/A</v>
      </c>
      <c r="N19" s="668"/>
      <c r="O19" s="668"/>
      <c r="P19" s="515"/>
      <c r="Q19" s="518"/>
      <c r="R19" s="518"/>
      <c r="S19" s="518" t="e">
        <f t="shared" si="3"/>
        <v>#N/A</v>
      </c>
      <c r="T19" s="734"/>
      <c r="U19" s="573"/>
      <c r="V19" s="574"/>
      <c r="W19" s="574"/>
      <c r="X19" s="518" t="e">
        <f t="shared" si="4"/>
        <v>#N/A</v>
      </c>
      <c r="Y19" s="715"/>
      <c r="Z19" s="573"/>
      <c r="AA19" s="574"/>
      <c r="AB19" s="574"/>
      <c r="AC19" s="518" t="e">
        <f t="shared" si="5"/>
        <v>#N/A</v>
      </c>
      <c r="AD19" s="715"/>
      <c r="AE19" s="573"/>
      <c r="AF19" s="574"/>
      <c r="AG19" s="574"/>
      <c r="AH19" s="518" t="e">
        <f t="shared" si="6"/>
        <v>#N/A</v>
      </c>
      <c r="AI19" s="715"/>
      <c r="AJ19" s="573"/>
      <c r="AK19" s="574"/>
      <c r="AL19" s="574"/>
      <c r="AM19" s="518" t="e">
        <f t="shared" si="7"/>
        <v>#N/A</v>
      </c>
      <c r="AN19" s="715"/>
      <c r="AO19" s="573"/>
      <c r="AP19" s="574"/>
      <c r="AQ19" s="574"/>
      <c r="AR19" s="518" t="e">
        <f t="shared" si="8"/>
        <v>#N/A</v>
      </c>
      <c r="AS19" s="734"/>
      <c r="AT19" s="573"/>
      <c r="AU19" s="574"/>
      <c r="AV19" s="574"/>
      <c r="AW19" s="518" t="e">
        <f t="shared" si="9"/>
        <v>#N/A</v>
      </c>
      <c r="AX19" s="733"/>
      <c r="AZ19" s="362" t="e">
        <f>RANK(AX19, $K$7:AX$21)</f>
        <v>#N/A</v>
      </c>
      <c r="BB19" s="359" t="e">
        <f t="shared" si="10"/>
        <v>#N/A</v>
      </c>
    </row>
    <row r="20" spans="2:54">
      <c r="B20" s="701"/>
      <c r="C20" s="515">
        <v>14</v>
      </c>
      <c r="D20" s="498"/>
      <c r="E20" s="518"/>
      <c r="F20" s="518"/>
      <c r="G20" s="518"/>
      <c r="H20" s="713"/>
      <c r="I20" s="515"/>
      <c r="J20" s="515"/>
      <c r="K20" s="515"/>
      <c r="L20" s="713"/>
      <c r="M20" s="517" t="e">
        <f>RANK(K20, K$7:$K$21)</f>
        <v>#N/A</v>
      </c>
      <c r="N20" s="668"/>
      <c r="O20" s="668"/>
      <c r="P20" s="515"/>
      <c r="Q20" s="518"/>
      <c r="R20" s="518"/>
      <c r="S20" s="518" t="e">
        <f t="shared" si="3"/>
        <v>#N/A</v>
      </c>
      <c r="T20" s="734"/>
      <c r="U20" s="573"/>
      <c r="V20" s="574"/>
      <c r="W20" s="574"/>
      <c r="X20" s="518" t="e">
        <f t="shared" si="4"/>
        <v>#N/A</v>
      </c>
      <c r="Y20" s="715"/>
      <c r="Z20" s="573"/>
      <c r="AA20" s="574"/>
      <c r="AB20" s="574"/>
      <c r="AC20" s="518" t="e">
        <f t="shared" si="5"/>
        <v>#N/A</v>
      </c>
      <c r="AD20" s="715"/>
      <c r="AE20" s="573"/>
      <c r="AF20" s="574"/>
      <c r="AG20" s="574"/>
      <c r="AH20" s="518" t="e">
        <f t="shared" si="6"/>
        <v>#N/A</v>
      </c>
      <c r="AI20" s="715"/>
      <c r="AJ20" s="573"/>
      <c r="AK20" s="574"/>
      <c r="AL20" s="574"/>
      <c r="AM20" s="518" t="e">
        <f t="shared" si="7"/>
        <v>#N/A</v>
      </c>
      <c r="AN20" s="715"/>
      <c r="AO20" s="573"/>
      <c r="AP20" s="574"/>
      <c r="AQ20" s="574"/>
      <c r="AR20" s="518" t="e">
        <f t="shared" si="8"/>
        <v>#N/A</v>
      </c>
      <c r="AS20" s="734"/>
      <c r="AT20" s="573"/>
      <c r="AU20" s="574"/>
      <c r="AV20" s="574"/>
      <c r="AW20" s="518" t="e">
        <f t="shared" si="9"/>
        <v>#N/A</v>
      </c>
      <c r="AX20" s="733"/>
      <c r="AZ20" s="362" t="e">
        <f>RANK(AX20, $K$7:AX$21)</f>
        <v>#N/A</v>
      </c>
      <c r="BB20" s="359" t="e">
        <f t="shared" si="10"/>
        <v>#N/A</v>
      </c>
    </row>
    <row r="21" spans="2:54">
      <c r="B21" s="701"/>
      <c r="C21" s="515">
        <v>15</v>
      </c>
      <c r="D21" s="498"/>
      <c r="E21" s="518"/>
      <c r="F21" s="518"/>
      <c r="G21" s="518"/>
      <c r="H21" s="723"/>
      <c r="I21" s="515"/>
      <c r="J21" s="515"/>
      <c r="K21" s="515"/>
      <c r="L21" s="723"/>
      <c r="M21" s="517" t="e">
        <f>RANK(K21, K$7:$K$21)</f>
        <v>#N/A</v>
      </c>
      <c r="N21" s="668"/>
      <c r="O21" s="668"/>
      <c r="P21" s="515"/>
      <c r="Q21" s="518"/>
      <c r="R21" s="518"/>
      <c r="S21" s="518" t="e">
        <f t="shared" si="3"/>
        <v>#N/A</v>
      </c>
      <c r="T21" s="734"/>
      <c r="U21" s="573"/>
      <c r="V21" s="574"/>
      <c r="W21" s="574"/>
      <c r="X21" s="518" t="e">
        <f t="shared" si="4"/>
        <v>#N/A</v>
      </c>
      <c r="Y21" s="715"/>
      <c r="Z21" s="573"/>
      <c r="AA21" s="574"/>
      <c r="AB21" s="574"/>
      <c r="AC21" s="518" t="e">
        <f t="shared" si="5"/>
        <v>#N/A</v>
      </c>
      <c r="AD21" s="715"/>
      <c r="AE21" s="573"/>
      <c r="AF21" s="574"/>
      <c r="AG21" s="574"/>
      <c r="AH21" s="518" t="e">
        <f t="shared" si="6"/>
        <v>#N/A</v>
      </c>
      <c r="AI21" s="715"/>
      <c r="AJ21" s="573"/>
      <c r="AK21" s="574"/>
      <c r="AL21" s="574"/>
      <c r="AM21" s="518" t="e">
        <f t="shared" si="7"/>
        <v>#N/A</v>
      </c>
      <c r="AN21" s="715"/>
      <c r="AO21" s="573"/>
      <c r="AP21" s="574"/>
      <c r="AQ21" s="574"/>
      <c r="AR21" s="518" t="e">
        <f t="shared" si="8"/>
        <v>#N/A</v>
      </c>
      <c r="AS21" s="734"/>
      <c r="AT21" s="573"/>
      <c r="AU21" s="574"/>
      <c r="AV21" s="574"/>
      <c r="AW21" s="518" t="e">
        <f t="shared" si="9"/>
        <v>#N/A</v>
      </c>
      <c r="AX21" s="733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69" t="s">
        <v>156</v>
      </c>
      <c r="O22" s="669" t="s">
        <v>105</v>
      </c>
      <c r="P22" s="675">
        <f>P2+7</f>
        <v>46091</v>
      </c>
      <c r="Q22" s="676"/>
      <c r="R22" s="676"/>
      <c r="S22" s="676"/>
      <c r="T22" s="676"/>
      <c r="U22" s="672">
        <f>P22+1</f>
        <v>46092</v>
      </c>
      <c r="V22" s="673"/>
      <c r="W22" s="673"/>
      <c r="X22" s="673"/>
      <c r="Y22" s="674"/>
      <c r="Z22" s="672">
        <f>U22+1</f>
        <v>46093</v>
      </c>
      <c r="AA22" s="673"/>
      <c r="AB22" s="673"/>
      <c r="AC22" s="673"/>
      <c r="AD22" s="674"/>
      <c r="AE22" s="672">
        <f>Z22+1</f>
        <v>46094</v>
      </c>
      <c r="AF22" s="673"/>
      <c r="AG22" s="673"/>
      <c r="AH22" s="673"/>
      <c r="AI22" s="674"/>
      <c r="AJ22" s="672">
        <f>AE22+1</f>
        <v>46095</v>
      </c>
      <c r="AK22" s="673"/>
      <c r="AL22" s="673"/>
      <c r="AM22" s="673"/>
      <c r="AN22" s="674"/>
      <c r="AO22" s="672">
        <f>AJ22+1</f>
        <v>46096</v>
      </c>
      <c r="AP22" s="673"/>
      <c r="AQ22" s="673"/>
      <c r="AR22" s="673"/>
      <c r="AS22" s="674"/>
      <c r="AT22" s="672">
        <f>AO22+1</f>
        <v>46097</v>
      </c>
      <c r="AU22" s="673"/>
      <c r="AV22" s="673"/>
      <c r="AW22" s="673"/>
      <c r="AX22" s="674"/>
    </row>
    <row r="23" spans="2:54" ht="15.75">
      <c r="B23" s="683"/>
      <c r="C23" s="683"/>
      <c r="D23" s="683"/>
      <c r="E23" s="683"/>
      <c r="F23" s="683"/>
      <c r="G23" s="683"/>
      <c r="H23" s="683"/>
      <c r="I23" s="205"/>
      <c r="J23" s="205"/>
      <c r="K23" s="205"/>
      <c r="L23" s="205"/>
      <c r="M23" s="206"/>
      <c r="N23" s="671"/>
      <c r="O23" s="671"/>
      <c r="P23" s="675" t="s">
        <v>336</v>
      </c>
      <c r="Q23" s="676"/>
      <c r="R23" s="676"/>
      <c r="S23" s="676"/>
      <c r="T23" s="676"/>
      <c r="U23" s="675" t="s">
        <v>337</v>
      </c>
      <c r="V23" s="676"/>
      <c r="W23" s="676"/>
      <c r="X23" s="676"/>
      <c r="Y23" s="676"/>
      <c r="Z23" s="675" t="s">
        <v>338</v>
      </c>
      <c r="AA23" s="676"/>
      <c r="AB23" s="676"/>
      <c r="AC23" s="676"/>
      <c r="AD23" s="676"/>
      <c r="AE23" s="675" t="s">
        <v>339</v>
      </c>
      <c r="AF23" s="676"/>
      <c r="AG23" s="676"/>
      <c r="AH23" s="676"/>
      <c r="AI23" s="676"/>
      <c r="AJ23" s="675" t="s">
        <v>340</v>
      </c>
      <c r="AK23" s="676"/>
      <c r="AL23" s="676"/>
      <c r="AM23" s="676"/>
      <c r="AN23" s="676"/>
      <c r="AO23" s="675" t="s">
        <v>341</v>
      </c>
      <c r="AP23" s="676"/>
      <c r="AQ23" s="676"/>
      <c r="AR23" s="676"/>
      <c r="AS23" s="676"/>
      <c r="AT23" s="675" t="s">
        <v>342</v>
      </c>
      <c r="AU23" s="676"/>
      <c r="AV23" s="676"/>
      <c r="AW23" s="676"/>
      <c r="AX23" s="676"/>
    </row>
    <row r="24" spans="2:54">
      <c r="B24" s="668" t="s">
        <v>419</v>
      </c>
      <c r="C24" s="668" t="s">
        <v>429</v>
      </c>
      <c r="D24" s="668"/>
      <c r="E24" s="668" t="s">
        <v>420</v>
      </c>
      <c r="F24" s="668"/>
      <c r="G24" s="668"/>
      <c r="H24" s="684" t="s">
        <v>416</v>
      </c>
      <c r="I24" s="652" t="s">
        <v>421</v>
      </c>
      <c r="J24" s="652"/>
      <c r="K24" s="652"/>
      <c r="L24" s="653" t="s">
        <v>416</v>
      </c>
      <c r="M24" s="659" t="s">
        <v>417</v>
      </c>
      <c r="N24" s="668"/>
      <c r="O24" s="668" t="s">
        <v>422</v>
      </c>
      <c r="P24" s="665" t="s">
        <v>418</v>
      </c>
      <c r="Q24" s="666"/>
      <c r="R24" s="666"/>
      <c r="S24" s="667"/>
      <c r="T24" s="668" t="s">
        <v>416</v>
      </c>
      <c r="U24" s="665" t="s">
        <v>418</v>
      </c>
      <c r="V24" s="666"/>
      <c r="W24" s="666"/>
      <c r="X24" s="667"/>
      <c r="Y24" s="668" t="s">
        <v>416</v>
      </c>
      <c r="Z24" s="665" t="s">
        <v>418</v>
      </c>
      <c r="AA24" s="666"/>
      <c r="AB24" s="666"/>
      <c r="AC24" s="667"/>
      <c r="AD24" s="668" t="s">
        <v>416</v>
      </c>
      <c r="AE24" s="665" t="s">
        <v>418</v>
      </c>
      <c r="AF24" s="666"/>
      <c r="AG24" s="666"/>
      <c r="AH24" s="667"/>
      <c r="AI24" s="668" t="s">
        <v>416</v>
      </c>
      <c r="AJ24" s="665" t="s">
        <v>418</v>
      </c>
      <c r="AK24" s="666"/>
      <c r="AL24" s="666"/>
      <c r="AM24" s="667"/>
      <c r="AN24" s="668" t="s">
        <v>416</v>
      </c>
      <c r="AO24" s="665" t="s">
        <v>418</v>
      </c>
      <c r="AP24" s="666"/>
      <c r="AQ24" s="666"/>
      <c r="AR24" s="667"/>
      <c r="AS24" s="668" t="s">
        <v>416</v>
      </c>
      <c r="AT24" s="665" t="s">
        <v>418</v>
      </c>
      <c r="AU24" s="666"/>
      <c r="AV24" s="666"/>
      <c r="AW24" s="667"/>
      <c r="AX24" s="668" t="s">
        <v>416</v>
      </c>
    </row>
    <row r="25" spans="2:54">
      <c r="B25" s="668"/>
      <c r="C25" s="668"/>
      <c r="D25" s="668"/>
      <c r="E25" s="668" t="s">
        <v>423</v>
      </c>
      <c r="F25" s="668"/>
      <c r="G25" s="668"/>
      <c r="H25" s="685"/>
      <c r="I25" s="652" t="s">
        <v>423</v>
      </c>
      <c r="J25" s="652"/>
      <c r="K25" s="652"/>
      <c r="L25" s="654"/>
      <c r="M25" s="660"/>
      <c r="N25" s="668"/>
      <c r="O25" s="668"/>
      <c r="P25" s="665" t="s">
        <v>424</v>
      </c>
      <c r="Q25" s="666"/>
      <c r="R25" s="666"/>
      <c r="S25" s="667"/>
      <c r="T25" s="668"/>
      <c r="U25" s="665" t="s">
        <v>424</v>
      </c>
      <c r="V25" s="666"/>
      <c r="W25" s="666"/>
      <c r="X25" s="667"/>
      <c r="Y25" s="668"/>
      <c r="Z25" s="665" t="s">
        <v>424</v>
      </c>
      <c r="AA25" s="666"/>
      <c r="AB25" s="666"/>
      <c r="AC25" s="667"/>
      <c r="AD25" s="668"/>
      <c r="AE25" s="665" t="s">
        <v>424</v>
      </c>
      <c r="AF25" s="666"/>
      <c r="AG25" s="666"/>
      <c r="AH25" s="667"/>
      <c r="AI25" s="668"/>
      <c r="AJ25" s="665" t="s">
        <v>424</v>
      </c>
      <c r="AK25" s="666"/>
      <c r="AL25" s="666"/>
      <c r="AM25" s="667"/>
      <c r="AN25" s="668"/>
      <c r="AO25" s="665" t="s">
        <v>424</v>
      </c>
      <c r="AP25" s="666"/>
      <c r="AQ25" s="666"/>
      <c r="AR25" s="667"/>
      <c r="AS25" s="668"/>
      <c r="AT25" s="665" t="s">
        <v>424</v>
      </c>
      <c r="AU25" s="666"/>
      <c r="AV25" s="666"/>
      <c r="AW25" s="667"/>
      <c r="AX25" s="668"/>
    </row>
    <row r="26" spans="2:54">
      <c r="B26" s="668"/>
      <c r="C26" s="668"/>
      <c r="D26" s="668"/>
      <c r="E26" s="308" t="s">
        <v>425</v>
      </c>
      <c r="F26" s="308" t="s">
        <v>426</v>
      </c>
      <c r="G26" s="308" t="s">
        <v>427</v>
      </c>
      <c r="H26" s="686"/>
      <c r="I26" s="307" t="s">
        <v>425</v>
      </c>
      <c r="J26" s="307" t="s">
        <v>426</v>
      </c>
      <c r="K26" s="307" t="s">
        <v>427</v>
      </c>
      <c r="L26" s="655"/>
      <c r="M26" s="661"/>
      <c r="N26" s="668"/>
      <c r="O26" s="668"/>
      <c r="P26" s="308" t="s">
        <v>425</v>
      </c>
      <c r="Q26" s="308" t="s">
        <v>426</v>
      </c>
      <c r="R26" s="308" t="s">
        <v>427</v>
      </c>
      <c r="S26" s="308" t="s">
        <v>417</v>
      </c>
      <c r="T26" s="668"/>
      <c r="U26" s="308" t="s">
        <v>425</v>
      </c>
      <c r="V26" s="308" t="s">
        <v>426</v>
      </c>
      <c r="W26" s="308" t="s">
        <v>427</v>
      </c>
      <c r="X26" s="308" t="s">
        <v>417</v>
      </c>
      <c r="Y26" s="668"/>
      <c r="Z26" s="308" t="s">
        <v>425</v>
      </c>
      <c r="AA26" s="308" t="s">
        <v>426</v>
      </c>
      <c r="AB26" s="308" t="s">
        <v>427</v>
      </c>
      <c r="AC26" s="308" t="s">
        <v>417</v>
      </c>
      <c r="AD26" s="668"/>
      <c r="AE26" s="308" t="s">
        <v>425</v>
      </c>
      <c r="AF26" s="308" t="s">
        <v>426</v>
      </c>
      <c r="AG26" s="308" t="s">
        <v>427</v>
      </c>
      <c r="AH26" s="308" t="s">
        <v>417</v>
      </c>
      <c r="AI26" s="668"/>
      <c r="AJ26" s="308" t="s">
        <v>425</v>
      </c>
      <c r="AK26" s="308" t="s">
        <v>426</v>
      </c>
      <c r="AL26" s="308" t="s">
        <v>427</v>
      </c>
      <c r="AM26" s="308" t="s">
        <v>417</v>
      </c>
      <c r="AN26" s="668"/>
      <c r="AO26" s="308" t="s">
        <v>425</v>
      </c>
      <c r="AP26" s="308" t="s">
        <v>426</v>
      </c>
      <c r="AQ26" s="308" t="s">
        <v>427</v>
      </c>
      <c r="AR26" s="308" t="s">
        <v>417</v>
      </c>
      <c r="AS26" s="668"/>
      <c r="AT26" s="308" t="s">
        <v>425</v>
      </c>
      <c r="AU26" s="308" t="s">
        <v>426</v>
      </c>
      <c r="AV26" s="308" t="s">
        <v>427</v>
      </c>
      <c r="AW26" s="308" t="s">
        <v>417</v>
      </c>
      <c r="AX26" s="668"/>
    </row>
    <row r="27" spans="2:54">
      <c r="B27" s="668" t="s">
        <v>431</v>
      </c>
      <c r="C27" s="309">
        <v>1</v>
      </c>
      <c r="D27" s="227" t="s">
        <v>756</v>
      </c>
      <c r="E27" s="182">
        <v>14</v>
      </c>
      <c r="F27" s="569">
        <v>1500</v>
      </c>
      <c r="G27" s="570">
        <v>107.1</v>
      </c>
      <c r="H27" s="717">
        <f>AVERAGE(G27:G41)</f>
        <v>99.199999999999989</v>
      </c>
      <c r="I27" s="199">
        <f>AVERAGE(P27,U27,Z27,AE27,AJ27,AO27,AT27)</f>
        <v>13</v>
      </c>
      <c r="J27" s="199">
        <f>AVERAGE(Q27,V27,AA27,AF27,AK27,AP27,AU27)</f>
        <v>1237.9835102785416</v>
      </c>
      <c r="K27" s="200">
        <f>AVERAGE(R27,W27,AB27,AG27,AL27,AQ27,AV27)</f>
        <v>95.229500790657013</v>
      </c>
      <c r="L27" s="649">
        <f>IFERROR(AVERAGE(K27:K41),"-")</f>
        <v>85.873287405689709</v>
      </c>
      <c r="M27" s="201">
        <f>RANK(K27, K$27:$K$41)</f>
        <v>1</v>
      </c>
      <c r="N27" s="668"/>
      <c r="O27" s="668"/>
      <c r="P27" s="573">
        <v>13</v>
      </c>
      <c r="Q27" s="574">
        <v>1240.0000000000002</v>
      </c>
      <c r="R27" s="574">
        <v>95.384615384615401</v>
      </c>
      <c r="S27" s="309">
        <f t="shared" ref="S27:S41" si="11">RANK(R27, R$27:R$41)</f>
        <v>1</v>
      </c>
      <c r="T27" s="690">
        <f>AVERAGE(R27:R41)</f>
        <v>86.278685555429703</v>
      </c>
      <c r="U27" s="573">
        <v>13</v>
      </c>
      <c r="V27" s="574">
        <v>1243.6363636363635</v>
      </c>
      <c r="W27" s="574">
        <v>95.664335664335653</v>
      </c>
      <c r="X27" s="475">
        <f t="shared" ref="X27:X41" si="12">RANK(W27, W$27:W$41)</f>
        <v>1</v>
      </c>
      <c r="Y27" s="690">
        <f t="shared" ref="Y27" si="13">AVERAGE(W27:W41)</f>
        <v>85.833936467943815</v>
      </c>
      <c r="Z27" s="573">
        <v>13</v>
      </c>
      <c r="AA27" s="574">
        <v>1217.1428571428567</v>
      </c>
      <c r="AB27" s="574">
        <v>93.626373626373592</v>
      </c>
      <c r="AC27" s="475">
        <f t="shared" ref="AC27:AC41" si="14">RANK(AB27, AB$27:AB$41)</f>
        <v>1</v>
      </c>
      <c r="AD27" s="690">
        <f t="shared" ref="AD27" si="15">AVERAGE(AB27:AB41)</f>
        <v>84.423069473288479</v>
      </c>
      <c r="AE27" s="573">
        <v>13</v>
      </c>
      <c r="AF27" s="574">
        <v>1250.9999999999995</v>
      </c>
      <c r="AG27" s="574">
        <v>96.230769230769198</v>
      </c>
      <c r="AH27" s="475">
        <f t="shared" ref="AH27:AH41" si="16">RANK(AG27, AG$27:AG$41)</f>
        <v>1</v>
      </c>
      <c r="AI27" s="690">
        <f t="shared" ref="AI27" si="17">AVERAGE(AG27:AG41)</f>
        <v>86.047812632145465</v>
      </c>
      <c r="AJ27" s="573">
        <v>13</v>
      </c>
      <c r="AK27" s="574">
        <v>1252.5000000000005</v>
      </c>
      <c r="AL27" s="574">
        <v>96.346153846153882</v>
      </c>
      <c r="AM27" s="475">
        <f t="shared" ref="AM27:AM41" si="18">RANK(AL27, AL$27:AL$41)</f>
        <v>1</v>
      </c>
      <c r="AN27" s="690">
        <f t="shared" ref="AN27" si="19">AVERAGE(AL27:AL41)</f>
        <v>86.699890060030739</v>
      </c>
      <c r="AO27" s="573">
        <v>13</v>
      </c>
      <c r="AP27" s="574">
        <v>1233.9130434782608</v>
      </c>
      <c r="AQ27" s="574">
        <v>94.916387959866213</v>
      </c>
      <c r="AR27" s="475">
        <f t="shared" ref="AR27:AR41" si="20">RANK(AQ27, AQ$27:AQ$41)</f>
        <v>1</v>
      </c>
      <c r="AS27" s="690">
        <f t="shared" ref="AS27" si="21">AVERAGE(AQ27:AQ41)</f>
        <v>85.888102004832149</v>
      </c>
      <c r="AT27" s="573">
        <v>13</v>
      </c>
      <c r="AU27" s="574">
        <v>1227.6923076923085</v>
      </c>
      <c r="AV27" s="574">
        <v>94.437869822485268</v>
      </c>
      <c r="AW27" s="475">
        <f t="shared" ref="AW27:AW41" si="22">RANK(AV27, AV$27:AV$41)</f>
        <v>1</v>
      </c>
      <c r="AX27" s="690">
        <f t="shared" ref="AX27" si="23">AVERAGE(AV27:AV41)</f>
        <v>85.941515646157555</v>
      </c>
    </row>
    <row r="28" spans="2:54">
      <c r="B28" s="676"/>
      <c r="C28" s="309">
        <v>2</v>
      </c>
      <c r="D28" s="227" t="s">
        <v>799</v>
      </c>
      <c r="E28" s="182">
        <v>16</v>
      </c>
      <c r="F28" s="569">
        <v>1636</v>
      </c>
      <c r="G28" s="570">
        <v>102.3</v>
      </c>
      <c r="H28" s="718"/>
      <c r="I28" s="199">
        <f t="shared" ref="I28:I29" si="24">AVERAGE(P28,U28,Z28,AE28,AJ28,AO28,AT28)</f>
        <v>17</v>
      </c>
      <c r="J28" s="199">
        <f t="shared" ref="J28:J29" si="25">AVERAGE(Q28,V28,AA28,AF28,AK28,AP28,AU28)</f>
        <v>1399.2803250042855</v>
      </c>
      <c r="K28" s="200">
        <f t="shared" ref="K28:K29" si="26">AVERAGE(R28,W28,AB28,AG28,AL28,AQ28,AV28)</f>
        <v>82.310607353193276</v>
      </c>
      <c r="L28" s="650"/>
      <c r="M28" s="201">
        <f>RANK(K28, K$27:$K$41)</f>
        <v>2</v>
      </c>
      <c r="N28" s="668"/>
      <c r="O28" s="668"/>
      <c r="P28" s="573">
        <v>17</v>
      </c>
      <c r="Q28" s="574">
        <v>1398.9902912621365</v>
      </c>
      <c r="R28" s="574">
        <v>82.293546544831557</v>
      </c>
      <c r="S28" s="309">
        <f t="shared" si="11"/>
        <v>2</v>
      </c>
      <c r="T28" s="690"/>
      <c r="U28" s="573">
        <v>17</v>
      </c>
      <c r="V28" s="574">
        <v>1390</v>
      </c>
      <c r="W28" s="574">
        <v>81.764705882352942</v>
      </c>
      <c r="X28" s="475">
        <f t="shared" si="12"/>
        <v>2</v>
      </c>
      <c r="Y28" s="690"/>
      <c r="Z28" s="573">
        <v>17</v>
      </c>
      <c r="AA28" s="574">
        <v>1409.5531914893611</v>
      </c>
      <c r="AB28" s="574">
        <v>82.914893617021235</v>
      </c>
      <c r="AC28" s="475">
        <f t="shared" si="14"/>
        <v>2</v>
      </c>
      <c r="AD28" s="690"/>
      <c r="AE28" s="573">
        <v>17</v>
      </c>
      <c r="AF28" s="574">
        <v>1390.4827586206902</v>
      </c>
      <c r="AG28" s="574">
        <v>81.7931034482759</v>
      </c>
      <c r="AH28" s="475">
        <f t="shared" si="16"/>
        <v>2</v>
      </c>
      <c r="AI28" s="690"/>
      <c r="AJ28" s="573">
        <v>17</v>
      </c>
      <c r="AK28" s="574">
        <v>1408.6551724137935</v>
      </c>
      <c r="AL28" s="574">
        <v>82.862068965517267</v>
      </c>
      <c r="AM28" s="475">
        <f t="shared" si="18"/>
        <v>2</v>
      </c>
      <c r="AN28" s="690"/>
      <c r="AO28" s="573">
        <v>17</v>
      </c>
      <c r="AP28" s="574">
        <v>1398.0263157894733</v>
      </c>
      <c r="AQ28" s="574">
        <v>82.236842105263136</v>
      </c>
      <c r="AR28" s="475">
        <f t="shared" si="20"/>
        <v>2</v>
      </c>
      <c r="AS28" s="690"/>
      <c r="AT28" s="573">
        <v>17</v>
      </c>
      <c r="AU28" s="574">
        <v>1399.2545454545448</v>
      </c>
      <c r="AV28" s="574">
        <v>82.30909090909087</v>
      </c>
      <c r="AW28" s="475">
        <f t="shared" si="22"/>
        <v>2</v>
      </c>
      <c r="AX28" s="690"/>
    </row>
    <row r="29" spans="2:54">
      <c r="B29" s="676"/>
      <c r="C29" s="309">
        <v>3</v>
      </c>
      <c r="D29" s="227" t="s">
        <v>940</v>
      </c>
      <c r="E29" s="182">
        <v>17</v>
      </c>
      <c r="F29" s="569">
        <v>1500</v>
      </c>
      <c r="G29" s="570">
        <v>88.2</v>
      </c>
      <c r="H29" s="718"/>
      <c r="I29" s="199">
        <f t="shared" si="24"/>
        <v>16.142857142857142</v>
      </c>
      <c r="J29" s="199">
        <f t="shared" si="25"/>
        <v>1292.2371996252823</v>
      </c>
      <c r="K29" s="200">
        <f t="shared" si="26"/>
        <v>80.079754073218808</v>
      </c>
      <c r="L29" s="650"/>
      <c r="M29" s="201">
        <f>RANK(K29, K$27:$K$41)</f>
        <v>3</v>
      </c>
      <c r="N29" s="668"/>
      <c r="O29" s="668"/>
      <c r="P29" s="573">
        <v>16</v>
      </c>
      <c r="Q29" s="574">
        <v>1298.526315789474</v>
      </c>
      <c r="R29" s="574">
        <v>81.157894736842124</v>
      </c>
      <c r="S29" s="309">
        <f t="shared" si="11"/>
        <v>3</v>
      </c>
      <c r="T29" s="690"/>
      <c r="U29" s="573">
        <v>16</v>
      </c>
      <c r="V29" s="574">
        <v>1281.1642857142854</v>
      </c>
      <c r="W29" s="574">
        <v>80.072767857142836</v>
      </c>
      <c r="X29" s="475">
        <f t="shared" si="12"/>
        <v>3</v>
      </c>
      <c r="Y29" s="690"/>
      <c r="Z29" s="573">
        <v>17</v>
      </c>
      <c r="AA29" s="574">
        <v>1304.3750000000005</v>
      </c>
      <c r="AB29" s="574">
        <v>76.727941176470608</v>
      </c>
      <c r="AC29" s="475">
        <f t="shared" si="14"/>
        <v>3</v>
      </c>
      <c r="AD29" s="690"/>
      <c r="AE29" s="573">
        <v>16</v>
      </c>
      <c r="AF29" s="574">
        <v>1281.913043478261</v>
      </c>
      <c r="AG29" s="574">
        <v>80.119565217391312</v>
      </c>
      <c r="AH29" s="475">
        <f t="shared" si="16"/>
        <v>3</v>
      </c>
      <c r="AI29" s="690"/>
      <c r="AJ29" s="573">
        <v>16</v>
      </c>
      <c r="AK29" s="574">
        <v>1294.2631578947373</v>
      </c>
      <c r="AL29" s="574">
        <v>80.891447368421083</v>
      </c>
      <c r="AM29" s="475">
        <f t="shared" si="18"/>
        <v>3</v>
      </c>
      <c r="AN29" s="690"/>
      <c r="AO29" s="573">
        <v>16</v>
      </c>
      <c r="AP29" s="574">
        <v>1288.177215189874</v>
      </c>
      <c r="AQ29" s="574">
        <v>80.511075949367125</v>
      </c>
      <c r="AR29" s="475">
        <f t="shared" si="20"/>
        <v>3</v>
      </c>
      <c r="AS29" s="690"/>
      <c r="AT29" s="573">
        <v>16</v>
      </c>
      <c r="AU29" s="574">
        <v>1297.2413793103449</v>
      </c>
      <c r="AV29" s="574">
        <v>81.077586206896555</v>
      </c>
      <c r="AW29" s="475">
        <f t="shared" si="22"/>
        <v>3</v>
      </c>
      <c r="AX29" s="690"/>
    </row>
    <row r="30" spans="2:54">
      <c r="B30" s="676"/>
      <c r="C30" s="309">
        <v>4</v>
      </c>
      <c r="D30" s="227"/>
      <c r="E30" s="182"/>
      <c r="F30" s="569"/>
      <c r="G30" s="570"/>
      <c r="H30" s="718"/>
      <c r="I30" s="199"/>
      <c r="J30" s="199"/>
      <c r="K30" s="200"/>
      <c r="L30" s="650"/>
      <c r="M30" s="201" t="e">
        <f>RANK(K30, K$27:$K$41)</f>
        <v>#N/A</v>
      </c>
      <c r="N30" s="668"/>
      <c r="O30" s="668"/>
      <c r="P30" s="573"/>
      <c r="Q30" s="574"/>
      <c r="R30" s="574"/>
      <c r="S30" s="309" t="e">
        <f t="shared" si="11"/>
        <v>#N/A</v>
      </c>
      <c r="T30" s="690"/>
      <c r="U30" s="573"/>
      <c r="V30" s="574"/>
      <c r="W30" s="574"/>
      <c r="X30" s="475" t="e">
        <f t="shared" si="12"/>
        <v>#N/A</v>
      </c>
      <c r="Y30" s="690"/>
      <c r="Z30" s="573"/>
      <c r="AA30" s="574"/>
      <c r="AB30" s="574"/>
      <c r="AC30" s="475" t="e">
        <f t="shared" si="14"/>
        <v>#N/A</v>
      </c>
      <c r="AD30" s="690"/>
      <c r="AE30" s="573"/>
      <c r="AF30" s="574"/>
      <c r="AG30" s="574"/>
      <c r="AH30" s="475" t="e">
        <f t="shared" si="16"/>
        <v>#N/A</v>
      </c>
      <c r="AI30" s="690"/>
      <c r="AJ30" s="573"/>
      <c r="AK30" s="574"/>
      <c r="AL30" s="574"/>
      <c r="AM30" s="475" t="e">
        <f t="shared" si="18"/>
        <v>#N/A</v>
      </c>
      <c r="AN30" s="690"/>
      <c r="AO30" s="573"/>
      <c r="AP30" s="574"/>
      <c r="AQ30" s="574"/>
      <c r="AR30" s="475" t="e">
        <f t="shared" si="20"/>
        <v>#N/A</v>
      </c>
      <c r="AS30" s="690"/>
      <c r="AT30" s="573"/>
      <c r="AU30" s="574"/>
      <c r="AV30" s="574"/>
      <c r="AW30" s="475" t="e">
        <f t="shared" si="22"/>
        <v>#N/A</v>
      </c>
      <c r="AX30" s="690"/>
    </row>
    <row r="31" spans="2:54">
      <c r="B31" s="676"/>
      <c r="C31" s="309">
        <v>5</v>
      </c>
      <c r="D31" s="227"/>
      <c r="E31" s="182"/>
      <c r="F31" s="569"/>
      <c r="G31" s="570"/>
      <c r="H31" s="718"/>
      <c r="I31" s="199"/>
      <c r="J31" s="199"/>
      <c r="K31" s="200"/>
      <c r="L31" s="650"/>
      <c r="M31" s="201" t="e">
        <f>RANK(K31, K$27:$K$41)</f>
        <v>#N/A</v>
      </c>
      <c r="N31" s="668"/>
      <c r="O31" s="668"/>
      <c r="P31" s="573"/>
      <c r="Q31" s="574"/>
      <c r="R31" s="574"/>
      <c r="S31" s="309" t="e">
        <f t="shared" si="11"/>
        <v>#N/A</v>
      </c>
      <c r="T31" s="690"/>
      <c r="U31" s="573"/>
      <c r="V31" s="574"/>
      <c r="W31" s="574"/>
      <c r="X31" s="475" t="e">
        <f t="shared" si="12"/>
        <v>#N/A</v>
      </c>
      <c r="Y31" s="690"/>
      <c r="Z31" s="573"/>
      <c r="AA31" s="574"/>
      <c r="AB31" s="574"/>
      <c r="AC31" s="475" t="e">
        <f t="shared" si="14"/>
        <v>#N/A</v>
      </c>
      <c r="AD31" s="690"/>
      <c r="AE31" s="573"/>
      <c r="AF31" s="574"/>
      <c r="AG31" s="574"/>
      <c r="AH31" s="475" t="e">
        <f t="shared" si="16"/>
        <v>#N/A</v>
      </c>
      <c r="AI31" s="690"/>
      <c r="AJ31" s="573"/>
      <c r="AK31" s="574"/>
      <c r="AL31" s="574"/>
      <c r="AM31" s="475" t="e">
        <f t="shared" si="18"/>
        <v>#N/A</v>
      </c>
      <c r="AN31" s="690"/>
      <c r="AO31" s="573"/>
      <c r="AP31" s="574"/>
      <c r="AQ31" s="574"/>
      <c r="AR31" s="475" t="e">
        <f t="shared" si="20"/>
        <v>#N/A</v>
      </c>
      <c r="AS31" s="690"/>
      <c r="AT31" s="573"/>
      <c r="AU31" s="574"/>
      <c r="AV31" s="574"/>
      <c r="AW31" s="475" t="e">
        <f t="shared" si="22"/>
        <v>#N/A</v>
      </c>
      <c r="AX31" s="690"/>
    </row>
    <row r="32" spans="2:54">
      <c r="B32" s="676"/>
      <c r="C32" s="309">
        <v>6</v>
      </c>
      <c r="D32" s="227"/>
      <c r="E32" s="182"/>
      <c r="F32" s="569"/>
      <c r="G32" s="570"/>
      <c r="H32" s="718"/>
      <c r="I32" s="199"/>
      <c r="J32" s="199"/>
      <c r="K32" s="200"/>
      <c r="L32" s="650"/>
      <c r="M32" s="201" t="e">
        <f>RANK(K32, K$27:$K$41)</f>
        <v>#N/A</v>
      </c>
      <c r="N32" s="668"/>
      <c r="O32" s="668"/>
      <c r="P32" s="573"/>
      <c r="Q32" s="574"/>
      <c r="R32" s="574"/>
      <c r="S32" s="309" t="e">
        <f t="shared" si="11"/>
        <v>#N/A</v>
      </c>
      <c r="T32" s="690"/>
      <c r="U32" s="573"/>
      <c r="V32" s="574"/>
      <c r="W32" s="574"/>
      <c r="X32" s="475" t="e">
        <f t="shared" si="12"/>
        <v>#N/A</v>
      </c>
      <c r="Y32" s="690"/>
      <c r="Z32" s="573"/>
      <c r="AA32" s="574"/>
      <c r="AB32" s="574"/>
      <c r="AC32" s="475" t="e">
        <f t="shared" si="14"/>
        <v>#N/A</v>
      </c>
      <c r="AD32" s="690"/>
      <c r="AE32" s="573"/>
      <c r="AF32" s="574"/>
      <c r="AG32" s="574"/>
      <c r="AH32" s="475" t="e">
        <f t="shared" si="16"/>
        <v>#N/A</v>
      </c>
      <c r="AI32" s="690"/>
      <c r="AJ32" s="573"/>
      <c r="AK32" s="574"/>
      <c r="AL32" s="574"/>
      <c r="AM32" s="475" t="e">
        <f t="shared" si="18"/>
        <v>#N/A</v>
      </c>
      <c r="AN32" s="690"/>
      <c r="AO32" s="573"/>
      <c r="AP32" s="574"/>
      <c r="AQ32" s="574"/>
      <c r="AR32" s="475" t="e">
        <f t="shared" si="20"/>
        <v>#N/A</v>
      </c>
      <c r="AS32" s="690"/>
      <c r="AT32" s="573"/>
      <c r="AU32" s="574"/>
      <c r="AV32" s="574"/>
      <c r="AW32" s="475" t="e">
        <f t="shared" si="22"/>
        <v>#N/A</v>
      </c>
      <c r="AX32" s="690"/>
    </row>
    <row r="33" spans="2:50">
      <c r="B33" s="676"/>
      <c r="C33" s="309">
        <v>7</v>
      </c>
      <c r="D33" s="227"/>
      <c r="E33" s="182"/>
      <c r="F33" s="569"/>
      <c r="G33" s="570"/>
      <c r="H33" s="718"/>
      <c r="I33" s="199"/>
      <c r="J33" s="199"/>
      <c r="K33" s="200"/>
      <c r="L33" s="650"/>
      <c r="M33" s="201" t="e">
        <f>RANK(K33, K$27:$K$41)</f>
        <v>#N/A</v>
      </c>
      <c r="N33" s="668"/>
      <c r="O33" s="668"/>
      <c r="P33" s="573"/>
      <c r="Q33" s="574"/>
      <c r="R33" s="574"/>
      <c r="S33" s="309" t="e">
        <f t="shared" si="11"/>
        <v>#N/A</v>
      </c>
      <c r="T33" s="690"/>
      <c r="U33" s="573"/>
      <c r="V33" s="574"/>
      <c r="W33" s="574"/>
      <c r="X33" s="475" t="e">
        <f t="shared" si="12"/>
        <v>#N/A</v>
      </c>
      <c r="Y33" s="690"/>
      <c r="Z33" s="573"/>
      <c r="AA33" s="574"/>
      <c r="AB33" s="574"/>
      <c r="AC33" s="475" t="e">
        <f t="shared" si="14"/>
        <v>#N/A</v>
      </c>
      <c r="AD33" s="690"/>
      <c r="AE33" s="573"/>
      <c r="AF33" s="574"/>
      <c r="AG33" s="574"/>
      <c r="AH33" s="475" t="e">
        <f t="shared" si="16"/>
        <v>#N/A</v>
      </c>
      <c r="AI33" s="690"/>
      <c r="AJ33" s="573"/>
      <c r="AK33" s="574"/>
      <c r="AL33" s="574"/>
      <c r="AM33" s="475" t="e">
        <f t="shared" si="18"/>
        <v>#N/A</v>
      </c>
      <c r="AN33" s="690"/>
      <c r="AO33" s="573"/>
      <c r="AP33" s="574"/>
      <c r="AQ33" s="574"/>
      <c r="AR33" s="475" t="e">
        <f t="shared" si="20"/>
        <v>#N/A</v>
      </c>
      <c r="AS33" s="690"/>
      <c r="AT33" s="573"/>
      <c r="AU33" s="574"/>
      <c r="AV33" s="574"/>
      <c r="AW33" s="475" t="e">
        <f t="shared" si="22"/>
        <v>#N/A</v>
      </c>
      <c r="AX33" s="690"/>
    </row>
    <row r="34" spans="2:50">
      <c r="B34" s="676"/>
      <c r="C34" s="309">
        <v>8</v>
      </c>
      <c r="D34" s="227"/>
      <c r="E34" s="182"/>
      <c r="F34" s="569"/>
      <c r="G34" s="570"/>
      <c r="H34" s="718"/>
      <c r="I34" s="424"/>
      <c r="J34" s="424"/>
      <c r="K34" s="200"/>
      <c r="L34" s="650"/>
      <c r="M34" s="201" t="e">
        <f>RANK(K34, K$27:$K$41)</f>
        <v>#N/A</v>
      </c>
      <c r="N34" s="668"/>
      <c r="O34" s="668"/>
      <c r="P34" s="573"/>
      <c r="Q34" s="574"/>
      <c r="R34" s="574"/>
      <c r="S34" s="309" t="e">
        <f t="shared" si="11"/>
        <v>#N/A</v>
      </c>
      <c r="T34" s="690"/>
      <c r="U34" s="573"/>
      <c r="V34" s="574"/>
      <c r="W34" s="574"/>
      <c r="X34" s="475" t="e">
        <f t="shared" si="12"/>
        <v>#N/A</v>
      </c>
      <c r="Y34" s="690"/>
      <c r="Z34" s="573"/>
      <c r="AA34" s="574"/>
      <c r="AB34" s="574"/>
      <c r="AC34" s="475" t="e">
        <f t="shared" si="14"/>
        <v>#N/A</v>
      </c>
      <c r="AD34" s="690"/>
      <c r="AE34" s="573"/>
      <c r="AF34" s="574"/>
      <c r="AG34" s="574"/>
      <c r="AH34" s="475" t="e">
        <f t="shared" si="16"/>
        <v>#N/A</v>
      </c>
      <c r="AI34" s="690"/>
      <c r="AJ34" s="573"/>
      <c r="AK34" s="574"/>
      <c r="AL34" s="574"/>
      <c r="AM34" s="475" t="e">
        <f t="shared" si="18"/>
        <v>#N/A</v>
      </c>
      <c r="AN34" s="690"/>
      <c r="AO34" s="573"/>
      <c r="AP34" s="574"/>
      <c r="AQ34" s="574"/>
      <c r="AR34" s="475" t="e">
        <f t="shared" si="20"/>
        <v>#N/A</v>
      </c>
      <c r="AS34" s="690"/>
      <c r="AT34" s="573"/>
      <c r="AU34" s="574"/>
      <c r="AV34" s="574"/>
      <c r="AW34" s="475" t="e">
        <f t="shared" si="22"/>
        <v>#N/A</v>
      </c>
      <c r="AX34" s="690"/>
    </row>
    <row r="35" spans="2:50">
      <c r="B35" s="676"/>
      <c r="C35" s="309">
        <v>9</v>
      </c>
      <c r="D35" s="227"/>
      <c r="E35" s="182"/>
      <c r="F35" s="569"/>
      <c r="G35" s="570"/>
      <c r="H35" s="718"/>
      <c r="I35" s="477"/>
      <c r="J35" s="477"/>
      <c r="K35" s="200"/>
      <c r="L35" s="650"/>
      <c r="M35" s="201" t="e">
        <f>RANK(K35, K$27:$K$41)</f>
        <v>#N/A</v>
      </c>
      <c r="N35" s="668"/>
      <c r="O35" s="668"/>
      <c r="P35" s="573"/>
      <c r="Q35" s="574"/>
      <c r="R35" s="574"/>
      <c r="S35" s="309" t="e">
        <f t="shared" si="11"/>
        <v>#N/A</v>
      </c>
      <c r="T35" s="690"/>
      <c r="U35" s="573"/>
      <c r="V35" s="574"/>
      <c r="W35" s="574"/>
      <c r="X35" s="475" t="e">
        <f t="shared" si="12"/>
        <v>#N/A</v>
      </c>
      <c r="Y35" s="690"/>
      <c r="Z35" s="573"/>
      <c r="AA35" s="574"/>
      <c r="AB35" s="574"/>
      <c r="AC35" s="475" t="e">
        <f t="shared" si="14"/>
        <v>#N/A</v>
      </c>
      <c r="AD35" s="690"/>
      <c r="AE35" s="573"/>
      <c r="AF35" s="574"/>
      <c r="AG35" s="574"/>
      <c r="AH35" s="475" t="e">
        <f t="shared" si="16"/>
        <v>#N/A</v>
      </c>
      <c r="AI35" s="690"/>
      <c r="AJ35" s="573"/>
      <c r="AK35" s="574"/>
      <c r="AL35" s="574"/>
      <c r="AM35" s="475" t="e">
        <f t="shared" si="18"/>
        <v>#N/A</v>
      </c>
      <c r="AN35" s="690"/>
      <c r="AO35" s="573"/>
      <c r="AP35" s="574"/>
      <c r="AQ35" s="574"/>
      <c r="AR35" s="475" t="e">
        <f t="shared" si="20"/>
        <v>#N/A</v>
      </c>
      <c r="AS35" s="690"/>
      <c r="AT35" s="573"/>
      <c r="AU35" s="574"/>
      <c r="AV35" s="574"/>
      <c r="AW35" s="475" t="e">
        <f t="shared" si="22"/>
        <v>#N/A</v>
      </c>
      <c r="AX35" s="690"/>
    </row>
    <row r="36" spans="2:50">
      <c r="B36" s="676"/>
      <c r="C36" s="309">
        <v>10</v>
      </c>
      <c r="D36" s="227"/>
      <c r="E36" s="182"/>
      <c r="F36" s="569"/>
      <c r="G36" s="570"/>
      <c r="H36" s="718"/>
      <c r="I36" s="477"/>
      <c r="J36" s="477"/>
      <c r="K36" s="200"/>
      <c r="L36" s="650"/>
      <c r="M36" s="201" t="e">
        <f>RANK(K36, K$27:$K$41)</f>
        <v>#N/A</v>
      </c>
      <c r="N36" s="668"/>
      <c r="O36" s="668"/>
      <c r="P36" s="573"/>
      <c r="Q36" s="574"/>
      <c r="R36" s="574"/>
      <c r="S36" s="309" t="e">
        <f t="shared" si="11"/>
        <v>#N/A</v>
      </c>
      <c r="T36" s="690"/>
      <c r="U36" s="573"/>
      <c r="V36" s="574"/>
      <c r="W36" s="574"/>
      <c r="X36" s="475" t="e">
        <f t="shared" si="12"/>
        <v>#N/A</v>
      </c>
      <c r="Y36" s="690"/>
      <c r="Z36" s="573"/>
      <c r="AA36" s="574"/>
      <c r="AB36" s="574"/>
      <c r="AC36" s="475" t="e">
        <f t="shared" si="14"/>
        <v>#N/A</v>
      </c>
      <c r="AD36" s="690"/>
      <c r="AE36" s="573"/>
      <c r="AF36" s="574"/>
      <c r="AG36" s="574"/>
      <c r="AH36" s="475" t="e">
        <f t="shared" si="16"/>
        <v>#N/A</v>
      </c>
      <c r="AI36" s="690"/>
      <c r="AJ36" s="573"/>
      <c r="AK36" s="574"/>
      <c r="AL36" s="574"/>
      <c r="AM36" s="475" t="e">
        <f t="shared" si="18"/>
        <v>#N/A</v>
      </c>
      <c r="AN36" s="690"/>
      <c r="AO36" s="573"/>
      <c r="AP36" s="574"/>
      <c r="AQ36" s="574"/>
      <c r="AR36" s="475" t="e">
        <f t="shared" si="20"/>
        <v>#N/A</v>
      </c>
      <c r="AS36" s="690"/>
      <c r="AT36" s="573"/>
      <c r="AU36" s="574"/>
      <c r="AV36" s="574"/>
      <c r="AW36" s="475" t="e">
        <f t="shared" si="22"/>
        <v>#N/A</v>
      </c>
      <c r="AX36" s="690"/>
    </row>
    <row r="37" spans="2:50">
      <c r="B37" s="676"/>
      <c r="C37" s="309">
        <v>11</v>
      </c>
      <c r="D37" s="227"/>
      <c r="E37" s="182"/>
      <c r="F37" s="569"/>
      <c r="G37" s="570"/>
      <c r="H37" s="718"/>
      <c r="I37" s="477"/>
      <c r="J37" s="477"/>
      <c r="K37" s="200"/>
      <c r="L37" s="650"/>
      <c r="M37" s="201" t="e">
        <f>RANK(K37, K$27:$K$41)</f>
        <v>#N/A</v>
      </c>
      <c r="N37" s="668"/>
      <c r="O37" s="668"/>
      <c r="P37" s="573"/>
      <c r="Q37" s="574"/>
      <c r="R37" s="574"/>
      <c r="S37" s="309" t="e">
        <f t="shared" si="11"/>
        <v>#N/A</v>
      </c>
      <c r="T37" s="690"/>
      <c r="U37" s="573"/>
      <c r="V37" s="574"/>
      <c r="W37" s="574"/>
      <c r="X37" s="475" t="e">
        <f t="shared" si="12"/>
        <v>#N/A</v>
      </c>
      <c r="Y37" s="690"/>
      <c r="Z37" s="573"/>
      <c r="AA37" s="574"/>
      <c r="AB37" s="574"/>
      <c r="AC37" s="475" t="e">
        <f t="shared" si="14"/>
        <v>#N/A</v>
      </c>
      <c r="AD37" s="690"/>
      <c r="AE37" s="573"/>
      <c r="AF37" s="574"/>
      <c r="AG37" s="574"/>
      <c r="AH37" s="475" t="e">
        <f t="shared" si="16"/>
        <v>#N/A</v>
      </c>
      <c r="AI37" s="690"/>
      <c r="AJ37" s="573"/>
      <c r="AK37" s="574"/>
      <c r="AL37" s="574"/>
      <c r="AM37" s="475" t="e">
        <f t="shared" si="18"/>
        <v>#N/A</v>
      </c>
      <c r="AN37" s="690"/>
      <c r="AO37" s="573"/>
      <c r="AP37" s="574"/>
      <c r="AQ37" s="574"/>
      <c r="AR37" s="475" t="e">
        <f t="shared" si="20"/>
        <v>#N/A</v>
      </c>
      <c r="AS37" s="690"/>
      <c r="AT37" s="573"/>
      <c r="AU37" s="574"/>
      <c r="AV37" s="574"/>
      <c r="AW37" s="475" t="e">
        <f t="shared" si="22"/>
        <v>#N/A</v>
      </c>
      <c r="AX37" s="690"/>
    </row>
    <row r="38" spans="2:50">
      <c r="B38" s="676"/>
      <c r="C38" s="309">
        <v>12</v>
      </c>
      <c r="D38" s="227"/>
      <c r="E38" s="182"/>
      <c r="F38" s="569"/>
      <c r="G38" s="570"/>
      <c r="H38" s="718"/>
      <c r="I38" s="477"/>
      <c r="J38" s="477"/>
      <c r="K38" s="200"/>
      <c r="L38" s="650"/>
      <c r="M38" s="201" t="e">
        <f>RANK(K38, K$27:$K$41)</f>
        <v>#N/A</v>
      </c>
      <c r="N38" s="668"/>
      <c r="O38" s="668"/>
      <c r="P38" s="573"/>
      <c r="Q38" s="574"/>
      <c r="R38" s="574"/>
      <c r="S38" s="309" t="e">
        <f t="shared" si="11"/>
        <v>#N/A</v>
      </c>
      <c r="T38" s="690"/>
      <c r="U38" s="573"/>
      <c r="V38" s="574"/>
      <c r="W38" s="574"/>
      <c r="X38" s="475" t="e">
        <f t="shared" si="12"/>
        <v>#N/A</v>
      </c>
      <c r="Y38" s="690"/>
      <c r="Z38" s="573"/>
      <c r="AA38" s="574"/>
      <c r="AB38" s="574"/>
      <c r="AC38" s="475" t="e">
        <f t="shared" si="14"/>
        <v>#N/A</v>
      </c>
      <c r="AD38" s="690"/>
      <c r="AE38" s="573"/>
      <c r="AF38" s="574"/>
      <c r="AG38" s="574"/>
      <c r="AH38" s="475" t="e">
        <f t="shared" si="16"/>
        <v>#N/A</v>
      </c>
      <c r="AI38" s="690"/>
      <c r="AJ38" s="573"/>
      <c r="AK38" s="574"/>
      <c r="AL38" s="574"/>
      <c r="AM38" s="475" t="e">
        <f t="shared" si="18"/>
        <v>#N/A</v>
      </c>
      <c r="AN38" s="690"/>
      <c r="AO38" s="573"/>
      <c r="AP38" s="574"/>
      <c r="AQ38" s="574"/>
      <c r="AR38" s="475" t="e">
        <f t="shared" si="20"/>
        <v>#N/A</v>
      </c>
      <c r="AS38" s="690"/>
      <c r="AT38" s="573"/>
      <c r="AU38" s="574"/>
      <c r="AV38" s="574"/>
      <c r="AW38" s="475" t="e">
        <f t="shared" si="22"/>
        <v>#N/A</v>
      </c>
      <c r="AX38" s="690"/>
    </row>
    <row r="39" spans="2:50">
      <c r="B39" s="676"/>
      <c r="C39" s="309">
        <v>13</v>
      </c>
      <c r="D39" s="227"/>
      <c r="E39" s="182"/>
      <c r="F39" s="569"/>
      <c r="G39" s="570"/>
      <c r="H39" s="718"/>
      <c r="I39" s="202"/>
      <c r="J39" s="202"/>
      <c r="K39" s="202"/>
      <c r="L39" s="650"/>
      <c r="M39" s="201" t="e">
        <f>RANK(K39, K$27:$K$41)</f>
        <v>#N/A</v>
      </c>
      <c r="N39" s="668"/>
      <c r="O39" s="668"/>
      <c r="P39" s="573"/>
      <c r="Q39" s="574"/>
      <c r="R39" s="574"/>
      <c r="S39" s="309" t="e">
        <f t="shared" si="11"/>
        <v>#N/A</v>
      </c>
      <c r="T39" s="690"/>
      <c r="U39" s="573"/>
      <c r="V39" s="574"/>
      <c r="W39" s="574"/>
      <c r="X39" s="475" t="e">
        <f t="shared" si="12"/>
        <v>#N/A</v>
      </c>
      <c r="Y39" s="690"/>
      <c r="Z39" s="573"/>
      <c r="AA39" s="574"/>
      <c r="AB39" s="574"/>
      <c r="AC39" s="475" t="e">
        <f t="shared" si="14"/>
        <v>#N/A</v>
      </c>
      <c r="AD39" s="690"/>
      <c r="AE39" s="573"/>
      <c r="AF39" s="574"/>
      <c r="AG39" s="574"/>
      <c r="AH39" s="475" t="e">
        <f t="shared" si="16"/>
        <v>#N/A</v>
      </c>
      <c r="AI39" s="690"/>
      <c r="AJ39" s="573"/>
      <c r="AK39" s="574"/>
      <c r="AL39" s="574"/>
      <c r="AM39" s="475" t="e">
        <f t="shared" si="18"/>
        <v>#N/A</v>
      </c>
      <c r="AN39" s="690"/>
      <c r="AO39" s="573"/>
      <c r="AP39" s="574"/>
      <c r="AQ39" s="574"/>
      <c r="AR39" s="475" t="e">
        <f t="shared" si="20"/>
        <v>#N/A</v>
      </c>
      <c r="AS39" s="690"/>
      <c r="AT39" s="573"/>
      <c r="AU39" s="574"/>
      <c r="AV39" s="574"/>
      <c r="AW39" s="475" t="e">
        <f t="shared" si="22"/>
        <v>#N/A</v>
      </c>
      <c r="AX39" s="690"/>
    </row>
    <row r="40" spans="2:50">
      <c r="B40" s="676"/>
      <c r="C40" s="309">
        <v>14</v>
      </c>
      <c r="D40" s="227"/>
      <c r="E40" s="182"/>
      <c r="F40" s="569"/>
      <c r="G40" s="570"/>
      <c r="H40" s="718"/>
      <c r="I40" s="202"/>
      <c r="J40" s="202"/>
      <c r="K40" s="202"/>
      <c r="L40" s="650"/>
      <c r="M40" s="201" t="e">
        <f>RANK(K40, K$27:$K$41)</f>
        <v>#N/A</v>
      </c>
      <c r="N40" s="668"/>
      <c r="O40" s="668"/>
      <c r="P40" s="573"/>
      <c r="Q40" s="574"/>
      <c r="R40" s="574"/>
      <c r="S40" s="309" t="e">
        <f t="shared" si="11"/>
        <v>#N/A</v>
      </c>
      <c r="T40" s="690"/>
      <c r="U40" s="573"/>
      <c r="V40" s="574"/>
      <c r="W40" s="574"/>
      <c r="X40" s="475" t="e">
        <f t="shared" si="12"/>
        <v>#N/A</v>
      </c>
      <c r="Y40" s="690"/>
      <c r="Z40" s="573"/>
      <c r="AA40" s="574"/>
      <c r="AB40" s="574"/>
      <c r="AC40" s="475" t="e">
        <f t="shared" si="14"/>
        <v>#N/A</v>
      </c>
      <c r="AD40" s="690"/>
      <c r="AE40" s="573"/>
      <c r="AF40" s="574"/>
      <c r="AG40" s="574"/>
      <c r="AH40" s="475" t="e">
        <f t="shared" si="16"/>
        <v>#N/A</v>
      </c>
      <c r="AI40" s="690"/>
      <c r="AJ40" s="573"/>
      <c r="AK40" s="574"/>
      <c r="AL40" s="574"/>
      <c r="AM40" s="475" t="e">
        <f t="shared" si="18"/>
        <v>#N/A</v>
      </c>
      <c r="AN40" s="690"/>
      <c r="AO40" s="573"/>
      <c r="AP40" s="574"/>
      <c r="AQ40" s="574"/>
      <c r="AR40" s="475" t="e">
        <f t="shared" si="20"/>
        <v>#N/A</v>
      </c>
      <c r="AS40" s="690"/>
      <c r="AT40" s="573"/>
      <c r="AU40" s="574"/>
      <c r="AV40" s="574"/>
      <c r="AW40" s="475" t="e">
        <f t="shared" si="22"/>
        <v>#N/A</v>
      </c>
      <c r="AX40" s="690"/>
    </row>
    <row r="41" spans="2:50">
      <c r="B41" s="676"/>
      <c r="C41" s="309">
        <v>15</v>
      </c>
      <c r="D41" s="227"/>
      <c r="E41" s="182"/>
      <c r="F41" s="569"/>
      <c r="G41" s="570"/>
      <c r="H41" s="719"/>
      <c r="I41" s="202"/>
      <c r="J41" s="202"/>
      <c r="K41" s="202"/>
      <c r="L41" s="651"/>
      <c r="M41" s="199" t="e">
        <f>RANK(K41, K$27:$K$41)</f>
        <v>#N/A</v>
      </c>
      <c r="N41" s="668"/>
      <c r="O41" s="668"/>
      <c r="P41" s="573"/>
      <c r="Q41" s="574"/>
      <c r="R41" s="574"/>
      <c r="S41" s="309" t="e">
        <f t="shared" si="11"/>
        <v>#N/A</v>
      </c>
      <c r="T41" s="690"/>
      <c r="U41" s="573"/>
      <c r="V41" s="574"/>
      <c r="W41" s="574"/>
      <c r="X41" s="475" t="e">
        <f t="shared" si="12"/>
        <v>#N/A</v>
      </c>
      <c r="Y41" s="690"/>
      <c r="Z41" s="573"/>
      <c r="AA41" s="574"/>
      <c r="AB41" s="574"/>
      <c r="AC41" s="475" t="e">
        <f t="shared" si="14"/>
        <v>#N/A</v>
      </c>
      <c r="AD41" s="690"/>
      <c r="AE41" s="573"/>
      <c r="AF41" s="574"/>
      <c r="AG41" s="574"/>
      <c r="AH41" s="475" t="e">
        <f t="shared" si="16"/>
        <v>#N/A</v>
      </c>
      <c r="AI41" s="690"/>
      <c r="AJ41" s="573"/>
      <c r="AK41" s="574"/>
      <c r="AL41" s="574"/>
      <c r="AM41" s="475" t="e">
        <f t="shared" si="18"/>
        <v>#N/A</v>
      </c>
      <c r="AN41" s="690"/>
      <c r="AO41" s="573"/>
      <c r="AP41" s="574"/>
      <c r="AQ41" s="574"/>
      <c r="AR41" s="475" t="e">
        <f t="shared" si="20"/>
        <v>#N/A</v>
      </c>
      <c r="AS41" s="690"/>
      <c r="AT41" s="573"/>
      <c r="AU41" s="574"/>
      <c r="AV41" s="574"/>
      <c r="AW41" s="475" t="e">
        <f t="shared" si="22"/>
        <v>#N/A</v>
      </c>
      <c r="AX41" s="690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69" t="s">
        <v>156</v>
      </c>
      <c r="O42" s="669" t="s">
        <v>105</v>
      </c>
      <c r="P42" s="675">
        <f>P22+7</f>
        <v>46098</v>
      </c>
      <c r="Q42" s="676"/>
      <c r="R42" s="676"/>
      <c r="S42" s="676"/>
      <c r="T42" s="676"/>
      <c r="U42" s="672">
        <f>P42+1</f>
        <v>46099</v>
      </c>
      <c r="V42" s="673"/>
      <c r="W42" s="673"/>
      <c r="X42" s="673"/>
      <c r="Y42" s="674"/>
      <c r="Z42" s="672">
        <f>U42+1</f>
        <v>46100</v>
      </c>
      <c r="AA42" s="673"/>
      <c r="AB42" s="673"/>
      <c r="AC42" s="673"/>
      <c r="AD42" s="674"/>
      <c r="AE42" s="672">
        <f>Z42+1</f>
        <v>46101</v>
      </c>
      <c r="AF42" s="673"/>
      <c r="AG42" s="673"/>
      <c r="AH42" s="673"/>
      <c r="AI42" s="674"/>
      <c r="AJ42" s="672">
        <f>AE42+1</f>
        <v>46102</v>
      </c>
      <c r="AK42" s="673"/>
      <c r="AL42" s="673"/>
      <c r="AM42" s="673"/>
      <c r="AN42" s="674"/>
      <c r="AO42" s="672">
        <f>AJ42+1</f>
        <v>46103</v>
      </c>
      <c r="AP42" s="673"/>
      <c r="AQ42" s="673"/>
      <c r="AR42" s="673"/>
      <c r="AS42" s="674"/>
      <c r="AT42" s="672">
        <f>AO42+1</f>
        <v>46104</v>
      </c>
      <c r="AU42" s="673"/>
      <c r="AV42" s="673"/>
      <c r="AW42" s="673"/>
      <c r="AX42" s="674"/>
    </row>
    <row r="43" spans="2:50" ht="15.75">
      <c r="B43" s="683"/>
      <c r="C43" s="683"/>
      <c r="D43" s="683"/>
      <c r="E43" s="683"/>
      <c r="F43" s="683"/>
      <c r="G43" s="683"/>
      <c r="H43" s="683"/>
      <c r="I43" s="205"/>
      <c r="J43" s="205"/>
      <c r="K43" s="205"/>
      <c r="L43" s="205"/>
      <c r="M43" s="206"/>
      <c r="N43" s="671"/>
      <c r="O43" s="671"/>
      <c r="P43" s="675" t="s">
        <v>336</v>
      </c>
      <c r="Q43" s="676"/>
      <c r="R43" s="676"/>
      <c r="S43" s="676"/>
      <c r="T43" s="676"/>
      <c r="U43" s="675" t="s">
        <v>337</v>
      </c>
      <c r="V43" s="676"/>
      <c r="W43" s="676"/>
      <c r="X43" s="676"/>
      <c r="Y43" s="676"/>
      <c r="Z43" s="675" t="s">
        <v>338</v>
      </c>
      <c r="AA43" s="676"/>
      <c r="AB43" s="676"/>
      <c r="AC43" s="676"/>
      <c r="AD43" s="676"/>
      <c r="AE43" s="675" t="s">
        <v>339</v>
      </c>
      <c r="AF43" s="676"/>
      <c r="AG43" s="676"/>
      <c r="AH43" s="676"/>
      <c r="AI43" s="676"/>
      <c r="AJ43" s="675" t="s">
        <v>340</v>
      </c>
      <c r="AK43" s="676"/>
      <c r="AL43" s="676"/>
      <c r="AM43" s="676"/>
      <c r="AN43" s="676"/>
      <c r="AO43" s="675" t="s">
        <v>341</v>
      </c>
      <c r="AP43" s="676"/>
      <c r="AQ43" s="676"/>
      <c r="AR43" s="676"/>
      <c r="AS43" s="676"/>
      <c r="AT43" s="675" t="s">
        <v>342</v>
      </c>
      <c r="AU43" s="676"/>
      <c r="AV43" s="676"/>
      <c r="AW43" s="676"/>
      <c r="AX43" s="676"/>
    </row>
    <row r="44" spans="2:50">
      <c r="B44" s="668" t="s">
        <v>419</v>
      </c>
      <c r="C44" s="668" t="s">
        <v>429</v>
      </c>
      <c r="D44" s="668"/>
      <c r="E44" s="668" t="s">
        <v>420</v>
      </c>
      <c r="F44" s="668"/>
      <c r="G44" s="668"/>
      <c r="H44" s="684" t="s">
        <v>416</v>
      </c>
      <c r="I44" s="652" t="s">
        <v>421</v>
      </c>
      <c r="J44" s="652"/>
      <c r="K44" s="652"/>
      <c r="L44" s="653" t="s">
        <v>416</v>
      </c>
      <c r="M44" s="659" t="s">
        <v>417</v>
      </c>
      <c r="N44" s="668"/>
      <c r="O44" s="668" t="s">
        <v>422</v>
      </c>
      <c r="P44" s="665" t="s">
        <v>889</v>
      </c>
      <c r="Q44" s="666"/>
      <c r="R44" s="666"/>
      <c r="S44" s="667"/>
      <c r="T44" s="668" t="s">
        <v>890</v>
      </c>
      <c r="U44" s="665" t="s">
        <v>889</v>
      </c>
      <c r="V44" s="666"/>
      <c r="W44" s="666"/>
      <c r="X44" s="667"/>
      <c r="Y44" s="668" t="s">
        <v>890</v>
      </c>
      <c r="Z44" s="665" t="s">
        <v>889</v>
      </c>
      <c r="AA44" s="666"/>
      <c r="AB44" s="666"/>
      <c r="AC44" s="667"/>
      <c r="AD44" s="668" t="s">
        <v>890</v>
      </c>
      <c r="AE44" s="665" t="s">
        <v>889</v>
      </c>
      <c r="AF44" s="666"/>
      <c r="AG44" s="666"/>
      <c r="AH44" s="667"/>
      <c r="AI44" s="668" t="s">
        <v>890</v>
      </c>
      <c r="AJ44" s="665" t="s">
        <v>889</v>
      </c>
      <c r="AK44" s="666"/>
      <c r="AL44" s="666"/>
      <c r="AM44" s="667"/>
      <c r="AN44" s="668" t="s">
        <v>890</v>
      </c>
      <c r="AO44" s="665" t="s">
        <v>889</v>
      </c>
      <c r="AP44" s="666"/>
      <c r="AQ44" s="666"/>
      <c r="AR44" s="667"/>
      <c r="AS44" s="668" t="s">
        <v>890</v>
      </c>
      <c r="AT44" s="665" t="s">
        <v>889</v>
      </c>
      <c r="AU44" s="666"/>
      <c r="AV44" s="666"/>
      <c r="AW44" s="667"/>
      <c r="AX44" s="668" t="s">
        <v>890</v>
      </c>
    </row>
    <row r="45" spans="2:50">
      <c r="B45" s="668"/>
      <c r="C45" s="668"/>
      <c r="D45" s="668"/>
      <c r="E45" s="668" t="s">
        <v>423</v>
      </c>
      <c r="F45" s="668"/>
      <c r="G45" s="668"/>
      <c r="H45" s="685"/>
      <c r="I45" s="652" t="s">
        <v>423</v>
      </c>
      <c r="J45" s="652"/>
      <c r="K45" s="652"/>
      <c r="L45" s="654"/>
      <c r="M45" s="660"/>
      <c r="N45" s="668"/>
      <c r="O45" s="668"/>
      <c r="P45" s="665" t="s">
        <v>891</v>
      </c>
      <c r="Q45" s="666"/>
      <c r="R45" s="666"/>
      <c r="S45" s="667"/>
      <c r="T45" s="668"/>
      <c r="U45" s="665" t="s">
        <v>891</v>
      </c>
      <c r="V45" s="666"/>
      <c r="W45" s="666"/>
      <c r="X45" s="667"/>
      <c r="Y45" s="668"/>
      <c r="Z45" s="665" t="s">
        <v>891</v>
      </c>
      <c r="AA45" s="666"/>
      <c r="AB45" s="666"/>
      <c r="AC45" s="667"/>
      <c r="AD45" s="668"/>
      <c r="AE45" s="665" t="s">
        <v>891</v>
      </c>
      <c r="AF45" s="666"/>
      <c r="AG45" s="666"/>
      <c r="AH45" s="667"/>
      <c r="AI45" s="668"/>
      <c r="AJ45" s="665" t="s">
        <v>891</v>
      </c>
      <c r="AK45" s="666"/>
      <c r="AL45" s="666"/>
      <c r="AM45" s="667"/>
      <c r="AN45" s="668"/>
      <c r="AO45" s="665" t="s">
        <v>891</v>
      </c>
      <c r="AP45" s="666"/>
      <c r="AQ45" s="666"/>
      <c r="AR45" s="667"/>
      <c r="AS45" s="668"/>
      <c r="AT45" s="665" t="s">
        <v>891</v>
      </c>
      <c r="AU45" s="666"/>
      <c r="AV45" s="666"/>
      <c r="AW45" s="667"/>
      <c r="AX45" s="668"/>
    </row>
    <row r="46" spans="2:50">
      <c r="B46" s="668"/>
      <c r="C46" s="668"/>
      <c r="D46" s="668"/>
      <c r="E46" s="308" t="s">
        <v>425</v>
      </c>
      <c r="F46" s="308" t="s">
        <v>426</v>
      </c>
      <c r="G46" s="308" t="s">
        <v>427</v>
      </c>
      <c r="H46" s="686"/>
      <c r="I46" s="307" t="s">
        <v>425</v>
      </c>
      <c r="J46" s="307" t="s">
        <v>426</v>
      </c>
      <c r="K46" s="307" t="s">
        <v>427</v>
      </c>
      <c r="L46" s="655"/>
      <c r="M46" s="661"/>
      <c r="N46" s="668"/>
      <c r="O46" s="668"/>
      <c r="P46" s="532" t="s">
        <v>892</v>
      </c>
      <c r="Q46" s="532" t="s">
        <v>893</v>
      </c>
      <c r="R46" s="532" t="s">
        <v>894</v>
      </c>
      <c r="S46" s="532" t="s">
        <v>895</v>
      </c>
      <c r="T46" s="668"/>
      <c r="U46" s="532" t="s">
        <v>892</v>
      </c>
      <c r="V46" s="532" t="s">
        <v>893</v>
      </c>
      <c r="W46" s="532" t="s">
        <v>894</v>
      </c>
      <c r="X46" s="532" t="s">
        <v>895</v>
      </c>
      <c r="Y46" s="668"/>
      <c r="Z46" s="532" t="s">
        <v>892</v>
      </c>
      <c r="AA46" s="532" t="s">
        <v>893</v>
      </c>
      <c r="AB46" s="532" t="s">
        <v>894</v>
      </c>
      <c r="AC46" s="532" t="s">
        <v>895</v>
      </c>
      <c r="AD46" s="668"/>
      <c r="AE46" s="532" t="s">
        <v>892</v>
      </c>
      <c r="AF46" s="532" t="s">
        <v>893</v>
      </c>
      <c r="AG46" s="532" t="s">
        <v>894</v>
      </c>
      <c r="AH46" s="532" t="s">
        <v>895</v>
      </c>
      <c r="AI46" s="668"/>
      <c r="AJ46" s="532" t="s">
        <v>892</v>
      </c>
      <c r="AK46" s="532" t="s">
        <v>893</v>
      </c>
      <c r="AL46" s="532" t="s">
        <v>894</v>
      </c>
      <c r="AM46" s="532" t="s">
        <v>895</v>
      </c>
      <c r="AN46" s="668"/>
      <c r="AO46" s="532" t="s">
        <v>892</v>
      </c>
      <c r="AP46" s="532" t="s">
        <v>893</v>
      </c>
      <c r="AQ46" s="532" t="s">
        <v>894</v>
      </c>
      <c r="AR46" s="532" t="s">
        <v>895</v>
      </c>
      <c r="AS46" s="668"/>
      <c r="AT46" s="532" t="s">
        <v>892</v>
      </c>
      <c r="AU46" s="532" t="s">
        <v>893</v>
      </c>
      <c r="AV46" s="532" t="s">
        <v>894</v>
      </c>
      <c r="AW46" s="532" t="s">
        <v>895</v>
      </c>
      <c r="AX46" s="668"/>
    </row>
    <row r="47" spans="2:50">
      <c r="B47" s="668" t="s">
        <v>431</v>
      </c>
      <c r="C47" s="309">
        <v>1</v>
      </c>
      <c r="D47" s="227" t="s">
        <v>756</v>
      </c>
      <c r="E47" s="182">
        <v>14</v>
      </c>
      <c r="F47" s="569">
        <v>1500</v>
      </c>
      <c r="G47" s="570">
        <v>107.1</v>
      </c>
      <c r="H47" s="717">
        <f>AVERAGE(G47:G61)</f>
        <v>99.199999999999989</v>
      </c>
      <c r="I47" s="199">
        <f>AVERAGE(P47,U47,Z47,AE47,AJ47,AO47,AT47)</f>
        <v>13</v>
      </c>
      <c r="J47" s="199">
        <f>AVERAGE(Q47,V47,AA47,AF47,AK47,AP47,AU47)</f>
        <v>1265.0252961596532</v>
      </c>
      <c r="K47" s="200">
        <f>AVERAGE(R47,W47,AB47,AG47,AL47,AQ47,AV47)</f>
        <v>97.309638166127186</v>
      </c>
      <c r="L47" s="649">
        <f>IFERROR(AVERAGE(K47:K61),"-")</f>
        <v>88.815669335348915</v>
      </c>
      <c r="M47" s="201">
        <f>RANK(K47, K$47:$K$61)</f>
        <v>1</v>
      </c>
      <c r="N47" s="668"/>
      <c r="O47" s="668"/>
      <c r="P47" s="573">
        <v>13</v>
      </c>
      <c r="Q47" s="574">
        <v>1283.4782608695652</v>
      </c>
      <c r="R47" s="574">
        <v>98.729096989966564</v>
      </c>
      <c r="S47" s="533">
        <f>RANK(R47, R$47:R$61)</f>
        <v>1</v>
      </c>
      <c r="T47" s="676">
        <f>AVERAGE(R47:R61)</f>
        <v>87.667336935552001</v>
      </c>
      <c r="U47" s="573">
        <v>13</v>
      </c>
      <c r="V47" s="574">
        <v>1225.2631578947357</v>
      </c>
      <c r="W47" s="574">
        <v>94.251012145748902</v>
      </c>
      <c r="X47" s="533">
        <f>RANK(W47, W$47:W$61)</f>
        <v>1</v>
      </c>
      <c r="Y47" s="676">
        <f>AVERAGE(W47:W61)</f>
        <v>88.102221713630641</v>
      </c>
      <c r="Z47" s="573">
        <v>13</v>
      </c>
      <c r="AA47" s="574">
        <v>1241.0526315789464</v>
      </c>
      <c r="AB47" s="574">
        <v>95.465587044534331</v>
      </c>
      <c r="AC47" s="533">
        <f>RANK(AB47, AB$47:AB$61)</f>
        <v>1</v>
      </c>
      <c r="AD47" s="676">
        <f>AVERAGE(AB47:AB61)</f>
        <v>88.75229318260449</v>
      </c>
      <c r="AE47" s="573">
        <v>13</v>
      </c>
      <c r="AF47" s="574">
        <v>1253.3333333333323</v>
      </c>
      <c r="AG47" s="574">
        <v>96.410256410256338</v>
      </c>
      <c r="AH47" s="533">
        <f>RANK(AG47, AG$47:AG$61)</f>
        <v>1</v>
      </c>
      <c r="AI47" s="676">
        <f>AVERAGE(AG47:AG61)</f>
        <v>89.012007910568016</v>
      </c>
      <c r="AJ47" s="573">
        <v>13</v>
      </c>
      <c r="AK47" s="574">
        <v>1311.4285714285711</v>
      </c>
      <c r="AL47" s="574">
        <v>100.87912087912085</v>
      </c>
      <c r="AM47" s="533">
        <f>RANK(AL47, AL$47:AL$61)</f>
        <v>1</v>
      </c>
      <c r="AN47" s="676">
        <f>AVERAGE(AL47:AL61)</f>
        <v>90.499401493647042</v>
      </c>
      <c r="AO47" s="573">
        <v>13</v>
      </c>
      <c r="AP47" s="574">
        <v>1257.1428571428567</v>
      </c>
      <c r="AQ47" s="574">
        <v>96.703296703296672</v>
      </c>
      <c r="AR47" s="533">
        <f>RANK(AQ47, AQ$47:AQ$61)</f>
        <v>1</v>
      </c>
      <c r="AS47" s="676">
        <f>AVERAGE(AQ47:AQ61)</f>
        <v>88.166031535212255</v>
      </c>
      <c r="AT47" s="573">
        <v>13</v>
      </c>
      <c r="AU47" s="574">
        <v>1283.4782608695652</v>
      </c>
      <c r="AV47" s="574">
        <v>98.729096989966564</v>
      </c>
      <c r="AW47" s="533">
        <f>RANK(AV47, AV$47:AV$61)</f>
        <v>1</v>
      </c>
      <c r="AX47" s="676">
        <f>AVERAGE(AV47:AV61)</f>
        <v>89.510392576227957</v>
      </c>
    </row>
    <row r="48" spans="2:50">
      <c r="B48" s="676"/>
      <c r="C48" s="309">
        <v>2</v>
      </c>
      <c r="D48" s="227" t="s">
        <v>799</v>
      </c>
      <c r="E48" s="182">
        <v>16</v>
      </c>
      <c r="F48" s="569">
        <v>1636</v>
      </c>
      <c r="G48" s="570">
        <v>102.3</v>
      </c>
      <c r="H48" s="718"/>
      <c r="I48" s="199">
        <f t="shared" ref="I48:I49" si="27">AVERAGE(P48,U48,Z48,AE48,AJ48,AO48,AT48)</f>
        <v>17</v>
      </c>
      <c r="J48" s="199">
        <f t="shared" ref="J48:J49" si="28">AVERAGE(Q48,V48,AA48,AF48,AK48,AP48,AU48)</f>
        <v>1459.9426459215595</v>
      </c>
      <c r="K48" s="200">
        <f t="shared" ref="K48:K49" si="29">AVERAGE(R48,W48,AB48,AG48,AL48,AQ48,AV48)</f>
        <v>85.878979171856443</v>
      </c>
      <c r="L48" s="650"/>
      <c r="M48" s="201">
        <f>RANK(K48, K$47:$K$61)</f>
        <v>2</v>
      </c>
      <c r="N48" s="668"/>
      <c r="O48" s="668"/>
      <c r="P48" s="573">
        <v>17</v>
      </c>
      <c r="Q48" s="574">
        <v>1454.5</v>
      </c>
      <c r="R48" s="574">
        <v>85.558823529411768</v>
      </c>
      <c r="S48" s="533">
        <f t="shared" ref="S48:S61" si="30">RANK(R48, R$47:R$61)</f>
        <v>2</v>
      </c>
      <c r="T48" s="676"/>
      <c r="U48" s="573">
        <v>17</v>
      </c>
      <c r="V48" s="574">
        <v>1465.3211009174311</v>
      </c>
      <c r="W48" s="574">
        <v>86.195358877495948</v>
      </c>
      <c r="X48" s="533">
        <f t="shared" ref="X48:X61" si="31">RANK(W48, W$47:W$61)</f>
        <v>2</v>
      </c>
      <c r="Y48" s="676"/>
      <c r="Z48" s="573">
        <v>17</v>
      </c>
      <c r="AA48" s="574">
        <v>1467.2727272727266</v>
      </c>
      <c r="AB48" s="574">
        <v>86.310160427807446</v>
      </c>
      <c r="AC48" s="533">
        <f t="shared" ref="AC48:AC61" si="32">RANK(AB48, AB$47:AB$61)</f>
        <v>2</v>
      </c>
      <c r="AD48" s="676"/>
      <c r="AE48" s="573">
        <v>17</v>
      </c>
      <c r="AF48" s="574">
        <v>1462.0689655172418</v>
      </c>
      <c r="AG48" s="574">
        <v>86.004056795131874</v>
      </c>
      <c r="AH48" s="533">
        <f t="shared" ref="AH48:AH61" si="33">RANK(AG48, AG$47:AG$61)</f>
        <v>2</v>
      </c>
      <c r="AI48" s="676"/>
      <c r="AJ48" s="573">
        <v>17</v>
      </c>
      <c r="AK48" s="574">
        <v>1467.3913043478267</v>
      </c>
      <c r="AL48" s="574">
        <v>86.317135549872162</v>
      </c>
      <c r="AM48" s="533">
        <f t="shared" ref="AM48:AM61" si="34">RANK(AL48, AL$47:AL$61)</f>
        <v>2</v>
      </c>
      <c r="AN48" s="676"/>
      <c r="AO48" s="573">
        <v>17</v>
      </c>
      <c r="AP48" s="574">
        <v>1441.9512195121952</v>
      </c>
      <c r="AQ48" s="574">
        <v>84.820659971305602</v>
      </c>
      <c r="AR48" s="533">
        <f t="shared" ref="AR48:AR61" si="35">RANK(AQ48, AQ$47:AQ$61)</f>
        <v>2</v>
      </c>
      <c r="AS48" s="676"/>
      <c r="AT48" s="573">
        <v>17</v>
      </c>
      <c r="AU48" s="574">
        <v>1461.0932038834953</v>
      </c>
      <c r="AV48" s="574">
        <v>85.946659051970315</v>
      </c>
      <c r="AW48" s="533">
        <f t="shared" ref="AW48:AW61" si="36">RANK(AV48, AV$47:AV$61)</f>
        <v>2</v>
      </c>
      <c r="AX48" s="676"/>
    </row>
    <row r="49" spans="2:50">
      <c r="B49" s="676"/>
      <c r="C49" s="309">
        <v>3</v>
      </c>
      <c r="D49" s="227" t="s">
        <v>940</v>
      </c>
      <c r="E49" s="182">
        <v>17</v>
      </c>
      <c r="F49" s="569">
        <v>1500</v>
      </c>
      <c r="G49" s="570">
        <v>88.2</v>
      </c>
      <c r="H49" s="718"/>
      <c r="I49" s="199">
        <f t="shared" si="27"/>
        <v>16.142857142857142</v>
      </c>
      <c r="J49" s="199">
        <f t="shared" si="28"/>
        <v>1343.3791207300494</v>
      </c>
      <c r="K49" s="200">
        <f t="shared" si="29"/>
        <v>83.258390668063129</v>
      </c>
      <c r="L49" s="650"/>
      <c r="M49" s="201">
        <f>RANK(K49, K$47:$K$61)</f>
        <v>3</v>
      </c>
      <c r="N49" s="668"/>
      <c r="O49" s="668"/>
      <c r="P49" s="573">
        <v>17</v>
      </c>
      <c r="Q49" s="574">
        <v>1338.1395348837207</v>
      </c>
      <c r="R49" s="574">
        <v>78.714090287277685</v>
      </c>
      <c r="S49" s="533">
        <f t="shared" si="30"/>
        <v>3</v>
      </c>
      <c r="T49" s="676"/>
      <c r="U49" s="573">
        <v>16</v>
      </c>
      <c r="V49" s="574">
        <v>1341.7647058823534</v>
      </c>
      <c r="W49" s="574">
        <v>83.860294117647086</v>
      </c>
      <c r="X49" s="533">
        <f t="shared" si="31"/>
        <v>3</v>
      </c>
      <c r="Y49" s="676"/>
      <c r="Z49" s="573">
        <v>16</v>
      </c>
      <c r="AA49" s="574">
        <v>1351.6981132075468</v>
      </c>
      <c r="AB49" s="574">
        <v>84.481132075471677</v>
      </c>
      <c r="AC49" s="533">
        <f t="shared" si="32"/>
        <v>3</v>
      </c>
      <c r="AD49" s="676"/>
      <c r="AE49" s="573">
        <v>16</v>
      </c>
      <c r="AF49" s="574">
        <v>1353.9473684210532</v>
      </c>
      <c r="AG49" s="574">
        <v>84.621710526315823</v>
      </c>
      <c r="AH49" s="533">
        <f t="shared" si="33"/>
        <v>3</v>
      </c>
      <c r="AI49" s="676"/>
      <c r="AJ49" s="573">
        <v>16</v>
      </c>
      <c r="AK49" s="574">
        <v>1348.8311688311694</v>
      </c>
      <c r="AL49" s="574">
        <v>84.301948051948088</v>
      </c>
      <c r="AM49" s="533">
        <f t="shared" si="34"/>
        <v>3</v>
      </c>
      <c r="AN49" s="676"/>
      <c r="AO49" s="573">
        <v>16</v>
      </c>
      <c r="AP49" s="574">
        <v>1327.5862068965516</v>
      </c>
      <c r="AQ49" s="574">
        <v>82.974137931034477</v>
      </c>
      <c r="AR49" s="533">
        <f t="shared" si="35"/>
        <v>3</v>
      </c>
      <c r="AS49" s="676"/>
      <c r="AT49" s="573">
        <v>16</v>
      </c>
      <c r="AU49" s="574">
        <v>1341.6867469879514</v>
      </c>
      <c r="AV49" s="574">
        <v>83.855421686746965</v>
      </c>
      <c r="AW49" s="533">
        <f t="shared" si="36"/>
        <v>3</v>
      </c>
      <c r="AX49" s="676"/>
    </row>
    <row r="50" spans="2:50">
      <c r="B50" s="676"/>
      <c r="C50" s="309">
        <v>4</v>
      </c>
      <c r="D50" s="227"/>
      <c r="E50" s="182"/>
      <c r="F50" s="569"/>
      <c r="G50" s="570"/>
      <c r="H50" s="718"/>
      <c r="I50" s="199"/>
      <c r="J50" s="199"/>
      <c r="K50" s="200"/>
      <c r="L50" s="650"/>
      <c r="M50" s="201" t="e">
        <f>RANK(K50, K$47:$K$61)</f>
        <v>#N/A</v>
      </c>
      <c r="N50" s="668"/>
      <c r="O50" s="668"/>
      <c r="P50" s="573"/>
      <c r="Q50" s="574"/>
      <c r="R50" s="574"/>
      <c r="S50" s="533" t="e">
        <f t="shared" si="30"/>
        <v>#N/A</v>
      </c>
      <c r="T50" s="676"/>
      <c r="U50" s="573"/>
      <c r="V50" s="574"/>
      <c r="W50" s="574"/>
      <c r="X50" s="533" t="e">
        <f t="shared" si="31"/>
        <v>#N/A</v>
      </c>
      <c r="Y50" s="676"/>
      <c r="Z50" s="573"/>
      <c r="AA50" s="574"/>
      <c r="AB50" s="574"/>
      <c r="AC50" s="533" t="e">
        <f t="shared" si="32"/>
        <v>#N/A</v>
      </c>
      <c r="AD50" s="676"/>
      <c r="AE50" s="573"/>
      <c r="AF50" s="574"/>
      <c r="AG50" s="574"/>
      <c r="AH50" s="533" t="e">
        <f t="shared" si="33"/>
        <v>#N/A</v>
      </c>
      <c r="AI50" s="676"/>
      <c r="AJ50" s="573"/>
      <c r="AK50" s="574"/>
      <c r="AL50" s="574"/>
      <c r="AM50" s="533" t="e">
        <f t="shared" si="34"/>
        <v>#N/A</v>
      </c>
      <c r="AN50" s="676"/>
      <c r="AO50" s="573"/>
      <c r="AP50" s="574"/>
      <c r="AQ50" s="574"/>
      <c r="AR50" s="533" t="e">
        <f t="shared" si="35"/>
        <v>#N/A</v>
      </c>
      <c r="AS50" s="676"/>
      <c r="AT50" s="573"/>
      <c r="AU50" s="574"/>
      <c r="AV50" s="574"/>
      <c r="AW50" s="533" t="e">
        <f t="shared" si="36"/>
        <v>#N/A</v>
      </c>
      <c r="AX50" s="676"/>
    </row>
    <row r="51" spans="2:50">
      <c r="B51" s="676"/>
      <c r="C51" s="309">
        <v>5</v>
      </c>
      <c r="D51" s="227"/>
      <c r="E51" s="182"/>
      <c r="F51" s="569"/>
      <c r="G51" s="570"/>
      <c r="H51" s="718"/>
      <c r="I51" s="199"/>
      <c r="J51" s="199"/>
      <c r="K51" s="200"/>
      <c r="L51" s="650"/>
      <c r="M51" s="201" t="e">
        <f>RANK(K51, K$47:$K$61)</f>
        <v>#N/A</v>
      </c>
      <c r="N51" s="668"/>
      <c r="O51" s="668"/>
      <c r="P51" s="573"/>
      <c r="Q51" s="574"/>
      <c r="R51" s="574"/>
      <c r="S51" s="533" t="e">
        <f t="shared" si="30"/>
        <v>#N/A</v>
      </c>
      <c r="T51" s="676"/>
      <c r="U51" s="573"/>
      <c r="V51" s="574"/>
      <c r="W51" s="574"/>
      <c r="X51" s="533" t="e">
        <f t="shared" si="31"/>
        <v>#N/A</v>
      </c>
      <c r="Y51" s="676"/>
      <c r="Z51" s="573"/>
      <c r="AA51" s="574"/>
      <c r="AB51" s="574"/>
      <c r="AC51" s="533" t="e">
        <f t="shared" si="32"/>
        <v>#N/A</v>
      </c>
      <c r="AD51" s="676"/>
      <c r="AE51" s="573"/>
      <c r="AF51" s="574"/>
      <c r="AG51" s="574"/>
      <c r="AH51" s="533" t="e">
        <f t="shared" si="33"/>
        <v>#N/A</v>
      </c>
      <c r="AI51" s="676"/>
      <c r="AJ51" s="573"/>
      <c r="AK51" s="574"/>
      <c r="AL51" s="574"/>
      <c r="AM51" s="533" t="e">
        <f t="shared" si="34"/>
        <v>#N/A</v>
      </c>
      <c r="AN51" s="676"/>
      <c r="AO51" s="573"/>
      <c r="AP51" s="574"/>
      <c r="AQ51" s="574"/>
      <c r="AR51" s="533" t="e">
        <f t="shared" si="35"/>
        <v>#N/A</v>
      </c>
      <c r="AS51" s="676"/>
      <c r="AT51" s="573"/>
      <c r="AU51" s="574"/>
      <c r="AV51" s="574"/>
      <c r="AW51" s="533" t="e">
        <f t="shared" si="36"/>
        <v>#N/A</v>
      </c>
      <c r="AX51" s="676"/>
    </row>
    <row r="52" spans="2:50">
      <c r="B52" s="676"/>
      <c r="C52" s="309">
        <v>6</v>
      </c>
      <c r="D52" s="227"/>
      <c r="E52" s="182"/>
      <c r="F52" s="569"/>
      <c r="G52" s="570"/>
      <c r="H52" s="718"/>
      <c r="I52" s="199"/>
      <c r="J52" s="199"/>
      <c r="K52" s="200"/>
      <c r="L52" s="650"/>
      <c r="M52" s="201" t="e">
        <f>RANK(K52, K$47:$K$61)</f>
        <v>#N/A</v>
      </c>
      <c r="N52" s="668"/>
      <c r="O52" s="668"/>
      <c r="P52" s="573"/>
      <c r="Q52" s="574"/>
      <c r="R52" s="574"/>
      <c r="S52" s="533" t="e">
        <f t="shared" si="30"/>
        <v>#N/A</v>
      </c>
      <c r="T52" s="676"/>
      <c r="U52" s="573"/>
      <c r="V52" s="574"/>
      <c r="W52" s="574"/>
      <c r="X52" s="533" t="e">
        <f t="shared" si="31"/>
        <v>#N/A</v>
      </c>
      <c r="Y52" s="676"/>
      <c r="Z52" s="573"/>
      <c r="AA52" s="574"/>
      <c r="AB52" s="574"/>
      <c r="AC52" s="533" t="e">
        <f t="shared" si="32"/>
        <v>#N/A</v>
      </c>
      <c r="AD52" s="676"/>
      <c r="AE52" s="573"/>
      <c r="AF52" s="574"/>
      <c r="AG52" s="574"/>
      <c r="AH52" s="533" t="e">
        <f t="shared" si="33"/>
        <v>#N/A</v>
      </c>
      <c r="AI52" s="676"/>
      <c r="AJ52" s="573"/>
      <c r="AK52" s="574"/>
      <c r="AL52" s="574"/>
      <c r="AM52" s="533" t="e">
        <f t="shared" si="34"/>
        <v>#N/A</v>
      </c>
      <c r="AN52" s="676"/>
      <c r="AO52" s="573"/>
      <c r="AP52" s="574"/>
      <c r="AQ52" s="574"/>
      <c r="AR52" s="533" t="e">
        <f t="shared" si="35"/>
        <v>#N/A</v>
      </c>
      <c r="AS52" s="676"/>
      <c r="AT52" s="573"/>
      <c r="AU52" s="574"/>
      <c r="AV52" s="574"/>
      <c r="AW52" s="533" t="e">
        <f t="shared" si="36"/>
        <v>#N/A</v>
      </c>
      <c r="AX52" s="676"/>
    </row>
    <row r="53" spans="2:50">
      <c r="B53" s="676"/>
      <c r="C53" s="309">
        <v>7</v>
      </c>
      <c r="D53" s="227"/>
      <c r="E53" s="182"/>
      <c r="F53" s="569"/>
      <c r="G53" s="570"/>
      <c r="H53" s="718"/>
      <c r="I53" s="199"/>
      <c r="J53" s="199"/>
      <c r="K53" s="200"/>
      <c r="L53" s="650"/>
      <c r="M53" s="201" t="e">
        <f>RANK(K53, K$47:$K$61)</f>
        <v>#N/A</v>
      </c>
      <c r="N53" s="668"/>
      <c r="O53" s="668"/>
      <c r="P53" s="573"/>
      <c r="Q53" s="574"/>
      <c r="R53" s="574"/>
      <c r="S53" s="533" t="e">
        <f t="shared" si="30"/>
        <v>#N/A</v>
      </c>
      <c r="T53" s="676"/>
      <c r="U53" s="573"/>
      <c r="V53" s="574"/>
      <c r="W53" s="574"/>
      <c r="X53" s="533" t="e">
        <f t="shared" si="31"/>
        <v>#N/A</v>
      </c>
      <c r="Y53" s="676"/>
      <c r="Z53" s="573"/>
      <c r="AA53" s="574"/>
      <c r="AB53" s="574"/>
      <c r="AC53" s="533" t="e">
        <f t="shared" si="32"/>
        <v>#N/A</v>
      </c>
      <c r="AD53" s="676"/>
      <c r="AE53" s="573"/>
      <c r="AF53" s="574"/>
      <c r="AG53" s="574"/>
      <c r="AH53" s="533" t="e">
        <f t="shared" si="33"/>
        <v>#N/A</v>
      </c>
      <c r="AI53" s="676"/>
      <c r="AJ53" s="573"/>
      <c r="AK53" s="574"/>
      <c r="AL53" s="574"/>
      <c r="AM53" s="533" t="e">
        <f t="shared" si="34"/>
        <v>#N/A</v>
      </c>
      <c r="AN53" s="676"/>
      <c r="AO53" s="573"/>
      <c r="AP53" s="574"/>
      <c r="AQ53" s="574"/>
      <c r="AR53" s="533" t="e">
        <f t="shared" si="35"/>
        <v>#N/A</v>
      </c>
      <c r="AS53" s="676"/>
      <c r="AT53" s="573"/>
      <c r="AU53" s="574"/>
      <c r="AV53" s="574"/>
      <c r="AW53" s="533" t="e">
        <f t="shared" si="36"/>
        <v>#N/A</v>
      </c>
      <c r="AX53" s="676"/>
    </row>
    <row r="54" spans="2:50">
      <c r="B54" s="676"/>
      <c r="C54" s="309">
        <v>8</v>
      </c>
      <c r="D54" s="227"/>
      <c r="E54" s="182"/>
      <c r="F54" s="569"/>
      <c r="G54" s="570"/>
      <c r="H54" s="718"/>
      <c r="I54" s="427"/>
      <c r="J54" s="427"/>
      <c r="K54" s="200"/>
      <c r="L54" s="650"/>
      <c r="M54" s="201" t="e">
        <f>RANK(K54, K$47:$K$61)</f>
        <v>#N/A</v>
      </c>
      <c r="N54" s="668"/>
      <c r="O54" s="668"/>
      <c r="P54" s="573"/>
      <c r="Q54" s="574"/>
      <c r="R54" s="574"/>
      <c r="S54" s="533" t="e">
        <f t="shared" si="30"/>
        <v>#N/A</v>
      </c>
      <c r="T54" s="676"/>
      <c r="U54" s="573"/>
      <c r="V54" s="574"/>
      <c r="W54" s="574"/>
      <c r="X54" s="533" t="e">
        <f t="shared" si="31"/>
        <v>#N/A</v>
      </c>
      <c r="Y54" s="676"/>
      <c r="Z54" s="573"/>
      <c r="AA54" s="574"/>
      <c r="AB54" s="574"/>
      <c r="AC54" s="533" t="e">
        <f t="shared" si="32"/>
        <v>#N/A</v>
      </c>
      <c r="AD54" s="676"/>
      <c r="AE54" s="573"/>
      <c r="AF54" s="574"/>
      <c r="AG54" s="574"/>
      <c r="AH54" s="533" t="e">
        <f t="shared" si="33"/>
        <v>#N/A</v>
      </c>
      <c r="AI54" s="676"/>
      <c r="AJ54" s="573"/>
      <c r="AK54" s="574"/>
      <c r="AL54" s="574"/>
      <c r="AM54" s="533" t="e">
        <f t="shared" si="34"/>
        <v>#N/A</v>
      </c>
      <c r="AN54" s="676"/>
      <c r="AO54" s="573"/>
      <c r="AP54" s="574"/>
      <c r="AQ54" s="574"/>
      <c r="AR54" s="533" t="e">
        <f t="shared" si="35"/>
        <v>#N/A</v>
      </c>
      <c r="AS54" s="676"/>
      <c r="AT54" s="573"/>
      <c r="AU54" s="574"/>
      <c r="AV54" s="574"/>
      <c r="AW54" s="533" t="e">
        <f t="shared" si="36"/>
        <v>#N/A</v>
      </c>
      <c r="AX54" s="676"/>
    </row>
    <row r="55" spans="2:50">
      <c r="B55" s="676"/>
      <c r="C55" s="309">
        <v>9</v>
      </c>
      <c r="D55" s="227"/>
      <c r="E55" s="182"/>
      <c r="F55" s="569"/>
      <c r="G55" s="570"/>
      <c r="H55" s="718"/>
      <c r="I55" s="479"/>
      <c r="J55" s="479"/>
      <c r="K55" s="200"/>
      <c r="L55" s="650"/>
      <c r="M55" s="201" t="e">
        <f>RANK(K55, K$47:$K$61)</f>
        <v>#N/A</v>
      </c>
      <c r="N55" s="668"/>
      <c r="O55" s="668"/>
      <c r="P55" s="573"/>
      <c r="Q55" s="574"/>
      <c r="R55" s="574"/>
      <c r="S55" s="533" t="e">
        <f t="shared" si="30"/>
        <v>#N/A</v>
      </c>
      <c r="T55" s="676"/>
      <c r="U55" s="573"/>
      <c r="V55" s="574"/>
      <c r="W55" s="574"/>
      <c r="X55" s="533" t="e">
        <f t="shared" si="31"/>
        <v>#N/A</v>
      </c>
      <c r="Y55" s="676"/>
      <c r="Z55" s="573"/>
      <c r="AA55" s="574"/>
      <c r="AB55" s="574"/>
      <c r="AC55" s="533" t="e">
        <f t="shared" si="32"/>
        <v>#N/A</v>
      </c>
      <c r="AD55" s="676"/>
      <c r="AE55" s="573"/>
      <c r="AF55" s="574"/>
      <c r="AG55" s="574"/>
      <c r="AH55" s="533" t="e">
        <f t="shared" si="33"/>
        <v>#N/A</v>
      </c>
      <c r="AI55" s="676"/>
      <c r="AJ55" s="573"/>
      <c r="AK55" s="574"/>
      <c r="AL55" s="574"/>
      <c r="AM55" s="533" t="e">
        <f t="shared" si="34"/>
        <v>#N/A</v>
      </c>
      <c r="AN55" s="676"/>
      <c r="AO55" s="573"/>
      <c r="AP55" s="574"/>
      <c r="AQ55" s="574"/>
      <c r="AR55" s="533" t="e">
        <f t="shared" si="35"/>
        <v>#N/A</v>
      </c>
      <c r="AS55" s="676"/>
      <c r="AT55" s="573"/>
      <c r="AU55" s="574"/>
      <c r="AV55" s="574"/>
      <c r="AW55" s="533" t="e">
        <f t="shared" si="36"/>
        <v>#N/A</v>
      </c>
      <c r="AX55" s="676"/>
    </row>
    <row r="56" spans="2:50">
      <c r="B56" s="676"/>
      <c r="C56" s="309">
        <v>10</v>
      </c>
      <c r="D56" s="227"/>
      <c r="E56" s="182"/>
      <c r="F56" s="569"/>
      <c r="G56" s="570"/>
      <c r="H56" s="718"/>
      <c r="I56" s="479"/>
      <c r="J56" s="479"/>
      <c r="K56" s="200"/>
      <c r="L56" s="650"/>
      <c r="M56" s="201" t="e">
        <f>RANK(K56, K$47:$K$61)</f>
        <v>#N/A</v>
      </c>
      <c r="N56" s="668"/>
      <c r="O56" s="668"/>
      <c r="P56" s="573"/>
      <c r="Q56" s="574"/>
      <c r="R56" s="574"/>
      <c r="S56" s="533" t="e">
        <f t="shared" si="30"/>
        <v>#N/A</v>
      </c>
      <c r="T56" s="676"/>
      <c r="U56" s="573"/>
      <c r="V56" s="574"/>
      <c r="W56" s="574"/>
      <c r="X56" s="533" t="e">
        <f t="shared" si="31"/>
        <v>#N/A</v>
      </c>
      <c r="Y56" s="676"/>
      <c r="Z56" s="573"/>
      <c r="AA56" s="574"/>
      <c r="AB56" s="574"/>
      <c r="AC56" s="533" t="e">
        <f t="shared" si="32"/>
        <v>#N/A</v>
      </c>
      <c r="AD56" s="676"/>
      <c r="AE56" s="573"/>
      <c r="AF56" s="574"/>
      <c r="AG56" s="574"/>
      <c r="AH56" s="533" t="e">
        <f t="shared" si="33"/>
        <v>#N/A</v>
      </c>
      <c r="AI56" s="676"/>
      <c r="AJ56" s="573"/>
      <c r="AK56" s="574"/>
      <c r="AL56" s="574"/>
      <c r="AM56" s="533" t="e">
        <f t="shared" si="34"/>
        <v>#N/A</v>
      </c>
      <c r="AN56" s="676"/>
      <c r="AO56" s="573"/>
      <c r="AP56" s="574"/>
      <c r="AQ56" s="574"/>
      <c r="AR56" s="533" t="e">
        <f t="shared" si="35"/>
        <v>#N/A</v>
      </c>
      <c r="AS56" s="676"/>
      <c r="AT56" s="573"/>
      <c r="AU56" s="574"/>
      <c r="AV56" s="574"/>
      <c r="AW56" s="533" t="e">
        <f t="shared" si="36"/>
        <v>#N/A</v>
      </c>
      <c r="AX56" s="676"/>
    </row>
    <row r="57" spans="2:50">
      <c r="B57" s="676"/>
      <c r="C57" s="309">
        <v>11</v>
      </c>
      <c r="D57" s="227"/>
      <c r="E57" s="182"/>
      <c r="F57" s="569"/>
      <c r="G57" s="570"/>
      <c r="H57" s="718"/>
      <c r="I57" s="479"/>
      <c r="J57" s="479"/>
      <c r="K57" s="200"/>
      <c r="L57" s="650"/>
      <c r="M57" s="201" t="e">
        <f>RANK(K57, K$47:$K$61)</f>
        <v>#N/A</v>
      </c>
      <c r="N57" s="668"/>
      <c r="O57" s="668"/>
      <c r="P57" s="573"/>
      <c r="Q57" s="574"/>
      <c r="R57" s="574"/>
      <c r="S57" s="533" t="e">
        <f t="shared" si="30"/>
        <v>#N/A</v>
      </c>
      <c r="T57" s="676"/>
      <c r="U57" s="573"/>
      <c r="V57" s="574"/>
      <c r="W57" s="574"/>
      <c r="X57" s="533" t="e">
        <f t="shared" si="31"/>
        <v>#N/A</v>
      </c>
      <c r="Y57" s="676"/>
      <c r="Z57" s="573"/>
      <c r="AA57" s="574"/>
      <c r="AB57" s="574"/>
      <c r="AC57" s="533" t="e">
        <f t="shared" si="32"/>
        <v>#N/A</v>
      </c>
      <c r="AD57" s="676"/>
      <c r="AE57" s="573"/>
      <c r="AF57" s="574"/>
      <c r="AG57" s="574"/>
      <c r="AH57" s="533" t="e">
        <f t="shared" si="33"/>
        <v>#N/A</v>
      </c>
      <c r="AI57" s="676"/>
      <c r="AJ57" s="573"/>
      <c r="AK57" s="574"/>
      <c r="AL57" s="574"/>
      <c r="AM57" s="533" t="e">
        <f t="shared" si="34"/>
        <v>#N/A</v>
      </c>
      <c r="AN57" s="676"/>
      <c r="AO57" s="573"/>
      <c r="AP57" s="574"/>
      <c r="AQ57" s="574"/>
      <c r="AR57" s="533" t="e">
        <f t="shared" si="35"/>
        <v>#N/A</v>
      </c>
      <c r="AS57" s="676"/>
      <c r="AT57" s="573"/>
      <c r="AU57" s="574"/>
      <c r="AV57" s="574"/>
      <c r="AW57" s="533" t="e">
        <f t="shared" si="36"/>
        <v>#N/A</v>
      </c>
      <c r="AX57" s="676"/>
    </row>
    <row r="58" spans="2:50">
      <c r="B58" s="676"/>
      <c r="C58" s="309">
        <v>12</v>
      </c>
      <c r="D58" s="227"/>
      <c r="E58" s="182"/>
      <c r="F58" s="569"/>
      <c r="G58" s="570"/>
      <c r="H58" s="718"/>
      <c r="I58" s="479"/>
      <c r="J58" s="479"/>
      <c r="K58" s="200"/>
      <c r="L58" s="650"/>
      <c r="M58" s="201" t="e">
        <f>RANK(K58, K$47:$K$61)</f>
        <v>#N/A</v>
      </c>
      <c r="N58" s="668"/>
      <c r="O58" s="668"/>
      <c r="P58" s="573"/>
      <c r="Q58" s="574"/>
      <c r="R58" s="574"/>
      <c r="S58" s="533" t="e">
        <f t="shared" si="30"/>
        <v>#N/A</v>
      </c>
      <c r="T58" s="676"/>
      <c r="U58" s="573"/>
      <c r="V58" s="574"/>
      <c r="W58" s="574"/>
      <c r="X58" s="533" t="e">
        <f t="shared" si="31"/>
        <v>#N/A</v>
      </c>
      <c r="Y58" s="676"/>
      <c r="Z58" s="573"/>
      <c r="AA58" s="574"/>
      <c r="AB58" s="574"/>
      <c r="AC58" s="533" t="e">
        <f t="shared" si="32"/>
        <v>#N/A</v>
      </c>
      <c r="AD58" s="676"/>
      <c r="AE58" s="573"/>
      <c r="AF58" s="574"/>
      <c r="AG58" s="574"/>
      <c r="AH58" s="533" t="e">
        <f t="shared" si="33"/>
        <v>#N/A</v>
      </c>
      <c r="AI58" s="676"/>
      <c r="AJ58" s="573"/>
      <c r="AK58" s="574"/>
      <c r="AL58" s="574"/>
      <c r="AM58" s="533" t="e">
        <f t="shared" si="34"/>
        <v>#N/A</v>
      </c>
      <c r="AN58" s="676"/>
      <c r="AO58" s="573"/>
      <c r="AP58" s="574"/>
      <c r="AQ58" s="574"/>
      <c r="AR58" s="533" t="e">
        <f t="shared" si="35"/>
        <v>#N/A</v>
      </c>
      <c r="AS58" s="676"/>
      <c r="AT58" s="573"/>
      <c r="AU58" s="574"/>
      <c r="AV58" s="574"/>
      <c r="AW58" s="533" t="e">
        <f t="shared" si="36"/>
        <v>#N/A</v>
      </c>
      <c r="AX58" s="676"/>
    </row>
    <row r="59" spans="2:50">
      <c r="B59" s="676"/>
      <c r="C59" s="309">
        <v>13</v>
      </c>
      <c r="D59" s="227"/>
      <c r="E59" s="182"/>
      <c r="F59" s="569"/>
      <c r="G59" s="570"/>
      <c r="H59" s="718"/>
      <c r="I59" s="202"/>
      <c r="J59" s="202"/>
      <c r="K59" s="202"/>
      <c r="L59" s="650"/>
      <c r="M59" s="201" t="e">
        <f>RANK(K59, K$47:$K$61)</f>
        <v>#N/A</v>
      </c>
      <c r="N59" s="668"/>
      <c r="O59" s="668"/>
      <c r="P59" s="573"/>
      <c r="Q59" s="574"/>
      <c r="R59" s="574"/>
      <c r="S59" s="533" t="e">
        <f t="shared" si="30"/>
        <v>#N/A</v>
      </c>
      <c r="T59" s="676"/>
      <c r="U59" s="573"/>
      <c r="V59" s="574"/>
      <c r="W59" s="574"/>
      <c r="X59" s="533" t="e">
        <f t="shared" si="31"/>
        <v>#N/A</v>
      </c>
      <c r="Y59" s="676"/>
      <c r="Z59" s="573"/>
      <c r="AA59" s="574"/>
      <c r="AB59" s="574"/>
      <c r="AC59" s="533" t="e">
        <f t="shared" si="32"/>
        <v>#N/A</v>
      </c>
      <c r="AD59" s="676"/>
      <c r="AE59" s="573"/>
      <c r="AF59" s="574"/>
      <c r="AG59" s="574"/>
      <c r="AH59" s="533" t="e">
        <f t="shared" si="33"/>
        <v>#N/A</v>
      </c>
      <c r="AI59" s="676"/>
      <c r="AJ59" s="573"/>
      <c r="AK59" s="574"/>
      <c r="AL59" s="574"/>
      <c r="AM59" s="533" t="e">
        <f t="shared" si="34"/>
        <v>#N/A</v>
      </c>
      <c r="AN59" s="676"/>
      <c r="AO59" s="573"/>
      <c r="AP59" s="574"/>
      <c r="AQ59" s="574"/>
      <c r="AR59" s="533" t="e">
        <f t="shared" si="35"/>
        <v>#N/A</v>
      </c>
      <c r="AS59" s="676"/>
      <c r="AT59" s="573"/>
      <c r="AU59" s="574"/>
      <c r="AV59" s="574"/>
      <c r="AW59" s="533" t="e">
        <f t="shared" si="36"/>
        <v>#N/A</v>
      </c>
      <c r="AX59" s="676"/>
    </row>
    <row r="60" spans="2:50">
      <c r="B60" s="676"/>
      <c r="C60" s="309">
        <v>14</v>
      </c>
      <c r="D60" s="227"/>
      <c r="E60" s="182"/>
      <c r="F60" s="569"/>
      <c r="G60" s="570"/>
      <c r="H60" s="718"/>
      <c r="I60" s="202"/>
      <c r="J60" s="202"/>
      <c r="K60" s="202"/>
      <c r="L60" s="650"/>
      <c r="M60" s="201" t="e">
        <f>RANK(K60, K$47:$K$61)</f>
        <v>#N/A</v>
      </c>
      <c r="N60" s="668"/>
      <c r="O60" s="668"/>
      <c r="P60" s="573"/>
      <c r="Q60" s="574"/>
      <c r="R60" s="574"/>
      <c r="S60" s="533" t="e">
        <f t="shared" si="30"/>
        <v>#N/A</v>
      </c>
      <c r="T60" s="676"/>
      <c r="U60" s="573"/>
      <c r="V60" s="574"/>
      <c r="W60" s="574"/>
      <c r="X60" s="533" t="e">
        <f t="shared" si="31"/>
        <v>#N/A</v>
      </c>
      <c r="Y60" s="676"/>
      <c r="Z60" s="573"/>
      <c r="AA60" s="574"/>
      <c r="AB60" s="574"/>
      <c r="AC60" s="533" t="e">
        <f t="shared" si="32"/>
        <v>#N/A</v>
      </c>
      <c r="AD60" s="676"/>
      <c r="AE60" s="573"/>
      <c r="AF60" s="574"/>
      <c r="AG60" s="574"/>
      <c r="AH60" s="533" t="e">
        <f t="shared" si="33"/>
        <v>#N/A</v>
      </c>
      <c r="AI60" s="676"/>
      <c r="AJ60" s="573"/>
      <c r="AK60" s="574"/>
      <c r="AL60" s="574"/>
      <c r="AM60" s="533" t="e">
        <f t="shared" si="34"/>
        <v>#N/A</v>
      </c>
      <c r="AN60" s="676"/>
      <c r="AO60" s="573"/>
      <c r="AP60" s="574"/>
      <c r="AQ60" s="574"/>
      <c r="AR60" s="533" t="e">
        <f t="shared" si="35"/>
        <v>#N/A</v>
      </c>
      <c r="AS60" s="676"/>
      <c r="AT60" s="573"/>
      <c r="AU60" s="574"/>
      <c r="AV60" s="574"/>
      <c r="AW60" s="533" t="e">
        <f t="shared" si="36"/>
        <v>#N/A</v>
      </c>
      <c r="AX60" s="676"/>
    </row>
    <row r="61" spans="2:50">
      <c r="B61" s="676"/>
      <c r="C61" s="309">
        <v>15</v>
      </c>
      <c r="D61" s="227"/>
      <c r="E61" s="182"/>
      <c r="F61" s="569"/>
      <c r="G61" s="570"/>
      <c r="H61" s="719"/>
      <c r="I61" s="202"/>
      <c r="J61" s="202"/>
      <c r="K61" s="202"/>
      <c r="L61" s="651"/>
      <c r="M61" s="201" t="e">
        <f>RANK(K61, K$47:$K$61)</f>
        <v>#N/A</v>
      </c>
      <c r="N61" s="668"/>
      <c r="O61" s="668"/>
      <c r="P61" s="573"/>
      <c r="Q61" s="574"/>
      <c r="R61" s="574"/>
      <c r="S61" s="533" t="e">
        <f t="shared" si="30"/>
        <v>#N/A</v>
      </c>
      <c r="T61" s="676"/>
      <c r="U61" s="573"/>
      <c r="V61" s="574"/>
      <c r="W61" s="574"/>
      <c r="X61" s="533" t="e">
        <f t="shared" si="31"/>
        <v>#N/A</v>
      </c>
      <c r="Y61" s="676"/>
      <c r="Z61" s="573"/>
      <c r="AA61" s="574"/>
      <c r="AB61" s="574"/>
      <c r="AC61" s="533" t="e">
        <f t="shared" si="32"/>
        <v>#N/A</v>
      </c>
      <c r="AD61" s="676"/>
      <c r="AE61" s="573"/>
      <c r="AF61" s="574"/>
      <c r="AG61" s="574"/>
      <c r="AH61" s="533" t="e">
        <f t="shared" si="33"/>
        <v>#N/A</v>
      </c>
      <c r="AI61" s="676"/>
      <c r="AJ61" s="573"/>
      <c r="AK61" s="574"/>
      <c r="AL61" s="574"/>
      <c r="AM61" s="533" t="e">
        <f t="shared" si="34"/>
        <v>#N/A</v>
      </c>
      <c r="AN61" s="676"/>
      <c r="AO61" s="573"/>
      <c r="AP61" s="574"/>
      <c r="AQ61" s="574"/>
      <c r="AR61" s="533" t="e">
        <f t="shared" si="35"/>
        <v>#N/A</v>
      </c>
      <c r="AS61" s="676"/>
      <c r="AT61" s="573"/>
      <c r="AU61" s="574"/>
      <c r="AV61" s="574"/>
      <c r="AW61" s="533" t="e">
        <f t="shared" si="36"/>
        <v>#N/A</v>
      </c>
      <c r="AX61" s="676"/>
    </row>
    <row r="62" spans="2:50" ht="15.75">
      <c r="B62" s="680" t="s">
        <v>163</v>
      </c>
      <c r="C62" s="681"/>
      <c r="D62" s="681"/>
      <c r="E62" s="681"/>
      <c r="F62" s="681"/>
      <c r="G62" s="681"/>
      <c r="H62" s="682"/>
      <c r="I62" s="208"/>
      <c r="J62" s="208"/>
      <c r="K62" s="208"/>
      <c r="L62" s="208"/>
      <c r="M62" s="207"/>
      <c r="N62" s="669" t="s">
        <v>156</v>
      </c>
      <c r="O62" s="669" t="s">
        <v>105</v>
      </c>
      <c r="P62" s="675">
        <f>P42+7</f>
        <v>46105</v>
      </c>
      <c r="Q62" s="676"/>
      <c r="R62" s="676"/>
      <c r="S62" s="676"/>
      <c r="T62" s="676"/>
      <c r="U62" s="672">
        <f>P62+1</f>
        <v>46106</v>
      </c>
      <c r="V62" s="673"/>
      <c r="W62" s="673"/>
      <c r="X62" s="673"/>
      <c r="Y62" s="674"/>
      <c r="Z62" s="672">
        <f>U62+1</f>
        <v>46107</v>
      </c>
      <c r="AA62" s="673"/>
      <c r="AB62" s="673"/>
      <c r="AC62" s="673"/>
      <c r="AD62" s="674"/>
      <c r="AE62" s="672">
        <f>Z62+1</f>
        <v>46108</v>
      </c>
      <c r="AF62" s="673"/>
      <c r="AG62" s="673"/>
      <c r="AH62" s="673"/>
      <c r="AI62" s="674"/>
      <c r="AJ62" s="672">
        <f>AE62+1</f>
        <v>46109</v>
      </c>
      <c r="AK62" s="673"/>
      <c r="AL62" s="673"/>
      <c r="AM62" s="673"/>
      <c r="AN62" s="674"/>
      <c r="AO62" s="672">
        <f>AJ62+1</f>
        <v>46110</v>
      </c>
      <c r="AP62" s="673"/>
      <c r="AQ62" s="673"/>
      <c r="AR62" s="673"/>
      <c r="AS62" s="674"/>
      <c r="AT62" s="672">
        <f>AO62+1</f>
        <v>46111</v>
      </c>
      <c r="AU62" s="673"/>
      <c r="AV62" s="673"/>
      <c r="AW62" s="673"/>
      <c r="AX62" s="674"/>
    </row>
    <row r="63" spans="2:50" ht="15.75">
      <c r="B63" s="683"/>
      <c r="C63" s="683"/>
      <c r="D63" s="683"/>
      <c r="E63" s="683"/>
      <c r="F63" s="683"/>
      <c r="G63" s="683"/>
      <c r="H63" s="683"/>
      <c r="I63" s="205"/>
      <c r="J63" s="205"/>
      <c r="K63" s="205"/>
      <c r="L63" s="205"/>
      <c r="M63" s="206"/>
      <c r="N63" s="671"/>
      <c r="O63" s="671"/>
      <c r="P63" s="675" t="s">
        <v>336</v>
      </c>
      <c r="Q63" s="676"/>
      <c r="R63" s="676"/>
      <c r="S63" s="676"/>
      <c r="T63" s="676"/>
      <c r="U63" s="675" t="s">
        <v>337</v>
      </c>
      <c r="V63" s="676"/>
      <c r="W63" s="676"/>
      <c r="X63" s="676"/>
      <c r="Y63" s="676"/>
      <c r="Z63" s="675" t="s">
        <v>338</v>
      </c>
      <c r="AA63" s="676"/>
      <c r="AB63" s="676"/>
      <c r="AC63" s="676"/>
      <c r="AD63" s="676"/>
      <c r="AE63" s="675" t="s">
        <v>339</v>
      </c>
      <c r="AF63" s="676"/>
      <c r="AG63" s="676"/>
      <c r="AH63" s="676"/>
      <c r="AI63" s="676"/>
      <c r="AJ63" s="675" t="s">
        <v>340</v>
      </c>
      <c r="AK63" s="676"/>
      <c r="AL63" s="676"/>
      <c r="AM63" s="676"/>
      <c r="AN63" s="676"/>
      <c r="AO63" s="675" t="s">
        <v>341</v>
      </c>
      <c r="AP63" s="676"/>
      <c r="AQ63" s="676"/>
      <c r="AR63" s="676"/>
      <c r="AS63" s="676"/>
      <c r="AT63" s="675" t="s">
        <v>342</v>
      </c>
      <c r="AU63" s="676"/>
      <c r="AV63" s="676"/>
      <c r="AW63" s="676"/>
      <c r="AX63" s="676"/>
    </row>
    <row r="64" spans="2:50">
      <c r="B64" s="668" t="s">
        <v>419</v>
      </c>
      <c r="C64" s="668" t="s">
        <v>429</v>
      </c>
      <c r="D64" s="668"/>
      <c r="E64" s="668" t="s">
        <v>420</v>
      </c>
      <c r="F64" s="668"/>
      <c r="G64" s="668"/>
      <c r="H64" s="684" t="s">
        <v>416</v>
      </c>
      <c r="I64" s="652" t="s">
        <v>421</v>
      </c>
      <c r="J64" s="652"/>
      <c r="K64" s="652"/>
      <c r="L64" s="653" t="s">
        <v>416</v>
      </c>
      <c r="M64" s="659" t="s">
        <v>417</v>
      </c>
      <c r="N64" s="668"/>
      <c r="O64" s="668" t="s">
        <v>422</v>
      </c>
      <c r="P64" s="665" t="s">
        <v>418</v>
      </c>
      <c r="Q64" s="666"/>
      <c r="R64" s="666"/>
      <c r="S64" s="667"/>
      <c r="T64" s="668" t="s">
        <v>416</v>
      </c>
      <c r="U64" s="665" t="s">
        <v>418</v>
      </c>
      <c r="V64" s="666"/>
      <c r="W64" s="666"/>
      <c r="X64" s="667"/>
      <c r="Y64" s="668" t="s">
        <v>416</v>
      </c>
      <c r="Z64" s="665" t="s">
        <v>418</v>
      </c>
      <c r="AA64" s="666"/>
      <c r="AB64" s="666"/>
      <c r="AC64" s="667"/>
      <c r="AD64" s="668" t="s">
        <v>416</v>
      </c>
      <c r="AE64" s="665" t="s">
        <v>418</v>
      </c>
      <c r="AF64" s="666"/>
      <c r="AG64" s="666"/>
      <c r="AH64" s="667"/>
      <c r="AI64" s="668" t="s">
        <v>416</v>
      </c>
      <c r="AJ64" s="665" t="s">
        <v>418</v>
      </c>
      <c r="AK64" s="666"/>
      <c r="AL64" s="666"/>
      <c r="AM64" s="667"/>
      <c r="AN64" s="668" t="s">
        <v>416</v>
      </c>
      <c r="AO64" s="665" t="s">
        <v>418</v>
      </c>
      <c r="AP64" s="666"/>
      <c r="AQ64" s="666"/>
      <c r="AR64" s="667"/>
      <c r="AS64" s="668" t="s">
        <v>416</v>
      </c>
      <c r="AT64" s="665" t="s">
        <v>418</v>
      </c>
      <c r="AU64" s="666"/>
      <c r="AV64" s="666"/>
      <c r="AW64" s="667"/>
      <c r="AX64" s="668" t="s">
        <v>416</v>
      </c>
    </row>
    <row r="65" spans="2:50">
      <c r="B65" s="668"/>
      <c r="C65" s="668"/>
      <c r="D65" s="668"/>
      <c r="E65" s="668" t="s">
        <v>423</v>
      </c>
      <c r="F65" s="668"/>
      <c r="G65" s="668"/>
      <c r="H65" s="685"/>
      <c r="I65" s="652" t="s">
        <v>423</v>
      </c>
      <c r="J65" s="652"/>
      <c r="K65" s="652"/>
      <c r="L65" s="654"/>
      <c r="M65" s="660"/>
      <c r="N65" s="668"/>
      <c r="O65" s="668"/>
      <c r="P65" s="665" t="s">
        <v>424</v>
      </c>
      <c r="Q65" s="666"/>
      <c r="R65" s="666"/>
      <c r="S65" s="667"/>
      <c r="T65" s="668"/>
      <c r="U65" s="665" t="s">
        <v>424</v>
      </c>
      <c r="V65" s="666"/>
      <c r="W65" s="666"/>
      <c r="X65" s="667"/>
      <c r="Y65" s="668"/>
      <c r="Z65" s="665" t="s">
        <v>424</v>
      </c>
      <c r="AA65" s="666"/>
      <c r="AB65" s="666"/>
      <c r="AC65" s="667"/>
      <c r="AD65" s="668"/>
      <c r="AE65" s="665" t="s">
        <v>424</v>
      </c>
      <c r="AF65" s="666"/>
      <c r="AG65" s="666"/>
      <c r="AH65" s="667"/>
      <c r="AI65" s="668"/>
      <c r="AJ65" s="665" t="s">
        <v>424</v>
      </c>
      <c r="AK65" s="666"/>
      <c r="AL65" s="666"/>
      <c r="AM65" s="667"/>
      <c r="AN65" s="668"/>
      <c r="AO65" s="665" t="s">
        <v>424</v>
      </c>
      <c r="AP65" s="666"/>
      <c r="AQ65" s="666"/>
      <c r="AR65" s="667"/>
      <c r="AS65" s="668"/>
      <c r="AT65" s="665" t="s">
        <v>424</v>
      </c>
      <c r="AU65" s="666"/>
      <c r="AV65" s="666"/>
      <c r="AW65" s="667"/>
      <c r="AX65" s="668"/>
    </row>
    <row r="66" spans="2:50">
      <c r="B66" s="668"/>
      <c r="C66" s="668"/>
      <c r="D66" s="668"/>
      <c r="E66" s="308" t="s">
        <v>425</v>
      </c>
      <c r="F66" s="308" t="s">
        <v>426</v>
      </c>
      <c r="G66" s="308" t="s">
        <v>427</v>
      </c>
      <c r="H66" s="686"/>
      <c r="I66" s="307" t="s">
        <v>425</v>
      </c>
      <c r="J66" s="307" t="s">
        <v>426</v>
      </c>
      <c r="K66" s="307" t="s">
        <v>427</v>
      </c>
      <c r="L66" s="655"/>
      <c r="M66" s="661"/>
      <c r="N66" s="668"/>
      <c r="O66" s="668"/>
      <c r="P66" s="308" t="s">
        <v>425</v>
      </c>
      <c r="Q66" s="308" t="s">
        <v>426</v>
      </c>
      <c r="R66" s="308" t="s">
        <v>427</v>
      </c>
      <c r="S66" s="308" t="s">
        <v>417</v>
      </c>
      <c r="T66" s="668"/>
      <c r="U66" s="308" t="s">
        <v>425</v>
      </c>
      <c r="V66" s="308" t="s">
        <v>426</v>
      </c>
      <c r="W66" s="308" t="s">
        <v>427</v>
      </c>
      <c r="X66" s="308" t="s">
        <v>417</v>
      </c>
      <c r="Y66" s="668"/>
      <c r="Z66" s="308" t="s">
        <v>425</v>
      </c>
      <c r="AA66" s="308" t="s">
        <v>426</v>
      </c>
      <c r="AB66" s="308" t="s">
        <v>427</v>
      </c>
      <c r="AC66" s="308" t="s">
        <v>417</v>
      </c>
      <c r="AD66" s="668"/>
      <c r="AE66" s="308" t="s">
        <v>425</v>
      </c>
      <c r="AF66" s="308" t="s">
        <v>426</v>
      </c>
      <c r="AG66" s="308" t="s">
        <v>427</v>
      </c>
      <c r="AH66" s="308" t="s">
        <v>417</v>
      </c>
      <c r="AI66" s="668"/>
      <c r="AJ66" s="308" t="s">
        <v>425</v>
      </c>
      <c r="AK66" s="308" t="s">
        <v>426</v>
      </c>
      <c r="AL66" s="308" t="s">
        <v>427</v>
      </c>
      <c r="AM66" s="308" t="s">
        <v>417</v>
      </c>
      <c r="AN66" s="668"/>
      <c r="AO66" s="308" t="s">
        <v>425</v>
      </c>
      <c r="AP66" s="308" t="s">
        <v>426</v>
      </c>
      <c r="AQ66" s="308" t="s">
        <v>427</v>
      </c>
      <c r="AR66" s="308" t="s">
        <v>417</v>
      </c>
      <c r="AS66" s="668"/>
      <c r="AT66" s="308" t="s">
        <v>425</v>
      </c>
      <c r="AU66" s="308" t="s">
        <v>426</v>
      </c>
      <c r="AV66" s="308" t="s">
        <v>427</v>
      </c>
      <c r="AW66" s="308" t="s">
        <v>417</v>
      </c>
      <c r="AX66" s="668"/>
    </row>
    <row r="67" spans="2:50">
      <c r="B67" s="668" t="s">
        <v>431</v>
      </c>
      <c r="C67" s="309">
        <v>1</v>
      </c>
      <c r="D67" s="227" t="s">
        <v>756</v>
      </c>
      <c r="E67" s="182">
        <v>14</v>
      </c>
      <c r="F67" s="569">
        <v>1500</v>
      </c>
      <c r="G67" s="570">
        <v>107.1</v>
      </c>
      <c r="H67" s="717">
        <f>AVERAGE(G67:G81)</f>
        <v>99.199999999999989</v>
      </c>
      <c r="I67" s="199">
        <f>AVERAGE(P67,U67,Z67,AE67,AJ67,AO67,AT67)</f>
        <v>13.857142857142858</v>
      </c>
      <c r="J67" s="199">
        <f>AVERAGE(Q67,V67,AA67,AF67,AK67,AP67,AU67)</f>
        <v>1257.9562542720435</v>
      </c>
      <c r="K67" s="200">
        <f>AVERAGE(R67,W67,AB67,AG67,AL67,AQ67,AV67)</f>
        <v>90.86443631556412</v>
      </c>
      <c r="L67" s="649">
        <f>IFERROR(AVERAGE(K67:K81),"-")</f>
        <v>86.680429402838385</v>
      </c>
      <c r="M67" s="201">
        <f>RANK(K67, K$67:$K$81)</f>
        <v>1</v>
      </c>
      <c r="N67" s="668"/>
      <c r="O67" s="668"/>
      <c r="P67" s="573">
        <v>13</v>
      </c>
      <c r="Q67" s="574">
        <v>1287.2727272727273</v>
      </c>
      <c r="R67" s="574">
        <v>99.020979020979013</v>
      </c>
      <c r="S67" s="309">
        <f>RANK(R67, R$67:R$81)</f>
        <v>1</v>
      </c>
      <c r="T67" s="690">
        <f>AVERAGE(R67:R81)</f>
        <v>89.360828632152149</v>
      </c>
      <c r="U67" s="573">
        <v>14</v>
      </c>
      <c r="V67" s="574">
        <v>1289.9999999999989</v>
      </c>
      <c r="W67" s="574">
        <v>92.142857142857068</v>
      </c>
      <c r="X67" s="475">
        <f t="shared" ref="X67:X81" si="37">RANK(W67, W$67:W$81)</f>
        <v>1</v>
      </c>
      <c r="Y67" s="690">
        <f t="shared" ref="Y67" si="38">AVERAGE(W67:W81)</f>
        <v>87.266170104405361</v>
      </c>
      <c r="Z67" s="573">
        <v>14</v>
      </c>
      <c r="AA67" s="574">
        <v>1282.1052631578939</v>
      </c>
      <c r="AB67" s="574">
        <v>91.578947368420998</v>
      </c>
      <c r="AC67" s="475">
        <f t="shared" ref="AC67:AC81" si="39">RANK(AB67, AB$67:AB$81)</f>
        <v>1</v>
      </c>
      <c r="AD67" s="690">
        <f t="shared" ref="AD67" si="40">AVERAGE(AB67:AB81)</f>
        <v>87.436951572348562</v>
      </c>
      <c r="AE67" s="573">
        <v>14</v>
      </c>
      <c r="AF67" s="574">
        <v>1206.3157894736833</v>
      </c>
      <c r="AG67" s="574">
        <v>86.165413533834524</v>
      </c>
      <c r="AH67" s="475">
        <f t="shared" ref="AH67:AH81" si="41">RANK(AG67, AG$67:AG$81)</f>
        <v>1</v>
      </c>
      <c r="AI67" s="690">
        <f t="shared" ref="AI67" si="42">AVERAGE(AG67:AG81)</f>
        <v>84.995868682401166</v>
      </c>
      <c r="AJ67" s="573">
        <v>14</v>
      </c>
      <c r="AK67" s="574">
        <v>1251.8181818181818</v>
      </c>
      <c r="AL67" s="574">
        <v>89.415584415584405</v>
      </c>
      <c r="AM67" s="475">
        <f t="shared" ref="AM67:AM81" si="43">RANK(AL67, AL$67:AL$81)</f>
        <v>1</v>
      </c>
      <c r="AN67" s="690">
        <f t="shared" ref="AN67" si="44">AVERAGE(AL67:AL81)</f>
        <v>85.79938985163443</v>
      </c>
      <c r="AO67" s="573">
        <v>14</v>
      </c>
      <c r="AP67" s="574">
        <v>1238.1818181818182</v>
      </c>
      <c r="AQ67" s="574">
        <v>88.441558441558442</v>
      </c>
      <c r="AR67" s="475">
        <f t="shared" ref="AR67:AR81" si="45">RANK(AQ67, AQ$67:AQ$81)</f>
        <v>1</v>
      </c>
      <c r="AS67" s="690">
        <f t="shared" ref="AS67" si="46">AVERAGE(AQ67:AQ81)</f>
        <v>85.625631672692677</v>
      </c>
      <c r="AT67" s="573">
        <v>14</v>
      </c>
      <c r="AU67" s="574">
        <v>1250.0000000000005</v>
      </c>
      <c r="AV67" s="574">
        <v>89.28571428571432</v>
      </c>
      <c r="AW67" s="475">
        <f t="shared" ref="AW67:AW81" si="47">RANK(AV67, AV$67:AV$81)</f>
        <v>1</v>
      </c>
      <c r="AX67" s="690">
        <f t="shared" ref="AX67" si="48">AVERAGE(AV67:AV81)</f>
        <v>86.278165304234236</v>
      </c>
    </row>
    <row r="68" spans="2:50">
      <c r="B68" s="676"/>
      <c r="C68" s="309">
        <v>2</v>
      </c>
      <c r="D68" s="227" t="s">
        <v>799</v>
      </c>
      <c r="E68" s="182">
        <v>16</v>
      </c>
      <c r="F68" s="569">
        <v>1636</v>
      </c>
      <c r="G68" s="570">
        <v>102.3</v>
      </c>
      <c r="H68" s="718"/>
      <c r="I68" s="199">
        <f t="shared" ref="I68:I69" si="49">AVERAGE(P68,U68,Z68,AE68,AJ68,AO68,AT68)</f>
        <v>17</v>
      </c>
      <c r="J68" s="199">
        <f t="shared" ref="J68:J69" si="50">AVERAGE(Q68,V68,AA68,AF68,AK68,AP68,AU68)</f>
        <v>1450.9100879265932</v>
      </c>
      <c r="K68" s="200">
        <f t="shared" ref="K68:K69" si="51">AVERAGE(R68,W68,AB68,AG68,AL68,AQ68,AV68)</f>
        <v>85.347652230976081</v>
      </c>
      <c r="L68" s="650"/>
      <c r="M68" s="201">
        <f>RANK(K68, K$67:$K$81)</f>
        <v>2</v>
      </c>
      <c r="N68" s="668"/>
      <c r="O68" s="668"/>
      <c r="P68" s="573">
        <v>17</v>
      </c>
      <c r="Q68" s="574">
        <v>1451.0545454545452</v>
      </c>
      <c r="R68" s="574">
        <v>85.35614973262031</v>
      </c>
      <c r="S68" s="339">
        <f t="shared" ref="S68:S81" si="52">RANK(R68, R$67:R$81)</f>
        <v>2</v>
      </c>
      <c r="T68" s="690"/>
      <c r="U68" s="573">
        <v>17</v>
      </c>
      <c r="V68" s="574">
        <v>1442.181818181818</v>
      </c>
      <c r="W68" s="574">
        <v>84.834224598930476</v>
      </c>
      <c r="X68" s="475">
        <f t="shared" si="37"/>
        <v>2</v>
      </c>
      <c r="Y68" s="690"/>
      <c r="Z68" s="573">
        <v>17</v>
      </c>
      <c r="AA68" s="574">
        <v>1470.2912621359224</v>
      </c>
      <c r="AB68" s="574">
        <v>86.487721302113073</v>
      </c>
      <c r="AC68" s="475">
        <f t="shared" si="39"/>
        <v>2</v>
      </c>
      <c r="AD68" s="690"/>
      <c r="AE68" s="573">
        <v>17</v>
      </c>
      <c r="AF68" s="574">
        <v>1445.4545454545457</v>
      </c>
      <c r="AG68" s="574">
        <v>85.026737967914457</v>
      </c>
      <c r="AH68" s="475">
        <f t="shared" si="41"/>
        <v>2</v>
      </c>
      <c r="AI68" s="690"/>
      <c r="AJ68" s="573">
        <v>17</v>
      </c>
      <c r="AK68" s="574">
        <v>1459.5789473684217</v>
      </c>
      <c r="AL68" s="574">
        <v>85.857585139318928</v>
      </c>
      <c r="AM68" s="475">
        <f t="shared" si="43"/>
        <v>2</v>
      </c>
      <c r="AN68" s="690"/>
      <c r="AO68" s="573">
        <v>17</v>
      </c>
      <c r="AP68" s="574">
        <v>1439.0163934426232</v>
      </c>
      <c r="AQ68" s="574">
        <v>84.648023143683716</v>
      </c>
      <c r="AR68" s="475">
        <f t="shared" si="45"/>
        <v>2</v>
      </c>
      <c r="AS68" s="690"/>
      <c r="AT68" s="573">
        <v>17</v>
      </c>
      <c r="AU68" s="574">
        <v>1448.793103448276</v>
      </c>
      <c r="AV68" s="574">
        <v>85.223123732251537</v>
      </c>
      <c r="AW68" s="475">
        <f t="shared" si="47"/>
        <v>2</v>
      </c>
      <c r="AX68" s="690"/>
    </row>
    <row r="69" spans="2:50">
      <c r="B69" s="676"/>
      <c r="C69" s="309">
        <v>3</v>
      </c>
      <c r="D69" s="227" t="s">
        <v>940</v>
      </c>
      <c r="E69" s="182">
        <v>17</v>
      </c>
      <c r="F69" s="569">
        <v>1500</v>
      </c>
      <c r="G69" s="570">
        <v>88.2</v>
      </c>
      <c r="H69" s="718"/>
      <c r="I69" s="199">
        <f t="shared" si="49"/>
        <v>16</v>
      </c>
      <c r="J69" s="199">
        <f t="shared" si="50"/>
        <v>1341.2671945915988</v>
      </c>
      <c r="K69" s="200">
        <f t="shared" si="51"/>
        <v>83.829199661974926</v>
      </c>
      <c r="L69" s="650"/>
      <c r="M69" s="201">
        <f>RANK(K69, K$67:$K$81)</f>
        <v>3</v>
      </c>
      <c r="N69" s="668"/>
      <c r="O69" s="668"/>
      <c r="P69" s="573">
        <v>16</v>
      </c>
      <c r="Q69" s="574">
        <v>1339.2857142857138</v>
      </c>
      <c r="R69" s="574">
        <v>83.70535714285711</v>
      </c>
      <c r="S69" s="339">
        <f t="shared" si="52"/>
        <v>3</v>
      </c>
      <c r="T69" s="690"/>
      <c r="U69" s="573">
        <v>16</v>
      </c>
      <c r="V69" s="574">
        <v>1357.1428571428567</v>
      </c>
      <c r="W69" s="574">
        <v>84.821428571428541</v>
      </c>
      <c r="X69" s="475">
        <f t="shared" si="37"/>
        <v>3</v>
      </c>
      <c r="Y69" s="690"/>
      <c r="Z69" s="573">
        <v>16</v>
      </c>
      <c r="AA69" s="574">
        <v>1347.9069767441858</v>
      </c>
      <c r="AB69" s="574">
        <v>84.244186046511615</v>
      </c>
      <c r="AC69" s="475">
        <f t="shared" si="39"/>
        <v>3</v>
      </c>
      <c r="AD69" s="690"/>
      <c r="AE69" s="573">
        <v>16</v>
      </c>
      <c r="AF69" s="574">
        <v>1340.7272727272718</v>
      </c>
      <c r="AG69" s="574">
        <v>83.79545454545449</v>
      </c>
      <c r="AH69" s="475">
        <f t="shared" si="41"/>
        <v>3</v>
      </c>
      <c r="AI69" s="690"/>
      <c r="AJ69" s="573">
        <v>16</v>
      </c>
      <c r="AK69" s="574">
        <v>1313.9999999999993</v>
      </c>
      <c r="AL69" s="574">
        <v>82.124999999999957</v>
      </c>
      <c r="AM69" s="475">
        <f t="shared" si="43"/>
        <v>3</v>
      </c>
      <c r="AN69" s="690"/>
      <c r="AO69" s="573">
        <v>16</v>
      </c>
      <c r="AP69" s="574">
        <v>1340.5970149253731</v>
      </c>
      <c r="AQ69" s="574">
        <v>83.787313432835816</v>
      </c>
      <c r="AR69" s="475">
        <f t="shared" si="45"/>
        <v>3</v>
      </c>
      <c r="AS69" s="690"/>
      <c r="AT69" s="573">
        <v>16</v>
      </c>
      <c r="AU69" s="574">
        <v>1349.2105263157898</v>
      </c>
      <c r="AV69" s="574">
        <v>84.325657894736864</v>
      </c>
      <c r="AW69" s="475">
        <f t="shared" si="47"/>
        <v>3</v>
      </c>
      <c r="AX69" s="690"/>
    </row>
    <row r="70" spans="2:50">
      <c r="B70" s="676"/>
      <c r="C70" s="309">
        <v>4</v>
      </c>
      <c r="D70" s="227"/>
      <c r="E70" s="182"/>
      <c r="F70" s="569"/>
      <c r="G70" s="570"/>
      <c r="H70" s="718"/>
      <c r="I70" s="199"/>
      <c r="J70" s="199"/>
      <c r="K70" s="200"/>
      <c r="L70" s="650"/>
      <c r="M70" s="201" t="e">
        <f>RANK(K70, K$67:$K$81)</f>
        <v>#N/A</v>
      </c>
      <c r="N70" s="668"/>
      <c r="O70" s="668"/>
      <c r="P70" s="573"/>
      <c r="Q70" s="574"/>
      <c r="R70" s="574"/>
      <c r="S70" s="339" t="e">
        <f t="shared" si="52"/>
        <v>#N/A</v>
      </c>
      <c r="T70" s="690"/>
      <c r="U70" s="573"/>
      <c r="V70" s="574"/>
      <c r="W70" s="574"/>
      <c r="X70" s="475" t="e">
        <f t="shared" si="37"/>
        <v>#N/A</v>
      </c>
      <c r="Y70" s="690"/>
      <c r="Z70" s="573"/>
      <c r="AA70" s="574"/>
      <c r="AB70" s="574"/>
      <c r="AC70" s="475" t="e">
        <f t="shared" si="39"/>
        <v>#N/A</v>
      </c>
      <c r="AD70" s="690"/>
      <c r="AE70" s="573"/>
      <c r="AF70" s="574"/>
      <c r="AG70" s="574"/>
      <c r="AH70" s="475" t="e">
        <f t="shared" si="41"/>
        <v>#N/A</v>
      </c>
      <c r="AI70" s="690"/>
      <c r="AJ70" s="573"/>
      <c r="AK70" s="574"/>
      <c r="AL70" s="574"/>
      <c r="AM70" s="475" t="e">
        <f t="shared" si="43"/>
        <v>#N/A</v>
      </c>
      <c r="AN70" s="690"/>
      <c r="AO70" s="573"/>
      <c r="AP70" s="574"/>
      <c r="AQ70" s="574"/>
      <c r="AR70" s="475" t="e">
        <f t="shared" si="45"/>
        <v>#N/A</v>
      </c>
      <c r="AS70" s="690"/>
      <c r="AT70" s="573"/>
      <c r="AU70" s="574"/>
      <c r="AV70" s="574"/>
      <c r="AW70" s="475" t="e">
        <f t="shared" si="47"/>
        <v>#N/A</v>
      </c>
      <c r="AX70" s="690"/>
    </row>
    <row r="71" spans="2:50">
      <c r="B71" s="676"/>
      <c r="C71" s="309">
        <v>5</v>
      </c>
      <c r="D71" s="227"/>
      <c r="E71" s="182"/>
      <c r="F71" s="569"/>
      <c r="G71" s="570"/>
      <c r="H71" s="718"/>
      <c r="I71" s="199"/>
      <c r="J71" s="199"/>
      <c r="K71" s="200"/>
      <c r="L71" s="650"/>
      <c r="M71" s="201" t="e">
        <f>RANK(K71, K$67:$K$81)</f>
        <v>#N/A</v>
      </c>
      <c r="N71" s="668"/>
      <c r="O71" s="668"/>
      <c r="P71" s="573"/>
      <c r="Q71" s="574"/>
      <c r="R71" s="574"/>
      <c r="S71" s="339" t="e">
        <f t="shared" si="52"/>
        <v>#N/A</v>
      </c>
      <c r="T71" s="690"/>
      <c r="U71" s="573"/>
      <c r="V71" s="574"/>
      <c r="W71" s="574"/>
      <c r="X71" s="475" t="e">
        <f t="shared" si="37"/>
        <v>#N/A</v>
      </c>
      <c r="Y71" s="690"/>
      <c r="Z71" s="573"/>
      <c r="AA71" s="574"/>
      <c r="AB71" s="574"/>
      <c r="AC71" s="475" t="e">
        <f t="shared" si="39"/>
        <v>#N/A</v>
      </c>
      <c r="AD71" s="690"/>
      <c r="AE71" s="573"/>
      <c r="AF71" s="574"/>
      <c r="AG71" s="574"/>
      <c r="AH71" s="475" t="e">
        <f t="shared" si="41"/>
        <v>#N/A</v>
      </c>
      <c r="AI71" s="690"/>
      <c r="AJ71" s="573"/>
      <c r="AK71" s="574"/>
      <c r="AL71" s="574"/>
      <c r="AM71" s="475" t="e">
        <f t="shared" si="43"/>
        <v>#N/A</v>
      </c>
      <c r="AN71" s="690"/>
      <c r="AO71" s="573"/>
      <c r="AP71" s="574"/>
      <c r="AQ71" s="574"/>
      <c r="AR71" s="475" t="e">
        <f t="shared" si="45"/>
        <v>#N/A</v>
      </c>
      <c r="AS71" s="690"/>
      <c r="AT71" s="573"/>
      <c r="AU71" s="574"/>
      <c r="AV71" s="574"/>
      <c r="AW71" s="475" t="e">
        <f t="shared" si="47"/>
        <v>#N/A</v>
      </c>
      <c r="AX71" s="690"/>
    </row>
    <row r="72" spans="2:50">
      <c r="B72" s="676"/>
      <c r="C72" s="309">
        <v>6</v>
      </c>
      <c r="D72" s="227"/>
      <c r="E72" s="182"/>
      <c r="F72" s="569"/>
      <c r="G72" s="570"/>
      <c r="H72" s="718"/>
      <c r="I72" s="199"/>
      <c r="J72" s="199"/>
      <c r="K72" s="200"/>
      <c r="L72" s="650"/>
      <c r="M72" s="201" t="e">
        <f>RANK(K72, K$67:$K$81)</f>
        <v>#N/A</v>
      </c>
      <c r="N72" s="668"/>
      <c r="O72" s="668"/>
      <c r="P72" s="573"/>
      <c r="Q72" s="574"/>
      <c r="R72" s="574"/>
      <c r="S72" s="339" t="e">
        <f t="shared" si="52"/>
        <v>#N/A</v>
      </c>
      <c r="T72" s="690"/>
      <c r="U72" s="573"/>
      <c r="V72" s="574"/>
      <c r="W72" s="574"/>
      <c r="X72" s="475" t="e">
        <f t="shared" si="37"/>
        <v>#N/A</v>
      </c>
      <c r="Y72" s="690"/>
      <c r="Z72" s="573"/>
      <c r="AA72" s="574"/>
      <c r="AB72" s="574"/>
      <c r="AC72" s="475" t="e">
        <f t="shared" si="39"/>
        <v>#N/A</v>
      </c>
      <c r="AD72" s="690"/>
      <c r="AE72" s="573"/>
      <c r="AF72" s="574"/>
      <c r="AG72" s="574"/>
      <c r="AH72" s="475" t="e">
        <f t="shared" si="41"/>
        <v>#N/A</v>
      </c>
      <c r="AI72" s="690"/>
      <c r="AJ72" s="573"/>
      <c r="AK72" s="574"/>
      <c r="AL72" s="574"/>
      <c r="AM72" s="475" t="e">
        <f t="shared" si="43"/>
        <v>#N/A</v>
      </c>
      <c r="AN72" s="690"/>
      <c r="AO72" s="573"/>
      <c r="AP72" s="574"/>
      <c r="AQ72" s="574"/>
      <c r="AR72" s="475" t="e">
        <f t="shared" si="45"/>
        <v>#N/A</v>
      </c>
      <c r="AS72" s="690"/>
      <c r="AT72" s="573"/>
      <c r="AU72" s="574"/>
      <c r="AV72" s="574"/>
      <c r="AW72" s="475" t="e">
        <f t="shared" si="47"/>
        <v>#N/A</v>
      </c>
      <c r="AX72" s="690"/>
    </row>
    <row r="73" spans="2:50">
      <c r="B73" s="676"/>
      <c r="C73" s="309">
        <v>7</v>
      </c>
      <c r="D73" s="227"/>
      <c r="E73" s="182"/>
      <c r="F73" s="569"/>
      <c r="G73" s="570"/>
      <c r="H73" s="718"/>
      <c r="I73" s="199"/>
      <c r="J73" s="199"/>
      <c r="K73" s="200"/>
      <c r="L73" s="650"/>
      <c r="M73" s="201" t="e">
        <f>RANK(K73, K$67:$K$81)</f>
        <v>#N/A</v>
      </c>
      <c r="N73" s="668"/>
      <c r="O73" s="668"/>
      <c r="P73" s="573"/>
      <c r="Q73" s="574"/>
      <c r="R73" s="574"/>
      <c r="S73" s="339" t="e">
        <f t="shared" si="52"/>
        <v>#N/A</v>
      </c>
      <c r="T73" s="690"/>
      <c r="U73" s="573"/>
      <c r="V73" s="574"/>
      <c r="W73" s="574"/>
      <c r="X73" s="475" t="e">
        <f t="shared" si="37"/>
        <v>#N/A</v>
      </c>
      <c r="Y73" s="690"/>
      <c r="Z73" s="573"/>
      <c r="AA73" s="574"/>
      <c r="AB73" s="574"/>
      <c r="AC73" s="475" t="e">
        <f t="shared" si="39"/>
        <v>#N/A</v>
      </c>
      <c r="AD73" s="690"/>
      <c r="AE73" s="573"/>
      <c r="AF73" s="574"/>
      <c r="AG73" s="574"/>
      <c r="AH73" s="475" t="e">
        <f t="shared" si="41"/>
        <v>#N/A</v>
      </c>
      <c r="AI73" s="690"/>
      <c r="AJ73" s="573"/>
      <c r="AK73" s="574"/>
      <c r="AL73" s="574"/>
      <c r="AM73" s="475" t="e">
        <f t="shared" si="43"/>
        <v>#N/A</v>
      </c>
      <c r="AN73" s="690"/>
      <c r="AO73" s="573"/>
      <c r="AP73" s="574"/>
      <c r="AQ73" s="574"/>
      <c r="AR73" s="475" t="e">
        <f t="shared" si="45"/>
        <v>#N/A</v>
      </c>
      <c r="AS73" s="690"/>
      <c r="AT73" s="573"/>
      <c r="AU73" s="574"/>
      <c r="AV73" s="574"/>
      <c r="AW73" s="475" t="e">
        <f t="shared" si="47"/>
        <v>#N/A</v>
      </c>
      <c r="AX73" s="690"/>
    </row>
    <row r="74" spans="2:50">
      <c r="B74" s="676"/>
      <c r="C74" s="309">
        <v>8</v>
      </c>
      <c r="D74" s="227"/>
      <c r="E74" s="182"/>
      <c r="F74" s="569"/>
      <c r="G74" s="570"/>
      <c r="H74" s="718"/>
      <c r="I74" s="199"/>
      <c r="J74" s="199"/>
      <c r="K74" s="200"/>
      <c r="L74" s="650"/>
      <c r="M74" s="201" t="e">
        <f>RANK(K74, K$67:$K$81)</f>
        <v>#N/A</v>
      </c>
      <c r="N74" s="668"/>
      <c r="O74" s="668"/>
      <c r="P74" s="573"/>
      <c r="Q74" s="574"/>
      <c r="R74" s="574"/>
      <c r="S74" s="339" t="e">
        <f t="shared" si="52"/>
        <v>#N/A</v>
      </c>
      <c r="T74" s="690"/>
      <c r="U74" s="573"/>
      <c r="V74" s="574"/>
      <c r="W74" s="574"/>
      <c r="X74" s="475" t="e">
        <f t="shared" si="37"/>
        <v>#N/A</v>
      </c>
      <c r="Y74" s="690"/>
      <c r="Z74" s="573"/>
      <c r="AA74" s="574"/>
      <c r="AB74" s="574"/>
      <c r="AC74" s="475" t="e">
        <f t="shared" si="39"/>
        <v>#N/A</v>
      </c>
      <c r="AD74" s="690"/>
      <c r="AE74" s="573"/>
      <c r="AF74" s="574"/>
      <c r="AG74" s="574"/>
      <c r="AH74" s="475" t="e">
        <f t="shared" si="41"/>
        <v>#N/A</v>
      </c>
      <c r="AI74" s="690"/>
      <c r="AJ74" s="573"/>
      <c r="AK74" s="574"/>
      <c r="AL74" s="574"/>
      <c r="AM74" s="475" t="e">
        <f t="shared" si="43"/>
        <v>#N/A</v>
      </c>
      <c r="AN74" s="690"/>
      <c r="AO74" s="573"/>
      <c r="AP74" s="574"/>
      <c r="AQ74" s="574"/>
      <c r="AR74" s="475" t="e">
        <f t="shared" si="45"/>
        <v>#N/A</v>
      </c>
      <c r="AS74" s="690"/>
      <c r="AT74" s="573"/>
      <c r="AU74" s="574"/>
      <c r="AV74" s="574"/>
      <c r="AW74" s="475" t="e">
        <f t="shared" si="47"/>
        <v>#N/A</v>
      </c>
      <c r="AX74" s="690"/>
    </row>
    <row r="75" spans="2:50">
      <c r="B75" s="676"/>
      <c r="C75" s="309">
        <v>9</v>
      </c>
      <c r="D75" s="227"/>
      <c r="E75" s="182"/>
      <c r="F75" s="569"/>
      <c r="G75" s="570"/>
      <c r="H75" s="718"/>
      <c r="I75" s="484"/>
      <c r="J75" s="484"/>
      <c r="K75" s="200"/>
      <c r="L75" s="650"/>
      <c r="M75" s="201" t="e">
        <f>RANK(K75, K$67:$K$81)</f>
        <v>#N/A</v>
      </c>
      <c r="N75" s="668"/>
      <c r="O75" s="668"/>
      <c r="P75" s="573"/>
      <c r="Q75" s="574"/>
      <c r="R75" s="574"/>
      <c r="S75" s="339" t="e">
        <f t="shared" si="52"/>
        <v>#N/A</v>
      </c>
      <c r="T75" s="690"/>
      <c r="U75" s="573"/>
      <c r="V75" s="574"/>
      <c r="W75" s="574"/>
      <c r="X75" s="475" t="e">
        <f t="shared" si="37"/>
        <v>#N/A</v>
      </c>
      <c r="Y75" s="690"/>
      <c r="Z75" s="573"/>
      <c r="AA75" s="574"/>
      <c r="AB75" s="574"/>
      <c r="AC75" s="475" t="e">
        <f t="shared" si="39"/>
        <v>#N/A</v>
      </c>
      <c r="AD75" s="690"/>
      <c r="AE75" s="573"/>
      <c r="AF75" s="574"/>
      <c r="AG75" s="574"/>
      <c r="AH75" s="475" t="e">
        <f t="shared" si="41"/>
        <v>#N/A</v>
      </c>
      <c r="AI75" s="690"/>
      <c r="AJ75" s="573"/>
      <c r="AK75" s="574"/>
      <c r="AL75" s="574"/>
      <c r="AM75" s="475" t="e">
        <f t="shared" si="43"/>
        <v>#N/A</v>
      </c>
      <c r="AN75" s="690"/>
      <c r="AO75" s="573"/>
      <c r="AP75" s="574"/>
      <c r="AQ75" s="574"/>
      <c r="AR75" s="475" t="e">
        <f t="shared" si="45"/>
        <v>#N/A</v>
      </c>
      <c r="AS75" s="690"/>
      <c r="AT75" s="573"/>
      <c r="AU75" s="574"/>
      <c r="AV75" s="574"/>
      <c r="AW75" s="475" t="e">
        <f t="shared" si="47"/>
        <v>#N/A</v>
      </c>
      <c r="AX75" s="690"/>
    </row>
    <row r="76" spans="2:50">
      <c r="B76" s="676"/>
      <c r="C76" s="309">
        <v>10</v>
      </c>
      <c r="D76" s="227"/>
      <c r="E76" s="182"/>
      <c r="F76" s="569"/>
      <c r="G76" s="570"/>
      <c r="H76" s="718"/>
      <c r="I76" s="484"/>
      <c r="J76" s="484"/>
      <c r="K76" s="200"/>
      <c r="L76" s="650"/>
      <c r="M76" s="201" t="e">
        <f>RANK(K76, K$67:$K$81)</f>
        <v>#N/A</v>
      </c>
      <c r="N76" s="668"/>
      <c r="O76" s="668"/>
      <c r="P76" s="573"/>
      <c r="Q76" s="574"/>
      <c r="R76" s="574"/>
      <c r="S76" s="339" t="e">
        <f t="shared" si="52"/>
        <v>#N/A</v>
      </c>
      <c r="T76" s="690"/>
      <c r="U76" s="573"/>
      <c r="V76" s="574"/>
      <c r="W76" s="574"/>
      <c r="X76" s="475" t="e">
        <f t="shared" si="37"/>
        <v>#N/A</v>
      </c>
      <c r="Y76" s="690"/>
      <c r="Z76" s="573"/>
      <c r="AA76" s="574"/>
      <c r="AB76" s="574"/>
      <c r="AC76" s="475" t="e">
        <f t="shared" si="39"/>
        <v>#N/A</v>
      </c>
      <c r="AD76" s="690"/>
      <c r="AE76" s="573"/>
      <c r="AF76" s="574"/>
      <c r="AG76" s="574"/>
      <c r="AH76" s="475" t="e">
        <f t="shared" si="41"/>
        <v>#N/A</v>
      </c>
      <c r="AI76" s="690"/>
      <c r="AJ76" s="573"/>
      <c r="AK76" s="574"/>
      <c r="AL76" s="574"/>
      <c r="AM76" s="475" t="e">
        <f t="shared" si="43"/>
        <v>#N/A</v>
      </c>
      <c r="AN76" s="690"/>
      <c r="AO76" s="573"/>
      <c r="AP76" s="574"/>
      <c r="AQ76" s="574"/>
      <c r="AR76" s="475" t="e">
        <f t="shared" si="45"/>
        <v>#N/A</v>
      </c>
      <c r="AS76" s="690"/>
      <c r="AT76" s="573"/>
      <c r="AU76" s="574"/>
      <c r="AV76" s="574"/>
      <c r="AW76" s="475" t="e">
        <f t="shared" si="47"/>
        <v>#N/A</v>
      </c>
      <c r="AX76" s="690"/>
    </row>
    <row r="77" spans="2:50">
      <c r="B77" s="676"/>
      <c r="C77" s="309">
        <v>11</v>
      </c>
      <c r="D77" s="227"/>
      <c r="E77" s="182"/>
      <c r="F77" s="569"/>
      <c r="G77" s="570"/>
      <c r="H77" s="718"/>
      <c r="I77" s="202"/>
      <c r="J77" s="202"/>
      <c r="K77" s="202"/>
      <c r="L77" s="650"/>
      <c r="M77" s="201" t="e">
        <f>RANK(K77, K$67:$K$81)</f>
        <v>#N/A</v>
      </c>
      <c r="N77" s="668"/>
      <c r="O77" s="668"/>
      <c r="P77" s="573"/>
      <c r="Q77" s="574"/>
      <c r="R77" s="574"/>
      <c r="S77" s="339" t="e">
        <f t="shared" si="52"/>
        <v>#N/A</v>
      </c>
      <c r="T77" s="690"/>
      <c r="U77" s="573"/>
      <c r="V77" s="574"/>
      <c r="W77" s="574"/>
      <c r="X77" s="475" t="e">
        <f t="shared" si="37"/>
        <v>#N/A</v>
      </c>
      <c r="Y77" s="690"/>
      <c r="Z77" s="573"/>
      <c r="AA77" s="574"/>
      <c r="AB77" s="574"/>
      <c r="AC77" s="475" t="e">
        <f t="shared" si="39"/>
        <v>#N/A</v>
      </c>
      <c r="AD77" s="690"/>
      <c r="AE77" s="573"/>
      <c r="AF77" s="574"/>
      <c r="AG77" s="574"/>
      <c r="AH77" s="475" t="e">
        <f t="shared" si="41"/>
        <v>#N/A</v>
      </c>
      <c r="AI77" s="690"/>
      <c r="AJ77" s="573"/>
      <c r="AK77" s="574"/>
      <c r="AL77" s="574"/>
      <c r="AM77" s="475" t="e">
        <f t="shared" si="43"/>
        <v>#N/A</v>
      </c>
      <c r="AN77" s="690"/>
      <c r="AO77" s="573"/>
      <c r="AP77" s="574"/>
      <c r="AQ77" s="574"/>
      <c r="AR77" s="475" t="e">
        <f t="shared" si="45"/>
        <v>#N/A</v>
      </c>
      <c r="AS77" s="690"/>
      <c r="AT77" s="573"/>
      <c r="AU77" s="574"/>
      <c r="AV77" s="574"/>
      <c r="AW77" s="475" t="e">
        <f t="shared" si="47"/>
        <v>#N/A</v>
      </c>
      <c r="AX77" s="690"/>
    </row>
    <row r="78" spans="2:50">
      <c r="B78" s="676"/>
      <c r="C78" s="309">
        <v>12</v>
      </c>
      <c r="D78" s="227"/>
      <c r="E78" s="182"/>
      <c r="F78" s="569"/>
      <c r="G78" s="570"/>
      <c r="H78" s="718"/>
      <c r="I78" s="202"/>
      <c r="J78" s="202"/>
      <c r="K78" s="202"/>
      <c r="L78" s="650"/>
      <c r="M78" s="201" t="e">
        <f>RANK(K78, K$67:$K$81)</f>
        <v>#N/A</v>
      </c>
      <c r="N78" s="668"/>
      <c r="O78" s="668"/>
      <c r="P78" s="573"/>
      <c r="Q78" s="574"/>
      <c r="R78" s="574"/>
      <c r="S78" s="339" t="e">
        <f t="shared" si="52"/>
        <v>#N/A</v>
      </c>
      <c r="T78" s="690"/>
      <c r="U78" s="573"/>
      <c r="V78" s="574"/>
      <c r="W78" s="574"/>
      <c r="X78" s="475" t="e">
        <f t="shared" si="37"/>
        <v>#N/A</v>
      </c>
      <c r="Y78" s="690"/>
      <c r="Z78" s="573"/>
      <c r="AA78" s="574"/>
      <c r="AB78" s="574"/>
      <c r="AC78" s="475" t="e">
        <f t="shared" si="39"/>
        <v>#N/A</v>
      </c>
      <c r="AD78" s="690"/>
      <c r="AE78" s="573"/>
      <c r="AF78" s="574"/>
      <c r="AG78" s="574"/>
      <c r="AH78" s="475" t="e">
        <f t="shared" si="41"/>
        <v>#N/A</v>
      </c>
      <c r="AI78" s="690"/>
      <c r="AJ78" s="573"/>
      <c r="AK78" s="574"/>
      <c r="AL78" s="574"/>
      <c r="AM78" s="475" t="e">
        <f t="shared" si="43"/>
        <v>#N/A</v>
      </c>
      <c r="AN78" s="690"/>
      <c r="AO78" s="573"/>
      <c r="AP78" s="574"/>
      <c r="AQ78" s="574"/>
      <c r="AR78" s="475" t="e">
        <f t="shared" si="45"/>
        <v>#N/A</v>
      </c>
      <c r="AS78" s="690"/>
      <c r="AT78" s="573"/>
      <c r="AU78" s="574"/>
      <c r="AV78" s="574"/>
      <c r="AW78" s="475" t="e">
        <f t="shared" si="47"/>
        <v>#N/A</v>
      </c>
      <c r="AX78" s="690"/>
    </row>
    <row r="79" spans="2:50">
      <c r="B79" s="676"/>
      <c r="C79" s="309">
        <v>13</v>
      </c>
      <c r="D79" s="227"/>
      <c r="E79" s="182"/>
      <c r="F79" s="569"/>
      <c r="G79" s="570"/>
      <c r="H79" s="718"/>
      <c r="I79" s="202"/>
      <c r="J79" s="202"/>
      <c r="K79" s="202"/>
      <c r="L79" s="650"/>
      <c r="M79" s="201" t="e">
        <f>RANK(K79, K$67:$K$81)</f>
        <v>#N/A</v>
      </c>
      <c r="N79" s="668"/>
      <c r="O79" s="668"/>
      <c r="P79" s="573"/>
      <c r="Q79" s="574"/>
      <c r="R79" s="574"/>
      <c r="S79" s="339" t="e">
        <f t="shared" si="52"/>
        <v>#N/A</v>
      </c>
      <c r="T79" s="690"/>
      <c r="U79" s="573"/>
      <c r="V79" s="574"/>
      <c r="W79" s="574"/>
      <c r="X79" s="475" t="e">
        <f t="shared" si="37"/>
        <v>#N/A</v>
      </c>
      <c r="Y79" s="690"/>
      <c r="Z79" s="573"/>
      <c r="AA79" s="574"/>
      <c r="AB79" s="574"/>
      <c r="AC79" s="475" t="e">
        <f t="shared" si="39"/>
        <v>#N/A</v>
      </c>
      <c r="AD79" s="690"/>
      <c r="AE79" s="573"/>
      <c r="AF79" s="574"/>
      <c r="AG79" s="574"/>
      <c r="AH79" s="475" t="e">
        <f t="shared" si="41"/>
        <v>#N/A</v>
      </c>
      <c r="AI79" s="690"/>
      <c r="AJ79" s="573"/>
      <c r="AK79" s="574"/>
      <c r="AL79" s="574"/>
      <c r="AM79" s="475" t="e">
        <f t="shared" si="43"/>
        <v>#N/A</v>
      </c>
      <c r="AN79" s="690"/>
      <c r="AO79" s="573"/>
      <c r="AP79" s="574"/>
      <c r="AQ79" s="574"/>
      <c r="AR79" s="475" t="e">
        <f t="shared" si="45"/>
        <v>#N/A</v>
      </c>
      <c r="AS79" s="690"/>
      <c r="AT79" s="573"/>
      <c r="AU79" s="574"/>
      <c r="AV79" s="574"/>
      <c r="AW79" s="475" t="e">
        <f t="shared" si="47"/>
        <v>#N/A</v>
      </c>
      <c r="AX79" s="690"/>
    </row>
    <row r="80" spans="2:50">
      <c r="B80" s="676"/>
      <c r="C80" s="309">
        <v>14</v>
      </c>
      <c r="D80" s="227"/>
      <c r="E80" s="182"/>
      <c r="F80" s="569"/>
      <c r="G80" s="570"/>
      <c r="H80" s="718"/>
      <c r="I80" s="202"/>
      <c r="J80" s="202"/>
      <c r="K80" s="202"/>
      <c r="L80" s="650"/>
      <c r="M80" s="201" t="e">
        <f>RANK(K80, K$67:$K$81)</f>
        <v>#N/A</v>
      </c>
      <c r="N80" s="668"/>
      <c r="O80" s="668"/>
      <c r="P80" s="573"/>
      <c r="Q80" s="574"/>
      <c r="R80" s="574"/>
      <c r="S80" s="339" t="e">
        <f t="shared" si="52"/>
        <v>#N/A</v>
      </c>
      <c r="T80" s="690"/>
      <c r="U80" s="573"/>
      <c r="V80" s="574"/>
      <c r="W80" s="574"/>
      <c r="X80" s="475" t="e">
        <f t="shared" si="37"/>
        <v>#N/A</v>
      </c>
      <c r="Y80" s="690"/>
      <c r="Z80" s="573"/>
      <c r="AA80" s="574"/>
      <c r="AB80" s="574"/>
      <c r="AC80" s="475" t="e">
        <f t="shared" si="39"/>
        <v>#N/A</v>
      </c>
      <c r="AD80" s="690"/>
      <c r="AE80" s="573"/>
      <c r="AF80" s="574"/>
      <c r="AG80" s="574"/>
      <c r="AH80" s="475" t="e">
        <f t="shared" si="41"/>
        <v>#N/A</v>
      </c>
      <c r="AI80" s="690"/>
      <c r="AJ80" s="573"/>
      <c r="AK80" s="574"/>
      <c r="AL80" s="574"/>
      <c r="AM80" s="475" t="e">
        <f t="shared" si="43"/>
        <v>#N/A</v>
      </c>
      <c r="AN80" s="690"/>
      <c r="AO80" s="573"/>
      <c r="AP80" s="574"/>
      <c r="AQ80" s="574"/>
      <c r="AR80" s="475" t="e">
        <f t="shared" si="45"/>
        <v>#N/A</v>
      </c>
      <c r="AS80" s="690"/>
      <c r="AT80" s="573"/>
      <c r="AU80" s="574"/>
      <c r="AV80" s="574"/>
      <c r="AW80" s="475" t="e">
        <f t="shared" si="47"/>
        <v>#N/A</v>
      </c>
      <c r="AX80" s="690"/>
    </row>
    <row r="81" spans="2:50">
      <c r="B81" s="676"/>
      <c r="C81" s="309">
        <v>15</v>
      </c>
      <c r="D81" s="227"/>
      <c r="E81" s="182"/>
      <c r="F81" s="569"/>
      <c r="G81" s="570"/>
      <c r="H81" s="719"/>
      <c r="I81" s="202"/>
      <c r="J81" s="202"/>
      <c r="K81" s="202"/>
      <c r="L81" s="651"/>
      <c r="M81" s="201" t="e">
        <f>RANK(K81, K$67:$K$81)</f>
        <v>#N/A</v>
      </c>
      <c r="N81" s="668"/>
      <c r="O81" s="668"/>
      <c r="P81" s="573"/>
      <c r="Q81" s="574"/>
      <c r="R81" s="574"/>
      <c r="S81" s="339" t="e">
        <f t="shared" si="52"/>
        <v>#N/A</v>
      </c>
      <c r="T81" s="690"/>
      <c r="U81" s="573"/>
      <c r="V81" s="574"/>
      <c r="W81" s="574"/>
      <c r="X81" s="475" t="e">
        <f t="shared" si="37"/>
        <v>#N/A</v>
      </c>
      <c r="Y81" s="690"/>
      <c r="Z81" s="573"/>
      <c r="AA81" s="574"/>
      <c r="AB81" s="574"/>
      <c r="AC81" s="475" t="e">
        <f t="shared" si="39"/>
        <v>#N/A</v>
      </c>
      <c r="AD81" s="690"/>
      <c r="AE81" s="573"/>
      <c r="AF81" s="574"/>
      <c r="AG81" s="574"/>
      <c r="AH81" s="475" t="e">
        <f t="shared" si="41"/>
        <v>#N/A</v>
      </c>
      <c r="AI81" s="690"/>
      <c r="AJ81" s="573"/>
      <c r="AK81" s="574"/>
      <c r="AL81" s="574"/>
      <c r="AM81" s="475" t="e">
        <f t="shared" si="43"/>
        <v>#N/A</v>
      </c>
      <c r="AN81" s="690"/>
      <c r="AO81" s="573"/>
      <c r="AP81" s="574"/>
      <c r="AQ81" s="574"/>
      <c r="AR81" s="475" t="e">
        <f t="shared" si="45"/>
        <v>#N/A</v>
      </c>
      <c r="AS81" s="690"/>
      <c r="AT81" s="573"/>
      <c r="AU81" s="574"/>
      <c r="AV81" s="574"/>
      <c r="AW81" s="475" t="e">
        <f t="shared" si="47"/>
        <v>#N/A</v>
      </c>
      <c r="AX81" s="690"/>
    </row>
    <row r="82" spans="2:50" ht="15.75">
      <c r="B82" s="680" t="s">
        <v>163</v>
      </c>
      <c r="C82" s="681"/>
      <c r="D82" s="681"/>
      <c r="E82" s="681"/>
      <c r="F82" s="681"/>
      <c r="G82" s="681"/>
      <c r="H82" s="682"/>
      <c r="I82" s="208"/>
      <c r="J82" s="208"/>
      <c r="K82" s="208"/>
      <c r="L82" s="208"/>
      <c r="M82" s="207"/>
      <c r="N82" s="669" t="s">
        <v>156</v>
      </c>
      <c r="O82" s="669" t="s">
        <v>105</v>
      </c>
      <c r="P82" s="675">
        <f>P62+7</f>
        <v>46112</v>
      </c>
      <c r="Q82" s="676"/>
      <c r="R82" s="676"/>
      <c r="S82" s="676"/>
      <c r="T82" s="676"/>
      <c r="U82" s="672">
        <f>P82+1</f>
        <v>46113</v>
      </c>
      <c r="V82" s="673"/>
      <c r="W82" s="673"/>
      <c r="X82" s="673"/>
      <c r="Y82" s="674"/>
      <c r="Z82" s="672">
        <f>U82+1</f>
        <v>46114</v>
      </c>
      <c r="AA82" s="673"/>
      <c r="AB82" s="673"/>
      <c r="AC82" s="673"/>
      <c r="AD82" s="674"/>
      <c r="AE82" s="672">
        <f>Z82+1</f>
        <v>46115</v>
      </c>
      <c r="AF82" s="673"/>
      <c r="AG82" s="673"/>
      <c r="AH82" s="673"/>
      <c r="AI82" s="674"/>
      <c r="AJ82" s="672">
        <f>AE82+1</f>
        <v>46116</v>
      </c>
      <c r="AK82" s="673"/>
      <c r="AL82" s="673"/>
      <c r="AM82" s="673"/>
      <c r="AN82" s="674"/>
      <c r="AO82" s="672">
        <f>AJ82+1</f>
        <v>46117</v>
      </c>
      <c r="AP82" s="673"/>
      <c r="AQ82" s="673"/>
      <c r="AR82" s="673"/>
      <c r="AS82" s="674"/>
      <c r="AT82" s="672">
        <f>AO82+1</f>
        <v>46118</v>
      </c>
      <c r="AU82" s="673"/>
      <c r="AV82" s="673"/>
      <c r="AW82" s="673"/>
      <c r="AX82" s="674"/>
    </row>
    <row r="83" spans="2:50" ht="15.75">
      <c r="B83" s="683"/>
      <c r="C83" s="683"/>
      <c r="D83" s="683"/>
      <c r="E83" s="683"/>
      <c r="F83" s="683"/>
      <c r="G83" s="683"/>
      <c r="H83" s="683"/>
      <c r="I83" s="205"/>
      <c r="J83" s="205"/>
      <c r="K83" s="205"/>
      <c r="L83" s="205"/>
      <c r="M83" s="206"/>
      <c r="N83" s="671"/>
      <c r="O83" s="671"/>
      <c r="P83" s="675" t="s">
        <v>336</v>
      </c>
      <c r="Q83" s="676"/>
      <c r="R83" s="676"/>
      <c r="S83" s="676"/>
      <c r="T83" s="676"/>
      <c r="U83" s="675" t="s">
        <v>337</v>
      </c>
      <c r="V83" s="676"/>
      <c r="W83" s="676"/>
      <c r="X83" s="676"/>
      <c r="Y83" s="676"/>
      <c r="Z83" s="675" t="s">
        <v>338</v>
      </c>
      <c r="AA83" s="676"/>
      <c r="AB83" s="676"/>
      <c r="AC83" s="676"/>
      <c r="AD83" s="676"/>
      <c r="AE83" s="675" t="s">
        <v>339</v>
      </c>
      <c r="AF83" s="676"/>
      <c r="AG83" s="676"/>
      <c r="AH83" s="676"/>
      <c r="AI83" s="676"/>
      <c r="AJ83" s="675" t="s">
        <v>340</v>
      </c>
      <c r="AK83" s="676"/>
      <c r="AL83" s="676"/>
      <c r="AM83" s="676"/>
      <c r="AN83" s="676"/>
      <c r="AO83" s="675" t="s">
        <v>341</v>
      </c>
      <c r="AP83" s="676"/>
      <c r="AQ83" s="676"/>
      <c r="AR83" s="676"/>
      <c r="AS83" s="676"/>
      <c r="AT83" s="675" t="s">
        <v>342</v>
      </c>
      <c r="AU83" s="676"/>
      <c r="AV83" s="676"/>
      <c r="AW83" s="676"/>
      <c r="AX83" s="676"/>
    </row>
    <row r="84" spans="2:50">
      <c r="B84" s="668" t="s">
        <v>459</v>
      </c>
      <c r="C84" s="668" t="s">
        <v>460</v>
      </c>
      <c r="D84" s="668"/>
      <c r="E84" s="668" t="s">
        <v>461</v>
      </c>
      <c r="F84" s="668"/>
      <c r="G84" s="668"/>
      <c r="H84" s="684" t="s">
        <v>462</v>
      </c>
      <c r="I84" s="652" t="s">
        <v>463</v>
      </c>
      <c r="J84" s="652"/>
      <c r="K84" s="652"/>
      <c r="L84" s="653" t="s">
        <v>462</v>
      </c>
      <c r="M84" s="659" t="s">
        <v>464</v>
      </c>
      <c r="N84" s="668"/>
      <c r="O84" s="668" t="s">
        <v>465</v>
      </c>
      <c r="P84" s="665" t="s">
        <v>466</v>
      </c>
      <c r="Q84" s="666"/>
      <c r="R84" s="666"/>
      <c r="S84" s="667"/>
      <c r="T84" s="668" t="s">
        <v>462</v>
      </c>
      <c r="U84" s="665" t="s">
        <v>466</v>
      </c>
      <c r="V84" s="666"/>
      <c r="W84" s="666"/>
      <c r="X84" s="667"/>
      <c r="Y84" s="668" t="s">
        <v>462</v>
      </c>
      <c r="Z84" s="665" t="s">
        <v>466</v>
      </c>
      <c r="AA84" s="666"/>
      <c r="AB84" s="666"/>
      <c r="AC84" s="667"/>
      <c r="AD84" s="668" t="s">
        <v>462</v>
      </c>
      <c r="AE84" s="665" t="s">
        <v>466</v>
      </c>
      <c r="AF84" s="666"/>
      <c r="AG84" s="666"/>
      <c r="AH84" s="667"/>
      <c r="AI84" s="668" t="s">
        <v>462</v>
      </c>
      <c r="AJ84" s="665" t="s">
        <v>466</v>
      </c>
      <c r="AK84" s="666"/>
      <c r="AL84" s="666"/>
      <c r="AM84" s="667"/>
      <c r="AN84" s="668" t="s">
        <v>462</v>
      </c>
      <c r="AO84" s="665" t="s">
        <v>466</v>
      </c>
      <c r="AP84" s="666"/>
      <c r="AQ84" s="666"/>
      <c r="AR84" s="667"/>
      <c r="AS84" s="668" t="s">
        <v>462</v>
      </c>
      <c r="AT84" s="665" t="s">
        <v>466</v>
      </c>
      <c r="AU84" s="666"/>
      <c r="AV84" s="666"/>
      <c r="AW84" s="667"/>
      <c r="AX84" s="668" t="s">
        <v>462</v>
      </c>
    </row>
    <row r="85" spans="2:50">
      <c r="B85" s="668"/>
      <c r="C85" s="668"/>
      <c r="D85" s="668"/>
      <c r="E85" s="668" t="s">
        <v>467</v>
      </c>
      <c r="F85" s="668"/>
      <c r="G85" s="668"/>
      <c r="H85" s="685"/>
      <c r="I85" s="652" t="s">
        <v>467</v>
      </c>
      <c r="J85" s="652"/>
      <c r="K85" s="652"/>
      <c r="L85" s="654"/>
      <c r="M85" s="660"/>
      <c r="N85" s="668"/>
      <c r="O85" s="668"/>
      <c r="P85" s="665" t="s">
        <v>468</v>
      </c>
      <c r="Q85" s="666"/>
      <c r="R85" s="666"/>
      <c r="S85" s="667"/>
      <c r="T85" s="668"/>
      <c r="U85" s="665" t="s">
        <v>468</v>
      </c>
      <c r="V85" s="666"/>
      <c r="W85" s="666"/>
      <c r="X85" s="667"/>
      <c r="Y85" s="668"/>
      <c r="Z85" s="665" t="s">
        <v>468</v>
      </c>
      <c r="AA85" s="666"/>
      <c r="AB85" s="666"/>
      <c r="AC85" s="667"/>
      <c r="AD85" s="668"/>
      <c r="AE85" s="665" t="s">
        <v>468</v>
      </c>
      <c r="AF85" s="666"/>
      <c r="AG85" s="666"/>
      <c r="AH85" s="667"/>
      <c r="AI85" s="668"/>
      <c r="AJ85" s="665" t="s">
        <v>468</v>
      </c>
      <c r="AK85" s="666"/>
      <c r="AL85" s="666"/>
      <c r="AM85" s="667"/>
      <c r="AN85" s="668"/>
      <c r="AO85" s="665" t="s">
        <v>468</v>
      </c>
      <c r="AP85" s="666"/>
      <c r="AQ85" s="666"/>
      <c r="AR85" s="667"/>
      <c r="AS85" s="668"/>
      <c r="AT85" s="665" t="s">
        <v>468</v>
      </c>
      <c r="AU85" s="666"/>
      <c r="AV85" s="666"/>
      <c r="AW85" s="667"/>
      <c r="AX85" s="668"/>
    </row>
    <row r="86" spans="2:50">
      <c r="B86" s="668"/>
      <c r="C86" s="668"/>
      <c r="D86" s="668"/>
      <c r="E86" s="302" t="s">
        <v>469</v>
      </c>
      <c r="F86" s="302" t="s">
        <v>470</v>
      </c>
      <c r="G86" s="302" t="s">
        <v>471</v>
      </c>
      <c r="H86" s="686"/>
      <c r="I86" s="303" t="s">
        <v>469</v>
      </c>
      <c r="J86" s="303" t="s">
        <v>470</v>
      </c>
      <c r="K86" s="303" t="s">
        <v>471</v>
      </c>
      <c r="L86" s="655"/>
      <c r="M86" s="661"/>
      <c r="N86" s="668"/>
      <c r="O86" s="668"/>
      <c r="P86" s="302" t="s">
        <v>469</v>
      </c>
      <c r="Q86" s="302" t="s">
        <v>470</v>
      </c>
      <c r="R86" s="302" t="s">
        <v>471</v>
      </c>
      <c r="S86" s="302" t="s">
        <v>464</v>
      </c>
      <c r="T86" s="668"/>
      <c r="U86" s="302" t="s">
        <v>469</v>
      </c>
      <c r="V86" s="302" t="s">
        <v>470</v>
      </c>
      <c r="W86" s="302" t="s">
        <v>471</v>
      </c>
      <c r="X86" s="302" t="s">
        <v>464</v>
      </c>
      <c r="Y86" s="668"/>
      <c r="Z86" s="302" t="s">
        <v>469</v>
      </c>
      <c r="AA86" s="302" t="s">
        <v>470</v>
      </c>
      <c r="AB86" s="302" t="s">
        <v>471</v>
      </c>
      <c r="AC86" s="302" t="s">
        <v>464</v>
      </c>
      <c r="AD86" s="668"/>
      <c r="AE86" s="302" t="s">
        <v>469</v>
      </c>
      <c r="AF86" s="302" t="s">
        <v>470</v>
      </c>
      <c r="AG86" s="302" t="s">
        <v>471</v>
      </c>
      <c r="AH86" s="302" t="s">
        <v>464</v>
      </c>
      <c r="AI86" s="668"/>
      <c r="AJ86" s="302" t="s">
        <v>469</v>
      </c>
      <c r="AK86" s="302" t="s">
        <v>470</v>
      </c>
      <c r="AL86" s="302" t="s">
        <v>471</v>
      </c>
      <c r="AM86" s="302" t="s">
        <v>464</v>
      </c>
      <c r="AN86" s="668"/>
      <c r="AO86" s="302" t="s">
        <v>469</v>
      </c>
      <c r="AP86" s="302" t="s">
        <v>470</v>
      </c>
      <c r="AQ86" s="302" t="s">
        <v>471</v>
      </c>
      <c r="AR86" s="302" t="s">
        <v>464</v>
      </c>
      <c r="AS86" s="668"/>
      <c r="AT86" s="302" t="s">
        <v>469</v>
      </c>
      <c r="AU86" s="302" t="s">
        <v>470</v>
      </c>
      <c r="AV86" s="302" t="s">
        <v>471</v>
      </c>
      <c r="AW86" s="302" t="s">
        <v>464</v>
      </c>
      <c r="AX86" s="668"/>
    </row>
    <row r="87" spans="2:50">
      <c r="B87" s="668" t="s">
        <v>476</v>
      </c>
      <c r="C87" s="301">
        <v>1</v>
      </c>
      <c r="D87" s="227"/>
      <c r="E87" s="182"/>
      <c r="F87" s="510"/>
      <c r="G87" s="511"/>
      <c r="H87" s="71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68"/>
      <c r="O87" s="668"/>
      <c r="P87" s="573"/>
      <c r="Q87" s="574"/>
      <c r="R87" s="574"/>
      <c r="S87" s="301" t="e">
        <f>RANK(R87, R$87:R$101)</f>
        <v>#N/A</v>
      </c>
      <c r="T87" s="690" t="e">
        <f>AVERAGE(R87:R101)</f>
        <v>#DIV/0!</v>
      </c>
      <c r="U87" s="573"/>
      <c r="V87" s="574"/>
      <c r="W87" s="574"/>
      <c r="X87" s="475" t="e">
        <f t="shared" ref="X87:X101" si="53">RANK(W87, W$87:W$101)</f>
        <v>#N/A</v>
      </c>
      <c r="Y87" s="690" t="e">
        <f t="shared" ref="Y87" si="54">AVERAGE(W87:W101)</f>
        <v>#DIV/0!</v>
      </c>
      <c r="Z87" s="573"/>
      <c r="AA87" s="574"/>
      <c r="AB87" s="574"/>
      <c r="AC87" s="475" t="e">
        <f t="shared" ref="AC87:AC101" si="55">RANK(AB87, AB$87:AB$101)</f>
        <v>#N/A</v>
      </c>
      <c r="AD87" s="690" t="e">
        <f t="shared" ref="AD87" si="56">AVERAGE(AB87:AB101)</f>
        <v>#DIV/0!</v>
      </c>
      <c r="AE87" s="573"/>
      <c r="AF87" s="574"/>
      <c r="AG87" s="574"/>
      <c r="AH87" s="475" t="e">
        <f t="shared" ref="AH87:AH101" si="57">RANK(AG87, AG$87:AG$101)</f>
        <v>#N/A</v>
      </c>
      <c r="AI87" s="690" t="e">
        <f t="shared" ref="AI87" si="58">AVERAGE(AG87:AG101)</f>
        <v>#DIV/0!</v>
      </c>
      <c r="AJ87" s="573"/>
      <c r="AK87" s="574"/>
      <c r="AL87" s="574"/>
      <c r="AM87" s="475" t="e">
        <f t="shared" ref="AM87:AM101" si="59">RANK(AL87, AL$87:AL$101)</f>
        <v>#N/A</v>
      </c>
      <c r="AN87" s="690" t="e">
        <f t="shared" ref="AN87" si="60">AVERAGE(AL87:AL101)</f>
        <v>#DIV/0!</v>
      </c>
      <c r="AO87" s="573"/>
      <c r="AP87" s="574"/>
      <c r="AQ87" s="574"/>
      <c r="AR87" s="475" t="e">
        <f t="shared" ref="AR87:AR101" si="61">RANK(AQ87, AQ$87:AQ$101)</f>
        <v>#N/A</v>
      </c>
      <c r="AS87" s="690" t="e">
        <f t="shared" ref="AS87" si="62">AVERAGE(AQ87:AQ101)</f>
        <v>#DIV/0!</v>
      </c>
      <c r="AT87" s="573"/>
      <c r="AU87" s="574"/>
      <c r="AV87" s="574"/>
      <c r="AW87" s="475" t="e">
        <f t="shared" ref="AW87:AW101" si="63">RANK(AV87, AV$87:AV$101)</f>
        <v>#N/A</v>
      </c>
      <c r="AX87" s="690" t="e">
        <f t="shared" ref="AX87" si="64">AVERAGE(AV87:AV101)</f>
        <v>#DIV/0!</v>
      </c>
    </row>
    <row r="88" spans="2:50">
      <c r="B88" s="676"/>
      <c r="C88" s="301">
        <v>2</v>
      </c>
      <c r="D88" s="227"/>
      <c r="E88" s="182"/>
      <c r="F88" s="510"/>
      <c r="G88" s="511"/>
      <c r="H88" s="718"/>
      <c r="I88" s="199" t="e">
        <f t="shared" ref="I88:K91" si="65">AVERAGE(P88,U88,Z88,AE88,AJ88,AO88,AT88)</f>
        <v>#DIV/0!</v>
      </c>
      <c r="J88" s="199" t="e">
        <f t="shared" si="65"/>
        <v>#DIV/0!</v>
      </c>
      <c r="K88" s="200" t="e">
        <f t="shared" si="65"/>
        <v>#DIV/0!</v>
      </c>
      <c r="L88" s="650"/>
      <c r="M88" s="201" t="e">
        <f>RANK(K88, K$87:$K$101)</f>
        <v>#DIV/0!</v>
      </c>
      <c r="N88" s="668"/>
      <c r="O88" s="668"/>
      <c r="P88" s="573"/>
      <c r="Q88" s="574"/>
      <c r="R88" s="574"/>
      <c r="S88" s="301" t="e">
        <f t="shared" ref="S88:S101" si="66">RANK(R88, R$87:R$101)</f>
        <v>#N/A</v>
      </c>
      <c r="T88" s="690"/>
      <c r="U88" s="573"/>
      <c r="V88" s="574"/>
      <c r="W88" s="574"/>
      <c r="X88" s="475" t="e">
        <f t="shared" si="53"/>
        <v>#N/A</v>
      </c>
      <c r="Y88" s="690"/>
      <c r="Z88" s="573"/>
      <c r="AA88" s="574"/>
      <c r="AB88" s="574"/>
      <c r="AC88" s="475" t="e">
        <f t="shared" si="55"/>
        <v>#N/A</v>
      </c>
      <c r="AD88" s="690"/>
      <c r="AE88" s="573"/>
      <c r="AF88" s="574"/>
      <c r="AG88" s="574"/>
      <c r="AH88" s="475" t="e">
        <f t="shared" si="57"/>
        <v>#N/A</v>
      </c>
      <c r="AI88" s="690"/>
      <c r="AJ88" s="573"/>
      <c r="AK88" s="574"/>
      <c r="AL88" s="574"/>
      <c r="AM88" s="475" t="e">
        <f t="shared" si="59"/>
        <v>#N/A</v>
      </c>
      <c r="AN88" s="690"/>
      <c r="AO88" s="573"/>
      <c r="AP88" s="574"/>
      <c r="AQ88" s="574"/>
      <c r="AR88" s="475" t="e">
        <f t="shared" si="61"/>
        <v>#N/A</v>
      </c>
      <c r="AS88" s="690"/>
      <c r="AT88" s="573"/>
      <c r="AU88" s="574"/>
      <c r="AV88" s="574"/>
      <c r="AW88" s="475" t="e">
        <f t="shared" si="63"/>
        <v>#N/A</v>
      </c>
      <c r="AX88" s="690"/>
    </row>
    <row r="89" spans="2:50">
      <c r="B89" s="676"/>
      <c r="C89" s="301">
        <v>3</v>
      </c>
      <c r="D89" s="227"/>
      <c r="E89" s="182"/>
      <c r="F89" s="510"/>
      <c r="G89" s="511"/>
      <c r="H89" s="718"/>
      <c r="I89" s="199" t="e">
        <f t="shared" si="65"/>
        <v>#DIV/0!</v>
      </c>
      <c r="J89" s="199" t="e">
        <f t="shared" si="65"/>
        <v>#DIV/0!</v>
      </c>
      <c r="K89" s="200" t="e">
        <f t="shared" si="65"/>
        <v>#DIV/0!</v>
      </c>
      <c r="L89" s="650"/>
      <c r="M89" s="201" t="e">
        <f>RANK(K89, K$87:$K$101)</f>
        <v>#DIV/0!</v>
      </c>
      <c r="N89" s="668"/>
      <c r="O89" s="668"/>
      <c r="P89" s="573"/>
      <c r="Q89" s="574"/>
      <c r="R89" s="574"/>
      <c r="S89" s="301" t="e">
        <f t="shared" si="66"/>
        <v>#N/A</v>
      </c>
      <c r="T89" s="690"/>
      <c r="U89" s="573"/>
      <c r="V89" s="574"/>
      <c r="W89" s="574"/>
      <c r="X89" s="475" t="e">
        <f t="shared" si="53"/>
        <v>#N/A</v>
      </c>
      <c r="Y89" s="690"/>
      <c r="Z89" s="573"/>
      <c r="AA89" s="574"/>
      <c r="AB89" s="574"/>
      <c r="AC89" s="475" t="e">
        <f t="shared" si="55"/>
        <v>#N/A</v>
      </c>
      <c r="AD89" s="690"/>
      <c r="AE89" s="573"/>
      <c r="AF89" s="574"/>
      <c r="AG89" s="574"/>
      <c r="AH89" s="475" t="e">
        <f t="shared" si="57"/>
        <v>#N/A</v>
      </c>
      <c r="AI89" s="690"/>
      <c r="AJ89" s="573"/>
      <c r="AK89" s="574"/>
      <c r="AL89" s="574"/>
      <c r="AM89" s="475" t="e">
        <f t="shared" si="59"/>
        <v>#N/A</v>
      </c>
      <c r="AN89" s="690"/>
      <c r="AO89" s="573"/>
      <c r="AP89" s="574"/>
      <c r="AQ89" s="574"/>
      <c r="AR89" s="475" t="e">
        <f t="shared" si="61"/>
        <v>#N/A</v>
      </c>
      <c r="AS89" s="690"/>
      <c r="AT89" s="573"/>
      <c r="AU89" s="574"/>
      <c r="AV89" s="574"/>
      <c r="AW89" s="475" t="e">
        <f t="shared" si="63"/>
        <v>#N/A</v>
      </c>
      <c r="AX89" s="690"/>
    </row>
    <row r="90" spans="2:50">
      <c r="B90" s="676"/>
      <c r="C90" s="301">
        <v>4</v>
      </c>
      <c r="D90" s="227"/>
      <c r="E90" s="182"/>
      <c r="F90" s="510"/>
      <c r="G90" s="511"/>
      <c r="H90" s="718"/>
      <c r="I90" s="199" t="e">
        <f t="shared" si="65"/>
        <v>#DIV/0!</v>
      </c>
      <c r="J90" s="199" t="e">
        <f t="shared" si="65"/>
        <v>#DIV/0!</v>
      </c>
      <c r="K90" s="200" t="e">
        <f t="shared" si="65"/>
        <v>#DIV/0!</v>
      </c>
      <c r="L90" s="650"/>
      <c r="M90" s="201" t="e">
        <f>RANK(K90, K$87:$K$101)</f>
        <v>#DIV/0!</v>
      </c>
      <c r="N90" s="668"/>
      <c r="O90" s="668"/>
      <c r="P90" s="573"/>
      <c r="Q90" s="574"/>
      <c r="R90" s="574"/>
      <c r="S90" s="301" t="e">
        <f t="shared" si="66"/>
        <v>#N/A</v>
      </c>
      <c r="T90" s="690"/>
      <c r="U90" s="573"/>
      <c r="V90" s="574"/>
      <c r="W90" s="574"/>
      <c r="X90" s="475" t="e">
        <f t="shared" si="53"/>
        <v>#N/A</v>
      </c>
      <c r="Y90" s="690"/>
      <c r="Z90" s="573"/>
      <c r="AA90" s="574"/>
      <c r="AB90" s="574"/>
      <c r="AC90" s="475" t="e">
        <f t="shared" si="55"/>
        <v>#N/A</v>
      </c>
      <c r="AD90" s="690"/>
      <c r="AE90" s="573"/>
      <c r="AF90" s="574"/>
      <c r="AG90" s="574"/>
      <c r="AH90" s="475" t="e">
        <f t="shared" si="57"/>
        <v>#N/A</v>
      </c>
      <c r="AI90" s="690"/>
      <c r="AJ90" s="573"/>
      <c r="AK90" s="574"/>
      <c r="AL90" s="574"/>
      <c r="AM90" s="475" t="e">
        <f t="shared" si="59"/>
        <v>#N/A</v>
      </c>
      <c r="AN90" s="690"/>
      <c r="AO90" s="573"/>
      <c r="AP90" s="574"/>
      <c r="AQ90" s="574"/>
      <c r="AR90" s="475" t="e">
        <f t="shared" si="61"/>
        <v>#N/A</v>
      </c>
      <c r="AS90" s="690"/>
      <c r="AT90" s="573"/>
      <c r="AU90" s="574"/>
      <c r="AV90" s="574"/>
      <c r="AW90" s="475" t="e">
        <f t="shared" si="63"/>
        <v>#N/A</v>
      </c>
      <c r="AX90" s="690"/>
    </row>
    <row r="91" spans="2:50">
      <c r="B91" s="676"/>
      <c r="C91" s="301">
        <v>5</v>
      </c>
      <c r="D91" s="227"/>
      <c r="E91" s="182"/>
      <c r="F91" s="510"/>
      <c r="G91" s="511"/>
      <c r="H91" s="718"/>
      <c r="I91" s="199" t="e">
        <f t="shared" si="65"/>
        <v>#DIV/0!</v>
      </c>
      <c r="J91" s="199" t="e">
        <f t="shared" si="65"/>
        <v>#DIV/0!</v>
      </c>
      <c r="K91" s="200" t="e">
        <f t="shared" si="65"/>
        <v>#DIV/0!</v>
      </c>
      <c r="L91" s="650"/>
      <c r="M91" s="201" t="e">
        <f>RANK(K91, K$87:$K$101)</f>
        <v>#DIV/0!</v>
      </c>
      <c r="N91" s="668"/>
      <c r="O91" s="668"/>
      <c r="P91" s="573"/>
      <c r="Q91" s="574"/>
      <c r="R91" s="574"/>
      <c r="S91" s="301" t="e">
        <f t="shared" si="66"/>
        <v>#N/A</v>
      </c>
      <c r="T91" s="690"/>
      <c r="U91" s="573"/>
      <c r="V91" s="574"/>
      <c r="W91" s="574"/>
      <c r="X91" s="475" t="e">
        <f t="shared" si="53"/>
        <v>#N/A</v>
      </c>
      <c r="Y91" s="690"/>
      <c r="Z91" s="573"/>
      <c r="AA91" s="574"/>
      <c r="AB91" s="574"/>
      <c r="AC91" s="475" t="e">
        <f t="shared" si="55"/>
        <v>#N/A</v>
      </c>
      <c r="AD91" s="690"/>
      <c r="AE91" s="573"/>
      <c r="AF91" s="574"/>
      <c r="AG91" s="574"/>
      <c r="AH91" s="475" t="e">
        <f t="shared" si="57"/>
        <v>#N/A</v>
      </c>
      <c r="AI91" s="690"/>
      <c r="AJ91" s="573"/>
      <c r="AK91" s="574"/>
      <c r="AL91" s="574"/>
      <c r="AM91" s="475" t="e">
        <f t="shared" si="59"/>
        <v>#N/A</v>
      </c>
      <c r="AN91" s="690"/>
      <c r="AO91" s="573"/>
      <c r="AP91" s="574"/>
      <c r="AQ91" s="574"/>
      <c r="AR91" s="475" t="e">
        <f t="shared" si="61"/>
        <v>#N/A</v>
      </c>
      <c r="AS91" s="690"/>
      <c r="AT91" s="573"/>
      <c r="AU91" s="574"/>
      <c r="AV91" s="574"/>
      <c r="AW91" s="475" t="e">
        <f t="shared" si="63"/>
        <v>#N/A</v>
      </c>
      <c r="AX91" s="690"/>
    </row>
    <row r="92" spans="2:50">
      <c r="B92" s="676"/>
      <c r="C92" s="301">
        <v>6</v>
      </c>
      <c r="D92" s="227"/>
      <c r="E92" s="182"/>
      <c r="F92" s="510"/>
      <c r="G92" s="511"/>
      <c r="H92" s="718"/>
      <c r="I92" s="199"/>
      <c r="J92" s="199"/>
      <c r="K92" s="200"/>
      <c r="L92" s="650"/>
      <c r="M92" s="201" t="e">
        <f>RANK(K92, K$87:$K$101)</f>
        <v>#DIV/0!</v>
      </c>
      <c r="N92" s="668"/>
      <c r="O92" s="668"/>
      <c r="P92" s="573"/>
      <c r="Q92" s="574"/>
      <c r="R92" s="574"/>
      <c r="S92" s="301" t="e">
        <f t="shared" si="66"/>
        <v>#N/A</v>
      </c>
      <c r="T92" s="690"/>
      <c r="U92" s="573"/>
      <c r="V92" s="574"/>
      <c r="W92" s="574"/>
      <c r="X92" s="475" t="e">
        <f t="shared" si="53"/>
        <v>#N/A</v>
      </c>
      <c r="Y92" s="690"/>
      <c r="Z92" s="573"/>
      <c r="AA92" s="574"/>
      <c r="AB92" s="574"/>
      <c r="AC92" s="475" t="e">
        <f t="shared" si="55"/>
        <v>#N/A</v>
      </c>
      <c r="AD92" s="690"/>
      <c r="AE92" s="573"/>
      <c r="AF92" s="574"/>
      <c r="AG92" s="574"/>
      <c r="AH92" s="475" t="e">
        <f t="shared" si="57"/>
        <v>#N/A</v>
      </c>
      <c r="AI92" s="690"/>
      <c r="AJ92" s="573"/>
      <c r="AK92" s="574"/>
      <c r="AL92" s="574"/>
      <c r="AM92" s="475" t="e">
        <f t="shared" si="59"/>
        <v>#N/A</v>
      </c>
      <c r="AN92" s="690"/>
      <c r="AO92" s="573"/>
      <c r="AP92" s="574"/>
      <c r="AQ92" s="574"/>
      <c r="AR92" s="475" t="e">
        <f t="shared" si="61"/>
        <v>#N/A</v>
      </c>
      <c r="AS92" s="690"/>
      <c r="AT92" s="573"/>
      <c r="AU92" s="574"/>
      <c r="AV92" s="574"/>
      <c r="AW92" s="475" t="e">
        <f t="shared" si="63"/>
        <v>#N/A</v>
      </c>
      <c r="AX92" s="690"/>
    </row>
    <row r="93" spans="2:50">
      <c r="B93" s="676"/>
      <c r="C93" s="301">
        <v>7</v>
      </c>
      <c r="D93" s="227"/>
      <c r="E93" s="182"/>
      <c r="F93" s="510"/>
      <c r="G93" s="511"/>
      <c r="H93" s="718"/>
      <c r="I93" s="199"/>
      <c r="J93" s="199"/>
      <c r="K93" s="200"/>
      <c r="L93" s="650"/>
      <c r="M93" s="201" t="e">
        <f>RANK(K93, K$87:$K$101)</f>
        <v>#DIV/0!</v>
      </c>
      <c r="N93" s="668"/>
      <c r="O93" s="668"/>
      <c r="P93" s="573"/>
      <c r="Q93" s="574"/>
      <c r="R93" s="574"/>
      <c r="S93" s="301" t="e">
        <f t="shared" si="66"/>
        <v>#N/A</v>
      </c>
      <c r="T93" s="690"/>
      <c r="U93" s="573"/>
      <c r="V93" s="574"/>
      <c r="W93" s="574"/>
      <c r="X93" s="475" t="e">
        <f t="shared" si="53"/>
        <v>#N/A</v>
      </c>
      <c r="Y93" s="690"/>
      <c r="Z93" s="573"/>
      <c r="AA93" s="574"/>
      <c r="AB93" s="574"/>
      <c r="AC93" s="475" t="e">
        <f t="shared" si="55"/>
        <v>#N/A</v>
      </c>
      <c r="AD93" s="690"/>
      <c r="AE93" s="573"/>
      <c r="AF93" s="574"/>
      <c r="AG93" s="574"/>
      <c r="AH93" s="475" t="e">
        <f t="shared" si="57"/>
        <v>#N/A</v>
      </c>
      <c r="AI93" s="690"/>
      <c r="AJ93" s="573"/>
      <c r="AK93" s="574"/>
      <c r="AL93" s="574"/>
      <c r="AM93" s="475" t="e">
        <f t="shared" si="59"/>
        <v>#N/A</v>
      </c>
      <c r="AN93" s="690"/>
      <c r="AO93" s="573"/>
      <c r="AP93" s="574"/>
      <c r="AQ93" s="574"/>
      <c r="AR93" s="475" t="e">
        <f t="shared" si="61"/>
        <v>#N/A</v>
      </c>
      <c r="AS93" s="690"/>
      <c r="AT93" s="573"/>
      <c r="AU93" s="574"/>
      <c r="AV93" s="574"/>
      <c r="AW93" s="475" t="e">
        <f t="shared" si="63"/>
        <v>#N/A</v>
      </c>
      <c r="AX93" s="690"/>
    </row>
    <row r="94" spans="2:50">
      <c r="B94" s="676"/>
      <c r="C94" s="301">
        <v>8</v>
      </c>
      <c r="D94" s="227"/>
      <c r="E94" s="182"/>
      <c r="F94" s="510"/>
      <c r="G94" s="511"/>
      <c r="H94" s="718"/>
      <c r="I94" s="199"/>
      <c r="J94" s="199"/>
      <c r="K94" s="200"/>
      <c r="L94" s="650"/>
      <c r="M94" s="201" t="e">
        <f>RANK(K94, K$87:$K$101)</f>
        <v>#DIV/0!</v>
      </c>
      <c r="N94" s="668"/>
      <c r="O94" s="668"/>
      <c r="P94" s="573"/>
      <c r="Q94" s="574"/>
      <c r="R94" s="574"/>
      <c r="S94" s="301" t="e">
        <f t="shared" si="66"/>
        <v>#N/A</v>
      </c>
      <c r="T94" s="690"/>
      <c r="U94" s="573"/>
      <c r="V94" s="574"/>
      <c r="W94" s="574"/>
      <c r="X94" s="475" t="e">
        <f t="shared" si="53"/>
        <v>#N/A</v>
      </c>
      <c r="Y94" s="690"/>
      <c r="Z94" s="573"/>
      <c r="AA94" s="574"/>
      <c r="AB94" s="574"/>
      <c r="AC94" s="475" t="e">
        <f t="shared" si="55"/>
        <v>#N/A</v>
      </c>
      <c r="AD94" s="690"/>
      <c r="AE94" s="573"/>
      <c r="AF94" s="574"/>
      <c r="AG94" s="574"/>
      <c r="AH94" s="475" t="e">
        <f t="shared" si="57"/>
        <v>#N/A</v>
      </c>
      <c r="AI94" s="690"/>
      <c r="AJ94" s="573"/>
      <c r="AK94" s="574"/>
      <c r="AL94" s="574"/>
      <c r="AM94" s="475" t="e">
        <f t="shared" si="59"/>
        <v>#N/A</v>
      </c>
      <c r="AN94" s="690"/>
      <c r="AO94" s="573"/>
      <c r="AP94" s="574"/>
      <c r="AQ94" s="574"/>
      <c r="AR94" s="475" t="e">
        <f t="shared" si="61"/>
        <v>#N/A</v>
      </c>
      <c r="AS94" s="690"/>
      <c r="AT94" s="573"/>
      <c r="AU94" s="574"/>
      <c r="AV94" s="574"/>
      <c r="AW94" s="475" t="e">
        <f t="shared" si="63"/>
        <v>#N/A</v>
      </c>
      <c r="AX94" s="690"/>
    </row>
    <row r="95" spans="2:50">
      <c r="B95" s="676"/>
      <c r="C95" s="301">
        <v>9</v>
      </c>
      <c r="D95" s="227"/>
      <c r="E95" s="182"/>
      <c r="F95" s="510"/>
      <c r="G95" s="511"/>
      <c r="H95" s="718"/>
      <c r="I95" s="199"/>
      <c r="J95" s="199"/>
      <c r="K95" s="200"/>
      <c r="L95" s="650"/>
      <c r="M95" s="201" t="e">
        <f>RANK(K95, K$87:$K$101)</f>
        <v>#DIV/0!</v>
      </c>
      <c r="N95" s="668"/>
      <c r="O95" s="668"/>
      <c r="P95" s="573"/>
      <c r="Q95" s="574"/>
      <c r="R95" s="574"/>
      <c r="S95" s="301" t="e">
        <f t="shared" si="66"/>
        <v>#N/A</v>
      </c>
      <c r="T95" s="690"/>
      <c r="U95" s="573"/>
      <c r="V95" s="574"/>
      <c r="W95" s="574"/>
      <c r="X95" s="475" t="e">
        <f t="shared" si="53"/>
        <v>#N/A</v>
      </c>
      <c r="Y95" s="690"/>
      <c r="Z95" s="573"/>
      <c r="AA95" s="574"/>
      <c r="AB95" s="574"/>
      <c r="AC95" s="475" t="e">
        <f t="shared" si="55"/>
        <v>#N/A</v>
      </c>
      <c r="AD95" s="690"/>
      <c r="AE95" s="573"/>
      <c r="AF95" s="574"/>
      <c r="AG95" s="574"/>
      <c r="AH95" s="475" t="e">
        <f t="shared" si="57"/>
        <v>#N/A</v>
      </c>
      <c r="AI95" s="690"/>
      <c r="AJ95" s="573"/>
      <c r="AK95" s="574"/>
      <c r="AL95" s="574"/>
      <c r="AM95" s="475" t="e">
        <f t="shared" si="59"/>
        <v>#N/A</v>
      </c>
      <c r="AN95" s="690"/>
      <c r="AO95" s="573"/>
      <c r="AP95" s="574"/>
      <c r="AQ95" s="574"/>
      <c r="AR95" s="475" t="e">
        <f t="shared" si="61"/>
        <v>#N/A</v>
      </c>
      <c r="AS95" s="690"/>
      <c r="AT95" s="573"/>
      <c r="AU95" s="574"/>
      <c r="AV95" s="574"/>
      <c r="AW95" s="475" t="e">
        <f t="shared" si="63"/>
        <v>#N/A</v>
      </c>
      <c r="AX95" s="690"/>
    </row>
    <row r="96" spans="2:50">
      <c r="B96" s="676"/>
      <c r="C96" s="301">
        <v>10</v>
      </c>
      <c r="D96" s="227"/>
      <c r="E96" s="182"/>
      <c r="F96" s="510"/>
      <c r="G96" s="511"/>
      <c r="H96" s="718"/>
      <c r="I96" s="199"/>
      <c r="J96" s="199"/>
      <c r="K96" s="200"/>
      <c r="L96" s="650"/>
      <c r="M96" s="201" t="e">
        <f>RANK(K96, K$87:$K$101)</f>
        <v>#DIV/0!</v>
      </c>
      <c r="N96" s="668"/>
      <c r="O96" s="668"/>
      <c r="P96" s="573"/>
      <c r="Q96" s="574"/>
      <c r="R96" s="574"/>
      <c r="S96" s="301" t="e">
        <f t="shared" si="66"/>
        <v>#N/A</v>
      </c>
      <c r="T96" s="690"/>
      <c r="U96" s="573"/>
      <c r="V96" s="574"/>
      <c r="W96" s="574"/>
      <c r="X96" s="475" t="e">
        <f t="shared" si="53"/>
        <v>#N/A</v>
      </c>
      <c r="Y96" s="690"/>
      <c r="Z96" s="573"/>
      <c r="AA96" s="574"/>
      <c r="AB96" s="574"/>
      <c r="AC96" s="475" t="e">
        <f t="shared" si="55"/>
        <v>#N/A</v>
      </c>
      <c r="AD96" s="690"/>
      <c r="AE96" s="573"/>
      <c r="AF96" s="574"/>
      <c r="AG96" s="574"/>
      <c r="AH96" s="475" t="e">
        <f t="shared" si="57"/>
        <v>#N/A</v>
      </c>
      <c r="AI96" s="690"/>
      <c r="AJ96" s="573"/>
      <c r="AK96" s="574"/>
      <c r="AL96" s="574"/>
      <c r="AM96" s="475" t="e">
        <f t="shared" si="59"/>
        <v>#N/A</v>
      </c>
      <c r="AN96" s="690"/>
      <c r="AO96" s="573"/>
      <c r="AP96" s="574"/>
      <c r="AQ96" s="574"/>
      <c r="AR96" s="475" t="e">
        <f t="shared" si="61"/>
        <v>#N/A</v>
      </c>
      <c r="AS96" s="690"/>
      <c r="AT96" s="573"/>
      <c r="AU96" s="574"/>
      <c r="AV96" s="574"/>
      <c r="AW96" s="475" t="e">
        <f t="shared" si="63"/>
        <v>#N/A</v>
      </c>
      <c r="AX96" s="690"/>
    </row>
    <row r="97" spans="2:50">
      <c r="B97" s="676"/>
      <c r="C97" s="301">
        <v>11</v>
      </c>
      <c r="D97" s="227"/>
      <c r="E97" s="182"/>
      <c r="F97" s="510"/>
      <c r="G97" s="511"/>
      <c r="H97" s="718"/>
      <c r="I97" s="469"/>
      <c r="J97" s="469"/>
      <c r="K97" s="200"/>
      <c r="L97" s="650"/>
      <c r="M97" s="201" t="e">
        <f>RANK(K97, K$87:$K$101)</f>
        <v>#DIV/0!</v>
      </c>
      <c r="N97" s="668"/>
      <c r="O97" s="668"/>
      <c r="P97" s="573"/>
      <c r="Q97" s="574"/>
      <c r="R97" s="574"/>
      <c r="S97" s="301" t="e">
        <f t="shared" si="66"/>
        <v>#N/A</v>
      </c>
      <c r="T97" s="690"/>
      <c r="U97" s="573"/>
      <c r="V97" s="574"/>
      <c r="W97" s="574"/>
      <c r="X97" s="475" t="e">
        <f t="shared" si="53"/>
        <v>#N/A</v>
      </c>
      <c r="Y97" s="690"/>
      <c r="Z97" s="573"/>
      <c r="AA97" s="574"/>
      <c r="AB97" s="574"/>
      <c r="AC97" s="475" t="e">
        <f t="shared" si="55"/>
        <v>#N/A</v>
      </c>
      <c r="AD97" s="690"/>
      <c r="AE97" s="573"/>
      <c r="AF97" s="574"/>
      <c r="AG97" s="574"/>
      <c r="AH97" s="475" t="e">
        <f t="shared" si="57"/>
        <v>#N/A</v>
      </c>
      <c r="AI97" s="690"/>
      <c r="AJ97" s="573"/>
      <c r="AK97" s="574"/>
      <c r="AL97" s="574"/>
      <c r="AM97" s="475" t="e">
        <f t="shared" si="59"/>
        <v>#N/A</v>
      </c>
      <c r="AN97" s="690"/>
      <c r="AO97" s="573"/>
      <c r="AP97" s="574"/>
      <c r="AQ97" s="574"/>
      <c r="AR97" s="475" t="e">
        <f t="shared" si="61"/>
        <v>#N/A</v>
      </c>
      <c r="AS97" s="690"/>
      <c r="AT97" s="573"/>
      <c r="AU97" s="574"/>
      <c r="AV97" s="574"/>
      <c r="AW97" s="475" t="e">
        <f t="shared" si="63"/>
        <v>#N/A</v>
      </c>
      <c r="AX97" s="690"/>
    </row>
    <row r="98" spans="2:50">
      <c r="B98" s="676"/>
      <c r="C98" s="301">
        <v>12</v>
      </c>
      <c r="D98" s="227"/>
      <c r="E98" s="182"/>
      <c r="F98" s="510"/>
      <c r="G98" s="511"/>
      <c r="H98" s="718"/>
      <c r="I98" s="202"/>
      <c r="J98" s="202"/>
      <c r="K98" s="202"/>
      <c r="L98" s="650"/>
      <c r="M98" s="201" t="e">
        <f>RANK(K98, K$87:$K$101)</f>
        <v>#DIV/0!</v>
      </c>
      <c r="N98" s="668"/>
      <c r="O98" s="668"/>
      <c r="P98" s="573"/>
      <c r="Q98" s="574"/>
      <c r="R98" s="574"/>
      <c r="S98" s="301" t="e">
        <f t="shared" si="66"/>
        <v>#N/A</v>
      </c>
      <c r="T98" s="690"/>
      <c r="U98" s="573"/>
      <c r="V98" s="574"/>
      <c r="W98" s="574"/>
      <c r="X98" s="475" t="e">
        <f t="shared" si="53"/>
        <v>#N/A</v>
      </c>
      <c r="Y98" s="690"/>
      <c r="Z98" s="573"/>
      <c r="AA98" s="574"/>
      <c r="AB98" s="574"/>
      <c r="AC98" s="475" t="e">
        <f t="shared" si="55"/>
        <v>#N/A</v>
      </c>
      <c r="AD98" s="690"/>
      <c r="AE98" s="573"/>
      <c r="AF98" s="574"/>
      <c r="AG98" s="574"/>
      <c r="AH98" s="475" t="e">
        <f t="shared" si="57"/>
        <v>#N/A</v>
      </c>
      <c r="AI98" s="690"/>
      <c r="AJ98" s="573"/>
      <c r="AK98" s="574"/>
      <c r="AL98" s="574"/>
      <c r="AM98" s="475" t="e">
        <f t="shared" si="59"/>
        <v>#N/A</v>
      </c>
      <c r="AN98" s="690"/>
      <c r="AO98" s="573"/>
      <c r="AP98" s="574"/>
      <c r="AQ98" s="574"/>
      <c r="AR98" s="475" t="e">
        <f t="shared" si="61"/>
        <v>#N/A</v>
      </c>
      <c r="AS98" s="690"/>
      <c r="AT98" s="573"/>
      <c r="AU98" s="574"/>
      <c r="AV98" s="574"/>
      <c r="AW98" s="475" t="e">
        <f t="shared" si="63"/>
        <v>#N/A</v>
      </c>
      <c r="AX98" s="690"/>
    </row>
    <row r="99" spans="2:50">
      <c r="B99" s="676"/>
      <c r="C99" s="301">
        <v>13</v>
      </c>
      <c r="D99" s="227"/>
      <c r="E99" s="182"/>
      <c r="F99" s="510"/>
      <c r="G99" s="511"/>
      <c r="H99" s="718"/>
      <c r="I99" s="202"/>
      <c r="J99" s="202"/>
      <c r="K99" s="202"/>
      <c r="L99" s="650"/>
      <c r="M99" s="201" t="e">
        <f>RANK(K99, K$87:$K$101)</f>
        <v>#DIV/0!</v>
      </c>
      <c r="N99" s="668"/>
      <c r="O99" s="668"/>
      <c r="P99" s="573"/>
      <c r="Q99" s="574"/>
      <c r="R99" s="574"/>
      <c r="S99" s="301" t="e">
        <f t="shared" si="66"/>
        <v>#N/A</v>
      </c>
      <c r="T99" s="690"/>
      <c r="U99" s="573"/>
      <c r="V99" s="574"/>
      <c r="W99" s="574"/>
      <c r="X99" s="475" t="e">
        <f t="shared" si="53"/>
        <v>#N/A</v>
      </c>
      <c r="Y99" s="690"/>
      <c r="Z99" s="573"/>
      <c r="AA99" s="574"/>
      <c r="AB99" s="574"/>
      <c r="AC99" s="475" t="e">
        <f t="shared" si="55"/>
        <v>#N/A</v>
      </c>
      <c r="AD99" s="690"/>
      <c r="AE99" s="573"/>
      <c r="AF99" s="574"/>
      <c r="AG99" s="574"/>
      <c r="AH99" s="475" t="e">
        <f t="shared" si="57"/>
        <v>#N/A</v>
      </c>
      <c r="AI99" s="690"/>
      <c r="AJ99" s="573"/>
      <c r="AK99" s="574"/>
      <c r="AL99" s="574"/>
      <c r="AM99" s="475" t="e">
        <f t="shared" si="59"/>
        <v>#N/A</v>
      </c>
      <c r="AN99" s="690"/>
      <c r="AO99" s="573"/>
      <c r="AP99" s="574"/>
      <c r="AQ99" s="574"/>
      <c r="AR99" s="475" t="e">
        <f t="shared" si="61"/>
        <v>#N/A</v>
      </c>
      <c r="AS99" s="690"/>
      <c r="AT99" s="573"/>
      <c r="AU99" s="574"/>
      <c r="AV99" s="574"/>
      <c r="AW99" s="475" t="e">
        <f t="shared" si="63"/>
        <v>#N/A</v>
      </c>
      <c r="AX99" s="690"/>
    </row>
    <row r="100" spans="2:50">
      <c r="B100" s="676"/>
      <c r="C100" s="301">
        <v>14</v>
      </c>
      <c r="D100" s="227"/>
      <c r="E100" s="182"/>
      <c r="F100" s="510"/>
      <c r="G100" s="511"/>
      <c r="H100" s="718"/>
      <c r="I100" s="202"/>
      <c r="J100" s="202"/>
      <c r="K100" s="202"/>
      <c r="L100" s="650"/>
      <c r="M100" s="201" t="e">
        <f>RANK(K100, K$87:$K$101)</f>
        <v>#DIV/0!</v>
      </c>
      <c r="N100" s="668"/>
      <c r="O100" s="668"/>
      <c r="P100" s="573"/>
      <c r="Q100" s="574"/>
      <c r="R100" s="574"/>
      <c r="S100" s="301" t="e">
        <f t="shared" si="66"/>
        <v>#N/A</v>
      </c>
      <c r="T100" s="690"/>
      <c r="U100" s="573"/>
      <c r="V100" s="574"/>
      <c r="W100" s="574"/>
      <c r="X100" s="475" t="e">
        <f t="shared" si="53"/>
        <v>#N/A</v>
      </c>
      <c r="Y100" s="690"/>
      <c r="Z100" s="573"/>
      <c r="AA100" s="574"/>
      <c r="AB100" s="574"/>
      <c r="AC100" s="475" t="e">
        <f t="shared" si="55"/>
        <v>#N/A</v>
      </c>
      <c r="AD100" s="690"/>
      <c r="AE100" s="573"/>
      <c r="AF100" s="574"/>
      <c r="AG100" s="574"/>
      <c r="AH100" s="475" t="e">
        <f t="shared" si="57"/>
        <v>#N/A</v>
      </c>
      <c r="AI100" s="690"/>
      <c r="AJ100" s="573"/>
      <c r="AK100" s="574"/>
      <c r="AL100" s="574"/>
      <c r="AM100" s="475" t="e">
        <f t="shared" si="59"/>
        <v>#N/A</v>
      </c>
      <c r="AN100" s="690"/>
      <c r="AO100" s="573"/>
      <c r="AP100" s="574"/>
      <c r="AQ100" s="574"/>
      <c r="AR100" s="475" t="e">
        <f t="shared" si="61"/>
        <v>#N/A</v>
      </c>
      <c r="AS100" s="690"/>
      <c r="AT100" s="573"/>
      <c r="AU100" s="574"/>
      <c r="AV100" s="574"/>
      <c r="AW100" s="475" t="e">
        <f t="shared" si="63"/>
        <v>#N/A</v>
      </c>
      <c r="AX100" s="690"/>
    </row>
    <row r="101" spans="2:50">
      <c r="B101" s="676"/>
      <c r="C101" s="301">
        <v>15</v>
      </c>
      <c r="D101" s="227"/>
      <c r="E101" s="182"/>
      <c r="F101" s="510"/>
      <c r="G101" s="511"/>
      <c r="H101" s="719"/>
      <c r="I101" s="202"/>
      <c r="J101" s="202"/>
      <c r="K101" s="202"/>
      <c r="L101" s="651"/>
      <c r="M101" s="199" t="e">
        <f>RANK(K101, K$87:$K$101)</f>
        <v>#DIV/0!</v>
      </c>
      <c r="N101" s="668"/>
      <c r="O101" s="668"/>
      <c r="P101" s="573"/>
      <c r="Q101" s="574"/>
      <c r="R101" s="574"/>
      <c r="S101" s="301" t="e">
        <f t="shared" si="66"/>
        <v>#N/A</v>
      </c>
      <c r="T101" s="690"/>
      <c r="U101" s="573"/>
      <c r="V101" s="574"/>
      <c r="W101" s="574"/>
      <c r="X101" s="475" t="e">
        <f t="shared" si="53"/>
        <v>#N/A</v>
      </c>
      <c r="Y101" s="690"/>
      <c r="Z101" s="573"/>
      <c r="AA101" s="574"/>
      <c r="AB101" s="574"/>
      <c r="AC101" s="475" t="e">
        <f t="shared" si="55"/>
        <v>#N/A</v>
      </c>
      <c r="AD101" s="690"/>
      <c r="AE101" s="573"/>
      <c r="AF101" s="574"/>
      <c r="AG101" s="574"/>
      <c r="AH101" s="475" t="e">
        <f t="shared" si="57"/>
        <v>#N/A</v>
      </c>
      <c r="AI101" s="690"/>
      <c r="AJ101" s="573"/>
      <c r="AK101" s="574"/>
      <c r="AL101" s="574"/>
      <c r="AM101" s="475" t="e">
        <f t="shared" si="59"/>
        <v>#N/A</v>
      </c>
      <c r="AN101" s="690"/>
      <c r="AO101" s="573"/>
      <c r="AP101" s="574"/>
      <c r="AQ101" s="574"/>
      <c r="AR101" s="475" t="e">
        <f t="shared" si="61"/>
        <v>#N/A</v>
      </c>
      <c r="AS101" s="690"/>
      <c r="AT101" s="573"/>
      <c r="AU101" s="574"/>
      <c r="AV101" s="574"/>
      <c r="AW101" s="475" t="e">
        <f t="shared" si="63"/>
        <v>#N/A</v>
      </c>
      <c r="AX101" s="690"/>
    </row>
    <row r="102" spans="2:50" ht="15.75">
      <c r="B102" s="680" t="s">
        <v>163</v>
      </c>
      <c r="C102" s="681"/>
      <c r="D102" s="681"/>
      <c r="E102" s="681"/>
      <c r="F102" s="681"/>
      <c r="G102" s="681"/>
      <c r="H102" s="682"/>
      <c r="I102" s="208"/>
      <c r="J102" s="208"/>
      <c r="K102" s="208"/>
      <c r="L102" s="208"/>
      <c r="M102" s="207"/>
      <c r="N102" s="669" t="s">
        <v>156</v>
      </c>
      <c r="O102" s="669" t="s">
        <v>105</v>
      </c>
      <c r="P102" s="675">
        <f>P82+7</f>
        <v>46119</v>
      </c>
      <c r="Q102" s="676"/>
      <c r="R102" s="676"/>
      <c r="S102" s="676"/>
      <c r="T102" s="676"/>
      <c r="U102" s="672">
        <f>P102+1</f>
        <v>46120</v>
      </c>
      <c r="V102" s="673"/>
      <c r="W102" s="673"/>
      <c r="X102" s="673"/>
      <c r="Y102" s="674"/>
      <c r="Z102" s="672">
        <f>U102+1</f>
        <v>46121</v>
      </c>
      <c r="AA102" s="673"/>
      <c r="AB102" s="673"/>
      <c r="AC102" s="673"/>
      <c r="AD102" s="674"/>
      <c r="AE102" s="672">
        <f>Z102+1</f>
        <v>46122</v>
      </c>
      <c r="AF102" s="673"/>
      <c r="AG102" s="673"/>
      <c r="AH102" s="673"/>
      <c r="AI102" s="674"/>
      <c r="AJ102" s="672">
        <f>AE102+1</f>
        <v>46123</v>
      </c>
      <c r="AK102" s="673"/>
      <c r="AL102" s="673"/>
      <c r="AM102" s="673"/>
      <c r="AN102" s="674"/>
      <c r="AO102" s="672">
        <f>AJ102+1</f>
        <v>46124</v>
      </c>
      <c r="AP102" s="673"/>
      <c r="AQ102" s="673"/>
      <c r="AR102" s="673"/>
      <c r="AS102" s="674"/>
      <c r="AT102" s="672">
        <f>AO102+1</f>
        <v>46125</v>
      </c>
      <c r="AU102" s="673"/>
      <c r="AV102" s="673"/>
      <c r="AW102" s="673"/>
      <c r="AX102" s="674"/>
    </row>
    <row r="103" spans="2:50" ht="15.75">
      <c r="B103" s="683"/>
      <c r="C103" s="683"/>
      <c r="D103" s="683"/>
      <c r="E103" s="683"/>
      <c r="F103" s="683"/>
      <c r="G103" s="683"/>
      <c r="H103" s="683"/>
      <c r="I103" s="205"/>
      <c r="J103" s="205"/>
      <c r="K103" s="205"/>
      <c r="L103" s="205"/>
      <c r="M103" s="206"/>
      <c r="N103" s="671"/>
      <c r="O103" s="671"/>
      <c r="P103" s="675" t="s">
        <v>158</v>
      </c>
      <c r="Q103" s="676"/>
      <c r="R103" s="676"/>
      <c r="S103" s="676"/>
      <c r="T103" s="676"/>
      <c r="U103" s="675" t="s">
        <v>114</v>
      </c>
      <c r="V103" s="676"/>
      <c r="W103" s="676"/>
      <c r="X103" s="676"/>
      <c r="Y103" s="676"/>
      <c r="Z103" s="675" t="s">
        <v>159</v>
      </c>
      <c r="AA103" s="676"/>
      <c r="AB103" s="676"/>
      <c r="AC103" s="676"/>
      <c r="AD103" s="676"/>
      <c r="AE103" s="675" t="s">
        <v>157</v>
      </c>
      <c r="AF103" s="676"/>
      <c r="AG103" s="676"/>
      <c r="AH103" s="676"/>
      <c r="AI103" s="676"/>
      <c r="AJ103" s="675" t="s">
        <v>160</v>
      </c>
      <c r="AK103" s="676"/>
      <c r="AL103" s="676"/>
      <c r="AM103" s="676"/>
      <c r="AN103" s="676"/>
      <c r="AO103" s="675" t="s">
        <v>115</v>
      </c>
      <c r="AP103" s="676"/>
      <c r="AQ103" s="676"/>
      <c r="AR103" s="676"/>
      <c r="AS103" s="676"/>
      <c r="AT103" s="675" t="s">
        <v>162</v>
      </c>
      <c r="AU103" s="676"/>
      <c r="AV103" s="676"/>
      <c r="AW103" s="676"/>
      <c r="AX103" s="676"/>
    </row>
    <row r="104" spans="2:50">
      <c r="B104" s="668" t="s">
        <v>822</v>
      </c>
      <c r="C104" s="668" t="s">
        <v>823</v>
      </c>
      <c r="D104" s="668"/>
      <c r="E104" s="668" t="s">
        <v>824</v>
      </c>
      <c r="F104" s="668"/>
      <c r="G104" s="668"/>
      <c r="H104" s="684" t="s">
        <v>825</v>
      </c>
      <c r="I104" s="668" t="s">
        <v>826</v>
      </c>
      <c r="J104" s="668"/>
      <c r="K104" s="668"/>
      <c r="L104" s="684" t="s">
        <v>825</v>
      </c>
      <c r="M104" s="669" t="s">
        <v>827</v>
      </c>
      <c r="N104" s="668"/>
      <c r="O104" s="668" t="s">
        <v>828</v>
      </c>
      <c r="P104" s="665" t="s">
        <v>814</v>
      </c>
      <c r="Q104" s="666"/>
      <c r="R104" s="666"/>
      <c r="S104" s="667"/>
      <c r="T104" s="668" t="s">
        <v>810</v>
      </c>
      <c r="U104" s="665" t="s">
        <v>814</v>
      </c>
      <c r="V104" s="666"/>
      <c r="W104" s="666"/>
      <c r="X104" s="667"/>
      <c r="Y104" s="668" t="s">
        <v>810</v>
      </c>
      <c r="Z104" s="665" t="s">
        <v>814</v>
      </c>
      <c r="AA104" s="666"/>
      <c r="AB104" s="666"/>
      <c r="AC104" s="667"/>
      <c r="AD104" s="668" t="s">
        <v>810</v>
      </c>
      <c r="AE104" s="665" t="s">
        <v>814</v>
      </c>
      <c r="AF104" s="666"/>
      <c r="AG104" s="666"/>
      <c r="AH104" s="667"/>
      <c r="AI104" s="668" t="s">
        <v>810</v>
      </c>
      <c r="AJ104" s="665" t="s">
        <v>814</v>
      </c>
      <c r="AK104" s="666"/>
      <c r="AL104" s="666"/>
      <c r="AM104" s="667"/>
      <c r="AN104" s="668" t="s">
        <v>810</v>
      </c>
      <c r="AO104" s="665" t="s">
        <v>814</v>
      </c>
      <c r="AP104" s="666"/>
      <c r="AQ104" s="666"/>
      <c r="AR104" s="667"/>
      <c r="AS104" s="668" t="s">
        <v>810</v>
      </c>
      <c r="AT104" s="665" t="s">
        <v>814</v>
      </c>
      <c r="AU104" s="666"/>
      <c r="AV104" s="666"/>
      <c r="AW104" s="667"/>
      <c r="AX104" s="668" t="s">
        <v>810</v>
      </c>
    </row>
    <row r="105" spans="2:50">
      <c r="B105" s="668"/>
      <c r="C105" s="668"/>
      <c r="D105" s="668"/>
      <c r="E105" s="668" t="s">
        <v>829</v>
      </c>
      <c r="F105" s="668"/>
      <c r="G105" s="668"/>
      <c r="H105" s="685"/>
      <c r="I105" s="668" t="s">
        <v>829</v>
      </c>
      <c r="J105" s="668"/>
      <c r="K105" s="668"/>
      <c r="L105" s="685"/>
      <c r="M105" s="670"/>
      <c r="N105" s="668"/>
      <c r="O105" s="668"/>
      <c r="P105" s="665" t="s">
        <v>816</v>
      </c>
      <c r="Q105" s="666"/>
      <c r="R105" s="666"/>
      <c r="S105" s="667"/>
      <c r="T105" s="668"/>
      <c r="U105" s="665" t="s">
        <v>816</v>
      </c>
      <c r="V105" s="666"/>
      <c r="W105" s="666"/>
      <c r="X105" s="667"/>
      <c r="Y105" s="668"/>
      <c r="Z105" s="665" t="s">
        <v>816</v>
      </c>
      <c r="AA105" s="666"/>
      <c r="AB105" s="666"/>
      <c r="AC105" s="667"/>
      <c r="AD105" s="668"/>
      <c r="AE105" s="665" t="s">
        <v>816</v>
      </c>
      <c r="AF105" s="666"/>
      <c r="AG105" s="666"/>
      <c r="AH105" s="667"/>
      <c r="AI105" s="668"/>
      <c r="AJ105" s="665" t="s">
        <v>816</v>
      </c>
      <c r="AK105" s="666"/>
      <c r="AL105" s="666"/>
      <c r="AM105" s="667"/>
      <c r="AN105" s="668"/>
      <c r="AO105" s="665" t="s">
        <v>816</v>
      </c>
      <c r="AP105" s="666"/>
      <c r="AQ105" s="666"/>
      <c r="AR105" s="667"/>
      <c r="AS105" s="668"/>
      <c r="AT105" s="665" t="s">
        <v>816</v>
      </c>
      <c r="AU105" s="666"/>
      <c r="AV105" s="666"/>
      <c r="AW105" s="667"/>
      <c r="AX105" s="668"/>
    </row>
    <row r="106" spans="2:50">
      <c r="B106" s="668"/>
      <c r="C106" s="668"/>
      <c r="D106" s="668"/>
      <c r="E106" s="488" t="s">
        <v>830</v>
      </c>
      <c r="F106" s="488" t="s">
        <v>831</v>
      </c>
      <c r="G106" s="488" t="s">
        <v>832</v>
      </c>
      <c r="H106" s="686"/>
      <c r="I106" s="488" t="s">
        <v>830</v>
      </c>
      <c r="J106" s="488" t="s">
        <v>831</v>
      </c>
      <c r="K106" s="488" t="s">
        <v>832</v>
      </c>
      <c r="L106" s="686"/>
      <c r="M106" s="671"/>
      <c r="N106" s="668"/>
      <c r="O106" s="668"/>
      <c r="P106" s="488" t="s">
        <v>817</v>
      </c>
      <c r="Q106" s="488" t="s">
        <v>818</v>
      </c>
      <c r="R106" s="488" t="s">
        <v>819</v>
      </c>
      <c r="S106" s="488" t="s">
        <v>812</v>
      </c>
      <c r="T106" s="668"/>
      <c r="U106" s="488" t="s">
        <v>817</v>
      </c>
      <c r="V106" s="488" t="s">
        <v>818</v>
      </c>
      <c r="W106" s="488" t="s">
        <v>819</v>
      </c>
      <c r="X106" s="488" t="s">
        <v>812</v>
      </c>
      <c r="Y106" s="668"/>
      <c r="Z106" s="488" t="s">
        <v>817</v>
      </c>
      <c r="AA106" s="488" t="s">
        <v>818</v>
      </c>
      <c r="AB106" s="488" t="s">
        <v>819</v>
      </c>
      <c r="AC106" s="488" t="s">
        <v>812</v>
      </c>
      <c r="AD106" s="668"/>
      <c r="AE106" s="488" t="s">
        <v>817</v>
      </c>
      <c r="AF106" s="488" t="s">
        <v>818</v>
      </c>
      <c r="AG106" s="488" t="s">
        <v>819</v>
      </c>
      <c r="AH106" s="488" t="s">
        <v>812</v>
      </c>
      <c r="AI106" s="668"/>
      <c r="AJ106" s="488" t="s">
        <v>817</v>
      </c>
      <c r="AK106" s="488" t="s">
        <v>818</v>
      </c>
      <c r="AL106" s="488" t="s">
        <v>819</v>
      </c>
      <c r="AM106" s="488" t="s">
        <v>812</v>
      </c>
      <c r="AN106" s="668"/>
      <c r="AO106" s="488" t="s">
        <v>817</v>
      </c>
      <c r="AP106" s="488" t="s">
        <v>818</v>
      </c>
      <c r="AQ106" s="488" t="s">
        <v>819</v>
      </c>
      <c r="AR106" s="488" t="s">
        <v>812</v>
      </c>
      <c r="AS106" s="668"/>
      <c r="AT106" s="488" t="s">
        <v>817</v>
      </c>
      <c r="AU106" s="488" t="s">
        <v>818</v>
      </c>
      <c r="AV106" s="488" t="s">
        <v>819</v>
      </c>
      <c r="AW106" s="488" t="s">
        <v>812</v>
      </c>
      <c r="AX106" s="668"/>
    </row>
    <row r="107" spans="2:50">
      <c r="B107" s="668" t="s">
        <v>135</v>
      </c>
      <c r="C107" s="493">
        <v>1</v>
      </c>
      <c r="D107" s="227"/>
      <c r="E107" s="182"/>
      <c r="F107" s="510"/>
      <c r="G107" s="511"/>
      <c r="H107" s="712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9" t="str">
        <f>IFERROR(AVERAGE(K107:K121),"-")</f>
        <v>-</v>
      </c>
      <c r="M107" s="494" t="e">
        <f>RANK(K107, K$67:$K$81)</f>
        <v>#DIV/0!</v>
      </c>
      <c r="N107" s="668"/>
      <c r="O107" s="668"/>
      <c r="P107" s="493"/>
      <c r="Q107" s="494"/>
      <c r="R107" s="494"/>
      <c r="S107" s="494" t="e">
        <f>RANK(R107, R$67:R$81)</f>
        <v>#N/A</v>
      </c>
      <c r="T107" s="734" t="e">
        <f>AVERAGE(R107:R121)</f>
        <v>#DIV/0!</v>
      </c>
      <c r="U107" s="515"/>
      <c r="V107" s="518"/>
      <c r="W107" s="518"/>
      <c r="X107" s="494" t="e">
        <f>RANK(W107, W$67:W$81)</f>
        <v>#N/A</v>
      </c>
      <c r="Y107" s="715" t="e">
        <f>AVERAGE(W107:W121)</f>
        <v>#DIV/0!</v>
      </c>
      <c r="Z107" s="515"/>
      <c r="AA107" s="518"/>
      <c r="AB107" s="518"/>
      <c r="AC107" s="494" t="e">
        <f>RANK(AB107, AB$67:AB$81)</f>
        <v>#N/A</v>
      </c>
      <c r="AD107" s="715" t="e">
        <f>AVERAGE(AB107:AB121)</f>
        <v>#DIV/0!</v>
      </c>
      <c r="AE107" s="515"/>
      <c r="AF107" s="518"/>
      <c r="AG107" s="518"/>
      <c r="AH107" s="494" t="e">
        <f>RANK(AG107, AG$67:AG$81)</f>
        <v>#N/A</v>
      </c>
      <c r="AI107" s="715" t="e">
        <f>AVERAGE(AG107:AG121)</f>
        <v>#DIV/0!</v>
      </c>
      <c r="AJ107" s="515"/>
      <c r="AK107" s="518"/>
      <c r="AL107" s="518"/>
      <c r="AM107" s="494" t="e">
        <f>RANK(AL107, AL$67:AL$81)</f>
        <v>#N/A</v>
      </c>
      <c r="AN107" s="715" t="e">
        <f>AVERAGE(AL107:AL121)</f>
        <v>#DIV/0!</v>
      </c>
      <c r="AO107" s="515"/>
      <c r="AP107" s="518"/>
      <c r="AQ107" s="518"/>
      <c r="AR107" s="494" t="e">
        <f>RANK(AQ107, AQ$67:AQ$81)</f>
        <v>#N/A</v>
      </c>
      <c r="AS107" s="734" t="e">
        <f>AVERAGE(AQ107:AQ121)</f>
        <v>#DIV/0!</v>
      </c>
      <c r="AT107" s="182"/>
      <c r="AU107" s="182"/>
      <c r="AV107" s="182"/>
      <c r="AW107" s="493" t="e">
        <f>RANK(AV107, AV$67:AV$81)</f>
        <v>#N/A</v>
      </c>
      <c r="AX107" s="733" t="e">
        <f>AVERAGE(AV107:AV121)</f>
        <v>#DIV/0!</v>
      </c>
    </row>
    <row r="108" spans="2:50">
      <c r="B108" s="701"/>
      <c r="C108" s="493">
        <v>2</v>
      </c>
      <c r="D108" s="227"/>
      <c r="E108" s="182"/>
      <c r="F108" s="510"/>
      <c r="G108" s="511"/>
      <c r="H108" s="713"/>
      <c r="I108" s="494" t="e">
        <f t="shared" ref="I108:K115" si="67">AVERAGE(P108,U108,Z108,AE108,AJ108,AO108,AT108)</f>
        <v>#DIV/0!</v>
      </c>
      <c r="J108" s="494" t="e">
        <f t="shared" si="67"/>
        <v>#DIV/0!</v>
      </c>
      <c r="K108" s="495" t="e">
        <f t="shared" si="67"/>
        <v>#DIV/0!</v>
      </c>
      <c r="L108" s="650"/>
      <c r="M108" s="494" t="e">
        <f>RANK(K108, K$67:$K$81)</f>
        <v>#DIV/0!</v>
      </c>
      <c r="N108" s="668"/>
      <c r="O108" s="668"/>
      <c r="P108" s="493"/>
      <c r="Q108" s="494"/>
      <c r="R108" s="494"/>
      <c r="S108" s="494" t="e">
        <f t="shared" ref="S108:S121" si="68">RANK(R108, R$67:R$81)</f>
        <v>#N/A</v>
      </c>
      <c r="T108" s="734"/>
      <c r="U108" s="515"/>
      <c r="V108" s="518"/>
      <c r="W108" s="518"/>
      <c r="X108" s="494" t="e">
        <f t="shared" ref="X108:X121" si="69">RANK(W108, W$67:W$81)</f>
        <v>#N/A</v>
      </c>
      <c r="Y108" s="715"/>
      <c r="Z108" s="515"/>
      <c r="AA108" s="518"/>
      <c r="AB108" s="518"/>
      <c r="AC108" s="494" t="e">
        <f t="shared" ref="AC108:AC121" si="70">RANK(AB108, AB$67:AB$81)</f>
        <v>#N/A</v>
      </c>
      <c r="AD108" s="715"/>
      <c r="AE108" s="515"/>
      <c r="AF108" s="518"/>
      <c r="AG108" s="518"/>
      <c r="AH108" s="494" t="e">
        <f t="shared" ref="AH108:AH121" si="71">RANK(AG108, AG$67:AG$81)</f>
        <v>#N/A</v>
      </c>
      <c r="AI108" s="715"/>
      <c r="AJ108" s="515"/>
      <c r="AK108" s="518"/>
      <c r="AL108" s="518"/>
      <c r="AM108" s="494" t="e">
        <f t="shared" ref="AM108:AM121" si="72">RANK(AL108, AL$67:AL$81)</f>
        <v>#N/A</v>
      </c>
      <c r="AN108" s="715"/>
      <c r="AO108" s="515"/>
      <c r="AP108" s="518"/>
      <c r="AQ108" s="518"/>
      <c r="AR108" s="494" t="e">
        <f t="shared" ref="AR108:AR121" si="73">RANK(AQ108, AQ$67:AQ$81)</f>
        <v>#N/A</v>
      </c>
      <c r="AS108" s="734"/>
      <c r="AT108" s="182"/>
      <c r="AU108" s="182"/>
      <c r="AV108" s="182"/>
      <c r="AW108" s="493" t="e">
        <f t="shared" ref="AW108:AW121" si="74">RANK(AV108, AV$67:AV$81)</f>
        <v>#N/A</v>
      </c>
      <c r="AX108" s="733"/>
    </row>
    <row r="109" spans="2:50">
      <c r="B109" s="701"/>
      <c r="C109" s="493">
        <v>3</v>
      </c>
      <c r="D109" s="227"/>
      <c r="E109" s="182"/>
      <c r="F109" s="510"/>
      <c r="G109" s="511"/>
      <c r="H109" s="713"/>
      <c r="I109" s="494" t="e">
        <f t="shared" si="67"/>
        <v>#DIV/0!</v>
      </c>
      <c r="J109" s="494" t="e">
        <f t="shared" si="67"/>
        <v>#DIV/0!</v>
      </c>
      <c r="K109" s="495" t="e">
        <f t="shared" si="67"/>
        <v>#DIV/0!</v>
      </c>
      <c r="L109" s="650"/>
      <c r="M109" s="494" t="e">
        <f>RANK(K109, K$67:$K$81)</f>
        <v>#DIV/0!</v>
      </c>
      <c r="N109" s="668"/>
      <c r="O109" s="668"/>
      <c r="P109" s="493"/>
      <c r="Q109" s="494"/>
      <c r="R109" s="494"/>
      <c r="S109" s="494" t="e">
        <f t="shared" si="68"/>
        <v>#N/A</v>
      </c>
      <c r="T109" s="734"/>
      <c r="U109" s="515"/>
      <c r="V109" s="518"/>
      <c r="W109" s="518"/>
      <c r="X109" s="494" t="e">
        <f t="shared" si="69"/>
        <v>#N/A</v>
      </c>
      <c r="Y109" s="715"/>
      <c r="Z109" s="515"/>
      <c r="AA109" s="518"/>
      <c r="AB109" s="518"/>
      <c r="AC109" s="494" t="e">
        <f t="shared" si="70"/>
        <v>#N/A</v>
      </c>
      <c r="AD109" s="715"/>
      <c r="AE109" s="515"/>
      <c r="AF109" s="518"/>
      <c r="AG109" s="518"/>
      <c r="AH109" s="494" t="e">
        <f t="shared" si="71"/>
        <v>#N/A</v>
      </c>
      <c r="AI109" s="715"/>
      <c r="AJ109" s="515"/>
      <c r="AK109" s="518"/>
      <c r="AL109" s="518"/>
      <c r="AM109" s="494" t="e">
        <f t="shared" si="72"/>
        <v>#N/A</v>
      </c>
      <c r="AN109" s="715"/>
      <c r="AO109" s="515"/>
      <c r="AP109" s="518"/>
      <c r="AQ109" s="518"/>
      <c r="AR109" s="494" t="e">
        <f t="shared" si="73"/>
        <v>#N/A</v>
      </c>
      <c r="AS109" s="734"/>
      <c r="AT109" s="182"/>
      <c r="AU109" s="182"/>
      <c r="AV109" s="182"/>
      <c r="AW109" s="493" t="e">
        <f t="shared" si="74"/>
        <v>#N/A</v>
      </c>
      <c r="AX109" s="733"/>
    </row>
    <row r="110" spans="2:50">
      <c r="B110" s="701"/>
      <c r="C110" s="493">
        <v>4</v>
      </c>
      <c r="D110" s="227"/>
      <c r="E110" s="182"/>
      <c r="F110" s="510"/>
      <c r="G110" s="511"/>
      <c r="H110" s="713"/>
      <c r="I110" s="494" t="e">
        <f t="shared" si="67"/>
        <v>#DIV/0!</v>
      </c>
      <c r="J110" s="494" t="e">
        <f t="shared" si="67"/>
        <v>#DIV/0!</v>
      </c>
      <c r="K110" s="495" t="e">
        <f t="shared" si="67"/>
        <v>#DIV/0!</v>
      </c>
      <c r="L110" s="650"/>
      <c r="M110" s="494" t="e">
        <f>RANK(K110, K$67:$K$81)</f>
        <v>#DIV/0!</v>
      </c>
      <c r="N110" s="668"/>
      <c r="O110" s="668"/>
      <c r="P110" s="493"/>
      <c r="Q110" s="494"/>
      <c r="R110" s="494"/>
      <c r="S110" s="494" t="e">
        <f t="shared" si="68"/>
        <v>#N/A</v>
      </c>
      <c r="T110" s="734"/>
      <c r="U110" s="515"/>
      <c r="V110" s="518"/>
      <c r="W110" s="518"/>
      <c r="X110" s="494" t="e">
        <f t="shared" si="69"/>
        <v>#N/A</v>
      </c>
      <c r="Y110" s="715"/>
      <c r="Z110" s="515"/>
      <c r="AA110" s="518"/>
      <c r="AB110" s="518"/>
      <c r="AC110" s="494" t="e">
        <f t="shared" si="70"/>
        <v>#N/A</v>
      </c>
      <c r="AD110" s="715"/>
      <c r="AE110" s="515"/>
      <c r="AF110" s="518"/>
      <c r="AG110" s="518"/>
      <c r="AH110" s="494" t="e">
        <f t="shared" si="71"/>
        <v>#N/A</v>
      </c>
      <c r="AI110" s="715"/>
      <c r="AJ110" s="515"/>
      <c r="AK110" s="518"/>
      <c r="AL110" s="518"/>
      <c r="AM110" s="494" t="e">
        <f t="shared" si="72"/>
        <v>#N/A</v>
      </c>
      <c r="AN110" s="715"/>
      <c r="AO110" s="515"/>
      <c r="AP110" s="518"/>
      <c r="AQ110" s="518"/>
      <c r="AR110" s="494" t="e">
        <f t="shared" si="73"/>
        <v>#N/A</v>
      </c>
      <c r="AS110" s="734"/>
      <c r="AT110" s="182"/>
      <c r="AU110" s="182"/>
      <c r="AV110" s="182"/>
      <c r="AW110" s="493" t="e">
        <f t="shared" si="74"/>
        <v>#N/A</v>
      </c>
      <c r="AX110" s="733"/>
    </row>
    <row r="111" spans="2:50">
      <c r="B111" s="701"/>
      <c r="C111" s="493">
        <v>5</v>
      </c>
      <c r="D111" s="227"/>
      <c r="E111" s="182"/>
      <c r="F111" s="510"/>
      <c r="G111" s="511"/>
      <c r="H111" s="713"/>
      <c r="I111" s="494" t="e">
        <f t="shared" si="67"/>
        <v>#DIV/0!</v>
      </c>
      <c r="J111" s="494" t="e">
        <f t="shared" si="67"/>
        <v>#DIV/0!</v>
      </c>
      <c r="K111" s="495" t="e">
        <f t="shared" si="67"/>
        <v>#DIV/0!</v>
      </c>
      <c r="L111" s="650"/>
      <c r="M111" s="494" t="e">
        <f>RANK(K111, K$67:$K$81)</f>
        <v>#DIV/0!</v>
      </c>
      <c r="N111" s="668"/>
      <c r="O111" s="668"/>
      <c r="P111" s="493"/>
      <c r="Q111" s="494"/>
      <c r="R111" s="494"/>
      <c r="S111" s="494" t="e">
        <f t="shared" si="68"/>
        <v>#N/A</v>
      </c>
      <c r="T111" s="734"/>
      <c r="U111" s="515"/>
      <c r="V111" s="518"/>
      <c r="W111" s="518"/>
      <c r="X111" s="494" t="e">
        <f t="shared" si="69"/>
        <v>#N/A</v>
      </c>
      <c r="Y111" s="715"/>
      <c r="Z111" s="515"/>
      <c r="AA111" s="518"/>
      <c r="AB111" s="518"/>
      <c r="AC111" s="494" t="e">
        <f t="shared" si="70"/>
        <v>#N/A</v>
      </c>
      <c r="AD111" s="715"/>
      <c r="AE111" s="515"/>
      <c r="AF111" s="518"/>
      <c r="AG111" s="518"/>
      <c r="AH111" s="494" t="e">
        <f t="shared" si="71"/>
        <v>#N/A</v>
      </c>
      <c r="AI111" s="715"/>
      <c r="AJ111" s="515"/>
      <c r="AK111" s="518"/>
      <c r="AL111" s="518"/>
      <c r="AM111" s="494" t="e">
        <f t="shared" si="72"/>
        <v>#N/A</v>
      </c>
      <c r="AN111" s="715"/>
      <c r="AO111" s="515"/>
      <c r="AP111" s="518"/>
      <c r="AQ111" s="518"/>
      <c r="AR111" s="494" t="e">
        <f t="shared" si="73"/>
        <v>#N/A</v>
      </c>
      <c r="AS111" s="734"/>
      <c r="AT111" s="182"/>
      <c r="AU111" s="182"/>
      <c r="AV111" s="182"/>
      <c r="AW111" s="493" t="e">
        <f t="shared" si="74"/>
        <v>#N/A</v>
      </c>
      <c r="AX111" s="733"/>
    </row>
    <row r="112" spans="2:50">
      <c r="B112" s="701"/>
      <c r="C112" s="493">
        <v>6</v>
      </c>
      <c r="D112" s="227"/>
      <c r="E112" s="182"/>
      <c r="F112" s="510"/>
      <c r="G112" s="511"/>
      <c r="H112" s="713"/>
      <c r="I112" s="494" t="e">
        <f t="shared" si="67"/>
        <v>#DIV/0!</v>
      </c>
      <c r="J112" s="494" t="e">
        <f t="shared" si="67"/>
        <v>#DIV/0!</v>
      </c>
      <c r="K112" s="495" t="e">
        <f t="shared" si="67"/>
        <v>#DIV/0!</v>
      </c>
      <c r="L112" s="650"/>
      <c r="M112" s="494" t="e">
        <f>RANK(K112, K$67:$K$81)</f>
        <v>#DIV/0!</v>
      </c>
      <c r="N112" s="668"/>
      <c r="O112" s="668"/>
      <c r="P112" s="493"/>
      <c r="Q112" s="494"/>
      <c r="R112" s="494"/>
      <c r="S112" s="494" t="e">
        <f t="shared" si="68"/>
        <v>#N/A</v>
      </c>
      <c r="T112" s="734"/>
      <c r="U112" s="515"/>
      <c r="V112" s="518"/>
      <c r="W112" s="518"/>
      <c r="X112" s="494" t="e">
        <f t="shared" si="69"/>
        <v>#N/A</v>
      </c>
      <c r="Y112" s="715"/>
      <c r="Z112" s="515"/>
      <c r="AA112" s="518"/>
      <c r="AB112" s="518"/>
      <c r="AC112" s="494" t="e">
        <f t="shared" si="70"/>
        <v>#N/A</v>
      </c>
      <c r="AD112" s="715"/>
      <c r="AE112" s="515"/>
      <c r="AF112" s="518"/>
      <c r="AG112" s="518"/>
      <c r="AH112" s="494" t="e">
        <f t="shared" si="71"/>
        <v>#N/A</v>
      </c>
      <c r="AI112" s="715"/>
      <c r="AJ112" s="515"/>
      <c r="AK112" s="518"/>
      <c r="AL112" s="518"/>
      <c r="AM112" s="494" t="e">
        <f t="shared" si="72"/>
        <v>#N/A</v>
      </c>
      <c r="AN112" s="715"/>
      <c r="AO112" s="515"/>
      <c r="AP112" s="518"/>
      <c r="AQ112" s="518"/>
      <c r="AR112" s="494" t="e">
        <f t="shared" si="73"/>
        <v>#N/A</v>
      </c>
      <c r="AS112" s="734"/>
      <c r="AT112" s="182"/>
      <c r="AU112" s="182"/>
      <c r="AV112" s="182"/>
      <c r="AW112" s="493" t="e">
        <f t="shared" si="74"/>
        <v>#N/A</v>
      </c>
      <c r="AX112" s="733"/>
    </row>
    <row r="113" spans="2:50">
      <c r="B113" s="701"/>
      <c r="C113" s="493">
        <v>7</v>
      </c>
      <c r="D113" s="227"/>
      <c r="E113" s="182"/>
      <c r="F113" s="510"/>
      <c r="G113" s="511"/>
      <c r="H113" s="713"/>
      <c r="I113" s="494" t="e">
        <f t="shared" si="67"/>
        <v>#DIV/0!</v>
      </c>
      <c r="J113" s="494" t="e">
        <f t="shared" si="67"/>
        <v>#DIV/0!</v>
      </c>
      <c r="K113" s="495" t="e">
        <f t="shared" si="67"/>
        <v>#DIV/0!</v>
      </c>
      <c r="L113" s="650"/>
      <c r="M113" s="494" t="e">
        <f>RANK(K113, K$67:$K$81)</f>
        <v>#DIV/0!</v>
      </c>
      <c r="N113" s="668"/>
      <c r="O113" s="668"/>
      <c r="P113" s="493"/>
      <c r="Q113" s="494"/>
      <c r="R113" s="494"/>
      <c r="S113" s="494" t="e">
        <f t="shared" si="68"/>
        <v>#N/A</v>
      </c>
      <c r="T113" s="734"/>
      <c r="U113" s="515"/>
      <c r="V113" s="518"/>
      <c r="W113" s="518"/>
      <c r="X113" s="494" t="e">
        <f t="shared" si="69"/>
        <v>#N/A</v>
      </c>
      <c r="Y113" s="715"/>
      <c r="Z113" s="515"/>
      <c r="AA113" s="518"/>
      <c r="AB113" s="518"/>
      <c r="AC113" s="494" t="e">
        <f t="shared" si="70"/>
        <v>#N/A</v>
      </c>
      <c r="AD113" s="715"/>
      <c r="AE113" s="515"/>
      <c r="AF113" s="518"/>
      <c r="AG113" s="518"/>
      <c r="AH113" s="494" t="e">
        <f t="shared" si="71"/>
        <v>#N/A</v>
      </c>
      <c r="AI113" s="715"/>
      <c r="AJ113" s="515"/>
      <c r="AK113" s="518"/>
      <c r="AL113" s="518"/>
      <c r="AM113" s="494" t="e">
        <f t="shared" si="72"/>
        <v>#N/A</v>
      </c>
      <c r="AN113" s="715"/>
      <c r="AO113" s="515"/>
      <c r="AP113" s="518"/>
      <c r="AQ113" s="518"/>
      <c r="AR113" s="494" t="e">
        <f t="shared" si="73"/>
        <v>#N/A</v>
      </c>
      <c r="AS113" s="734"/>
      <c r="AT113" s="182"/>
      <c r="AU113" s="182"/>
      <c r="AV113" s="182"/>
      <c r="AW113" s="493" t="e">
        <f t="shared" si="74"/>
        <v>#N/A</v>
      </c>
      <c r="AX113" s="733"/>
    </row>
    <row r="114" spans="2:50">
      <c r="B114" s="701"/>
      <c r="C114" s="493">
        <v>8</v>
      </c>
      <c r="D114" s="227"/>
      <c r="E114" s="182"/>
      <c r="F114" s="510"/>
      <c r="G114" s="511"/>
      <c r="H114" s="713"/>
      <c r="I114" s="494" t="e">
        <f t="shared" si="67"/>
        <v>#DIV/0!</v>
      </c>
      <c r="J114" s="494" t="e">
        <f t="shared" si="67"/>
        <v>#DIV/0!</v>
      </c>
      <c r="K114" s="495" t="e">
        <f t="shared" si="67"/>
        <v>#DIV/0!</v>
      </c>
      <c r="L114" s="650"/>
      <c r="M114" s="494" t="e">
        <f>RANK(K114, K$67:$K$81)</f>
        <v>#DIV/0!</v>
      </c>
      <c r="N114" s="668"/>
      <c r="O114" s="668"/>
      <c r="P114" s="493"/>
      <c r="Q114" s="494"/>
      <c r="R114" s="494"/>
      <c r="S114" s="494" t="e">
        <f t="shared" si="68"/>
        <v>#N/A</v>
      </c>
      <c r="T114" s="734"/>
      <c r="U114" s="515"/>
      <c r="V114" s="518"/>
      <c r="W114" s="518"/>
      <c r="X114" s="494" t="e">
        <f t="shared" si="69"/>
        <v>#N/A</v>
      </c>
      <c r="Y114" s="715"/>
      <c r="Z114" s="515"/>
      <c r="AA114" s="518"/>
      <c r="AB114" s="518"/>
      <c r="AC114" s="494" t="e">
        <f t="shared" si="70"/>
        <v>#N/A</v>
      </c>
      <c r="AD114" s="715"/>
      <c r="AE114" s="515"/>
      <c r="AF114" s="518"/>
      <c r="AG114" s="518"/>
      <c r="AH114" s="494" t="e">
        <f t="shared" si="71"/>
        <v>#N/A</v>
      </c>
      <c r="AI114" s="715"/>
      <c r="AJ114" s="515"/>
      <c r="AK114" s="518"/>
      <c r="AL114" s="518"/>
      <c r="AM114" s="494" t="e">
        <f t="shared" si="72"/>
        <v>#N/A</v>
      </c>
      <c r="AN114" s="715"/>
      <c r="AO114" s="515"/>
      <c r="AP114" s="518"/>
      <c r="AQ114" s="518"/>
      <c r="AR114" s="494" t="e">
        <f t="shared" si="73"/>
        <v>#N/A</v>
      </c>
      <c r="AS114" s="734"/>
      <c r="AT114" s="182"/>
      <c r="AU114" s="182"/>
      <c r="AV114" s="182"/>
      <c r="AW114" s="493" t="e">
        <f t="shared" si="74"/>
        <v>#N/A</v>
      </c>
      <c r="AX114" s="733"/>
    </row>
    <row r="115" spans="2:50">
      <c r="B115" s="701"/>
      <c r="C115" s="493">
        <v>9</v>
      </c>
      <c r="D115" s="227"/>
      <c r="E115" s="182"/>
      <c r="F115" s="510"/>
      <c r="G115" s="511"/>
      <c r="H115" s="713"/>
      <c r="I115" s="494" t="e">
        <f t="shared" si="67"/>
        <v>#DIV/0!</v>
      </c>
      <c r="J115" s="494" t="e">
        <f t="shared" si="67"/>
        <v>#DIV/0!</v>
      </c>
      <c r="K115" s="495" t="e">
        <f t="shared" si="67"/>
        <v>#DIV/0!</v>
      </c>
      <c r="L115" s="650"/>
      <c r="M115" s="494" t="e">
        <f>RANK(K115, K$67:$K$81)</f>
        <v>#DIV/0!</v>
      </c>
      <c r="N115" s="668"/>
      <c r="O115" s="668"/>
      <c r="P115" s="493"/>
      <c r="Q115" s="494"/>
      <c r="R115" s="494"/>
      <c r="S115" s="494" t="e">
        <f t="shared" si="68"/>
        <v>#N/A</v>
      </c>
      <c r="T115" s="734"/>
      <c r="U115" s="515"/>
      <c r="V115" s="518"/>
      <c r="W115" s="518"/>
      <c r="X115" s="494" t="e">
        <f t="shared" si="69"/>
        <v>#N/A</v>
      </c>
      <c r="Y115" s="715"/>
      <c r="Z115" s="515"/>
      <c r="AA115" s="518"/>
      <c r="AB115" s="518"/>
      <c r="AC115" s="494" t="e">
        <f t="shared" si="70"/>
        <v>#N/A</v>
      </c>
      <c r="AD115" s="715"/>
      <c r="AE115" s="515"/>
      <c r="AF115" s="518"/>
      <c r="AG115" s="518"/>
      <c r="AH115" s="494" t="e">
        <f t="shared" si="71"/>
        <v>#N/A</v>
      </c>
      <c r="AI115" s="715"/>
      <c r="AJ115" s="515"/>
      <c r="AK115" s="518"/>
      <c r="AL115" s="518"/>
      <c r="AM115" s="494" t="e">
        <f t="shared" si="72"/>
        <v>#N/A</v>
      </c>
      <c r="AN115" s="715"/>
      <c r="AO115" s="515"/>
      <c r="AP115" s="518"/>
      <c r="AQ115" s="518"/>
      <c r="AR115" s="494" t="e">
        <f t="shared" si="73"/>
        <v>#N/A</v>
      </c>
      <c r="AS115" s="734"/>
      <c r="AT115" s="182"/>
      <c r="AU115" s="182"/>
      <c r="AV115" s="182"/>
      <c r="AW115" s="493" t="e">
        <f t="shared" si="74"/>
        <v>#N/A</v>
      </c>
      <c r="AX115" s="733"/>
    </row>
    <row r="116" spans="2:50">
      <c r="B116" s="701"/>
      <c r="C116" s="493">
        <v>10</v>
      </c>
      <c r="D116" s="227"/>
      <c r="E116" s="182"/>
      <c r="F116" s="510"/>
      <c r="G116" s="511"/>
      <c r="H116" s="713"/>
      <c r="I116" s="494"/>
      <c r="J116" s="494"/>
      <c r="K116" s="495"/>
      <c r="L116" s="650"/>
      <c r="M116" s="494" t="e">
        <f>RANK(K116, K$67:$K$81)</f>
        <v>#N/A</v>
      </c>
      <c r="N116" s="668"/>
      <c r="O116" s="668"/>
      <c r="P116" s="493"/>
      <c r="Q116" s="494"/>
      <c r="R116" s="494"/>
      <c r="S116" s="494" t="e">
        <f t="shared" si="68"/>
        <v>#N/A</v>
      </c>
      <c r="T116" s="734"/>
      <c r="U116" s="515"/>
      <c r="V116" s="518"/>
      <c r="W116" s="518"/>
      <c r="X116" s="494" t="e">
        <f t="shared" si="69"/>
        <v>#N/A</v>
      </c>
      <c r="Y116" s="715"/>
      <c r="Z116" s="515"/>
      <c r="AA116" s="518"/>
      <c r="AB116" s="518"/>
      <c r="AC116" s="494" t="e">
        <f t="shared" si="70"/>
        <v>#N/A</v>
      </c>
      <c r="AD116" s="715"/>
      <c r="AE116" s="515"/>
      <c r="AF116" s="518"/>
      <c r="AG116" s="518"/>
      <c r="AH116" s="494" t="e">
        <f t="shared" si="71"/>
        <v>#N/A</v>
      </c>
      <c r="AI116" s="715"/>
      <c r="AJ116" s="515"/>
      <c r="AK116" s="518"/>
      <c r="AL116" s="518"/>
      <c r="AM116" s="494" t="e">
        <f t="shared" si="72"/>
        <v>#N/A</v>
      </c>
      <c r="AN116" s="715"/>
      <c r="AO116" s="515"/>
      <c r="AP116" s="518"/>
      <c r="AQ116" s="518"/>
      <c r="AR116" s="494" t="e">
        <f t="shared" si="73"/>
        <v>#N/A</v>
      </c>
      <c r="AS116" s="734"/>
      <c r="AT116" s="182"/>
      <c r="AU116" s="182"/>
      <c r="AV116" s="182"/>
      <c r="AW116" s="493" t="e">
        <f t="shared" si="74"/>
        <v>#N/A</v>
      </c>
      <c r="AX116" s="733"/>
    </row>
    <row r="117" spans="2:50">
      <c r="B117" s="701"/>
      <c r="C117" s="493">
        <v>11</v>
      </c>
      <c r="D117" s="227"/>
      <c r="E117" s="182"/>
      <c r="F117" s="510"/>
      <c r="G117" s="511"/>
      <c r="H117" s="713"/>
      <c r="I117" s="494"/>
      <c r="J117" s="494"/>
      <c r="K117" s="495"/>
      <c r="L117" s="650"/>
      <c r="M117" s="494" t="e">
        <f>RANK(K117, K$67:$K$81)</f>
        <v>#N/A</v>
      </c>
      <c r="N117" s="668"/>
      <c r="O117" s="668"/>
      <c r="P117" s="493"/>
      <c r="Q117" s="494"/>
      <c r="R117" s="494"/>
      <c r="S117" s="494" t="e">
        <f t="shared" si="68"/>
        <v>#N/A</v>
      </c>
      <c r="T117" s="734"/>
      <c r="U117" s="515"/>
      <c r="V117" s="518"/>
      <c r="W117" s="518"/>
      <c r="X117" s="494" t="e">
        <f t="shared" si="69"/>
        <v>#N/A</v>
      </c>
      <c r="Y117" s="715"/>
      <c r="Z117" s="515"/>
      <c r="AA117" s="518"/>
      <c r="AB117" s="518"/>
      <c r="AC117" s="494" t="e">
        <f t="shared" si="70"/>
        <v>#N/A</v>
      </c>
      <c r="AD117" s="715"/>
      <c r="AE117" s="515"/>
      <c r="AF117" s="518"/>
      <c r="AG117" s="518"/>
      <c r="AH117" s="494" t="e">
        <f t="shared" si="71"/>
        <v>#N/A</v>
      </c>
      <c r="AI117" s="715"/>
      <c r="AJ117" s="515"/>
      <c r="AK117" s="518"/>
      <c r="AL117" s="518"/>
      <c r="AM117" s="494" t="e">
        <f t="shared" si="72"/>
        <v>#N/A</v>
      </c>
      <c r="AN117" s="715"/>
      <c r="AO117" s="515"/>
      <c r="AP117" s="518"/>
      <c r="AQ117" s="518"/>
      <c r="AR117" s="494" t="e">
        <f t="shared" si="73"/>
        <v>#N/A</v>
      </c>
      <c r="AS117" s="734"/>
      <c r="AT117" s="182"/>
      <c r="AU117" s="182"/>
      <c r="AV117" s="182"/>
      <c r="AW117" s="493" t="e">
        <f t="shared" si="74"/>
        <v>#N/A</v>
      </c>
      <c r="AX117" s="733"/>
    </row>
    <row r="118" spans="2:50">
      <c r="B118" s="701"/>
      <c r="C118" s="493">
        <v>12</v>
      </c>
      <c r="D118" s="227"/>
      <c r="E118" s="182"/>
      <c r="F118" s="510"/>
      <c r="G118" s="511"/>
      <c r="H118" s="713"/>
      <c r="I118" s="494"/>
      <c r="J118" s="494"/>
      <c r="K118" s="495"/>
      <c r="L118" s="650"/>
      <c r="M118" s="494" t="e">
        <f>RANK(K118, K$67:$K$81)</f>
        <v>#N/A</v>
      </c>
      <c r="N118" s="668"/>
      <c r="O118" s="668"/>
      <c r="P118" s="493"/>
      <c r="Q118" s="494"/>
      <c r="R118" s="494"/>
      <c r="S118" s="494" t="e">
        <f t="shared" si="68"/>
        <v>#N/A</v>
      </c>
      <c r="T118" s="734"/>
      <c r="U118" s="515"/>
      <c r="V118" s="518"/>
      <c r="W118" s="518"/>
      <c r="X118" s="494" t="e">
        <f t="shared" si="69"/>
        <v>#N/A</v>
      </c>
      <c r="Y118" s="715"/>
      <c r="Z118" s="515"/>
      <c r="AA118" s="518"/>
      <c r="AB118" s="518"/>
      <c r="AC118" s="494" t="e">
        <f t="shared" si="70"/>
        <v>#N/A</v>
      </c>
      <c r="AD118" s="715"/>
      <c r="AE118" s="515"/>
      <c r="AF118" s="518"/>
      <c r="AG118" s="518"/>
      <c r="AH118" s="494" t="e">
        <f t="shared" si="71"/>
        <v>#N/A</v>
      </c>
      <c r="AI118" s="715"/>
      <c r="AJ118" s="515"/>
      <c r="AK118" s="518"/>
      <c r="AL118" s="518"/>
      <c r="AM118" s="494" t="e">
        <f t="shared" si="72"/>
        <v>#N/A</v>
      </c>
      <c r="AN118" s="715"/>
      <c r="AO118" s="515"/>
      <c r="AP118" s="518"/>
      <c r="AQ118" s="518"/>
      <c r="AR118" s="494" t="e">
        <f t="shared" si="73"/>
        <v>#N/A</v>
      </c>
      <c r="AS118" s="734"/>
      <c r="AT118" s="182"/>
      <c r="AU118" s="182"/>
      <c r="AV118" s="182"/>
      <c r="AW118" s="493" t="e">
        <f t="shared" si="74"/>
        <v>#N/A</v>
      </c>
      <c r="AX118" s="733"/>
    </row>
    <row r="119" spans="2:50">
      <c r="B119" s="701"/>
      <c r="C119" s="493">
        <v>13</v>
      </c>
      <c r="D119" s="227"/>
      <c r="E119" s="182"/>
      <c r="F119" s="510"/>
      <c r="G119" s="511"/>
      <c r="H119" s="713"/>
      <c r="I119" s="493"/>
      <c r="J119" s="493"/>
      <c r="K119" s="493"/>
      <c r="L119" s="650"/>
      <c r="M119" s="494" t="e">
        <f>RANK(K119, K$67:$K$81)</f>
        <v>#N/A</v>
      </c>
      <c r="N119" s="668"/>
      <c r="O119" s="668"/>
      <c r="P119" s="493"/>
      <c r="Q119" s="494"/>
      <c r="R119" s="494"/>
      <c r="S119" s="494" t="e">
        <f t="shared" si="68"/>
        <v>#N/A</v>
      </c>
      <c r="T119" s="734"/>
      <c r="U119" s="515"/>
      <c r="V119" s="518"/>
      <c r="W119" s="518"/>
      <c r="X119" s="494" t="e">
        <f t="shared" si="69"/>
        <v>#N/A</v>
      </c>
      <c r="Y119" s="715"/>
      <c r="Z119" s="515"/>
      <c r="AA119" s="518"/>
      <c r="AB119" s="518"/>
      <c r="AC119" s="495" t="e">
        <f t="shared" si="70"/>
        <v>#N/A</v>
      </c>
      <c r="AD119" s="715"/>
      <c r="AE119" s="515"/>
      <c r="AF119" s="518"/>
      <c r="AG119" s="518"/>
      <c r="AH119" s="494" t="e">
        <f t="shared" si="71"/>
        <v>#N/A</v>
      </c>
      <c r="AI119" s="715"/>
      <c r="AJ119" s="515"/>
      <c r="AK119" s="518"/>
      <c r="AL119" s="518"/>
      <c r="AM119" s="494" t="e">
        <f t="shared" si="72"/>
        <v>#N/A</v>
      </c>
      <c r="AN119" s="715"/>
      <c r="AO119" s="515"/>
      <c r="AP119" s="518"/>
      <c r="AQ119" s="518"/>
      <c r="AR119" s="495" t="e">
        <f t="shared" si="73"/>
        <v>#N/A</v>
      </c>
      <c r="AS119" s="734"/>
      <c r="AT119" s="182"/>
      <c r="AU119" s="182"/>
      <c r="AV119" s="182"/>
      <c r="AW119" s="493" t="e">
        <f t="shared" si="74"/>
        <v>#N/A</v>
      </c>
      <c r="AX119" s="733"/>
    </row>
    <row r="120" spans="2:50">
      <c r="B120" s="701"/>
      <c r="C120" s="493">
        <v>14</v>
      </c>
      <c r="D120" s="227"/>
      <c r="E120" s="182"/>
      <c r="F120" s="510"/>
      <c r="G120" s="511"/>
      <c r="H120" s="713"/>
      <c r="I120" s="493"/>
      <c r="J120" s="493"/>
      <c r="K120" s="493"/>
      <c r="L120" s="650"/>
      <c r="M120" s="494" t="e">
        <f>RANK(K120, K$67:$K$81)</f>
        <v>#N/A</v>
      </c>
      <c r="N120" s="668"/>
      <c r="O120" s="668"/>
      <c r="P120" s="493"/>
      <c r="Q120" s="494"/>
      <c r="R120" s="494"/>
      <c r="S120" s="494" t="e">
        <f t="shared" si="68"/>
        <v>#N/A</v>
      </c>
      <c r="T120" s="734"/>
      <c r="U120" s="515"/>
      <c r="V120" s="518"/>
      <c r="W120" s="518"/>
      <c r="X120" s="494" t="e">
        <f t="shared" si="69"/>
        <v>#N/A</v>
      </c>
      <c r="Y120" s="715"/>
      <c r="Z120" s="515"/>
      <c r="AA120" s="518"/>
      <c r="AB120" s="518"/>
      <c r="AC120" s="495" t="e">
        <f t="shared" si="70"/>
        <v>#N/A</v>
      </c>
      <c r="AD120" s="715"/>
      <c r="AE120" s="515"/>
      <c r="AF120" s="518"/>
      <c r="AG120" s="518"/>
      <c r="AH120" s="495" t="e">
        <f t="shared" si="71"/>
        <v>#N/A</v>
      </c>
      <c r="AI120" s="715"/>
      <c r="AJ120" s="515"/>
      <c r="AK120" s="518"/>
      <c r="AL120" s="518"/>
      <c r="AM120" s="495" t="e">
        <f t="shared" si="72"/>
        <v>#N/A</v>
      </c>
      <c r="AN120" s="715"/>
      <c r="AO120" s="515"/>
      <c r="AP120" s="518"/>
      <c r="AQ120" s="518"/>
      <c r="AR120" s="495" t="e">
        <f t="shared" si="73"/>
        <v>#N/A</v>
      </c>
      <c r="AS120" s="734"/>
      <c r="AT120" s="182"/>
      <c r="AU120" s="182"/>
      <c r="AV120" s="182"/>
      <c r="AW120" s="493" t="e">
        <f t="shared" si="74"/>
        <v>#N/A</v>
      </c>
      <c r="AX120" s="733"/>
    </row>
    <row r="121" spans="2:50">
      <c r="B121" s="701"/>
      <c r="C121" s="493">
        <v>15</v>
      </c>
      <c r="D121" s="227"/>
      <c r="E121" s="182"/>
      <c r="F121" s="510"/>
      <c r="G121" s="511"/>
      <c r="H121" s="723"/>
      <c r="I121" s="493"/>
      <c r="J121" s="493"/>
      <c r="K121" s="493"/>
      <c r="L121" s="651"/>
      <c r="M121" s="494" t="e">
        <f>RANK(K121, K$67:$K$81)</f>
        <v>#N/A</v>
      </c>
      <c r="N121" s="668"/>
      <c r="O121" s="668"/>
      <c r="P121" s="493"/>
      <c r="Q121" s="494"/>
      <c r="R121" s="494"/>
      <c r="S121" s="494" t="e">
        <f t="shared" si="68"/>
        <v>#N/A</v>
      </c>
      <c r="T121" s="734"/>
      <c r="U121" s="515"/>
      <c r="V121" s="518"/>
      <c r="W121" s="518"/>
      <c r="X121" s="495" t="e">
        <f t="shared" si="69"/>
        <v>#N/A</v>
      </c>
      <c r="Y121" s="715"/>
      <c r="Z121" s="515"/>
      <c r="AA121" s="518"/>
      <c r="AB121" s="518"/>
      <c r="AC121" s="495" t="e">
        <f t="shared" si="70"/>
        <v>#N/A</v>
      </c>
      <c r="AD121" s="715"/>
      <c r="AE121" s="515"/>
      <c r="AF121" s="518"/>
      <c r="AG121" s="518"/>
      <c r="AH121" s="495" t="e">
        <f t="shared" si="71"/>
        <v>#N/A</v>
      </c>
      <c r="AI121" s="715"/>
      <c r="AJ121" s="515"/>
      <c r="AK121" s="518"/>
      <c r="AL121" s="518"/>
      <c r="AM121" s="495" t="e">
        <f t="shared" si="72"/>
        <v>#N/A</v>
      </c>
      <c r="AN121" s="715"/>
      <c r="AO121" s="515"/>
      <c r="AP121" s="518"/>
      <c r="AQ121" s="518"/>
      <c r="AR121" s="495" t="e">
        <f t="shared" si="73"/>
        <v>#N/A</v>
      </c>
      <c r="AS121" s="734"/>
      <c r="AT121" s="182"/>
      <c r="AU121" s="182"/>
      <c r="AV121" s="182"/>
      <c r="AW121" s="493" t="e">
        <f t="shared" si="74"/>
        <v>#N/A</v>
      </c>
      <c r="AX121" s="733"/>
    </row>
    <row r="123" spans="2:50" ht="15.75">
      <c r="B123" s="707" t="s">
        <v>673</v>
      </c>
      <c r="C123" s="708"/>
      <c r="D123" s="708"/>
      <c r="E123" s="708"/>
      <c r="F123" s="708"/>
      <c r="G123" s="708"/>
      <c r="H123" s="709"/>
      <c r="I123" s="347"/>
      <c r="J123" s="347"/>
      <c r="K123" s="347"/>
      <c r="L123" s="347"/>
      <c r="M123" s="348"/>
    </row>
    <row r="124" spans="2:50" ht="15.75">
      <c r="B124" s="710"/>
      <c r="C124" s="710"/>
      <c r="D124" s="710"/>
      <c r="E124" s="710"/>
      <c r="F124" s="710"/>
      <c r="G124" s="710"/>
      <c r="H124" s="710"/>
      <c r="I124" s="349"/>
      <c r="J124" s="349"/>
      <c r="K124" s="349"/>
      <c r="L124" s="349"/>
      <c r="M124" s="350"/>
    </row>
    <row r="125" spans="2:50">
      <c r="B125" s="668" t="s">
        <v>154</v>
      </c>
      <c r="C125" s="668" t="s">
        <v>429</v>
      </c>
      <c r="D125" s="668"/>
      <c r="E125" s="668" t="s">
        <v>420</v>
      </c>
      <c r="F125" s="668"/>
      <c r="G125" s="668"/>
      <c r="H125" s="684" t="s">
        <v>416</v>
      </c>
      <c r="I125" s="711" t="s">
        <v>421</v>
      </c>
      <c r="J125" s="711"/>
      <c r="K125" s="711"/>
      <c r="L125" s="727" t="s">
        <v>416</v>
      </c>
      <c r="M125" s="730" t="s">
        <v>417</v>
      </c>
    </row>
    <row r="126" spans="2:50">
      <c r="B126" s="668"/>
      <c r="C126" s="668"/>
      <c r="D126" s="668"/>
      <c r="E126" s="668" t="s">
        <v>423</v>
      </c>
      <c r="F126" s="668"/>
      <c r="G126" s="668"/>
      <c r="H126" s="685"/>
      <c r="I126" s="711" t="s">
        <v>423</v>
      </c>
      <c r="J126" s="711"/>
      <c r="K126" s="711"/>
      <c r="L126" s="728"/>
      <c r="M126" s="731"/>
    </row>
    <row r="127" spans="2:50">
      <c r="B127" s="668"/>
      <c r="C127" s="668"/>
      <c r="D127" s="668"/>
      <c r="E127" s="344" t="s">
        <v>425</v>
      </c>
      <c r="F127" s="344" t="s">
        <v>426</v>
      </c>
      <c r="G127" s="344" t="s">
        <v>427</v>
      </c>
      <c r="H127" s="686"/>
      <c r="I127" s="351" t="s">
        <v>425</v>
      </c>
      <c r="J127" s="351" t="s">
        <v>426</v>
      </c>
      <c r="K127" s="351" t="s">
        <v>427</v>
      </c>
      <c r="L127" s="729"/>
      <c r="M127" s="732"/>
    </row>
    <row r="128" spans="2:50">
      <c r="B128" s="668" t="s">
        <v>431</v>
      </c>
      <c r="C128" s="343">
        <v>1</v>
      </c>
      <c r="D128" s="227"/>
      <c r="E128" s="182"/>
      <c r="F128" s="343"/>
      <c r="G128" s="346"/>
      <c r="H128" s="717" t="e">
        <f>AVERAGE(G128:G142)</f>
        <v>#DIV/0!</v>
      </c>
      <c r="I128" s="199" t="e">
        <f t="shared" ref="I128:J137" si="75">AVERAGEIF($D$7:$D$121,$D128,I$7:I$121)</f>
        <v>#DIV/0!</v>
      </c>
      <c r="J128" s="199" t="e">
        <f t="shared" si="75"/>
        <v>#DIV/0!</v>
      </c>
      <c r="K128" s="199" t="e">
        <f t="shared" ref="K128:K137" si="76">AVERAGEIF($D$7:$D$121,$D128,K$7:K$121)</f>
        <v>#DIV/0!</v>
      </c>
      <c r="L128" s="724" t="e">
        <f>AVERAGE(K128:K142)</f>
        <v>#DIV/0!</v>
      </c>
      <c r="M128" s="199" t="e">
        <f>RANK(K128, K$128:$K$142)</f>
        <v>#DIV/0!</v>
      </c>
    </row>
    <row r="129" spans="2:13" s="108" customFormat="1">
      <c r="B129" s="676"/>
      <c r="C129" s="343">
        <v>2</v>
      </c>
      <c r="D129" s="227"/>
      <c r="E129" s="182"/>
      <c r="F129" s="343"/>
      <c r="G129" s="346"/>
      <c r="H129" s="718"/>
      <c r="I129" s="199" t="e">
        <f t="shared" si="75"/>
        <v>#DIV/0!</v>
      </c>
      <c r="J129" s="199" t="e">
        <f t="shared" si="75"/>
        <v>#DIV/0!</v>
      </c>
      <c r="K129" s="199" t="e">
        <f t="shared" si="76"/>
        <v>#DIV/0!</v>
      </c>
      <c r="L129" s="725"/>
      <c r="M129" s="199" t="e">
        <f>RANK(K129, K$128:$K$142)</f>
        <v>#DIV/0!</v>
      </c>
    </row>
    <row r="130" spans="2:13" s="108" customFormat="1">
      <c r="B130" s="676"/>
      <c r="C130" s="343">
        <v>3</v>
      </c>
      <c r="D130" s="227"/>
      <c r="E130" s="182"/>
      <c r="F130" s="343"/>
      <c r="G130" s="346"/>
      <c r="H130" s="718"/>
      <c r="I130" s="199" t="e">
        <f t="shared" si="75"/>
        <v>#DIV/0!</v>
      </c>
      <c r="J130" s="199" t="e">
        <f t="shared" si="75"/>
        <v>#DIV/0!</v>
      </c>
      <c r="K130" s="199" t="e">
        <f t="shared" si="76"/>
        <v>#DIV/0!</v>
      </c>
      <c r="L130" s="725"/>
      <c r="M130" s="199" t="e">
        <f>RANK(K130, K$128:$K$142)</f>
        <v>#DIV/0!</v>
      </c>
    </row>
    <row r="131" spans="2:13" s="108" customFormat="1">
      <c r="B131" s="676"/>
      <c r="C131" s="343">
        <v>4</v>
      </c>
      <c r="D131" s="227"/>
      <c r="E131" s="182"/>
      <c r="F131" s="343"/>
      <c r="G131" s="346"/>
      <c r="H131" s="718"/>
      <c r="I131" s="199" t="e">
        <f t="shared" si="75"/>
        <v>#DIV/0!</v>
      </c>
      <c r="J131" s="199" t="e">
        <f t="shared" si="75"/>
        <v>#DIV/0!</v>
      </c>
      <c r="K131" s="199" t="e">
        <f t="shared" si="76"/>
        <v>#DIV/0!</v>
      </c>
      <c r="L131" s="725"/>
      <c r="M131" s="199" t="e">
        <f>RANK(K131, K$128:$K$142)</f>
        <v>#DIV/0!</v>
      </c>
    </row>
    <row r="132" spans="2:13" s="108" customFormat="1">
      <c r="B132" s="676"/>
      <c r="C132" s="343">
        <v>5</v>
      </c>
      <c r="D132" s="227"/>
      <c r="E132" s="182"/>
      <c r="F132" s="343"/>
      <c r="G132" s="346"/>
      <c r="H132" s="718"/>
      <c r="I132" s="199" t="e">
        <f t="shared" si="75"/>
        <v>#DIV/0!</v>
      </c>
      <c r="J132" s="199" t="e">
        <f t="shared" si="75"/>
        <v>#DIV/0!</v>
      </c>
      <c r="K132" s="199" t="e">
        <f t="shared" si="76"/>
        <v>#DIV/0!</v>
      </c>
      <c r="L132" s="725"/>
      <c r="M132" s="199" t="e">
        <f>RANK(K132, K$128:$K$142)</f>
        <v>#DIV/0!</v>
      </c>
    </row>
    <row r="133" spans="2:13" s="108" customFormat="1">
      <c r="B133" s="676"/>
      <c r="C133" s="343">
        <v>6</v>
      </c>
      <c r="D133" s="352"/>
      <c r="E133" s="182"/>
      <c r="F133" s="343"/>
      <c r="G133" s="346"/>
      <c r="H133" s="718"/>
      <c r="I133" s="199" t="e">
        <f t="shared" si="75"/>
        <v>#DIV/0!</v>
      </c>
      <c r="J133" s="199" t="e">
        <f t="shared" si="75"/>
        <v>#DIV/0!</v>
      </c>
      <c r="K133" s="199" t="e">
        <f t="shared" si="76"/>
        <v>#DIV/0!</v>
      </c>
      <c r="L133" s="725"/>
      <c r="M133" s="199" t="e">
        <f>RANK(K133, K$128:$K$142)</f>
        <v>#DIV/0!</v>
      </c>
    </row>
    <row r="134" spans="2:13" s="108" customFormat="1">
      <c r="B134" s="676"/>
      <c r="C134" s="343">
        <v>7</v>
      </c>
      <c r="D134" s="227"/>
      <c r="E134" s="182"/>
      <c r="F134" s="343"/>
      <c r="G134" s="346"/>
      <c r="H134" s="718"/>
      <c r="I134" s="199" t="e">
        <f t="shared" si="75"/>
        <v>#DIV/0!</v>
      </c>
      <c r="J134" s="199" t="e">
        <f t="shared" si="75"/>
        <v>#DIV/0!</v>
      </c>
      <c r="K134" s="199" t="e">
        <f t="shared" si="76"/>
        <v>#DIV/0!</v>
      </c>
      <c r="L134" s="725"/>
      <c r="M134" s="199" t="e">
        <f>RANK(K134, K$128:$K$142)</f>
        <v>#DIV/0!</v>
      </c>
    </row>
    <row r="135" spans="2:13" s="108" customFormat="1">
      <c r="B135" s="676"/>
      <c r="C135" s="343">
        <v>8</v>
      </c>
      <c r="D135" s="227"/>
      <c r="E135" s="182"/>
      <c r="F135" s="343"/>
      <c r="G135" s="346"/>
      <c r="H135" s="718"/>
      <c r="I135" s="199" t="e">
        <f t="shared" si="75"/>
        <v>#DIV/0!</v>
      </c>
      <c r="J135" s="199" t="e">
        <f t="shared" si="75"/>
        <v>#DIV/0!</v>
      </c>
      <c r="K135" s="199" t="e">
        <f t="shared" si="76"/>
        <v>#DIV/0!</v>
      </c>
      <c r="L135" s="725"/>
      <c r="M135" s="199" t="e">
        <f>RANK(K135, K$128:$K$142)</f>
        <v>#DIV/0!</v>
      </c>
    </row>
    <row r="136" spans="2:13" s="108" customFormat="1">
      <c r="B136" s="676"/>
      <c r="C136" s="343">
        <v>9</v>
      </c>
      <c r="D136" s="227"/>
      <c r="E136" s="343"/>
      <c r="F136" s="343"/>
      <c r="G136" s="343"/>
      <c r="H136" s="718"/>
      <c r="I136" s="199" t="e">
        <f t="shared" si="75"/>
        <v>#DIV/0!</v>
      </c>
      <c r="J136" s="199" t="e">
        <f t="shared" si="75"/>
        <v>#DIV/0!</v>
      </c>
      <c r="K136" s="199" t="e">
        <f t="shared" si="76"/>
        <v>#DIV/0!</v>
      </c>
      <c r="L136" s="725"/>
      <c r="M136" s="199" t="e">
        <f>RANK(K136, K$128:$K$142)</f>
        <v>#DIV/0!</v>
      </c>
    </row>
    <row r="137" spans="2:13" s="108" customFormat="1">
      <c r="B137" s="676"/>
      <c r="C137" s="343">
        <v>10</v>
      </c>
      <c r="D137" s="227"/>
      <c r="E137" s="343"/>
      <c r="F137" s="343"/>
      <c r="G137" s="343"/>
      <c r="H137" s="718"/>
      <c r="I137" s="199" t="e">
        <f t="shared" si="75"/>
        <v>#DIV/0!</v>
      </c>
      <c r="J137" s="199" t="e">
        <f t="shared" si="75"/>
        <v>#DIV/0!</v>
      </c>
      <c r="K137" s="199" t="e">
        <f t="shared" si="76"/>
        <v>#DIV/0!</v>
      </c>
      <c r="L137" s="725"/>
      <c r="M137" s="199" t="e">
        <f>RANK(K137, K$128:$K$142)</f>
        <v>#DIV/0!</v>
      </c>
    </row>
    <row r="138" spans="2:13" s="108" customFormat="1">
      <c r="B138" s="676"/>
      <c r="C138" s="343">
        <v>11</v>
      </c>
      <c r="D138" s="227"/>
      <c r="E138" s="343"/>
      <c r="F138" s="343"/>
      <c r="G138" s="343"/>
      <c r="H138" s="718"/>
      <c r="I138" s="199"/>
      <c r="J138" s="199"/>
      <c r="K138" s="199"/>
      <c r="L138" s="725"/>
      <c r="M138" s="199" t="e">
        <f>RANK(K138, K$128:$K$142)</f>
        <v>#DIV/0!</v>
      </c>
    </row>
    <row r="139" spans="2:13" s="108" customFormat="1">
      <c r="B139" s="676"/>
      <c r="C139" s="343">
        <v>12</v>
      </c>
      <c r="D139" s="227"/>
      <c r="E139" s="343"/>
      <c r="F139" s="343"/>
      <c r="G139" s="343"/>
      <c r="H139" s="718"/>
      <c r="I139" s="199"/>
      <c r="J139" s="199"/>
      <c r="K139" s="199"/>
      <c r="L139" s="725"/>
      <c r="M139" s="199" t="e">
        <f>RANK(K139, K$128:$K$142)</f>
        <v>#DIV/0!</v>
      </c>
    </row>
    <row r="140" spans="2:13" s="108" customFormat="1">
      <c r="B140" s="676"/>
      <c r="C140" s="343">
        <v>13</v>
      </c>
      <c r="D140" s="227"/>
      <c r="E140" s="343"/>
      <c r="F140" s="343"/>
      <c r="G140" s="343"/>
      <c r="H140" s="718"/>
      <c r="I140" s="199"/>
      <c r="J140" s="199"/>
      <c r="K140" s="199"/>
      <c r="L140" s="725"/>
      <c r="M140" s="199" t="e">
        <f>RANK(K140, K$128:$K$142)</f>
        <v>#DIV/0!</v>
      </c>
    </row>
    <row r="141" spans="2:13" s="108" customFormat="1">
      <c r="B141" s="676"/>
      <c r="C141" s="343">
        <v>14</v>
      </c>
      <c r="D141" s="227"/>
      <c r="E141" s="343"/>
      <c r="F141" s="343"/>
      <c r="G141" s="343"/>
      <c r="H141" s="718"/>
      <c r="I141" s="199"/>
      <c r="J141" s="199"/>
      <c r="K141" s="199"/>
      <c r="L141" s="725"/>
      <c r="M141" s="199" t="e">
        <f>RANK(K141, K$128:$K$142)</f>
        <v>#DIV/0!</v>
      </c>
    </row>
    <row r="142" spans="2:13" s="108" customFormat="1">
      <c r="B142" s="676"/>
      <c r="C142" s="343">
        <v>15</v>
      </c>
      <c r="D142" s="227"/>
      <c r="E142" s="343"/>
      <c r="F142" s="343"/>
      <c r="G142" s="343"/>
      <c r="H142" s="719"/>
      <c r="I142" s="199"/>
      <c r="J142" s="199"/>
      <c r="K142" s="199"/>
      <c r="L142" s="726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8" zoomScale="40" zoomScaleNormal="40" workbookViewId="0">
      <pane xSplit="15" topLeftCell="P1" activePane="topRight" state="frozen"/>
      <selection activeCell="P2" sqref="P2:AX2"/>
      <selection pane="topRight" activeCell="AT67" sqref="AT67:AV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124.80390448986013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2" t="s">
        <v>158</v>
      </c>
      <c r="Q3" s="673"/>
      <c r="R3" s="673"/>
      <c r="S3" s="673"/>
      <c r="T3" s="674"/>
      <c r="U3" s="672" t="s">
        <v>114</v>
      </c>
      <c r="V3" s="673"/>
      <c r="W3" s="673"/>
      <c r="X3" s="673"/>
      <c r="Y3" s="674"/>
      <c r="Z3" s="672" t="s">
        <v>159</v>
      </c>
      <c r="AA3" s="673"/>
      <c r="AB3" s="673"/>
      <c r="AC3" s="673"/>
      <c r="AD3" s="674"/>
      <c r="AE3" s="672" t="s">
        <v>157</v>
      </c>
      <c r="AF3" s="673"/>
      <c r="AG3" s="673"/>
      <c r="AH3" s="673"/>
      <c r="AI3" s="674"/>
      <c r="AJ3" s="672" t="s">
        <v>160</v>
      </c>
      <c r="AK3" s="673"/>
      <c r="AL3" s="673"/>
      <c r="AM3" s="673"/>
      <c r="AN3" s="674"/>
      <c r="AO3" s="672" t="s">
        <v>161</v>
      </c>
      <c r="AP3" s="673"/>
      <c r="AQ3" s="673"/>
      <c r="AR3" s="673"/>
      <c r="AS3" s="674"/>
      <c r="AT3" s="672" t="s">
        <v>162</v>
      </c>
      <c r="AU3" s="673"/>
      <c r="AV3" s="673"/>
      <c r="AW3" s="673"/>
      <c r="AX3" s="674"/>
    </row>
    <row r="4" spans="1:54" ht="14.25">
      <c r="A4" s="81"/>
      <c r="B4" s="668" t="s">
        <v>822</v>
      </c>
      <c r="C4" s="668" t="s">
        <v>823</v>
      </c>
      <c r="D4" s="668"/>
      <c r="E4" s="668" t="s">
        <v>824</v>
      </c>
      <c r="F4" s="668"/>
      <c r="G4" s="668"/>
      <c r="H4" s="684" t="s">
        <v>825</v>
      </c>
      <c r="I4" s="668" t="s">
        <v>826</v>
      </c>
      <c r="J4" s="668"/>
      <c r="K4" s="668"/>
      <c r="L4" s="684" t="s">
        <v>825</v>
      </c>
      <c r="M4" s="669" t="s">
        <v>827</v>
      </c>
      <c r="N4" s="668"/>
      <c r="O4" s="668" t="s">
        <v>465</v>
      </c>
      <c r="P4" s="665" t="s">
        <v>418</v>
      </c>
      <c r="Q4" s="666"/>
      <c r="R4" s="666"/>
      <c r="S4" s="667"/>
      <c r="T4" s="668" t="s">
        <v>416</v>
      </c>
      <c r="U4" s="665" t="s">
        <v>418</v>
      </c>
      <c r="V4" s="666"/>
      <c r="W4" s="666"/>
      <c r="X4" s="667"/>
      <c r="Y4" s="668" t="s">
        <v>416</v>
      </c>
      <c r="Z4" s="665" t="s">
        <v>418</v>
      </c>
      <c r="AA4" s="666"/>
      <c r="AB4" s="666"/>
      <c r="AC4" s="667"/>
      <c r="AD4" s="668" t="s">
        <v>416</v>
      </c>
      <c r="AE4" s="665" t="s">
        <v>418</v>
      </c>
      <c r="AF4" s="666"/>
      <c r="AG4" s="666"/>
      <c r="AH4" s="667"/>
      <c r="AI4" s="668" t="s">
        <v>416</v>
      </c>
      <c r="AJ4" s="665" t="s">
        <v>418</v>
      </c>
      <c r="AK4" s="666"/>
      <c r="AL4" s="666"/>
      <c r="AM4" s="667"/>
      <c r="AN4" s="668" t="s">
        <v>416</v>
      </c>
      <c r="AO4" s="665" t="s">
        <v>418</v>
      </c>
      <c r="AP4" s="666"/>
      <c r="AQ4" s="666"/>
      <c r="AR4" s="667"/>
      <c r="AS4" s="668" t="s">
        <v>416</v>
      </c>
      <c r="AT4" s="665" t="s">
        <v>418</v>
      </c>
      <c r="AU4" s="666"/>
      <c r="AV4" s="666"/>
      <c r="AW4" s="667"/>
      <c r="AX4" s="668" t="s">
        <v>416</v>
      </c>
    </row>
    <row r="5" spans="1:54" ht="14.25">
      <c r="A5" s="81"/>
      <c r="B5" s="668"/>
      <c r="C5" s="668"/>
      <c r="D5" s="668"/>
      <c r="E5" s="668" t="s">
        <v>829</v>
      </c>
      <c r="F5" s="668"/>
      <c r="G5" s="668"/>
      <c r="H5" s="685"/>
      <c r="I5" s="668" t="s">
        <v>829</v>
      </c>
      <c r="J5" s="668"/>
      <c r="K5" s="668"/>
      <c r="L5" s="685"/>
      <c r="M5" s="670"/>
      <c r="N5" s="668"/>
      <c r="O5" s="668"/>
      <c r="P5" s="665" t="s">
        <v>816</v>
      </c>
      <c r="Q5" s="666"/>
      <c r="R5" s="666"/>
      <c r="S5" s="667"/>
      <c r="T5" s="668"/>
      <c r="U5" s="665" t="s">
        <v>816</v>
      </c>
      <c r="V5" s="666"/>
      <c r="W5" s="666"/>
      <c r="X5" s="667"/>
      <c r="Y5" s="668"/>
      <c r="Z5" s="665" t="s">
        <v>816</v>
      </c>
      <c r="AA5" s="666"/>
      <c r="AB5" s="666"/>
      <c r="AC5" s="667"/>
      <c r="AD5" s="668"/>
      <c r="AE5" s="665" t="s">
        <v>816</v>
      </c>
      <c r="AF5" s="666"/>
      <c r="AG5" s="666"/>
      <c r="AH5" s="667"/>
      <c r="AI5" s="668"/>
      <c r="AJ5" s="665" t="s">
        <v>816</v>
      </c>
      <c r="AK5" s="666"/>
      <c r="AL5" s="666"/>
      <c r="AM5" s="667"/>
      <c r="AN5" s="668"/>
      <c r="AO5" s="665" t="s">
        <v>816</v>
      </c>
      <c r="AP5" s="666"/>
      <c r="AQ5" s="666"/>
      <c r="AR5" s="667"/>
      <c r="AS5" s="668"/>
      <c r="AT5" s="665" t="s">
        <v>816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14" t="s">
        <v>830</v>
      </c>
      <c r="F6" s="514" t="s">
        <v>831</v>
      </c>
      <c r="G6" s="514" t="s">
        <v>832</v>
      </c>
      <c r="H6" s="686"/>
      <c r="I6" s="514" t="s">
        <v>830</v>
      </c>
      <c r="J6" s="514" t="s">
        <v>831</v>
      </c>
      <c r="K6" s="514" t="s">
        <v>832</v>
      </c>
      <c r="L6" s="686"/>
      <c r="M6" s="671"/>
      <c r="N6" s="668"/>
      <c r="O6" s="668"/>
      <c r="P6" s="514" t="s">
        <v>425</v>
      </c>
      <c r="Q6" s="514" t="s">
        <v>818</v>
      </c>
      <c r="R6" s="514" t="s">
        <v>819</v>
      </c>
      <c r="S6" s="514" t="s">
        <v>417</v>
      </c>
      <c r="T6" s="668"/>
      <c r="U6" s="514" t="s">
        <v>425</v>
      </c>
      <c r="V6" s="514" t="s">
        <v>818</v>
      </c>
      <c r="W6" s="514" t="s">
        <v>819</v>
      </c>
      <c r="X6" s="514" t="s">
        <v>417</v>
      </c>
      <c r="Y6" s="668"/>
      <c r="Z6" s="514" t="s">
        <v>425</v>
      </c>
      <c r="AA6" s="514" t="s">
        <v>818</v>
      </c>
      <c r="AB6" s="514" t="s">
        <v>819</v>
      </c>
      <c r="AC6" s="514" t="s">
        <v>417</v>
      </c>
      <c r="AD6" s="668"/>
      <c r="AE6" s="514" t="s">
        <v>425</v>
      </c>
      <c r="AF6" s="514" t="s">
        <v>818</v>
      </c>
      <c r="AG6" s="514" t="s">
        <v>819</v>
      </c>
      <c r="AH6" s="514" t="s">
        <v>417</v>
      </c>
      <c r="AI6" s="668"/>
      <c r="AJ6" s="514" t="s">
        <v>425</v>
      </c>
      <c r="AK6" s="514" t="s">
        <v>818</v>
      </c>
      <c r="AL6" s="514" t="s">
        <v>819</v>
      </c>
      <c r="AM6" s="514" t="s">
        <v>417</v>
      </c>
      <c r="AN6" s="668"/>
      <c r="AO6" s="514" t="s">
        <v>425</v>
      </c>
      <c r="AP6" s="514" t="s">
        <v>818</v>
      </c>
      <c r="AQ6" s="514" t="s">
        <v>819</v>
      </c>
      <c r="AR6" s="514" t="s">
        <v>417</v>
      </c>
      <c r="AS6" s="668"/>
      <c r="AT6" s="514" t="s">
        <v>425</v>
      </c>
      <c r="AU6" s="514" t="s">
        <v>818</v>
      </c>
      <c r="AV6" s="514" t="s">
        <v>819</v>
      </c>
      <c r="AW6" s="514" t="s">
        <v>417</v>
      </c>
      <c r="AX6" s="668"/>
    </row>
    <row r="7" spans="1:54" ht="14.25">
      <c r="A7" s="81"/>
      <c r="B7" s="668" t="s">
        <v>136</v>
      </c>
      <c r="C7" s="515">
        <v>1</v>
      </c>
      <c r="D7" s="498" t="s">
        <v>378</v>
      </c>
      <c r="E7" s="518">
        <v>20</v>
      </c>
      <c r="F7" s="518">
        <v>2400</v>
      </c>
      <c r="G7" s="518">
        <v>120</v>
      </c>
      <c r="H7" s="735">
        <f>AVERAGE(G7:G21)</f>
        <v>148.73999999999998</v>
      </c>
      <c r="I7" s="518">
        <f>AVERAGE(P7,U7,Z7,AE7,AJ7,AO7,AT7)</f>
        <v>20</v>
      </c>
      <c r="J7" s="518">
        <f>AVERAGE(Q7,V7,AA7,AF7,AK7,AP7,AU7)</f>
        <v>2238.0155638081569</v>
      </c>
      <c r="K7" s="513">
        <f>AVERAGE(R7,W7,AB7,AG7,AL7,AQ7,AV7)</f>
        <v>111.90077819040782</v>
      </c>
      <c r="L7" s="712">
        <f>AVERAGE(K7:K21)</f>
        <v>126.65731759521148</v>
      </c>
      <c r="M7" s="517">
        <f>RANK(K7, K$7:$K$21)</f>
        <v>5</v>
      </c>
      <c r="N7" s="668"/>
      <c r="O7" s="668"/>
      <c r="P7" s="515">
        <v>20</v>
      </c>
      <c r="Q7" s="518">
        <v>2244.0000000000018</v>
      </c>
      <c r="R7" s="518">
        <v>112.20000000000009</v>
      </c>
      <c r="S7" s="515">
        <f>RANK(R7, R$7:R$21)</f>
        <v>5</v>
      </c>
      <c r="T7" s="715">
        <f>AVERAGE(R7:R21)</f>
        <v>128.2606135296196</v>
      </c>
      <c r="U7" s="573">
        <v>20</v>
      </c>
      <c r="V7" s="574">
        <v>2237.5116279069762</v>
      </c>
      <c r="W7" s="574">
        <v>111.8755813953488</v>
      </c>
      <c r="X7" s="515">
        <f>RANK(W7, W$7:W$21)</f>
        <v>5</v>
      </c>
      <c r="Y7" s="715">
        <f>AVERAGE(W7:W21)</f>
        <v>128.25329565128092</v>
      </c>
      <c r="Z7" s="573">
        <v>20</v>
      </c>
      <c r="AA7" s="574">
        <v>2281.5000000000009</v>
      </c>
      <c r="AB7" s="574">
        <v>114.07500000000005</v>
      </c>
      <c r="AC7" s="515">
        <f>RANK(AB7, AB$7:AB$21)</f>
        <v>5</v>
      </c>
      <c r="AD7" s="715">
        <f>AVERAGE(AB7:AB21)</f>
        <v>128.73338342943609</v>
      </c>
      <c r="AE7" s="573">
        <v>20</v>
      </c>
      <c r="AF7" s="574">
        <v>2223</v>
      </c>
      <c r="AG7" s="574">
        <v>111.15</v>
      </c>
      <c r="AH7" s="515">
        <f>RANK(AG7, AG$7:AG$21)</f>
        <v>5</v>
      </c>
      <c r="AI7" s="715">
        <f>AVERAGE(AG7:AG21)</f>
        <v>127.28848487790496</v>
      </c>
      <c r="AJ7" s="573">
        <v>20</v>
      </c>
      <c r="AK7" s="574">
        <v>2267.3529411764716</v>
      </c>
      <c r="AL7" s="574">
        <v>113.36764705882358</v>
      </c>
      <c r="AM7" s="515">
        <f>RANK(AL7, AL$7:AL$21)</f>
        <v>5</v>
      </c>
      <c r="AN7" s="715">
        <f>AVERAGE(AL7:AL21)</f>
        <v>127.52483609372507</v>
      </c>
      <c r="AO7" s="573">
        <v>20</v>
      </c>
      <c r="AP7" s="574">
        <v>2200.2077922077929</v>
      </c>
      <c r="AQ7" s="574">
        <v>110.01038961038964</v>
      </c>
      <c r="AR7" s="515">
        <f>RANK(AQ7, AQ$7:AQ$21)</f>
        <v>5</v>
      </c>
      <c r="AS7" s="715">
        <f>AVERAGE(AQ7:AQ21)</f>
        <v>122.94566927387939</v>
      </c>
      <c r="AT7" s="573">
        <v>20</v>
      </c>
      <c r="AU7" s="574">
        <v>2212.5365853658532</v>
      </c>
      <c r="AV7" s="574">
        <v>110.62682926829265</v>
      </c>
      <c r="AW7" s="515">
        <f>RANK(AV7, AV$7:AV$21)</f>
        <v>5</v>
      </c>
      <c r="AX7" s="715">
        <f>AVERAGE(AV7:AV21)</f>
        <v>123.59494031063431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701"/>
      <c r="C8" s="515">
        <v>2</v>
      </c>
      <c r="D8" s="498" t="s">
        <v>379</v>
      </c>
      <c r="E8" s="518">
        <v>18</v>
      </c>
      <c r="F8" s="518">
        <v>2600</v>
      </c>
      <c r="G8" s="518">
        <v>166.7</v>
      </c>
      <c r="H8" s="736"/>
      <c r="I8" s="518">
        <f t="shared" ref="I8:I11" si="0">AVERAGE(P8,U8,Z8,AE8,AJ8,AO8,AT8)</f>
        <v>19</v>
      </c>
      <c r="J8" s="518">
        <f t="shared" ref="J8:J11" si="1">AVERAGE(Q8,V8,AA8,AF8,AK8,AP8,AU8)</f>
        <v>2560.7147872854252</v>
      </c>
      <c r="K8" s="513">
        <f t="shared" ref="K8:K11" si="2">AVERAGE(R8,W8,AB8,AG8,AL8,AQ8,AV8)</f>
        <v>134.7744624887066</v>
      </c>
      <c r="L8" s="713"/>
      <c r="M8" s="517">
        <f>RANK(K8, K$7:$K$21)</f>
        <v>2</v>
      </c>
      <c r="N8" s="668"/>
      <c r="O8" s="668"/>
      <c r="P8" s="515">
        <v>19</v>
      </c>
      <c r="Q8" s="518">
        <v>2612.071428571428</v>
      </c>
      <c r="R8" s="518">
        <v>137.47744360902252</v>
      </c>
      <c r="S8" s="515">
        <f t="shared" ref="S8:S21" si="3">RANK(R8, R$7:R$21)</f>
        <v>2</v>
      </c>
      <c r="T8" s="715"/>
      <c r="U8" s="573">
        <v>19</v>
      </c>
      <c r="V8" s="574">
        <v>2590.840909090909</v>
      </c>
      <c r="W8" s="574">
        <v>136.36004784688996</v>
      </c>
      <c r="X8" s="515">
        <f t="shared" ref="X8:X21" si="4">RANK(W8, W$7:W$21)</f>
        <v>2</v>
      </c>
      <c r="Y8" s="715"/>
      <c r="Z8" s="573">
        <v>19</v>
      </c>
      <c r="AA8" s="574">
        <v>2623.1111111111127</v>
      </c>
      <c r="AB8" s="574">
        <v>138.05847953216383</v>
      </c>
      <c r="AC8" s="515">
        <f t="shared" ref="AC8:AC21" si="5">RANK(AB8, AB$7:AB$21)</f>
        <v>2</v>
      </c>
      <c r="AD8" s="715"/>
      <c r="AE8" s="573">
        <v>19</v>
      </c>
      <c r="AF8" s="574">
        <v>2542.8000000000006</v>
      </c>
      <c r="AG8" s="574">
        <v>133.83157894736846</v>
      </c>
      <c r="AH8" s="515">
        <f t="shared" ref="AH8:AH21" si="6">RANK(AG8, AG$7:AG$21)</f>
        <v>2</v>
      </c>
      <c r="AI8" s="715"/>
      <c r="AJ8" s="573">
        <v>19</v>
      </c>
      <c r="AK8" s="574">
        <v>2579.3793103448297</v>
      </c>
      <c r="AL8" s="574">
        <v>135.75680580762261</v>
      </c>
      <c r="AM8" s="515">
        <f t="shared" ref="AM8:AM21" si="7">RANK(AL8, AL$7:AL$21)</f>
        <v>2</v>
      </c>
      <c r="AN8" s="715"/>
      <c r="AO8" s="573">
        <v>19</v>
      </c>
      <c r="AP8" s="574">
        <v>2463.1578947368403</v>
      </c>
      <c r="AQ8" s="574">
        <v>129.6398891966758</v>
      </c>
      <c r="AR8" s="515">
        <f t="shared" ref="AR8:AR21" si="8">RANK(AQ8, AQ$7:AQ$21)</f>
        <v>2</v>
      </c>
      <c r="AS8" s="715"/>
      <c r="AT8" s="573">
        <v>19</v>
      </c>
      <c r="AU8" s="574">
        <v>2513.6428571428564</v>
      </c>
      <c r="AV8" s="574">
        <v>132.29699248120298</v>
      </c>
      <c r="AW8" s="515">
        <f t="shared" ref="AW8:AW21" si="9">RANK(AV8, AV$7:AV$21)</f>
        <v>1</v>
      </c>
      <c r="AX8" s="715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701"/>
      <c r="C9" s="515">
        <v>3</v>
      </c>
      <c r="D9" s="498" t="s">
        <v>380</v>
      </c>
      <c r="E9" s="518">
        <v>18</v>
      </c>
      <c r="F9" s="518">
        <v>2600</v>
      </c>
      <c r="G9" s="518">
        <v>166.7</v>
      </c>
      <c r="H9" s="736"/>
      <c r="I9" s="518">
        <f t="shared" si="0"/>
        <v>19</v>
      </c>
      <c r="J9" s="518">
        <f t="shared" si="1"/>
        <v>2584.330397772012</v>
      </c>
      <c r="K9" s="513">
        <f t="shared" si="2"/>
        <v>136.01738935642169</v>
      </c>
      <c r="L9" s="713"/>
      <c r="M9" s="517">
        <f>RANK(K9, K$7:$K$21)</f>
        <v>1</v>
      </c>
      <c r="N9" s="668"/>
      <c r="O9" s="668"/>
      <c r="P9" s="515">
        <v>19</v>
      </c>
      <c r="Q9" s="518">
        <v>2652.6610169491514</v>
      </c>
      <c r="R9" s="518">
        <v>139.61373773416585</v>
      </c>
      <c r="S9" s="515">
        <f t="shared" si="3"/>
        <v>1</v>
      </c>
      <c r="T9" s="715"/>
      <c r="U9" s="573">
        <v>19</v>
      </c>
      <c r="V9" s="574">
        <v>2619.0000000000018</v>
      </c>
      <c r="W9" s="574">
        <v>137.842105263158</v>
      </c>
      <c r="X9" s="515">
        <f t="shared" si="4"/>
        <v>1</v>
      </c>
      <c r="Y9" s="715"/>
      <c r="Z9" s="573">
        <v>19</v>
      </c>
      <c r="AA9" s="574">
        <v>2636.931818181818</v>
      </c>
      <c r="AB9" s="574">
        <v>138.7858851674641</v>
      </c>
      <c r="AC9" s="515">
        <f t="shared" si="5"/>
        <v>1</v>
      </c>
      <c r="AD9" s="715"/>
      <c r="AE9" s="573">
        <v>19</v>
      </c>
      <c r="AF9" s="574">
        <v>2612.0487804878044</v>
      </c>
      <c r="AG9" s="574">
        <v>137.4762516046213</v>
      </c>
      <c r="AH9" s="515">
        <f t="shared" si="6"/>
        <v>1</v>
      </c>
      <c r="AI9" s="715"/>
      <c r="AJ9" s="573">
        <v>19</v>
      </c>
      <c r="AK9" s="574">
        <v>2608.6666666666665</v>
      </c>
      <c r="AL9" s="574">
        <v>137.29824561403507</v>
      </c>
      <c r="AM9" s="515">
        <f t="shared" si="7"/>
        <v>1</v>
      </c>
      <c r="AN9" s="715"/>
      <c r="AO9" s="573">
        <v>19</v>
      </c>
      <c r="AP9" s="574">
        <v>2481.4576271186429</v>
      </c>
      <c r="AQ9" s="574">
        <v>130.60303300624437</v>
      </c>
      <c r="AR9" s="515">
        <f t="shared" si="8"/>
        <v>1</v>
      </c>
      <c r="AS9" s="715"/>
      <c r="AT9" s="573">
        <v>19</v>
      </c>
      <c r="AU9" s="574">
        <v>2479.5468749999995</v>
      </c>
      <c r="AV9" s="574">
        <v>130.50246710526312</v>
      </c>
      <c r="AW9" s="515">
        <f t="shared" si="9"/>
        <v>2</v>
      </c>
      <c r="AX9" s="715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701"/>
      <c r="C10" s="515">
        <v>4</v>
      </c>
      <c r="D10" s="498" t="s">
        <v>381</v>
      </c>
      <c r="E10" s="518">
        <v>19</v>
      </c>
      <c r="F10" s="518">
        <v>2600</v>
      </c>
      <c r="G10" s="518">
        <v>157.9</v>
      </c>
      <c r="H10" s="736"/>
      <c r="I10" s="518">
        <f t="shared" si="0"/>
        <v>20</v>
      </c>
      <c r="J10" s="518">
        <f t="shared" si="1"/>
        <v>2605.4207932557147</v>
      </c>
      <c r="K10" s="513">
        <f t="shared" si="2"/>
        <v>130.27103966278574</v>
      </c>
      <c r="L10" s="713"/>
      <c r="M10" s="517">
        <f>RANK(K10, K$7:$K$21)</f>
        <v>3</v>
      </c>
      <c r="N10" s="668"/>
      <c r="O10" s="668"/>
      <c r="P10" s="515">
        <v>20</v>
      </c>
      <c r="Q10" s="518">
        <v>2631.348837209302</v>
      </c>
      <c r="R10" s="518">
        <v>131.5674418604651</v>
      </c>
      <c r="S10" s="515">
        <f t="shared" si="3"/>
        <v>3</v>
      </c>
      <c r="T10" s="715"/>
      <c r="U10" s="573">
        <v>20</v>
      </c>
      <c r="V10" s="574">
        <v>2672.1509433962274</v>
      </c>
      <c r="W10" s="574">
        <v>133.60754716981137</v>
      </c>
      <c r="X10" s="515">
        <f t="shared" si="4"/>
        <v>3</v>
      </c>
      <c r="Y10" s="715"/>
      <c r="Z10" s="573">
        <v>20</v>
      </c>
      <c r="AA10" s="574">
        <v>2624.1818181818189</v>
      </c>
      <c r="AB10" s="574">
        <v>131.20909090909095</v>
      </c>
      <c r="AC10" s="515">
        <f t="shared" si="5"/>
        <v>3</v>
      </c>
      <c r="AD10" s="715"/>
      <c r="AE10" s="573">
        <v>20</v>
      </c>
      <c r="AF10" s="574">
        <v>2655.8823529411766</v>
      </c>
      <c r="AG10" s="574">
        <v>132.79411764705884</v>
      </c>
      <c r="AH10" s="515">
        <f t="shared" si="6"/>
        <v>3</v>
      </c>
      <c r="AI10" s="715"/>
      <c r="AJ10" s="573">
        <v>20</v>
      </c>
      <c r="AK10" s="574">
        <v>2634.8823529411766</v>
      </c>
      <c r="AL10" s="574">
        <v>131.74411764705883</v>
      </c>
      <c r="AM10" s="515">
        <f t="shared" si="7"/>
        <v>3</v>
      </c>
      <c r="AN10" s="715"/>
      <c r="AO10" s="573">
        <v>20</v>
      </c>
      <c r="AP10" s="574">
        <v>2503.6421052631581</v>
      </c>
      <c r="AQ10" s="574">
        <v>125.18210526315791</v>
      </c>
      <c r="AR10" s="515">
        <f t="shared" si="8"/>
        <v>3</v>
      </c>
      <c r="AS10" s="715"/>
      <c r="AT10" s="573">
        <v>20</v>
      </c>
      <c r="AU10" s="574">
        <v>2515.8571428571449</v>
      </c>
      <c r="AV10" s="574">
        <v>125.79285714285724</v>
      </c>
      <c r="AW10" s="515">
        <f t="shared" si="9"/>
        <v>3</v>
      </c>
      <c r="AX10" s="715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701"/>
      <c r="C11" s="515">
        <v>5</v>
      </c>
      <c r="D11" s="498" t="s">
        <v>763</v>
      </c>
      <c r="E11" s="518">
        <v>17</v>
      </c>
      <c r="F11" s="518">
        <v>2250</v>
      </c>
      <c r="G11" s="518">
        <v>132.4</v>
      </c>
      <c r="H11" s="736"/>
      <c r="I11" s="518">
        <f t="shared" si="0"/>
        <v>18</v>
      </c>
      <c r="J11" s="518">
        <f t="shared" si="1"/>
        <v>2165.8125289992395</v>
      </c>
      <c r="K11" s="513">
        <f t="shared" si="2"/>
        <v>120.32291827773554</v>
      </c>
      <c r="L11" s="713"/>
      <c r="M11" s="517">
        <f>RANK(K11, K$7:$K$21)</f>
        <v>4</v>
      </c>
      <c r="N11" s="668"/>
      <c r="O11" s="668"/>
      <c r="P11" s="515">
        <v>18</v>
      </c>
      <c r="Q11" s="518">
        <v>2167.9999999999995</v>
      </c>
      <c r="R11" s="518">
        <v>120.44444444444441</v>
      </c>
      <c r="S11" s="515">
        <f t="shared" si="3"/>
        <v>4</v>
      </c>
      <c r="T11" s="715"/>
      <c r="U11" s="573">
        <v>18</v>
      </c>
      <c r="V11" s="574">
        <v>2188.4615384615381</v>
      </c>
      <c r="W11" s="574">
        <v>121.58119658119656</v>
      </c>
      <c r="X11" s="515">
        <f t="shared" si="4"/>
        <v>4</v>
      </c>
      <c r="Y11" s="715"/>
      <c r="Z11" s="573">
        <v>18</v>
      </c>
      <c r="AA11" s="574">
        <v>2187.6923076923072</v>
      </c>
      <c r="AB11" s="574">
        <v>121.5384615384615</v>
      </c>
      <c r="AC11" s="515">
        <f t="shared" si="5"/>
        <v>4</v>
      </c>
      <c r="AD11" s="715"/>
      <c r="AE11" s="573">
        <v>18</v>
      </c>
      <c r="AF11" s="574">
        <v>2181.4285714285706</v>
      </c>
      <c r="AG11" s="574">
        <v>121.19047619047615</v>
      </c>
      <c r="AH11" s="515">
        <f t="shared" si="6"/>
        <v>4</v>
      </c>
      <c r="AI11" s="715"/>
      <c r="AJ11" s="573">
        <v>18</v>
      </c>
      <c r="AK11" s="574">
        <v>2150.2325581395344</v>
      </c>
      <c r="AL11" s="574">
        <v>119.45736434108524</v>
      </c>
      <c r="AM11" s="515">
        <f t="shared" si="7"/>
        <v>4</v>
      </c>
      <c r="AN11" s="715"/>
      <c r="AO11" s="573">
        <v>18</v>
      </c>
      <c r="AP11" s="574">
        <v>2147.2727272727275</v>
      </c>
      <c r="AQ11" s="574">
        <v>119.2929292929293</v>
      </c>
      <c r="AR11" s="515">
        <f t="shared" si="8"/>
        <v>4</v>
      </c>
      <c r="AS11" s="715"/>
      <c r="AT11" s="573">
        <v>18</v>
      </c>
      <c r="AU11" s="574">
        <v>2137.6000000000004</v>
      </c>
      <c r="AV11" s="574">
        <v>118.75555555555557</v>
      </c>
      <c r="AW11" s="515">
        <f t="shared" si="9"/>
        <v>4</v>
      </c>
      <c r="AX11" s="715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701"/>
      <c r="C12" s="515">
        <v>6</v>
      </c>
      <c r="D12" s="498"/>
      <c r="E12" s="518"/>
      <c r="F12" s="518"/>
      <c r="G12" s="518"/>
      <c r="H12" s="736"/>
      <c r="I12" s="518"/>
      <c r="J12" s="518"/>
      <c r="K12" s="513"/>
      <c r="L12" s="713"/>
      <c r="M12" s="517" t="e">
        <f>RANK(K12, K$7:$K$21)</f>
        <v>#N/A</v>
      </c>
      <c r="N12" s="668"/>
      <c r="O12" s="668"/>
      <c r="P12" s="515"/>
      <c r="Q12" s="518"/>
      <c r="R12" s="518"/>
      <c r="S12" s="515" t="e">
        <f t="shared" si="3"/>
        <v>#N/A</v>
      </c>
      <c r="T12" s="715"/>
      <c r="U12" s="573"/>
      <c r="V12" s="574"/>
      <c r="W12" s="574"/>
      <c r="X12" s="515" t="e">
        <f t="shared" si="4"/>
        <v>#N/A</v>
      </c>
      <c r="Y12" s="715"/>
      <c r="Z12" s="573"/>
      <c r="AA12" s="574"/>
      <c r="AB12" s="574"/>
      <c r="AC12" s="515" t="e">
        <f t="shared" si="5"/>
        <v>#N/A</v>
      </c>
      <c r="AD12" s="715"/>
      <c r="AE12" s="573"/>
      <c r="AF12" s="574"/>
      <c r="AG12" s="574"/>
      <c r="AH12" s="515" t="e">
        <f t="shared" si="6"/>
        <v>#N/A</v>
      </c>
      <c r="AI12" s="715"/>
      <c r="AJ12" s="573"/>
      <c r="AK12" s="574"/>
      <c r="AL12" s="574"/>
      <c r="AM12" s="515" t="e">
        <f t="shared" si="7"/>
        <v>#N/A</v>
      </c>
      <c r="AN12" s="715"/>
      <c r="AO12" s="573"/>
      <c r="AP12" s="574"/>
      <c r="AQ12" s="574"/>
      <c r="AR12" s="515" t="e">
        <f t="shared" si="8"/>
        <v>#N/A</v>
      </c>
      <c r="AS12" s="715"/>
      <c r="AT12" s="573"/>
      <c r="AU12" s="574"/>
      <c r="AV12" s="574"/>
      <c r="AW12" s="515" t="e">
        <f t="shared" si="9"/>
        <v>#N/A</v>
      </c>
      <c r="AX12" s="715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701"/>
      <c r="C13" s="515">
        <v>7</v>
      </c>
      <c r="D13" s="498"/>
      <c r="E13" s="518"/>
      <c r="F13" s="518"/>
      <c r="G13" s="518"/>
      <c r="H13" s="736"/>
      <c r="I13" s="518"/>
      <c r="J13" s="518"/>
      <c r="K13" s="513"/>
      <c r="L13" s="713"/>
      <c r="M13" s="517" t="e">
        <f>RANK(K13, K$7:$K$21)</f>
        <v>#N/A</v>
      </c>
      <c r="N13" s="668"/>
      <c r="O13" s="668"/>
      <c r="P13" s="515"/>
      <c r="Q13" s="518"/>
      <c r="R13" s="518"/>
      <c r="S13" s="515" t="e">
        <f t="shared" si="3"/>
        <v>#N/A</v>
      </c>
      <c r="T13" s="715"/>
      <c r="U13" s="573"/>
      <c r="V13" s="574"/>
      <c r="W13" s="574"/>
      <c r="X13" s="515" t="e">
        <f t="shared" si="4"/>
        <v>#N/A</v>
      </c>
      <c r="Y13" s="715"/>
      <c r="Z13" s="573"/>
      <c r="AA13" s="574"/>
      <c r="AB13" s="574"/>
      <c r="AC13" s="515" t="e">
        <f t="shared" si="5"/>
        <v>#N/A</v>
      </c>
      <c r="AD13" s="715"/>
      <c r="AE13" s="573"/>
      <c r="AF13" s="574"/>
      <c r="AG13" s="574"/>
      <c r="AH13" s="515" t="e">
        <f t="shared" si="6"/>
        <v>#N/A</v>
      </c>
      <c r="AI13" s="715"/>
      <c r="AJ13" s="573"/>
      <c r="AK13" s="574"/>
      <c r="AL13" s="574"/>
      <c r="AM13" s="515" t="e">
        <f t="shared" si="7"/>
        <v>#N/A</v>
      </c>
      <c r="AN13" s="715"/>
      <c r="AO13" s="573"/>
      <c r="AP13" s="574"/>
      <c r="AQ13" s="574"/>
      <c r="AR13" s="515" t="e">
        <f t="shared" si="8"/>
        <v>#N/A</v>
      </c>
      <c r="AS13" s="715"/>
      <c r="AT13" s="573"/>
      <c r="AU13" s="574"/>
      <c r="AV13" s="574"/>
      <c r="AW13" s="515" t="e">
        <f t="shared" si="9"/>
        <v>#N/A</v>
      </c>
      <c r="AX13" s="715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701"/>
      <c r="C14" s="515">
        <v>8</v>
      </c>
      <c r="D14" s="498"/>
      <c r="E14" s="518"/>
      <c r="F14" s="518"/>
      <c r="G14" s="518"/>
      <c r="H14" s="736"/>
      <c r="I14" s="518"/>
      <c r="J14" s="518"/>
      <c r="K14" s="513"/>
      <c r="L14" s="713"/>
      <c r="M14" s="517" t="e">
        <f>RANK(K14, K$7:$K$21)</f>
        <v>#N/A</v>
      </c>
      <c r="N14" s="668"/>
      <c r="O14" s="668"/>
      <c r="P14" s="515"/>
      <c r="Q14" s="518"/>
      <c r="R14" s="518"/>
      <c r="S14" s="515" t="e">
        <f t="shared" si="3"/>
        <v>#N/A</v>
      </c>
      <c r="T14" s="715"/>
      <c r="U14" s="573"/>
      <c r="V14" s="574"/>
      <c r="W14" s="574"/>
      <c r="X14" s="515" t="e">
        <f t="shared" si="4"/>
        <v>#N/A</v>
      </c>
      <c r="Y14" s="715"/>
      <c r="Z14" s="573"/>
      <c r="AA14" s="574"/>
      <c r="AB14" s="574"/>
      <c r="AC14" s="515" t="e">
        <f t="shared" si="5"/>
        <v>#N/A</v>
      </c>
      <c r="AD14" s="715"/>
      <c r="AE14" s="573"/>
      <c r="AF14" s="574"/>
      <c r="AG14" s="574"/>
      <c r="AH14" s="515" t="e">
        <f t="shared" si="6"/>
        <v>#N/A</v>
      </c>
      <c r="AI14" s="715"/>
      <c r="AJ14" s="573"/>
      <c r="AK14" s="574"/>
      <c r="AL14" s="574"/>
      <c r="AM14" s="515" t="e">
        <f t="shared" si="7"/>
        <v>#N/A</v>
      </c>
      <c r="AN14" s="715"/>
      <c r="AO14" s="573"/>
      <c r="AP14" s="574"/>
      <c r="AQ14" s="574"/>
      <c r="AR14" s="515" t="e">
        <f t="shared" si="8"/>
        <v>#N/A</v>
      </c>
      <c r="AS14" s="715"/>
      <c r="AT14" s="573"/>
      <c r="AU14" s="574"/>
      <c r="AV14" s="574"/>
      <c r="AW14" s="515" t="e">
        <f t="shared" si="9"/>
        <v>#N/A</v>
      </c>
      <c r="AX14" s="715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701"/>
      <c r="C15" s="515">
        <v>9</v>
      </c>
      <c r="D15" s="498"/>
      <c r="E15" s="518"/>
      <c r="F15" s="518"/>
      <c r="G15" s="518"/>
      <c r="H15" s="736"/>
      <c r="I15" s="518"/>
      <c r="J15" s="518"/>
      <c r="K15" s="513"/>
      <c r="L15" s="713"/>
      <c r="M15" s="517" t="e">
        <f>RANK(K15, K$7:$K$21)</f>
        <v>#N/A</v>
      </c>
      <c r="N15" s="668"/>
      <c r="O15" s="668"/>
      <c r="P15" s="515"/>
      <c r="Q15" s="518"/>
      <c r="R15" s="518"/>
      <c r="S15" s="515" t="e">
        <f t="shared" si="3"/>
        <v>#N/A</v>
      </c>
      <c r="T15" s="715"/>
      <c r="U15" s="573"/>
      <c r="V15" s="574"/>
      <c r="W15" s="574"/>
      <c r="X15" s="515" t="e">
        <f t="shared" si="4"/>
        <v>#N/A</v>
      </c>
      <c r="Y15" s="715"/>
      <c r="Z15" s="573"/>
      <c r="AA15" s="574"/>
      <c r="AB15" s="574"/>
      <c r="AC15" s="515" t="e">
        <f t="shared" si="5"/>
        <v>#N/A</v>
      </c>
      <c r="AD15" s="715"/>
      <c r="AE15" s="573"/>
      <c r="AF15" s="574"/>
      <c r="AG15" s="574"/>
      <c r="AH15" s="515" t="e">
        <f t="shared" si="6"/>
        <v>#N/A</v>
      </c>
      <c r="AI15" s="715"/>
      <c r="AJ15" s="573"/>
      <c r="AK15" s="574"/>
      <c r="AL15" s="574"/>
      <c r="AM15" s="515" t="e">
        <f t="shared" si="7"/>
        <v>#N/A</v>
      </c>
      <c r="AN15" s="715"/>
      <c r="AO15" s="573"/>
      <c r="AP15" s="574"/>
      <c r="AQ15" s="574"/>
      <c r="AR15" s="515" t="e">
        <f t="shared" si="8"/>
        <v>#N/A</v>
      </c>
      <c r="AS15" s="715"/>
      <c r="AT15" s="573"/>
      <c r="AU15" s="574"/>
      <c r="AV15" s="574"/>
      <c r="AW15" s="515" t="e">
        <f t="shared" si="9"/>
        <v>#N/A</v>
      </c>
      <c r="AX15" s="715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701"/>
      <c r="C16" s="515">
        <v>10</v>
      </c>
      <c r="D16" s="498"/>
      <c r="E16" s="518"/>
      <c r="F16" s="518"/>
      <c r="G16" s="518"/>
      <c r="H16" s="736"/>
      <c r="I16" s="518"/>
      <c r="J16" s="518"/>
      <c r="K16" s="513"/>
      <c r="L16" s="713"/>
      <c r="M16" s="517" t="e">
        <f>RANK(K16, K$7:$K$21)</f>
        <v>#N/A</v>
      </c>
      <c r="N16" s="668"/>
      <c r="O16" s="668"/>
      <c r="P16" s="515"/>
      <c r="Q16" s="518"/>
      <c r="R16" s="518"/>
      <c r="S16" s="515" t="e">
        <f t="shared" si="3"/>
        <v>#N/A</v>
      </c>
      <c r="T16" s="715"/>
      <c r="U16" s="573"/>
      <c r="V16" s="574"/>
      <c r="W16" s="574"/>
      <c r="X16" s="515" t="e">
        <f t="shared" si="4"/>
        <v>#N/A</v>
      </c>
      <c r="Y16" s="715"/>
      <c r="Z16" s="573"/>
      <c r="AA16" s="574"/>
      <c r="AB16" s="574"/>
      <c r="AC16" s="515" t="e">
        <f t="shared" si="5"/>
        <v>#N/A</v>
      </c>
      <c r="AD16" s="715"/>
      <c r="AE16" s="573"/>
      <c r="AF16" s="574"/>
      <c r="AG16" s="574"/>
      <c r="AH16" s="515" t="e">
        <f t="shared" si="6"/>
        <v>#N/A</v>
      </c>
      <c r="AI16" s="715"/>
      <c r="AJ16" s="573"/>
      <c r="AK16" s="574"/>
      <c r="AL16" s="574"/>
      <c r="AM16" s="515" t="e">
        <f t="shared" si="7"/>
        <v>#N/A</v>
      </c>
      <c r="AN16" s="715"/>
      <c r="AO16" s="573"/>
      <c r="AP16" s="574"/>
      <c r="AQ16" s="574"/>
      <c r="AR16" s="515" t="e">
        <f t="shared" si="8"/>
        <v>#N/A</v>
      </c>
      <c r="AS16" s="715"/>
      <c r="AT16" s="573"/>
      <c r="AU16" s="574"/>
      <c r="AV16" s="574"/>
      <c r="AW16" s="515" t="e">
        <f t="shared" si="9"/>
        <v>#N/A</v>
      </c>
      <c r="AX16" s="715"/>
      <c r="AZ16" s="362" t="e">
        <f>RANK(AX16, $K$7:AX$21)</f>
        <v>#N/A</v>
      </c>
      <c r="BB16" s="359" t="e">
        <f t="shared" si="10"/>
        <v>#N/A</v>
      </c>
    </row>
    <row r="17" spans="2:54">
      <c r="B17" s="701"/>
      <c r="C17" s="515">
        <v>11</v>
      </c>
      <c r="D17" s="498"/>
      <c r="E17" s="518"/>
      <c r="F17" s="518"/>
      <c r="G17" s="518"/>
      <c r="H17" s="736"/>
      <c r="I17" s="515"/>
      <c r="J17" s="515"/>
      <c r="K17" s="515"/>
      <c r="L17" s="713"/>
      <c r="M17" s="517" t="e">
        <f>RANK(K17, K$7:$K$21)</f>
        <v>#N/A</v>
      </c>
      <c r="N17" s="668"/>
      <c r="O17" s="668"/>
      <c r="P17" s="515"/>
      <c r="Q17" s="518"/>
      <c r="R17" s="518"/>
      <c r="S17" s="515" t="e">
        <f t="shared" si="3"/>
        <v>#N/A</v>
      </c>
      <c r="T17" s="715"/>
      <c r="U17" s="573"/>
      <c r="V17" s="574"/>
      <c r="W17" s="574"/>
      <c r="X17" s="515" t="e">
        <f t="shared" si="4"/>
        <v>#N/A</v>
      </c>
      <c r="Y17" s="715"/>
      <c r="Z17" s="573"/>
      <c r="AA17" s="574"/>
      <c r="AB17" s="574"/>
      <c r="AC17" s="515" t="e">
        <f t="shared" si="5"/>
        <v>#N/A</v>
      </c>
      <c r="AD17" s="715"/>
      <c r="AE17" s="573"/>
      <c r="AF17" s="574"/>
      <c r="AG17" s="574"/>
      <c r="AH17" s="515" t="e">
        <f t="shared" si="6"/>
        <v>#N/A</v>
      </c>
      <c r="AI17" s="715"/>
      <c r="AJ17" s="573"/>
      <c r="AK17" s="574"/>
      <c r="AL17" s="574"/>
      <c r="AM17" s="515" t="e">
        <f t="shared" si="7"/>
        <v>#N/A</v>
      </c>
      <c r="AN17" s="715"/>
      <c r="AO17" s="573"/>
      <c r="AP17" s="574"/>
      <c r="AQ17" s="574"/>
      <c r="AR17" s="515" t="e">
        <f t="shared" si="8"/>
        <v>#N/A</v>
      </c>
      <c r="AS17" s="715"/>
      <c r="AT17" s="573"/>
      <c r="AU17" s="574"/>
      <c r="AV17" s="574"/>
      <c r="AW17" s="515" t="e">
        <f t="shared" si="9"/>
        <v>#N/A</v>
      </c>
      <c r="AX17" s="715"/>
      <c r="AZ17" s="362" t="e">
        <f>RANK(AX17, $K$7:AX$21)</f>
        <v>#N/A</v>
      </c>
      <c r="BB17" s="359" t="e">
        <f t="shared" si="10"/>
        <v>#N/A</v>
      </c>
    </row>
    <row r="18" spans="2:54">
      <c r="B18" s="701"/>
      <c r="C18" s="515">
        <v>12</v>
      </c>
      <c r="D18" s="498"/>
      <c r="E18" s="518"/>
      <c r="F18" s="518"/>
      <c r="G18" s="518"/>
      <c r="H18" s="736"/>
      <c r="I18" s="515"/>
      <c r="J18" s="515"/>
      <c r="K18" s="515"/>
      <c r="L18" s="713"/>
      <c r="M18" s="517" t="e">
        <f>RANK(K18, K$7:$K$21)</f>
        <v>#N/A</v>
      </c>
      <c r="N18" s="668"/>
      <c r="O18" s="668"/>
      <c r="P18" s="515"/>
      <c r="Q18" s="518"/>
      <c r="R18" s="518"/>
      <c r="S18" s="515" t="e">
        <f t="shared" si="3"/>
        <v>#N/A</v>
      </c>
      <c r="T18" s="715"/>
      <c r="U18" s="573"/>
      <c r="V18" s="574"/>
      <c r="W18" s="574"/>
      <c r="X18" s="515" t="e">
        <f t="shared" si="4"/>
        <v>#N/A</v>
      </c>
      <c r="Y18" s="715"/>
      <c r="Z18" s="573"/>
      <c r="AA18" s="574"/>
      <c r="AB18" s="574"/>
      <c r="AC18" s="515" t="e">
        <f t="shared" si="5"/>
        <v>#N/A</v>
      </c>
      <c r="AD18" s="715"/>
      <c r="AE18" s="573"/>
      <c r="AF18" s="574"/>
      <c r="AG18" s="574"/>
      <c r="AH18" s="515" t="e">
        <f t="shared" si="6"/>
        <v>#N/A</v>
      </c>
      <c r="AI18" s="715"/>
      <c r="AJ18" s="573"/>
      <c r="AK18" s="574"/>
      <c r="AL18" s="574"/>
      <c r="AM18" s="515" t="e">
        <f t="shared" si="7"/>
        <v>#N/A</v>
      </c>
      <c r="AN18" s="715"/>
      <c r="AO18" s="573"/>
      <c r="AP18" s="574"/>
      <c r="AQ18" s="574"/>
      <c r="AR18" s="515" t="e">
        <f t="shared" si="8"/>
        <v>#N/A</v>
      </c>
      <c r="AS18" s="715"/>
      <c r="AT18" s="573"/>
      <c r="AU18" s="574"/>
      <c r="AV18" s="574"/>
      <c r="AW18" s="515" t="e">
        <f t="shared" si="9"/>
        <v>#N/A</v>
      </c>
      <c r="AX18" s="715"/>
      <c r="AZ18" s="362" t="e">
        <f>RANK(AX18, $K$7:AX$21)</f>
        <v>#N/A</v>
      </c>
      <c r="BB18" s="359" t="e">
        <f t="shared" si="10"/>
        <v>#N/A</v>
      </c>
    </row>
    <row r="19" spans="2:54">
      <c r="B19" s="701"/>
      <c r="C19" s="515">
        <v>13</v>
      </c>
      <c r="D19" s="498"/>
      <c r="E19" s="518"/>
      <c r="F19" s="518"/>
      <c r="G19" s="518"/>
      <c r="H19" s="736"/>
      <c r="I19" s="515"/>
      <c r="J19" s="515"/>
      <c r="K19" s="515"/>
      <c r="L19" s="713"/>
      <c r="M19" s="517" t="e">
        <f>RANK(K19, K$7:$K$21)</f>
        <v>#N/A</v>
      </c>
      <c r="N19" s="668"/>
      <c r="O19" s="668"/>
      <c r="P19" s="515"/>
      <c r="Q19" s="518"/>
      <c r="R19" s="518"/>
      <c r="S19" s="515" t="e">
        <f t="shared" si="3"/>
        <v>#N/A</v>
      </c>
      <c r="T19" s="715"/>
      <c r="U19" s="573"/>
      <c r="V19" s="574"/>
      <c r="W19" s="574"/>
      <c r="X19" s="515" t="e">
        <f t="shared" si="4"/>
        <v>#N/A</v>
      </c>
      <c r="Y19" s="715"/>
      <c r="Z19" s="573"/>
      <c r="AA19" s="574"/>
      <c r="AB19" s="574"/>
      <c r="AC19" s="515" t="e">
        <f t="shared" si="5"/>
        <v>#N/A</v>
      </c>
      <c r="AD19" s="715"/>
      <c r="AE19" s="573"/>
      <c r="AF19" s="574"/>
      <c r="AG19" s="574"/>
      <c r="AH19" s="515" t="e">
        <f t="shared" si="6"/>
        <v>#N/A</v>
      </c>
      <c r="AI19" s="715"/>
      <c r="AJ19" s="573"/>
      <c r="AK19" s="574"/>
      <c r="AL19" s="574"/>
      <c r="AM19" s="515" t="e">
        <f t="shared" si="7"/>
        <v>#N/A</v>
      </c>
      <c r="AN19" s="715"/>
      <c r="AO19" s="573"/>
      <c r="AP19" s="574"/>
      <c r="AQ19" s="574"/>
      <c r="AR19" s="515" t="e">
        <f t="shared" si="8"/>
        <v>#N/A</v>
      </c>
      <c r="AS19" s="715"/>
      <c r="AT19" s="573"/>
      <c r="AU19" s="574"/>
      <c r="AV19" s="574"/>
      <c r="AW19" s="515" t="e">
        <f t="shared" si="9"/>
        <v>#N/A</v>
      </c>
      <c r="AX19" s="715"/>
      <c r="AZ19" s="362" t="e">
        <f>RANK(AX19, $K$7:AX$21)</f>
        <v>#N/A</v>
      </c>
      <c r="BB19" s="359" t="e">
        <f t="shared" si="10"/>
        <v>#N/A</v>
      </c>
    </row>
    <row r="20" spans="2:54">
      <c r="B20" s="701"/>
      <c r="C20" s="515">
        <v>14</v>
      </c>
      <c r="D20" s="498"/>
      <c r="E20" s="518"/>
      <c r="F20" s="518"/>
      <c r="G20" s="518"/>
      <c r="H20" s="736"/>
      <c r="I20" s="515"/>
      <c r="J20" s="515"/>
      <c r="K20" s="515"/>
      <c r="L20" s="713"/>
      <c r="M20" s="517" t="e">
        <f>RANK(K20, K$7:$K$21)</f>
        <v>#N/A</v>
      </c>
      <c r="N20" s="668"/>
      <c r="O20" s="668"/>
      <c r="P20" s="515"/>
      <c r="Q20" s="518"/>
      <c r="R20" s="518"/>
      <c r="S20" s="515" t="e">
        <f t="shared" si="3"/>
        <v>#N/A</v>
      </c>
      <c r="T20" s="715"/>
      <c r="U20" s="573"/>
      <c r="V20" s="574"/>
      <c r="W20" s="574"/>
      <c r="X20" s="515" t="e">
        <f t="shared" si="4"/>
        <v>#N/A</v>
      </c>
      <c r="Y20" s="715"/>
      <c r="Z20" s="573"/>
      <c r="AA20" s="574"/>
      <c r="AB20" s="574"/>
      <c r="AC20" s="515" t="e">
        <f t="shared" si="5"/>
        <v>#N/A</v>
      </c>
      <c r="AD20" s="715"/>
      <c r="AE20" s="573"/>
      <c r="AF20" s="574"/>
      <c r="AG20" s="574"/>
      <c r="AH20" s="515" t="e">
        <f t="shared" si="6"/>
        <v>#N/A</v>
      </c>
      <c r="AI20" s="715"/>
      <c r="AJ20" s="573"/>
      <c r="AK20" s="574"/>
      <c r="AL20" s="574"/>
      <c r="AM20" s="515" t="e">
        <f t="shared" si="7"/>
        <v>#N/A</v>
      </c>
      <c r="AN20" s="715"/>
      <c r="AO20" s="573"/>
      <c r="AP20" s="574"/>
      <c r="AQ20" s="574"/>
      <c r="AR20" s="515" t="e">
        <f t="shared" si="8"/>
        <v>#N/A</v>
      </c>
      <c r="AS20" s="715"/>
      <c r="AT20" s="573"/>
      <c r="AU20" s="574"/>
      <c r="AV20" s="574"/>
      <c r="AW20" s="515" t="e">
        <f t="shared" si="9"/>
        <v>#N/A</v>
      </c>
      <c r="AX20" s="715"/>
      <c r="AZ20" s="362" t="e">
        <f>RANK(AX20, $K$7:AX$21)</f>
        <v>#N/A</v>
      </c>
      <c r="BB20" s="359" t="e">
        <f t="shared" si="10"/>
        <v>#N/A</v>
      </c>
    </row>
    <row r="21" spans="2:54">
      <c r="B21" s="701"/>
      <c r="C21" s="515">
        <v>15</v>
      </c>
      <c r="D21" s="498"/>
      <c r="E21" s="518"/>
      <c r="F21" s="518"/>
      <c r="G21" s="518"/>
      <c r="H21" s="737"/>
      <c r="I21" s="515"/>
      <c r="J21" s="515"/>
      <c r="K21" s="515"/>
      <c r="L21" s="723"/>
      <c r="M21" s="517" t="e">
        <f>RANK(K21, K$7:$K$21)</f>
        <v>#N/A</v>
      </c>
      <c r="N21" s="668"/>
      <c r="O21" s="668"/>
      <c r="P21" s="515"/>
      <c r="Q21" s="518"/>
      <c r="R21" s="518"/>
      <c r="S21" s="515" t="e">
        <f t="shared" si="3"/>
        <v>#N/A</v>
      </c>
      <c r="T21" s="715"/>
      <c r="U21" s="573"/>
      <c r="V21" s="574"/>
      <c r="W21" s="574"/>
      <c r="X21" s="515" t="e">
        <f t="shared" si="4"/>
        <v>#N/A</v>
      </c>
      <c r="Y21" s="715"/>
      <c r="Z21" s="573"/>
      <c r="AA21" s="574"/>
      <c r="AB21" s="574"/>
      <c r="AC21" s="515" t="e">
        <f t="shared" si="5"/>
        <v>#N/A</v>
      </c>
      <c r="AD21" s="715"/>
      <c r="AE21" s="573"/>
      <c r="AF21" s="574"/>
      <c r="AG21" s="574"/>
      <c r="AH21" s="515" t="e">
        <f t="shared" si="6"/>
        <v>#N/A</v>
      </c>
      <c r="AI21" s="715"/>
      <c r="AJ21" s="573"/>
      <c r="AK21" s="574"/>
      <c r="AL21" s="574"/>
      <c r="AM21" s="515" t="e">
        <f t="shared" si="7"/>
        <v>#N/A</v>
      </c>
      <c r="AN21" s="715"/>
      <c r="AO21" s="573"/>
      <c r="AP21" s="574"/>
      <c r="AQ21" s="574"/>
      <c r="AR21" s="515" t="e">
        <f t="shared" si="8"/>
        <v>#N/A</v>
      </c>
      <c r="AS21" s="715"/>
      <c r="AT21" s="573"/>
      <c r="AU21" s="574"/>
      <c r="AV21" s="574"/>
      <c r="AW21" s="515" t="e">
        <f t="shared" si="9"/>
        <v>#N/A</v>
      </c>
      <c r="AX21" s="715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69" t="s">
        <v>156</v>
      </c>
      <c r="O22" s="669" t="s">
        <v>105</v>
      </c>
      <c r="P22" s="675">
        <f>P2+7</f>
        <v>46091</v>
      </c>
      <c r="Q22" s="676"/>
      <c r="R22" s="676"/>
      <c r="S22" s="676"/>
      <c r="T22" s="676"/>
      <c r="U22" s="672">
        <f>P22+1</f>
        <v>46092</v>
      </c>
      <c r="V22" s="673"/>
      <c r="W22" s="673"/>
      <c r="X22" s="673"/>
      <c r="Y22" s="674"/>
      <c r="Z22" s="672">
        <f>U22+1</f>
        <v>46093</v>
      </c>
      <c r="AA22" s="673"/>
      <c r="AB22" s="673"/>
      <c r="AC22" s="673"/>
      <c r="AD22" s="674"/>
      <c r="AE22" s="672">
        <f>Z22+1</f>
        <v>46094</v>
      </c>
      <c r="AF22" s="673"/>
      <c r="AG22" s="673"/>
      <c r="AH22" s="673"/>
      <c r="AI22" s="674"/>
      <c r="AJ22" s="672">
        <f>AE22+1</f>
        <v>46095</v>
      </c>
      <c r="AK22" s="673"/>
      <c r="AL22" s="673"/>
      <c r="AM22" s="673"/>
      <c r="AN22" s="674"/>
      <c r="AO22" s="672">
        <f>AJ22+1</f>
        <v>46096</v>
      </c>
      <c r="AP22" s="673"/>
      <c r="AQ22" s="673"/>
      <c r="AR22" s="673"/>
      <c r="AS22" s="674"/>
      <c r="AT22" s="672">
        <f>AO22+1</f>
        <v>46097</v>
      </c>
      <c r="AU22" s="673"/>
      <c r="AV22" s="673"/>
      <c r="AW22" s="673"/>
      <c r="AX22" s="674"/>
    </row>
    <row r="23" spans="2:54" ht="15.75">
      <c r="B23" s="683"/>
      <c r="C23" s="683"/>
      <c r="D23" s="683"/>
      <c r="E23" s="683"/>
      <c r="F23" s="683"/>
      <c r="G23" s="683"/>
      <c r="H23" s="683"/>
      <c r="I23" s="205"/>
      <c r="J23" s="205"/>
      <c r="K23" s="205"/>
      <c r="L23" s="205"/>
      <c r="M23" s="206"/>
      <c r="N23" s="671"/>
      <c r="O23" s="671"/>
      <c r="P23" s="675" t="s">
        <v>336</v>
      </c>
      <c r="Q23" s="676"/>
      <c r="R23" s="676"/>
      <c r="S23" s="676"/>
      <c r="T23" s="676"/>
      <c r="U23" s="675" t="s">
        <v>337</v>
      </c>
      <c r="V23" s="676"/>
      <c r="W23" s="676"/>
      <c r="X23" s="676"/>
      <c r="Y23" s="676"/>
      <c r="Z23" s="675" t="s">
        <v>338</v>
      </c>
      <c r="AA23" s="676"/>
      <c r="AB23" s="676"/>
      <c r="AC23" s="676"/>
      <c r="AD23" s="676"/>
      <c r="AE23" s="675" t="s">
        <v>339</v>
      </c>
      <c r="AF23" s="676"/>
      <c r="AG23" s="676"/>
      <c r="AH23" s="676"/>
      <c r="AI23" s="676"/>
      <c r="AJ23" s="675" t="s">
        <v>340</v>
      </c>
      <c r="AK23" s="676"/>
      <c r="AL23" s="676"/>
      <c r="AM23" s="676"/>
      <c r="AN23" s="676"/>
      <c r="AO23" s="675" t="s">
        <v>341</v>
      </c>
      <c r="AP23" s="676"/>
      <c r="AQ23" s="676"/>
      <c r="AR23" s="676"/>
      <c r="AS23" s="676"/>
      <c r="AT23" s="675" t="s">
        <v>342</v>
      </c>
      <c r="AU23" s="676"/>
      <c r="AV23" s="676"/>
      <c r="AW23" s="676"/>
      <c r="AX23" s="676"/>
    </row>
    <row r="24" spans="2:54">
      <c r="B24" s="668" t="s">
        <v>154</v>
      </c>
      <c r="C24" s="668" t="s">
        <v>537</v>
      </c>
      <c r="D24" s="668"/>
      <c r="E24" s="668" t="s">
        <v>538</v>
      </c>
      <c r="F24" s="668"/>
      <c r="G24" s="668"/>
      <c r="H24" s="684" t="s">
        <v>416</v>
      </c>
      <c r="I24" s="652" t="s">
        <v>421</v>
      </c>
      <c r="J24" s="652"/>
      <c r="K24" s="652"/>
      <c r="L24" s="653" t="s">
        <v>539</v>
      </c>
      <c r="M24" s="659" t="s">
        <v>532</v>
      </c>
      <c r="N24" s="668"/>
      <c r="O24" s="668" t="s">
        <v>422</v>
      </c>
      <c r="P24" s="665" t="s">
        <v>540</v>
      </c>
      <c r="Q24" s="666"/>
      <c r="R24" s="666"/>
      <c r="S24" s="667"/>
      <c r="T24" s="668" t="s">
        <v>416</v>
      </c>
      <c r="U24" s="665" t="s">
        <v>540</v>
      </c>
      <c r="V24" s="666"/>
      <c r="W24" s="666"/>
      <c r="X24" s="667"/>
      <c r="Y24" s="668" t="s">
        <v>539</v>
      </c>
      <c r="Z24" s="665" t="s">
        <v>418</v>
      </c>
      <c r="AA24" s="666"/>
      <c r="AB24" s="666"/>
      <c r="AC24" s="667"/>
      <c r="AD24" s="668" t="s">
        <v>416</v>
      </c>
      <c r="AE24" s="665" t="s">
        <v>418</v>
      </c>
      <c r="AF24" s="666"/>
      <c r="AG24" s="666"/>
      <c r="AH24" s="667"/>
      <c r="AI24" s="668" t="s">
        <v>539</v>
      </c>
      <c r="AJ24" s="665" t="s">
        <v>418</v>
      </c>
      <c r="AK24" s="666"/>
      <c r="AL24" s="666"/>
      <c r="AM24" s="667"/>
      <c r="AN24" s="668" t="s">
        <v>416</v>
      </c>
      <c r="AO24" s="665" t="s">
        <v>540</v>
      </c>
      <c r="AP24" s="666"/>
      <c r="AQ24" s="666"/>
      <c r="AR24" s="667"/>
      <c r="AS24" s="668" t="s">
        <v>416</v>
      </c>
      <c r="AT24" s="665" t="s">
        <v>540</v>
      </c>
      <c r="AU24" s="666"/>
      <c r="AV24" s="666"/>
      <c r="AW24" s="667"/>
      <c r="AX24" s="668" t="s">
        <v>416</v>
      </c>
    </row>
    <row r="25" spans="2:54">
      <c r="B25" s="668"/>
      <c r="C25" s="668"/>
      <c r="D25" s="668"/>
      <c r="E25" s="668" t="s">
        <v>541</v>
      </c>
      <c r="F25" s="668"/>
      <c r="G25" s="668"/>
      <c r="H25" s="685"/>
      <c r="I25" s="652" t="s">
        <v>541</v>
      </c>
      <c r="J25" s="652"/>
      <c r="K25" s="652"/>
      <c r="L25" s="654"/>
      <c r="M25" s="660"/>
      <c r="N25" s="668"/>
      <c r="O25" s="668"/>
      <c r="P25" s="665" t="s">
        <v>424</v>
      </c>
      <c r="Q25" s="666"/>
      <c r="R25" s="666"/>
      <c r="S25" s="667"/>
      <c r="T25" s="668"/>
      <c r="U25" s="665" t="s">
        <v>424</v>
      </c>
      <c r="V25" s="666"/>
      <c r="W25" s="666"/>
      <c r="X25" s="667"/>
      <c r="Y25" s="668"/>
      <c r="Z25" s="665" t="s">
        <v>542</v>
      </c>
      <c r="AA25" s="666"/>
      <c r="AB25" s="666"/>
      <c r="AC25" s="667"/>
      <c r="AD25" s="668"/>
      <c r="AE25" s="665" t="s">
        <v>542</v>
      </c>
      <c r="AF25" s="666"/>
      <c r="AG25" s="666"/>
      <c r="AH25" s="667"/>
      <c r="AI25" s="668"/>
      <c r="AJ25" s="665" t="s">
        <v>424</v>
      </c>
      <c r="AK25" s="666"/>
      <c r="AL25" s="666"/>
      <c r="AM25" s="667"/>
      <c r="AN25" s="668"/>
      <c r="AO25" s="665" t="s">
        <v>424</v>
      </c>
      <c r="AP25" s="666"/>
      <c r="AQ25" s="666"/>
      <c r="AR25" s="667"/>
      <c r="AS25" s="668"/>
      <c r="AT25" s="665" t="s">
        <v>542</v>
      </c>
      <c r="AU25" s="666"/>
      <c r="AV25" s="666"/>
      <c r="AW25" s="667"/>
      <c r="AX25" s="668"/>
    </row>
    <row r="26" spans="2:54">
      <c r="B26" s="668"/>
      <c r="C26" s="668"/>
      <c r="D26" s="668"/>
      <c r="E26" s="320" t="s">
        <v>425</v>
      </c>
      <c r="F26" s="320" t="s">
        <v>426</v>
      </c>
      <c r="G26" s="320" t="s">
        <v>427</v>
      </c>
      <c r="H26" s="686"/>
      <c r="I26" s="319" t="s">
        <v>543</v>
      </c>
      <c r="J26" s="319" t="s">
        <v>544</v>
      </c>
      <c r="K26" s="319" t="s">
        <v>545</v>
      </c>
      <c r="L26" s="655"/>
      <c r="M26" s="661"/>
      <c r="N26" s="668"/>
      <c r="O26" s="668"/>
      <c r="P26" s="320" t="s">
        <v>543</v>
      </c>
      <c r="Q26" s="320" t="s">
        <v>426</v>
      </c>
      <c r="R26" s="320" t="s">
        <v>427</v>
      </c>
      <c r="S26" s="320" t="s">
        <v>417</v>
      </c>
      <c r="T26" s="668"/>
      <c r="U26" s="320" t="s">
        <v>425</v>
      </c>
      <c r="V26" s="320" t="s">
        <v>544</v>
      </c>
      <c r="W26" s="320" t="s">
        <v>545</v>
      </c>
      <c r="X26" s="320" t="s">
        <v>417</v>
      </c>
      <c r="Y26" s="668"/>
      <c r="Z26" s="320" t="s">
        <v>543</v>
      </c>
      <c r="AA26" s="320" t="s">
        <v>544</v>
      </c>
      <c r="AB26" s="320" t="s">
        <v>427</v>
      </c>
      <c r="AC26" s="320" t="s">
        <v>417</v>
      </c>
      <c r="AD26" s="668"/>
      <c r="AE26" s="320" t="s">
        <v>543</v>
      </c>
      <c r="AF26" s="320" t="s">
        <v>546</v>
      </c>
      <c r="AG26" s="320" t="s">
        <v>427</v>
      </c>
      <c r="AH26" s="320" t="s">
        <v>547</v>
      </c>
      <c r="AI26" s="668"/>
      <c r="AJ26" s="320" t="s">
        <v>425</v>
      </c>
      <c r="AK26" s="320" t="s">
        <v>544</v>
      </c>
      <c r="AL26" s="320" t="s">
        <v>427</v>
      </c>
      <c r="AM26" s="320" t="s">
        <v>417</v>
      </c>
      <c r="AN26" s="668"/>
      <c r="AO26" s="320" t="s">
        <v>425</v>
      </c>
      <c r="AP26" s="320" t="s">
        <v>544</v>
      </c>
      <c r="AQ26" s="320" t="s">
        <v>545</v>
      </c>
      <c r="AR26" s="320" t="s">
        <v>417</v>
      </c>
      <c r="AS26" s="668"/>
      <c r="AT26" s="320" t="s">
        <v>425</v>
      </c>
      <c r="AU26" s="320" t="s">
        <v>544</v>
      </c>
      <c r="AV26" s="320" t="s">
        <v>427</v>
      </c>
      <c r="AW26" s="320" t="s">
        <v>417</v>
      </c>
      <c r="AX26" s="668"/>
    </row>
    <row r="27" spans="2:54">
      <c r="B27" s="668" t="s">
        <v>548</v>
      </c>
      <c r="C27" s="321">
        <v>1</v>
      </c>
      <c r="D27" s="227" t="s">
        <v>378</v>
      </c>
      <c r="E27" s="182">
        <v>20</v>
      </c>
      <c r="F27" s="569">
        <v>2400</v>
      </c>
      <c r="G27" s="570">
        <v>120</v>
      </c>
      <c r="H27" s="717">
        <f>AVERAGE(G27:G41)</f>
        <v>148.73999999999998</v>
      </c>
      <c r="I27" s="199">
        <f t="shared" ref="I27:K29" si="11">AVERAGE(P27,U27,Z27,AE27,AJ27,AO27,AT27)</f>
        <v>20</v>
      </c>
      <c r="J27" s="199">
        <f t="shared" si="11"/>
        <v>2201.056042446412</v>
      </c>
      <c r="K27" s="200">
        <f t="shared" si="11"/>
        <v>110.05280212232063</v>
      </c>
      <c r="L27" s="649">
        <f>IFERROR(AVERAGE(K27:K41),"-")</f>
        <v>122.31128866020597</v>
      </c>
      <c r="M27" s="201">
        <f>RANK(K27, K$27:$K$41)</f>
        <v>5</v>
      </c>
      <c r="N27" s="668"/>
      <c r="O27" s="668"/>
      <c r="P27" s="573">
        <v>20</v>
      </c>
      <c r="Q27" s="574">
        <v>2212.2750000000015</v>
      </c>
      <c r="R27" s="574">
        <v>110.61375000000007</v>
      </c>
      <c r="S27" s="321">
        <f t="shared" ref="S27:S41" si="12">RANK(R27, R$27:R$41)</f>
        <v>5</v>
      </c>
      <c r="T27" s="717">
        <f>AVERAGE(R27:R41)</f>
        <v>123.96503237886775</v>
      </c>
      <c r="U27" s="573">
        <v>20</v>
      </c>
      <c r="V27" s="574">
        <v>2219.2682926829261</v>
      </c>
      <c r="W27" s="574">
        <v>110.9634146341463</v>
      </c>
      <c r="X27" s="475">
        <f t="shared" ref="X27:X41" si="13">RANK(W27, W$27:W$41)</f>
        <v>5</v>
      </c>
      <c r="Y27" s="717">
        <f t="shared" ref="Y27" si="14">AVERAGE(W27:W41)</f>
        <v>119.99135021698592</v>
      </c>
      <c r="Z27" s="573">
        <v>20</v>
      </c>
      <c r="AA27" s="574">
        <v>2214.8571428571436</v>
      </c>
      <c r="AB27" s="574">
        <v>110.74285714285718</v>
      </c>
      <c r="AC27" s="475">
        <f t="shared" ref="AC27:AC41" si="15">RANK(AB27, AB$27:AB$41)</f>
        <v>5</v>
      </c>
      <c r="AD27" s="717">
        <f t="shared" ref="AD27" si="16">AVERAGE(AB27:AB41)</f>
        <v>123.19911903743098</v>
      </c>
      <c r="AE27" s="573">
        <v>20</v>
      </c>
      <c r="AF27" s="574">
        <v>2188.7755102040824</v>
      </c>
      <c r="AG27" s="574">
        <v>109.43877551020412</v>
      </c>
      <c r="AH27" s="475">
        <f t="shared" ref="AH27:AH41" si="17">RANK(AG27, AG$27:AG$41)</f>
        <v>5</v>
      </c>
      <c r="AI27" s="717">
        <f t="shared" ref="AI27" si="18">AVERAGE(AG27:AG41)</f>
        <v>123.24683856612982</v>
      </c>
      <c r="AJ27" s="573">
        <v>20</v>
      </c>
      <c r="AK27" s="574">
        <v>2192.2222222222217</v>
      </c>
      <c r="AL27" s="574">
        <v>109.61111111111109</v>
      </c>
      <c r="AM27" s="475">
        <f t="shared" ref="AM27:AM41" si="19">RANK(AL27, AL$27:AL$41)</f>
        <v>5</v>
      </c>
      <c r="AN27" s="717">
        <f t="shared" ref="AN27" si="20">AVERAGE(AL27:AL41)</f>
        <v>122.56571070485117</v>
      </c>
      <c r="AO27" s="573">
        <v>20</v>
      </c>
      <c r="AP27" s="574">
        <v>2210.1369863013692</v>
      </c>
      <c r="AQ27" s="574">
        <v>110.50684931506846</v>
      </c>
      <c r="AR27" s="475">
        <f t="shared" ref="AR27:AR41" si="21">RANK(AQ27, AQ$27:AQ$41)</f>
        <v>5</v>
      </c>
      <c r="AS27" s="717">
        <f t="shared" ref="AS27" si="22">AVERAGE(AQ27:AQ41)</f>
        <v>122.70577589350151</v>
      </c>
      <c r="AT27" s="573">
        <v>20</v>
      </c>
      <c r="AU27" s="574">
        <v>2169.8571428571418</v>
      </c>
      <c r="AV27" s="574">
        <v>108.49285714285709</v>
      </c>
      <c r="AW27" s="475">
        <f t="shared" ref="AW27:AW41" si="23">RANK(AV27, AV$27:AV$41)</f>
        <v>5</v>
      </c>
      <c r="AX27" s="690">
        <f t="shared" ref="AX27" si="24">AVERAGE(AV27:AV41)</f>
        <v>120.5051938236747</v>
      </c>
    </row>
    <row r="28" spans="2:54">
      <c r="B28" s="676"/>
      <c r="C28" s="321">
        <v>2</v>
      </c>
      <c r="D28" s="227" t="s">
        <v>379</v>
      </c>
      <c r="E28" s="182">
        <v>18</v>
      </c>
      <c r="F28" s="569">
        <v>2600</v>
      </c>
      <c r="G28" s="570">
        <v>166.7</v>
      </c>
      <c r="H28" s="718"/>
      <c r="I28" s="199">
        <f t="shared" si="11"/>
        <v>19.285714285714285</v>
      </c>
      <c r="J28" s="199">
        <f t="shared" si="11"/>
        <v>2492.4888512184675</v>
      </c>
      <c r="K28" s="200">
        <f t="shared" si="11"/>
        <v>129.30506995297017</v>
      </c>
      <c r="L28" s="650"/>
      <c r="M28" s="201">
        <f>RANK(K28, K$27:$K$41)</f>
        <v>2</v>
      </c>
      <c r="N28" s="668"/>
      <c r="O28" s="668"/>
      <c r="P28" s="573">
        <v>19</v>
      </c>
      <c r="Q28" s="574">
        <v>2472.2195121951213</v>
      </c>
      <c r="R28" s="574">
        <v>130.11681643132218</v>
      </c>
      <c r="S28" s="321">
        <f t="shared" si="12"/>
        <v>2</v>
      </c>
      <c r="T28" s="718"/>
      <c r="U28" s="573">
        <v>20</v>
      </c>
      <c r="V28" s="574">
        <v>2501.5384615384605</v>
      </c>
      <c r="W28" s="574">
        <v>125.07692307692302</v>
      </c>
      <c r="X28" s="475">
        <f t="shared" si="13"/>
        <v>1</v>
      </c>
      <c r="Y28" s="718"/>
      <c r="Z28" s="573">
        <v>19</v>
      </c>
      <c r="AA28" s="574">
        <v>2497.7142857142831</v>
      </c>
      <c r="AB28" s="574">
        <v>131.45864661654122</v>
      </c>
      <c r="AC28" s="475">
        <f t="shared" si="15"/>
        <v>2</v>
      </c>
      <c r="AD28" s="718"/>
      <c r="AE28" s="573">
        <v>19</v>
      </c>
      <c r="AF28" s="574">
        <v>2499.6000000000008</v>
      </c>
      <c r="AG28" s="574">
        <v>131.55789473684214</v>
      </c>
      <c r="AH28" s="475">
        <f t="shared" si="17"/>
        <v>2</v>
      </c>
      <c r="AI28" s="718"/>
      <c r="AJ28" s="573">
        <v>19</v>
      </c>
      <c r="AK28" s="574">
        <v>2500.3636363636379</v>
      </c>
      <c r="AL28" s="574">
        <v>131.59808612440199</v>
      </c>
      <c r="AM28" s="475">
        <f t="shared" si="19"/>
        <v>1</v>
      </c>
      <c r="AN28" s="718"/>
      <c r="AO28" s="573">
        <v>19</v>
      </c>
      <c r="AP28" s="574">
        <v>2480.5714285714289</v>
      </c>
      <c r="AQ28" s="574">
        <v>130.55639097744361</v>
      </c>
      <c r="AR28" s="475">
        <f t="shared" si="21"/>
        <v>2</v>
      </c>
      <c r="AS28" s="718"/>
      <c r="AT28" s="573">
        <v>20</v>
      </c>
      <c r="AU28" s="574">
        <v>2495.4146341463406</v>
      </c>
      <c r="AV28" s="574">
        <v>124.77073170731703</v>
      </c>
      <c r="AW28" s="475">
        <f t="shared" si="23"/>
        <v>2</v>
      </c>
      <c r="AX28" s="690"/>
    </row>
    <row r="29" spans="2:54">
      <c r="B29" s="676"/>
      <c r="C29" s="321">
        <v>3</v>
      </c>
      <c r="D29" s="227" t="s">
        <v>380</v>
      </c>
      <c r="E29" s="182">
        <v>18</v>
      </c>
      <c r="F29" s="569">
        <v>2600</v>
      </c>
      <c r="G29" s="570">
        <v>166.7</v>
      </c>
      <c r="H29" s="718"/>
      <c r="I29" s="199">
        <f t="shared" si="11"/>
        <v>19.285714285714285</v>
      </c>
      <c r="J29" s="199">
        <f t="shared" si="11"/>
        <v>2500.4584446506551</v>
      </c>
      <c r="K29" s="200">
        <f t="shared" si="11"/>
        <v>129.73775872311001</v>
      </c>
      <c r="L29" s="650"/>
      <c r="M29" s="201">
        <f>RANK(K29, K$27:$K$41)</f>
        <v>1</v>
      </c>
      <c r="N29" s="668"/>
      <c r="O29" s="668"/>
      <c r="P29" s="573">
        <v>19</v>
      </c>
      <c r="Q29" s="574">
        <v>2553.6263736263736</v>
      </c>
      <c r="R29" s="574">
        <v>134.4013880855986</v>
      </c>
      <c r="S29" s="321">
        <f t="shared" si="12"/>
        <v>1</v>
      </c>
      <c r="T29" s="718"/>
      <c r="U29" s="573">
        <v>20</v>
      </c>
      <c r="V29" s="574">
        <v>2467.6190476190473</v>
      </c>
      <c r="W29" s="574">
        <v>123.38095238095237</v>
      </c>
      <c r="X29" s="475">
        <f t="shared" si="13"/>
        <v>2</v>
      </c>
      <c r="Y29" s="718"/>
      <c r="Z29" s="573">
        <v>19</v>
      </c>
      <c r="AA29" s="574">
        <v>2517.7777777777792</v>
      </c>
      <c r="AB29" s="574">
        <v>132.51461988304101</v>
      </c>
      <c r="AC29" s="475">
        <f t="shared" si="15"/>
        <v>1</v>
      </c>
      <c r="AD29" s="718"/>
      <c r="AE29" s="573">
        <v>19</v>
      </c>
      <c r="AF29" s="574">
        <v>2503.4210526315796</v>
      </c>
      <c r="AG29" s="574">
        <v>131.75900277008313</v>
      </c>
      <c r="AH29" s="475">
        <f t="shared" si="17"/>
        <v>1</v>
      </c>
      <c r="AI29" s="718"/>
      <c r="AJ29" s="573">
        <v>19</v>
      </c>
      <c r="AK29" s="574">
        <v>2469.0697674418602</v>
      </c>
      <c r="AL29" s="574">
        <v>129.95104039167686</v>
      </c>
      <c r="AM29" s="475">
        <f t="shared" si="19"/>
        <v>2</v>
      </c>
      <c r="AN29" s="718"/>
      <c r="AO29" s="573">
        <v>19</v>
      </c>
      <c r="AP29" s="574">
        <v>2497.5700934579449</v>
      </c>
      <c r="AQ29" s="574">
        <v>131.45105755041814</v>
      </c>
      <c r="AR29" s="475">
        <f t="shared" si="21"/>
        <v>1</v>
      </c>
      <c r="AS29" s="718"/>
      <c r="AT29" s="573">
        <v>20</v>
      </c>
      <c r="AU29" s="574">
        <v>2494.1249999999995</v>
      </c>
      <c r="AV29" s="574">
        <v>124.70624999999998</v>
      </c>
      <c r="AW29" s="475">
        <f t="shared" si="23"/>
        <v>3</v>
      </c>
      <c r="AX29" s="690"/>
    </row>
    <row r="30" spans="2:54">
      <c r="B30" s="676"/>
      <c r="C30" s="321">
        <v>4</v>
      </c>
      <c r="D30" s="227" t="s">
        <v>381</v>
      </c>
      <c r="E30" s="182">
        <v>19</v>
      </c>
      <c r="F30" s="569">
        <v>2600</v>
      </c>
      <c r="G30" s="570">
        <v>157.9</v>
      </c>
      <c r="H30" s="718"/>
      <c r="I30" s="458">
        <f t="shared" ref="I30:I31" si="25">AVERAGE(P30,U30,Z30,AE30,AJ30,AO30,AT30)</f>
        <v>20</v>
      </c>
      <c r="J30" s="458">
        <f t="shared" ref="J30:J31" si="26">AVERAGE(Q30,V30,AA30,AF30,AK30,AP30,AU30)</f>
        <v>2479.9219587541779</v>
      </c>
      <c r="K30" s="200">
        <f t="shared" ref="K30:K31" si="27">AVERAGE(R30,W30,AB30,AG30,AL30,AQ30,AV30)</f>
        <v>123.9960979377089</v>
      </c>
      <c r="L30" s="650"/>
      <c r="M30" s="201">
        <f>RANK(K30, K$27:$K$41)</f>
        <v>3</v>
      </c>
      <c r="N30" s="668"/>
      <c r="O30" s="668"/>
      <c r="P30" s="573">
        <v>20</v>
      </c>
      <c r="Q30" s="574">
        <v>2515.3846153846162</v>
      </c>
      <c r="R30" s="574">
        <v>125.7692307692308</v>
      </c>
      <c r="S30" s="321">
        <f t="shared" si="12"/>
        <v>3</v>
      </c>
      <c r="T30" s="718"/>
      <c r="U30" s="573">
        <v>20</v>
      </c>
      <c r="V30" s="574">
        <v>2463.1914893617027</v>
      </c>
      <c r="W30" s="574">
        <v>123.15957446808514</v>
      </c>
      <c r="X30" s="475">
        <f t="shared" si="13"/>
        <v>3</v>
      </c>
      <c r="Y30" s="718"/>
      <c r="Z30" s="573">
        <v>20</v>
      </c>
      <c r="AA30" s="574">
        <v>2482.5000000000014</v>
      </c>
      <c r="AB30" s="574">
        <v>124.12500000000007</v>
      </c>
      <c r="AC30" s="475">
        <f t="shared" si="15"/>
        <v>3</v>
      </c>
      <c r="AD30" s="718"/>
      <c r="AE30" s="573">
        <v>20</v>
      </c>
      <c r="AF30" s="574">
        <v>2467.1461538461526</v>
      </c>
      <c r="AG30" s="574">
        <v>123.35730769230763</v>
      </c>
      <c r="AH30" s="475">
        <f t="shared" si="17"/>
        <v>3</v>
      </c>
      <c r="AI30" s="718"/>
      <c r="AJ30" s="573">
        <v>20</v>
      </c>
      <c r="AK30" s="574">
        <v>2460.8795454545461</v>
      </c>
      <c r="AL30" s="574">
        <v>123.0439772727273</v>
      </c>
      <c r="AM30" s="475">
        <f t="shared" si="19"/>
        <v>3</v>
      </c>
      <c r="AN30" s="718"/>
      <c r="AO30" s="573">
        <v>20</v>
      </c>
      <c r="AP30" s="574">
        <v>2465.0070796460177</v>
      </c>
      <c r="AQ30" s="574">
        <v>123.25035398230088</v>
      </c>
      <c r="AR30" s="475">
        <f t="shared" si="21"/>
        <v>3</v>
      </c>
      <c r="AS30" s="718"/>
      <c r="AT30" s="573">
        <v>20</v>
      </c>
      <c r="AU30" s="574">
        <v>2505.3448275862092</v>
      </c>
      <c r="AV30" s="574">
        <v>125.26724137931046</v>
      </c>
      <c r="AW30" s="475">
        <f t="shared" si="23"/>
        <v>1</v>
      </c>
      <c r="AX30" s="690"/>
    </row>
    <row r="31" spans="2:54">
      <c r="B31" s="676"/>
      <c r="C31" s="321">
        <v>5</v>
      </c>
      <c r="D31" s="227" t="s">
        <v>763</v>
      </c>
      <c r="E31" s="182">
        <v>17</v>
      </c>
      <c r="F31" s="569">
        <v>2250</v>
      </c>
      <c r="G31" s="570">
        <v>132.4</v>
      </c>
      <c r="H31" s="718"/>
      <c r="I31" s="458">
        <f t="shared" si="25"/>
        <v>18</v>
      </c>
      <c r="J31" s="458">
        <f t="shared" si="26"/>
        <v>2132.3648621685634</v>
      </c>
      <c r="K31" s="200">
        <f t="shared" si="27"/>
        <v>118.46471456492019</v>
      </c>
      <c r="L31" s="650"/>
      <c r="M31" s="201">
        <f>RANK(K31, K$27:$K$41)</f>
        <v>4</v>
      </c>
      <c r="N31" s="668"/>
      <c r="O31" s="668"/>
      <c r="P31" s="573">
        <v>18</v>
      </c>
      <c r="Q31" s="574">
        <v>2140.6315789473683</v>
      </c>
      <c r="R31" s="574">
        <v>118.92397660818713</v>
      </c>
      <c r="S31" s="321">
        <f t="shared" si="12"/>
        <v>4</v>
      </c>
      <c r="T31" s="718"/>
      <c r="U31" s="573">
        <v>18</v>
      </c>
      <c r="V31" s="574">
        <v>2112.7659574468089</v>
      </c>
      <c r="W31" s="574">
        <v>117.37588652482272</v>
      </c>
      <c r="X31" s="475">
        <f t="shared" si="13"/>
        <v>4</v>
      </c>
      <c r="Y31" s="718"/>
      <c r="Z31" s="573">
        <v>18</v>
      </c>
      <c r="AA31" s="574">
        <v>2108.7804878048773</v>
      </c>
      <c r="AB31" s="574">
        <v>117.15447154471541</v>
      </c>
      <c r="AC31" s="475">
        <f t="shared" si="15"/>
        <v>4</v>
      </c>
      <c r="AD31" s="718"/>
      <c r="AE31" s="573">
        <v>18</v>
      </c>
      <c r="AF31" s="574">
        <v>2162.181818181818</v>
      </c>
      <c r="AG31" s="574">
        <v>120.12121212121211</v>
      </c>
      <c r="AH31" s="475">
        <f t="shared" si="17"/>
        <v>4</v>
      </c>
      <c r="AI31" s="718"/>
      <c r="AJ31" s="573">
        <v>18</v>
      </c>
      <c r="AK31" s="574">
        <v>2135.2380952380959</v>
      </c>
      <c r="AL31" s="574">
        <v>118.62433862433866</v>
      </c>
      <c r="AM31" s="475">
        <f t="shared" si="19"/>
        <v>4</v>
      </c>
      <c r="AN31" s="718"/>
      <c r="AO31" s="573">
        <v>18</v>
      </c>
      <c r="AP31" s="574">
        <v>2119.7560975609758</v>
      </c>
      <c r="AQ31" s="574">
        <v>117.76422764227644</v>
      </c>
      <c r="AR31" s="475">
        <f t="shared" si="21"/>
        <v>4</v>
      </c>
      <c r="AS31" s="718"/>
      <c r="AT31" s="573">
        <v>18</v>
      </c>
      <c r="AU31" s="574">
        <v>2147.1999999999989</v>
      </c>
      <c r="AV31" s="574">
        <v>119.28888888888883</v>
      </c>
      <c r="AW31" s="475">
        <f t="shared" si="23"/>
        <v>4</v>
      </c>
      <c r="AX31" s="690"/>
    </row>
    <row r="32" spans="2:54">
      <c r="B32" s="676"/>
      <c r="C32" s="321">
        <v>6</v>
      </c>
      <c r="D32" s="227"/>
      <c r="E32" s="182"/>
      <c r="F32" s="569"/>
      <c r="G32" s="570"/>
      <c r="H32" s="718"/>
      <c r="I32" s="199"/>
      <c r="J32" s="199"/>
      <c r="K32" s="200"/>
      <c r="L32" s="650"/>
      <c r="M32" s="201" t="e">
        <f>RANK(K32, K$27:$K$41)</f>
        <v>#N/A</v>
      </c>
      <c r="N32" s="668"/>
      <c r="O32" s="668"/>
      <c r="P32" s="573"/>
      <c r="Q32" s="574"/>
      <c r="R32" s="574"/>
      <c r="S32" s="321" t="e">
        <f t="shared" si="12"/>
        <v>#N/A</v>
      </c>
      <c r="T32" s="718"/>
      <c r="U32" s="573"/>
      <c r="V32" s="574"/>
      <c r="W32" s="574"/>
      <c r="X32" s="475" t="e">
        <f t="shared" si="13"/>
        <v>#N/A</v>
      </c>
      <c r="Y32" s="718"/>
      <c r="Z32" s="573"/>
      <c r="AA32" s="574"/>
      <c r="AB32" s="574"/>
      <c r="AC32" s="475" t="e">
        <f t="shared" si="15"/>
        <v>#N/A</v>
      </c>
      <c r="AD32" s="718"/>
      <c r="AE32" s="573"/>
      <c r="AF32" s="574"/>
      <c r="AG32" s="574"/>
      <c r="AH32" s="475" t="e">
        <f t="shared" si="17"/>
        <v>#N/A</v>
      </c>
      <c r="AI32" s="718"/>
      <c r="AJ32" s="573"/>
      <c r="AK32" s="574"/>
      <c r="AL32" s="574"/>
      <c r="AM32" s="475" t="e">
        <f t="shared" si="19"/>
        <v>#N/A</v>
      </c>
      <c r="AN32" s="718"/>
      <c r="AO32" s="573"/>
      <c r="AP32" s="574"/>
      <c r="AQ32" s="574"/>
      <c r="AR32" s="475" t="e">
        <f t="shared" si="21"/>
        <v>#N/A</v>
      </c>
      <c r="AS32" s="718"/>
      <c r="AT32" s="573"/>
      <c r="AU32" s="574"/>
      <c r="AV32" s="574"/>
      <c r="AW32" s="475" t="e">
        <f t="shared" si="23"/>
        <v>#N/A</v>
      </c>
      <c r="AX32" s="690"/>
    </row>
    <row r="33" spans="2:50">
      <c r="B33" s="676"/>
      <c r="C33" s="321">
        <v>7</v>
      </c>
      <c r="D33" s="227"/>
      <c r="E33" s="182"/>
      <c r="F33" s="569"/>
      <c r="G33" s="570"/>
      <c r="H33" s="718"/>
      <c r="I33" s="199"/>
      <c r="J33" s="199"/>
      <c r="K33" s="200"/>
      <c r="L33" s="650"/>
      <c r="M33" s="201" t="e">
        <f>RANK(K33, K$27:$K$41)</f>
        <v>#N/A</v>
      </c>
      <c r="N33" s="668"/>
      <c r="O33" s="668"/>
      <c r="P33" s="573"/>
      <c r="Q33" s="574"/>
      <c r="R33" s="574"/>
      <c r="S33" s="321" t="e">
        <f t="shared" si="12"/>
        <v>#N/A</v>
      </c>
      <c r="T33" s="718"/>
      <c r="U33" s="573"/>
      <c r="V33" s="574"/>
      <c r="W33" s="574"/>
      <c r="X33" s="475" t="e">
        <f t="shared" si="13"/>
        <v>#N/A</v>
      </c>
      <c r="Y33" s="718"/>
      <c r="Z33" s="573"/>
      <c r="AA33" s="574"/>
      <c r="AB33" s="574"/>
      <c r="AC33" s="475" t="e">
        <f t="shared" si="15"/>
        <v>#N/A</v>
      </c>
      <c r="AD33" s="718"/>
      <c r="AE33" s="573"/>
      <c r="AF33" s="574"/>
      <c r="AG33" s="574"/>
      <c r="AH33" s="475" t="e">
        <f t="shared" si="17"/>
        <v>#N/A</v>
      </c>
      <c r="AI33" s="718"/>
      <c r="AJ33" s="573"/>
      <c r="AK33" s="574"/>
      <c r="AL33" s="574"/>
      <c r="AM33" s="475" t="e">
        <f t="shared" si="19"/>
        <v>#N/A</v>
      </c>
      <c r="AN33" s="718"/>
      <c r="AO33" s="573"/>
      <c r="AP33" s="574"/>
      <c r="AQ33" s="574"/>
      <c r="AR33" s="475" t="e">
        <f t="shared" si="21"/>
        <v>#N/A</v>
      </c>
      <c r="AS33" s="718"/>
      <c r="AT33" s="573"/>
      <c r="AU33" s="574"/>
      <c r="AV33" s="574"/>
      <c r="AW33" s="475" t="e">
        <f t="shared" si="23"/>
        <v>#N/A</v>
      </c>
      <c r="AX33" s="690"/>
    </row>
    <row r="34" spans="2:50">
      <c r="B34" s="676"/>
      <c r="C34" s="321">
        <v>8</v>
      </c>
      <c r="D34" s="227"/>
      <c r="E34" s="182"/>
      <c r="F34" s="569"/>
      <c r="G34" s="570"/>
      <c r="H34" s="718"/>
      <c r="I34" s="199"/>
      <c r="J34" s="199"/>
      <c r="K34" s="200"/>
      <c r="L34" s="650"/>
      <c r="M34" s="201" t="e">
        <f>RANK(K34, K$27:$K$41)</f>
        <v>#N/A</v>
      </c>
      <c r="N34" s="668"/>
      <c r="O34" s="668"/>
      <c r="P34" s="573"/>
      <c r="Q34" s="574"/>
      <c r="R34" s="574"/>
      <c r="S34" s="321" t="e">
        <f t="shared" si="12"/>
        <v>#N/A</v>
      </c>
      <c r="T34" s="718"/>
      <c r="U34" s="573"/>
      <c r="V34" s="574"/>
      <c r="W34" s="574"/>
      <c r="X34" s="475" t="e">
        <f t="shared" si="13"/>
        <v>#N/A</v>
      </c>
      <c r="Y34" s="718"/>
      <c r="Z34" s="573"/>
      <c r="AA34" s="574"/>
      <c r="AB34" s="574"/>
      <c r="AC34" s="475" t="e">
        <f t="shared" si="15"/>
        <v>#N/A</v>
      </c>
      <c r="AD34" s="718"/>
      <c r="AE34" s="573"/>
      <c r="AF34" s="574"/>
      <c r="AG34" s="574"/>
      <c r="AH34" s="475" t="e">
        <f t="shared" si="17"/>
        <v>#N/A</v>
      </c>
      <c r="AI34" s="718"/>
      <c r="AJ34" s="573"/>
      <c r="AK34" s="574"/>
      <c r="AL34" s="574"/>
      <c r="AM34" s="475" t="e">
        <f t="shared" si="19"/>
        <v>#N/A</v>
      </c>
      <c r="AN34" s="718"/>
      <c r="AO34" s="573"/>
      <c r="AP34" s="574"/>
      <c r="AQ34" s="574"/>
      <c r="AR34" s="475" t="e">
        <f t="shared" si="21"/>
        <v>#N/A</v>
      </c>
      <c r="AS34" s="718"/>
      <c r="AT34" s="573"/>
      <c r="AU34" s="574"/>
      <c r="AV34" s="574"/>
      <c r="AW34" s="475" t="e">
        <f t="shared" si="23"/>
        <v>#N/A</v>
      </c>
      <c r="AX34" s="690"/>
    </row>
    <row r="35" spans="2:50">
      <c r="B35" s="676"/>
      <c r="C35" s="321">
        <v>9</v>
      </c>
      <c r="D35" s="227"/>
      <c r="E35" s="182"/>
      <c r="F35" s="569"/>
      <c r="G35" s="570"/>
      <c r="H35" s="718"/>
      <c r="I35" s="199"/>
      <c r="J35" s="199"/>
      <c r="K35" s="200"/>
      <c r="L35" s="650"/>
      <c r="M35" s="201" t="e">
        <f>RANK(K35, K$27:$K$41)</f>
        <v>#N/A</v>
      </c>
      <c r="N35" s="668"/>
      <c r="O35" s="668"/>
      <c r="P35" s="573"/>
      <c r="Q35" s="574"/>
      <c r="R35" s="574"/>
      <c r="S35" s="321" t="e">
        <f t="shared" si="12"/>
        <v>#N/A</v>
      </c>
      <c r="T35" s="718"/>
      <c r="U35" s="573"/>
      <c r="V35" s="574"/>
      <c r="W35" s="574"/>
      <c r="X35" s="475" t="e">
        <f t="shared" si="13"/>
        <v>#N/A</v>
      </c>
      <c r="Y35" s="718"/>
      <c r="Z35" s="573"/>
      <c r="AA35" s="574"/>
      <c r="AB35" s="574"/>
      <c r="AC35" s="475" t="e">
        <f t="shared" si="15"/>
        <v>#N/A</v>
      </c>
      <c r="AD35" s="718"/>
      <c r="AE35" s="573"/>
      <c r="AF35" s="574"/>
      <c r="AG35" s="574"/>
      <c r="AH35" s="475" t="e">
        <f t="shared" si="17"/>
        <v>#N/A</v>
      </c>
      <c r="AI35" s="718"/>
      <c r="AJ35" s="573"/>
      <c r="AK35" s="574"/>
      <c r="AL35" s="574"/>
      <c r="AM35" s="475" t="e">
        <f t="shared" si="19"/>
        <v>#N/A</v>
      </c>
      <c r="AN35" s="718"/>
      <c r="AO35" s="573"/>
      <c r="AP35" s="574"/>
      <c r="AQ35" s="574"/>
      <c r="AR35" s="475" t="e">
        <f t="shared" si="21"/>
        <v>#N/A</v>
      </c>
      <c r="AS35" s="718"/>
      <c r="AT35" s="573"/>
      <c r="AU35" s="574"/>
      <c r="AV35" s="574"/>
      <c r="AW35" s="475" t="e">
        <f t="shared" si="23"/>
        <v>#N/A</v>
      </c>
      <c r="AX35" s="690"/>
    </row>
    <row r="36" spans="2:50">
      <c r="B36" s="676"/>
      <c r="C36" s="321">
        <v>10</v>
      </c>
      <c r="D36" s="227"/>
      <c r="E36" s="182"/>
      <c r="F36" s="569"/>
      <c r="G36" s="570"/>
      <c r="H36" s="718"/>
      <c r="I36" s="199"/>
      <c r="J36" s="199"/>
      <c r="K36" s="200"/>
      <c r="L36" s="650"/>
      <c r="M36" s="201" t="e">
        <f>RANK(K36, K$27:$K$41)</f>
        <v>#N/A</v>
      </c>
      <c r="N36" s="668"/>
      <c r="O36" s="668"/>
      <c r="P36" s="573"/>
      <c r="Q36" s="574"/>
      <c r="R36" s="574"/>
      <c r="S36" s="321" t="e">
        <f t="shared" si="12"/>
        <v>#N/A</v>
      </c>
      <c r="T36" s="718"/>
      <c r="U36" s="573"/>
      <c r="V36" s="574"/>
      <c r="W36" s="574"/>
      <c r="X36" s="475" t="e">
        <f t="shared" si="13"/>
        <v>#N/A</v>
      </c>
      <c r="Y36" s="718"/>
      <c r="Z36" s="573"/>
      <c r="AA36" s="574"/>
      <c r="AB36" s="574"/>
      <c r="AC36" s="475" t="e">
        <f t="shared" si="15"/>
        <v>#N/A</v>
      </c>
      <c r="AD36" s="718"/>
      <c r="AE36" s="573"/>
      <c r="AF36" s="574"/>
      <c r="AG36" s="574"/>
      <c r="AH36" s="475" t="e">
        <f t="shared" si="17"/>
        <v>#N/A</v>
      </c>
      <c r="AI36" s="718"/>
      <c r="AJ36" s="573"/>
      <c r="AK36" s="574"/>
      <c r="AL36" s="574"/>
      <c r="AM36" s="475" t="e">
        <f t="shared" si="19"/>
        <v>#N/A</v>
      </c>
      <c r="AN36" s="718"/>
      <c r="AO36" s="573"/>
      <c r="AP36" s="574"/>
      <c r="AQ36" s="574"/>
      <c r="AR36" s="475" t="e">
        <f t="shared" si="21"/>
        <v>#N/A</v>
      </c>
      <c r="AS36" s="718"/>
      <c r="AT36" s="573"/>
      <c r="AU36" s="574"/>
      <c r="AV36" s="574"/>
      <c r="AW36" s="475" t="e">
        <f t="shared" si="23"/>
        <v>#N/A</v>
      </c>
      <c r="AX36" s="690"/>
    </row>
    <row r="37" spans="2:50">
      <c r="B37" s="676"/>
      <c r="C37" s="321">
        <v>11</v>
      </c>
      <c r="D37" s="227"/>
      <c r="E37" s="182"/>
      <c r="F37" s="569"/>
      <c r="G37" s="570"/>
      <c r="H37" s="718"/>
      <c r="I37" s="202"/>
      <c r="J37" s="202"/>
      <c r="K37" s="202"/>
      <c r="L37" s="650"/>
      <c r="M37" s="201" t="e">
        <f>RANK(K37, K$27:$K$41)</f>
        <v>#N/A</v>
      </c>
      <c r="N37" s="668"/>
      <c r="O37" s="668"/>
      <c r="P37" s="573"/>
      <c r="Q37" s="574"/>
      <c r="R37" s="574"/>
      <c r="S37" s="321" t="e">
        <f t="shared" si="12"/>
        <v>#N/A</v>
      </c>
      <c r="T37" s="718"/>
      <c r="U37" s="573"/>
      <c r="V37" s="574"/>
      <c r="W37" s="574"/>
      <c r="X37" s="475" t="e">
        <f t="shared" si="13"/>
        <v>#N/A</v>
      </c>
      <c r="Y37" s="718"/>
      <c r="Z37" s="573"/>
      <c r="AA37" s="574"/>
      <c r="AB37" s="574"/>
      <c r="AC37" s="475" t="e">
        <f t="shared" si="15"/>
        <v>#N/A</v>
      </c>
      <c r="AD37" s="718"/>
      <c r="AE37" s="573"/>
      <c r="AF37" s="574"/>
      <c r="AG37" s="574"/>
      <c r="AH37" s="475" t="e">
        <f t="shared" si="17"/>
        <v>#N/A</v>
      </c>
      <c r="AI37" s="718"/>
      <c r="AJ37" s="573"/>
      <c r="AK37" s="574"/>
      <c r="AL37" s="574"/>
      <c r="AM37" s="475" t="e">
        <f t="shared" si="19"/>
        <v>#N/A</v>
      </c>
      <c r="AN37" s="718"/>
      <c r="AO37" s="573"/>
      <c r="AP37" s="574"/>
      <c r="AQ37" s="574"/>
      <c r="AR37" s="475" t="e">
        <f t="shared" si="21"/>
        <v>#N/A</v>
      </c>
      <c r="AS37" s="718"/>
      <c r="AT37" s="573"/>
      <c r="AU37" s="574"/>
      <c r="AV37" s="574"/>
      <c r="AW37" s="475" t="e">
        <f t="shared" si="23"/>
        <v>#N/A</v>
      </c>
      <c r="AX37" s="690"/>
    </row>
    <row r="38" spans="2:50">
      <c r="B38" s="676"/>
      <c r="C38" s="321">
        <v>12</v>
      </c>
      <c r="D38" s="227"/>
      <c r="E38" s="182"/>
      <c r="F38" s="569"/>
      <c r="G38" s="570"/>
      <c r="H38" s="718"/>
      <c r="I38" s="202"/>
      <c r="J38" s="202"/>
      <c r="K38" s="202"/>
      <c r="L38" s="650"/>
      <c r="M38" s="201" t="e">
        <f>RANK(K38, K$27:$K$41)</f>
        <v>#N/A</v>
      </c>
      <c r="N38" s="668"/>
      <c r="O38" s="668"/>
      <c r="P38" s="573"/>
      <c r="Q38" s="574"/>
      <c r="R38" s="574"/>
      <c r="S38" s="321" t="e">
        <f t="shared" si="12"/>
        <v>#N/A</v>
      </c>
      <c r="T38" s="718"/>
      <c r="U38" s="573"/>
      <c r="V38" s="574"/>
      <c r="W38" s="574"/>
      <c r="X38" s="475" t="e">
        <f t="shared" si="13"/>
        <v>#N/A</v>
      </c>
      <c r="Y38" s="718"/>
      <c r="Z38" s="573"/>
      <c r="AA38" s="574"/>
      <c r="AB38" s="574"/>
      <c r="AC38" s="475" t="e">
        <f t="shared" si="15"/>
        <v>#N/A</v>
      </c>
      <c r="AD38" s="718"/>
      <c r="AE38" s="573"/>
      <c r="AF38" s="574"/>
      <c r="AG38" s="574"/>
      <c r="AH38" s="475" t="e">
        <f t="shared" si="17"/>
        <v>#N/A</v>
      </c>
      <c r="AI38" s="718"/>
      <c r="AJ38" s="573"/>
      <c r="AK38" s="574"/>
      <c r="AL38" s="574"/>
      <c r="AM38" s="475" t="e">
        <f t="shared" si="19"/>
        <v>#N/A</v>
      </c>
      <c r="AN38" s="718"/>
      <c r="AO38" s="573"/>
      <c r="AP38" s="574"/>
      <c r="AQ38" s="574"/>
      <c r="AR38" s="475" t="e">
        <f t="shared" si="21"/>
        <v>#N/A</v>
      </c>
      <c r="AS38" s="718"/>
      <c r="AT38" s="573"/>
      <c r="AU38" s="574"/>
      <c r="AV38" s="574"/>
      <c r="AW38" s="475" t="e">
        <f t="shared" si="23"/>
        <v>#N/A</v>
      </c>
      <c r="AX38" s="690"/>
    </row>
    <row r="39" spans="2:50">
      <c r="B39" s="676"/>
      <c r="C39" s="321">
        <v>13</v>
      </c>
      <c r="D39" s="227"/>
      <c r="E39" s="182"/>
      <c r="F39" s="569"/>
      <c r="G39" s="570"/>
      <c r="H39" s="718"/>
      <c r="I39" s="202"/>
      <c r="J39" s="202"/>
      <c r="K39" s="202"/>
      <c r="L39" s="650"/>
      <c r="M39" s="201" t="e">
        <f>RANK(K39, K$27:$K$41)</f>
        <v>#N/A</v>
      </c>
      <c r="N39" s="668"/>
      <c r="O39" s="668"/>
      <c r="P39" s="573"/>
      <c r="Q39" s="574"/>
      <c r="R39" s="574"/>
      <c r="S39" s="321" t="e">
        <f t="shared" si="12"/>
        <v>#N/A</v>
      </c>
      <c r="T39" s="718"/>
      <c r="U39" s="573"/>
      <c r="V39" s="574"/>
      <c r="W39" s="574"/>
      <c r="X39" s="475" t="e">
        <f t="shared" si="13"/>
        <v>#N/A</v>
      </c>
      <c r="Y39" s="718"/>
      <c r="Z39" s="573"/>
      <c r="AA39" s="574"/>
      <c r="AB39" s="574"/>
      <c r="AC39" s="475" t="e">
        <f t="shared" si="15"/>
        <v>#N/A</v>
      </c>
      <c r="AD39" s="718"/>
      <c r="AE39" s="573"/>
      <c r="AF39" s="574"/>
      <c r="AG39" s="574"/>
      <c r="AH39" s="475" t="e">
        <f t="shared" si="17"/>
        <v>#N/A</v>
      </c>
      <c r="AI39" s="718"/>
      <c r="AJ39" s="573"/>
      <c r="AK39" s="574"/>
      <c r="AL39" s="574"/>
      <c r="AM39" s="475" t="e">
        <f t="shared" si="19"/>
        <v>#N/A</v>
      </c>
      <c r="AN39" s="718"/>
      <c r="AO39" s="573"/>
      <c r="AP39" s="574"/>
      <c r="AQ39" s="574"/>
      <c r="AR39" s="475" t="e">
        <f t="shared" si="21"/>
        <v>#N/A</v>
      </c>
      <c r="AS39" s="718"/>
      <c r="AT39" s="573"/>
      <c r="AU39" s="574"/>
      <c r="AV39" s="574"/>
      <c r="AW39" s="475" t="e">
        <f t="shared" si="23"/>
        <v>#N/A</v>
      </c>
      <c r="AX39" s="690"/>
    </row>
    <row r="40" spans="2:50">
      <c r="B40" s="676"/>
      <c r="C40" s="321">
        <v>14</v>
      </c>
      <c r="D40" s="227"/>
      <c r="E40" s="182"/>
      <c r="F40" s="569"/>
      <c r="G40" s="570"/>
      <c r="H40" s="718"/>
      <c r="I40" s="202"/>
      <c r="J40" s="202"/>
      <c r="K40" s="202"/>
      <c r="L40" s="650"/>
      <c r="M40" s="201" t="e">
        <f>RANK(K40, K$27:$K$41)</f>
        <v>#N/A</v>
      </c>
      <c r="N40" s="668"/>
      <c r="O40" s="668"/>
      <c r="P40" s="573"/>
      <c r="Q40" s="574"/>
      <c r="R40" s="574"/>
      <c r="S40" s="321" t="e">
        <f t="shared" si="12"/>
        <v>#N/A</v>
      </c>
      <c r="T40" s="718"/>
      <c r="U40" s="573"/>
      <c r="V40" s="574"/>
      <c r="W40" s="574"/>
      <c r="X40" s="475" t="e">
        <f t="shared" si="13"/>
        <v>#N/A</v>
      </c>
      <c r="Y40" s="718"/>
      <c r="Z40" s="573"/>
      <c r="AA40" s="574"/>
      <c r="AB40" s="574"/>
      <c r="AC40" s="475" t="e">
        <f t="shared" si="15"/>
        <v>#N/A</v>
      </c>
      <c r="AD40" s="718"/>
      <c r="AE40" s="573"/>
      <c r="AF40" s="574"/>
      <c r="AG40" s="574"/>
      <c r="AH40" s="475" t="e">
        <f t="shared" si="17"/>
        <v>#N/A</v>
      </c>
      <c r="AI40" s="718"/>
      <c r="AJ40" s="573"/>
      <c r="AK40" s="574"/>
      <c r="AL40" s="574"/>
      <c r="AM40" s="475" t="e">
        <f t="shared" si="19"/>
        <v>#N/A</v>
      </c>
      <c r="AN40" s="718"/>
      <c r="AO40" s="573"/>
      <c r="AP40" s="574"/>
      <c r="AQ40" s="574"/>
      <c r="AR40" s="475" t="e">
        <f t="shared" si="21"/>
        <v>#N/A</v>
      </c>
      <c r="AS40" s="718"/>
      <c r="AT40" s="573"/>
      <c r="AU40" s="574"/>
      <c r="AV40" s="574"/>
      <c r="AW40" s="475" t="e">
        <f t="shared" si="23"/>
        <v>#N/A</v>
      </c>
      <c r="AX40" s="690"/>
    </row>
    <row r="41" spans="2:50">
      <c r="B41" s="676"/>
      <c r="C41" s="321">
        <v>15</v>
      </c>
      <c r="D41" s="227"/>
      <c r="E41" s="182"/>
      <c r="F41" s="569"/>
      <c r="G41" s="570"/>
      <c r="H41" s="719"/>
      <c r="I41" s="202"/>
      <c r="J41" s="202"/>
      <c r="K41" s="202"/>
      <c r="L41" s="651"/>
      <c r="M41" s="199" t="e">
        <f>RANK(K41, K$27:$K$41)</f>
        <v>#N/A</v>
      </c>
      <c r="N41" s="668"/>
      <c r="O41" s="668"/>
      <c r="P41" s="573"/>
      <c r="Q41" s="574"/>
      <c r="R41" s="574"/>
      <c r="S41" s="321" t="e">
        <f t="shared" si="12"/>
        <v>#N/A</v>
      </c>
      <c r="T41" s="719"/>
      <c r="U41" s="573"/>
      <c r="V41" s="574"/>
      <c r="W41" s="574"/>
      <c r="X41" s="475" t="e">
        <f t="shared" si="13"/>
        <v>#N/A</v>
      </c>
      <c r="Y41" s="719"/>
      <c r="Z41" s="573"/>
      <c r="AA41" s="574"/>
      <c r="AB41" s="574"/>
      <c r="AC41" s="475" t="e">
        <f t="shared" si="15"/>
        <v>#N/A</v>
      </c>
      <c r="AD41" s="719"/>
      <c r="AE41" s="573"/>
      <c r="AF41" s="574"/>
      <c r="AG41" s="574"/>
      <c r="AH41" s="475" t="e">
        <f t="shared" si="17"/>
        <v>#N/A</v>
      </c>
      <c r="AI41" s="719"/>
      <c r="AJ41" s="573"/>
      <c r="AK41" s="574"/>
      <c r="AL41" s="574"/>
      <c r="AM41" s="475" t="e">
        <f t="shared" si="19"/>
        <v>#N/A</v>
      </c>
      <c r="AN41" s="719"/>
      <c r="AO41" s="573"/>
      <c r="AP41" s="574"/>
      <c r="AQ41" s="574"/>
      <c r="AR41" s="475" t="e">
        <f t="shared" si="21"/>
        <v>#N/A</v>
      </c>
      <c r="AS41" s="719"/>
      <c r="AT41" s="573"/>
      <c r="AU41" s="574"/>
      <c r="AV41" s="574"/>
      <c r="AW41" s="475" t="e">
        <f t="shared" si="23"/>
        <v>#N/A</v>
      </c>
      <c r="AX41" s="690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69" t="s">
        <v>156</v>
      </c>
      <c r="O42" s="669" t="s">
        <v>105</v>
      </c>
      <c r="P42" s="675">
        <f>P22+7</f>
        <v>46098</v>
      </c>
      <c r="Q42" s="676"/>
      <c r="R42" s="676"/>
      <c r="S42" s="676"/>
      <c r="T42" s="676"/>
      <c r="U42" s="672">
        <f>P42+1</f>
        <v>46099</v>
      </c>
      <c r="V42" s="673"/>
      <c r="W42" s="673"/>
      <c r="X42" s="673"/>
      <c r="Y42" s="674"/>
      <c r="Z42" s="672">
        <f>U42+1</f>
        <v>46100</v>
      </c>
      <c r="AA42" s="673"/>
      <c r="AB42" s="673"/>
      <c r="AC42" s="673"/>
      <c r="AD42" s="674"/>
      <c r="AE42" s="672">
        <f>Z42+1</f>
        <v>46101</v>
      </c>
      <c r="AF42" s="673"/>
      <c r="AG42" s="673"/>
      <c r="AH42" s="673"/>
      <c r="AI42" s="674"/>
      <c r="AJ42" s="672">
        <f>AE42+1</f>
        <v>46102</v>
      </c>
      <c r="AK42" s="673"/>
      <c r="AL42" s="673"/>
      <c r="AM42" s="673"/>
      <c r="AN42" s="674"/>
      <c r="AO42" s="672">
        <f>AJ42+1</f>
        <v>46103</v>
      </c>
      <c r="AP42" s="673"/>
      <c r="AQ42" s="673"/>
      <c r="AR42" s="673"/>
      <c r="AS42" s="674"/>
      <c r="AT42" s="672">
        <f>AO42+1</f>
        <v>46104</v>
      </c>
      <c r="AU42" s="673"/>
      <c r="AV42" s="673"/>
      <c r="AW42" s="673"/>
      <c r="AX42" s="674"/>
    </row>
    <row r="43" spans="2:50" ht="15.75">
      <c r="B43" s="683"/>
      <c r="C43" s="683"/>
      <c r="D43" s="683"/>
      <c r="E43" s="683"/>
      <c r="F43" s="683"/>
      <c r="G43" s="683"/>
      <c r="H43" s="683"/>
      <c r="I43" s="205"/>
      <c r="J43" s="205"/>
      <c r="K43" s="205"/>
      <c r="L43" s="205"/>
      <c r="M43" s="206"/>
      <c r="N43" s="671"/>
      <c r="O43" s="671"/>
      <c r="P43" s="675" t="s">
        <v>336</v>
      </c>
      <c r="Q43" s="676"/>
      <c r="R43" s="676"/>
      <c r="S43" s="676"/>
      <c r="T43" s="676"/>
      <c r="U43" s="675" t="s">
        <v>337</v>
      </c>
      <c r="V43" s="676"/>
      <c r="W43" s="676"/>
      <c r="X43" s="676"/>
      <c r="Y43" s="676"/>
      <c r="Z43" s="675" t="s">
        <v>338</v>
      </c>
      <c r="AA43" s="676"/>
      <c r="AB43" s="676"/>
      <c r="AC43" s="676"/>
      <c r="AD43" s="676"/>
      <c r="AE43" s="675" t="s">
        <v>339</v>
      </c>
      <c r="AF43" s="676"/>
      <c r="AG43" s="676"/>
      <c r="AH43" s="676"/>
      <c r="AI43" s="676"/>
      <c r="AJ43" s="675" t="s">
        <v>340</v>
      </c>
      <c r="AK43" s="676"/>
      <c r="AL43" s="676"/>
      <c r="AM43" s="676"/>
      <c r="AN43" s="676"/>
      <c r="AO43" s="675" t="s">
        <v>341</v>
      </c>
      <c r="AP43" s="676"/>
      <c r="AQ43" s="676"/>
      <c r="AR43" s="676"/>
      <c r="AS43" s="676"/>
      <c r="AT43" s="675" t="s">
        <v>342</v>
      </c>
      <c r="AU43" s="676"/>
      <c r="AV43" s="676"/>
      <c r="AW43" s="676"/>
      <c r="AX43" s="676"/>
    </row>
    <row r="44" spans="2:50">
      <c r="B44" s="668" t="s">
        <v>604</v>
      </c>
      <c r="C44" s="668" t="s">
        <v>605</v>
      </c>
      <c r="D44" s="668"/>
      <c r="E44" s="668" t="s">
        <v>606</v>
      </c>
      <c r="F44" s="668"/>
      <c r="G44" s="668"/>
      <c r="H44" s="684" t="s">
        <v>607</v>
      </c>
      <c r="I44" s="652" t="s">
        <v>608</v>
      </c>
      <c r="J44" s="652"/>
      <c r="K44" s="652"/>
      <c r="L44" s="653" t="s">
        <v>607</v>
      </c>
      <c r="M44" s="659" t="s">
        <v>609</v>
      </c>
      <c r="N44" s="668"/>
      <c r="O44" s="668" t="s">
        <v>610</v>
      </c>
      <c r="P44" s="665" t="s">
        <v>889</v>
      </c>
      <c r="Q44" s="666"/>
      <c r="R44" s="666"/>
      <c r="S44" s="667"/>
      <c r="T44" s="668" t="s">
        <v>890</v>
      </c>
      <c r="U44" s="665" t="s">
        <v>889</v>
      </c>
      <c r="V44" s="666"/>
      <c r="W44" s="666"/>
      <c r="X44" s="667"/>
      <c r="Y44" s="668" t="s">
        <v>890</v>
      </c>
      <c r="Z44" s="665" t="s">
        <v>889</v>
      </c>
      <c r="AA44" s="666"/>
      <c r="AB44" s="666"/>
      <c r="AC44" s="667"/>
      <c r="AD44" s="668" t="s">
        <v>890</v>
      </c>
      <c r="AE44" s="665" t="s">
        <v>889</v>
      </c>
      <c r="AF44" s="666"/>
      <c r="AG44" s="666"/>
      <c r="AH44" s="667"/>
      <c r="AI44" s="668" t="s">
        <v>890</v>
      </c>
      <c r="AJ44" s="665" t="s">
        <v>889</v>
      </c>
      <c r="AK44" s="666"/>
      <c r="AL44" s="666"/>
      <c r="AM44" s="667"/>
      <c r="AN44" s="668" t="s">
        <v>890</v>
      </c>
      <c r="AO44" s="665" t="s">
        <v>889</v>
      </c>
      <c r="AP44" s="666"/>
      <c r="AQ44" s="666"/>
      <c r="AR44" s="667"/>
      <c r="AS44" s="668" t="s">
        <v>890</v>
      </c>
      <c r="AT44" s="665" t="s">
        <v>889</v>
      </c>
      <c r="AU44" s="666"/>
      <c r="AV44" s="666"/>
      <c r="AW44" s="667"/>
      <c r="AX44" s="668" t="s">
        <v>890</v>
      </c>
    </row>
    <row r="45" spans="2:50">
      <c r="B45" s="668"/>
      <c r="C45" s="668"/>
      <c r="D45" s="668"/>
      <c r="E45" s="668" t="s">
        <v>612</v>
      </c>
      <c r="F45" s="668"/>
      <c r="G45" s="668"/>
      <c r="H45" s="685"/>
      <c r="I45" s="652" t="s">
        <v>612</v>
      </c>
      <c r="J45" s="652"/>
      <c r="K45" s="652"/>
      <c r="L45" s="654"/>
      <c r="M45" s="660"/>
      <c r="N45" s="668"/>
      <c r="O45" s="668"/>
      <c r="P45" s="665" t="s">
        <v>891</v>
      </c>
      <c r="Q45" s="666"/>
      <c r="R45" s="666"/>
      <c r="S45" s="667"/>
      <c r="T45" s="668"/>
      <c r="U45" s="665" t="s">
        <v>891</v>
      </c>
      <c r="V45" s="666"/>
      <c r="W45" s="666"/>
      <c r="X45" s="667"/>
      <c r="Y45" s="668"/>
      <c r="Z45" s="665" t="s">
        <v>891</v>
      </c>
      <c r="AA45" s="666"/>
      <c r="AB45" s="666"/>
      <c r="AC45" s="667"/>
      <c r="AD45" s="668"/>
      <c r="AE45" s="665" t="s">
        <v>891</v>
      </c>
      <c r="AF45" s="666"/>
      <c r="AG45" s="666"/>
      <c r="AH45" s="667"/>
      <c r="AI45" s="668"/>
      <c r="AJ45" s="665" t="s">
        <v>891</v>
      </c>
      <c r="AK45" s="666"/>
      <c r="AL45" s="666"/>
      <c r="AM45" s="667"/>
      <c r="AN45" s="668"/>
      <c r="AO45" s="665" t="s">
        <v>891</v>
      </c>
      <c r="AP45" s="666"/>
      <c r="AQ45" s="666"/>
      <c r="AR45" s="667"/>
      <c r="AS45" s="668"/>
      <c r="AT45" s="665" t="s">
        <v>891</v>
      </c>
      <c r="AU45" s="666"/>
      <c r="AV45" s="666"/>
      <c r="AW45" s="667"/>
      <c r="AX45" s="668"/>
    </row>
    <row r="46" spans="2:50">
      <c r="B46" s="668"/>
      <c r="C46" s="668"/>
      <c r="D46" s="668"/>
      <c r="E46" s="326" t="s">
        <v>614</v>
      </c>
      <c r="F46" s="326" t="s">
        <v>615</v>
      </c>
      <c r="G46" s="326" t="s">
        <v>616</v>
      </c>
      <c r="H46" s="686"/>
      <c r="I46" s="325" t="s">
        <v>614</v>
      </c>
      <c r="J46" s="325" t="s">
        <v>615</v>
      </c>
      <c r="K46" s="325" t="s">
        <v>616</v>
      </c>
      <c r="L46" s="655"/>
      <c r="M46" s="661"/>
      <c r="N46" s="668"/>
      <c r="O46" s="668"/>
      <c r="P46" s="532" t="s">
        <v>892</v>
      </c>
      <c r="Q46" s="532" t="s">
        <v>893</v>
      </c>
      <c r="R46" s="532" t="s">
        <v>894</v>
      </c>
      <c r="S46" s="532" t="s">
        <v>895</v>
      </c>
      <c r="T46" s="668"/>
      <c r="U46" s="532" t="s">
        <v>892</v>
      </c>
      <c r="V46" s="532" t="s">
        <v>893</v>
      </c>
      <c r="W46" s="532" t="s">
        <v>894</v>
      </c>
      <c r="X46" s="532" t="s">
        <v>895</v>
      </c>
      <c r="Y46" s="668"/>
      <c r="Z46" s="532" t="s">
        <v>892</v>
      </c>
      <c r="AA46" s="532" t="s">
        <v>893</v>
      </c>
      <c r="AB46" s="532" t="s">
        <v>894</v>
      </c>
      <c r="AC46" s="532" t="s">
        <v>895</v>
      </c>
      <c r="AD46" s="668"/>
      <c r="AE46" s="532" t="s">
        <v>892</v>
      </c>
      <c r="AF46" s="532" t="s">
        <v>893</v>
      </c>
      <c r="AG46" s="532" t="s">
        <v>894</v>
      </c>
      <c r="AH46" s="532" t="s">
        <v>895</v>
      </c>
      <c r="AI46" s="668"/>
      <c r="AJ46" s="532" t="s">
        <v>892</v>
      </c>
      <c r="AK46" s="532" t="s">
        <v>893</v>
      </c>
      <c r="AL46" s="532" t="s">
        <v>894</v>
      </c>
      <c r="AM46" s="532" t="s">
        <v>895</v>
      </c>
      <c r="AN46" s="668"/>
      <c r="AO46" s="532" t="s">
        <v>892</v>
      </c>
      <c r="AP46" s="532" t="s">
        <v>893</v>
      </c>
      <c r="AQ46" s="532" t="s">
        <v>894</v>
      </c>
      <c r="AR46" s="532" t="s">
        <v>895</v>
      </c>
      <c r="AS46" s="668"/>
      <c r="AT46" s="532" t="s">
        <v>892</v>
      </c>
      <c r="AU46" s="532" t="s">
        <v>893</v>
      </c>
      <c r="AV46" s="532" t="s">
        <v>894</v>
      </c>
      <c r="AW46" s="532" t="s">
        <v>895</v>
      </c>
      <c r="AX46" s="668"/>
    </row>
    <row r="47" spans="2:50">
      <c r="B47" s="668" t="s">
        <v>619</v>
      </c>
      <c r="C47" s="327">
        <v>1</v>
      </c>
      <c r="D47" s="227" t="s">
        <v>378</v>
      </c>
      <c r="E47" s="182">
        <v>20</v>
      </c>
      <c r="F47" s="569">
        <v>2400</v>
      </c>
      <c r="G47" s="570">
        <v>120</v>
      </c>
      <c r="H47" s="717">
        <f>AVERAGE(G47:G61)</f>
        <v>148.73999999999998</v>
      </c>
      <c r="I47" s="199">
        <f t="shared" ref="I47:K49" si="28">AVERAGE(P47,U47,Z47,AE47,AJ47,AO47,AT47)</f>
        <v>20</v>
      </c>
      <c r="J47" s="199">
        <f t="shared" si="28"/>
        <v>2217.7562717050105</v>
      </c>
      <c r="K47" s="200">
        <f t="shared" si="28"/>
        <v>110.88781358525053</v>
      </c>
      <c r="L47" s="649">
        <f>IFERROR(AVERAGE(K47:K61),"-")</f>
        <v>124.8888968605502</v>
      </c>
      <c r="M47" s="201">
        <f>RANK(K47, K$47:$K$61)</f>
        <v>5</v>
      </c>
      <c r="N47" s="668"/>
      <c r="O47" s="668"/>
      <c r="P47" s="573">
        <v>20</v>
      </c>
      <c r="Q47" s="574">
        <v>2235.5357142857138</v>
      </c>
      <c r="R47" s="574">
        <v>111.77678571428569</v>
      </c>
      <c r="S47" s="533">
        <f t="shared" ref="S47:S51" si="29">RANK(R47, R$47:R$61)</f>
        <v>5</v>
      </c>
      <c r="T47" s="690">
        <f>AVERAGE(R47:R61)</f>
        <v>125.77535102290612</v>
      </c>
      <c r="U47" s="573">
        <v>20</v>
      </c>
      <c r="V47" s="574">
        <v>2217.8787878787871</v>
      </c>
      <c r="W47" s="574">
        <v>110.89393939393935</v>
      </c>
      <c r="X47" s="533">
        <f t="shared" ref="X47:X51" si="30">RANK(W47, W$47:W$61)</f>
        <v>5</v>
      </c>
      <c r="Y47" s="690">
        <f>AVERAGE(W47:W61)</f>
        <v>125.79709078460965</v>
      </c>
      <c r="Z47" s="573">
        <v>20</v>
      </c>
      <c r="AA47" s="574">
        <v>2234.2021276595751</v>
      </c>
      <c r="AB47" s="574">
        <v>111.71010638297875</v>
      </c>
      <c r="AC47" s="533">
        <f t="shared" ref="AC47:AC51" si="31">RANK(AB47, AB$47:AB$61)</f>
        <v>5</v>
      </c>
      <c r="AD47" s="690">
        <f>AVERAGE(AB47:AB61)</f>
        <v>124.71420478727313</v>
      </c>
      <c r="AE47" s="573">
        <v>20</v>
      </c>
      <c r="AF47" s="574">
        <v>2193.75</v>
      </c>
      <c r="AG47" s="574">
        <v>109.6875</v>
      </c>
      <c r="AH47" s="533">
        <f t="shared" ref="AH47:AH51" si="32">RANK(AG47, AG$47:AG$61)</f>
        <v>5</v>
      </c>
      <c r="AI47" s="690">
        <f>AVERAGE(AG47:AG61)</f>
        <v>124.79973676694794</v>
      </c>
      <c r="AJ47" s="573">
        <v>20</v>
      </c>
      <c r="AK47" s="574">
        <v>2206.7142857142853</v>
      </c>
      <c r="AL47" s="574">
        <v>110.33571428571426</v>
      </c>
      <c r="AM47" s="533">
        <f t="shared" ref="AM47:AM51" si="33">RANK(AL47, AL$47:AL$61)</f>
        <v>5</v>
      </c>
      <c r="AN47" s="690">
        <f>AVERAGE(AL47:AL61)</f>
        <v>124.58732931471101</v>
      </c>
      <c r="AO47" s="573">
        <v>20</v>
      </c>
      <c r="AP47" s="574">
        <v>2236.1120689655181</v>
      </c>
      <c r="AQ47" s="574">
        <v>111.8056034482759</v>
      </c>
      <c r="AR47" s="533">
        <f t="shared" ref="AR47:AR51" si="34">RANK(AQ47, AQ$47:AQ$61)</f>
        <v>5</v>
      </c>
      <c r="AS47" s="690">
        <f>AVERAGE(AQ47:AQ61)</f>
        <v>124.17795645649161</v>
      </c>
      <c r="AT47" s="573">
        <v>20</v>
      </c>
      <c r="AU47" s="574">
        <v>2200.1009174311926</v>
      </c>
      <c r="AV47" s="574">
        <v>110.00504587155963</v>
      </c>
      <c r="AW47" s="533">
        <f t="shared" ref="AW47:AW51" si="35">RANK(AV47, AV$47:AV$61)</f>
        <v>5</v>
      </c>
      <c r="AX47" s="690">
        <f>AVERAGE(AV47:AV61)</f>
        <v>124.37060889091194</v>
      </c>
    </row>
    <row r="48" spans="2:50">
      <c r="B48" s="676"/>
      <c r="C48" s="327">
        <v>2</v>
      </c>
      <c r="D48" s="227" t="s">
        <v>379</v>
      </c>
      <c r="E48" s="182">
        <v>18</v>
      </c>
      <c r="F48" s="569">
        <v>2600</v>
      </c>
      <c r="G48" s="570">
        <v>166.7</v>
      </c>
      <c r="H48" s="718"/>
      <c r="I48" s="199">
        <f t="shared" si="28"/>
        <v>19.142857142857142</v>
      </c>
      <c r="J48" s="199">
        <f t="shared" si="28"/>
        <v>2573.7311032511179</v>
      </c>
      <c r="K48" s="200">
        <f t="shared" si="28"/>
        <v>134.4909063822916</v>
      </c>
      <c r="L48" s="650"/>
      <c r="M48" s="201">
        <f>RANK(K48, K$47:$K$61)</f>
        <v>1</v>
      </c>
      <c r="N48" s="668"/>
      <c r="O48" s="668"/>
      <c r="P48" s="573">
        <v>19</v>
      </c>
      <c r="Q48" s="574">
        <v>2596.6744186046508</v>
      </c>
      <c r="R48" s="574">
        <v>136.66707466340267</v>
      </c>
      <c r="S48" s="533">
        <f t="shared" si="29"/>
        <v>1</v>
      </c>
      <c r="T48" s="690"/>
      <c r="U48" s="573">
        <v>19</v>
      </c>
      <c r="V48" s="574">
        <v>2569.568181818182</v>
      </c>
      <c r="W48" s="574">
        <v>135.24043062200957</v>
      </c>
      <c r="X48" s="533">
        <f t="shared" si="30"/>
        <v>1</v>
      </c>
      <c r="Y48" s="690"/>
      <c r="Z48" s="573">
        <v>20</v>
      </c>
      <c r="AA48" s="574">
        <v>2576.54347826087</v>
      </c>
      <c r="AB48" s="574">
        <v>128.82717391304351</v>
      </c>
      <c r="AC48" s="533">
        <f t="shared" si="31"/>
        <v>2</v>
      </c>
      <c r="AD48" s="690"/>
      <c r="AE48" s="573">
        <v>19</v>
      </c>
      <c r="AF48" s="574">
        <v>2567.6511627906975</v>
      </c>
      <c r="AG48" s="574">
        <v>135.13953488372093</v>
      </c>
      <c r="AH48" s="533">
        <f t="shared" si="32"/>
        <v>1</v>
      </c>
      <c r="AI48" s="690"/>
      <c r="AJ48" s="573">
        <v>19</v>
      </c>
      <c r="AK48" s="574">
        <v>2594.386363636364</v>
      </c>
      <c r="AL48" s="574">
        <v>136.54665071770336</v>
      </c>
      <c r="AM48" s="533">
        <f t="shared" si="33"/>
        <v>1</v>
      </c>
      <c r="AN48" s="690"/>
      <c r="AO48" s="573">
        <v>19</v>
      </c>
      <c r="AP48" s="574">
        <v>2548.0000000000014</v>
      </c>
      <c r="AQ48" s="574">
        <v>134.1052631578948</v>
      </c>
      <c r="AR48" s="533">
        <f t="shared" si="34"/>
        <v>1</v>
      </c>
      <c r="AS48" s="690"/>
      <c r="AT48" s="573">
        <v>19</v>
      </c>
      <c r="AU48" s="574">
        <v>2563.2941176470599</v>
      </c>
      <c r="AV48" s="574">
        <v>134.9102167182663</v>
      </c>
      <c r="AW48" s="533">
        <f t="shared" si="35"/>
        <v>1</v>
      </c>
      <c r="AX48" s="690"/>
    </row>
    <row r="49" spans="2:50">
      <c r="B49" s="676"/>
      <c r="C49" s="327">
        <v>3</v>
      </c>
      <c r="D49" s="227" t="s">
        <v>380</v>
      </c>
      <c r="E49" s="182">
        <v>18</v>
      </c>
      <c r="F49" s="569">
        <v>2600</v>
      </c>
      <c r="G49" s="570">
        <v>166.7</v>
      </c>
      <c r="H49" s="718"/>
      <c r="I49" s="199">
        <f t="shared" si="28"/>
        <v>19</v>
      </c>
      <c r="J49" s="199">
        <f t="shared" si="28"/>
        <v>2448.9830831095796</v>
      </c>
      <c r="K49" s="200">
        <f t="shared" si="28"/>
        <v>128.89384647945158</v>
      </c>
      <c r="L49" s="650"/>
      <c r="M49" s="201">
        <f>RANK(K49, K$47:$K$61)</f>
        <v>2</v>
      </c>
      <c r="N49" s="668"/>
      <c r="O49" s="668"/>
      <c r="P49" s="573">
        <v>19</v>
      </c>
      <c r="Q49" s="574">
        <v>2469.6000000000026</v>
      </c>
      <c r="R49" s="574">
        <v>129.97894736842119</v>
      </c>
      <c r="S49" s="533">
        <f t="shared" si="29"/>
        <v>2</v>
      </c>
      <c r="T49" s="690"/>
      <c r="U49" s="573">
        <v>19</v>
      </c>
      <c r="V49" s="574">
        <v>2496.0000000000009</v>
      </c>
      <c r="W49" s="574">
        <v>131.36842105263162</v>
      </c>
      <c r="X49" s="533">
        <f t="shared" si="30"/>
        <v>2</v>
      </c>
      <c r="Y49" s="690"/>
      <c r="Z49" s="573">
        <v>19</v>
      </c>
      <c r="AA49" s="574">
        <v>2549.106382978724</v>
      </c>
      <c r="AB49" s="574">
        <v>134.16349384098547</v>
      </c>
      <c r="AC49" s="533">
        <f t="shared" si="31"/>
        <v>1</v>
      </c>
      <c r="AD49" s="690"/>
      <c r="AE49" s="573">
        <v>19</v>
      </c>
      <c r="AF49" s="574">
        <v>2416.8421052631561</v>
      </c>
      <c r="AG49" s="574">
        <v>127.2022160664819</v>
      </c>
      <c r="AH49" s="533">
        <f t="shared" si="32"/>
        <v>2</v>
      </c>
      <c r="AI49" s="690"/>
      <c r="AJ49" s="573">
        <v>19</v>
      </c>
      <c r="AK49" s="574">
        <v>2443.4999999999959</v>
      </c>
      <c r="AL49" s="574">
        <v>128.60526315789451</v>
      </c>
      <c r="AM49" s="533">
        <f t="shared" si="33"/>
        <v>2</v>
      </c>
      <c r="AN49" s="690"/>
      <c r="AO49" s="573">
        <v>19</v>
      </c>
      <c r="AP49" s="574">
        <v>2359.1999999999998</v>
      </c>
      <c r="AQ49" s="574">
        <v>124.16842105263157</v>
      </c>
      <c r="AR49" s="533">
        <f t="shared" si="34"/>
        <v>3</v>
      </c>
      <c r="AS49" s="690"/>
      <c r="AT49" s="573">
        <v>19</v>
      </c>
      <c r="AU49" s="574">
        <v>2408.6330935251785</v>
      </c>
      <c r="AV49" s="574">
        <v>126.77016281711467</v>
      </c>
      <c r="AW49" s="533">
        <f t="shared" si="35"/>
        <v>2</v>
      </c>
      <c r="AX49" s="690"/>
    </row>
    <row r="50" spans="2:50">
      <c r="B50" s="676"/>
      <c r="C50" s="327">
        <v>4</v>
      </c>
      <c r="D50" s="227" t="s">
        <v>381</v>
      </c>
      <c r="E50" s="182">
        <v>19</v>
      </c>
      <c r="F50" s="569">
        <v>2600</v>
      </c>
      <c r="G50" s="570">
        <v>157.9</v>
      </c>
      <c r="H50" s="718"/>
      <c r="I50" s="582">
        <f t="shared" ref="I50:I51" si="36">AVERAGE(P50,U50,Z50,AE50,AJ50,AO50,AT50)</f>
        <v>20</v>
      </c>
      <c r="J50" s="582">
        <f t="shared" ref="J50:J51" si="37">AVERAGE(Q50,V50,AA50,AF50,AK50,AP50,AU50)</f>
        <v>2522.1942596146132</v>
      </c>
      <c r="K50" s="200">
        <f t="shared" ref="K50:K51" si="38">AVERAGE(R50,W50,AB50,AG50,AL50,AQ50,AV50)</f>
        <v>126.10971298073066</v>
      </c>
      <c r="L50" s="650"/>
      <c r="M50" s="201">
        <f>RANK(K50, K$47:$K$61)</f>
        <v>3</v>
      </c>
      <c r="N50" s="668"/>
      <c r="O50" s="668"/>
      <c r="P50" s="573">
        <v>20</v>
      </c>
      <c r="Q50" s="574">
        <v>2544.0789473684217</v>
      </c>
      <c r="R50" s="574">
        <v>127.20394736842108</v>
      </c>
      <c r="S50" s="533">
        <f t="shared" si="29"/>
        <v>3</v>
      </c>
      <c r="T50" s="690"/>
      <c r="U50" s="573">
        <v>20</v>
      </c>
      <c r="V50" s="574">
        <v>2516.5446428571427</v>
      </c>
      <c r="W50" s="574">
        <v>125.82723214285713</v>
      </c>
      <c r="X50" s="533">
        <f t="shared" si="30"/>
        <v>3</v>
      </c>
      <c r="Y50" s="690"/>
      <c r="Z50" s="573">
        <v>20</v>
      </c>
      <c r="AA50" s="574">
        <v>2494.2589285714284</v>
      </c>
      <c r="AB50" s="574">
        <v>124.71294642857143</v>
      </c>
      <c r="AC50" s="533">
        <f t="shared" si="31"/>
        <v>3</v>
      </c>
      <c r="AD50" s="690"/>
      <c r="AE50" s="573">
        <v>20</v>
      </c>
      <c r="AF50" s="574">
        <v>2529.7395348837208</v>
      </c>
      <c r="AG50" s="574">
        <v>126.48697674418604</v>
      </c>
      <c r="AH50" s="533">
        <f t="shared" si="32"/>
        <v>3</v>
      </c>
      <c r="AI50" s="690"/>
      <c r="AJ50" s="573">
        <v>20</v>
      </c>
      <c r="AK50" s="574">
        <v>2494.508823529412</v>
      </c>
      <c r="AL50" s="574">
        <v>124.7254411764706</v>
      </c>
      <c r="AM50" s="533">
        <f t="shared" si="33"/>
        <v>3</v>
      </c>
      <c r="AN50" s="690"/>
      <c r="AO50" s="573">
        <v>20</v>
      </c>
      <c r="AP50" s="574">
        <v>2549.5432258064516</v>
      </c>
      <c r="AQ50" s="574">
        <v>127.47716129032258</v>
      </c>
      <c r="AR50" s="533">
        <f t="shared" si="34"/>
        <v>2</v>
      </c>
      <c r="AS50" s="690"/>
      <c r="AT50" s="573">
        <v>20</v>
      </c>
      <c r="AU50" s="574">
        <v>2526.6857142857148</v>
      </c>
      <c r="AV50" s="574">
        <v>126.33428571428574</v>
      </c>
      <c r="AW50" s="533">
        <f t="shared" si="35"/>
        <v>3</v>
      </c>
      <c r="AX50" s="690"/>
    </row>
    <row r="51" spans="2:50">
      <c r="B51" s="676"/>
      <c r="C51" s="327">
        <v>5</v>
      </c>
      <c r="D51" s="227" t="s">
        <v>763</v>
      </c>
      <c r="E51" s="182">
        <v>17</v>
      </c>
      <c r="F51" s="569">
        <v>2250</v>
      </c>
      <c r="G51" s="570">
        <v>132.4</v>
      </c>
      <c r="H51" s="718"/>
      <c r="I51" s="582">
        <f t="shared" si="36"/>
        <v>18</v>
      </c>
      <c r="J51" s="582">
        <f t="shared" si="37"/>
        <v>2233.1196877504804</v>
      </c>
      <c r="K51" s="200">
        <f t="shared" si="38"/>
        <v>124.06220487502669</v>
      </c>
      <c r="L51" s="650"/>
      <c r="M51" s="201">
        <f>RANK(K51, K$47:$K$61)</f>
        <v>4</v>
      </c>
      <c r="N51" s="668"/>
      <c r="O51" s="668"/>
      <c r="P51" s="573">
        <v>18</v>
      </c>
      <c r="Q51" s="574">
        <v>2218.5</v>
      </c>
      <c r="R51" s="574">
        <v>123.25</v>
      </c>
      <c r="S51" s="533">
        <f t="shared" si="29"/>
        <v>4</v>
      </c>
      <c r="T51" s="690"/>
      <c r="U51" s="573">
        <v>18</v>
      </c>
      <c r="V51" s="574">
        <v>2261.7977528089891</v>
      </c>
      <c r="W51" s="574">
        <v>125.65543071161051</v>
      </c>
      <c r="X51" s="533">
        <f t="shared" si="30"/>
        <v>4</v>
      </c>
      <c r="Y51" s="690"/>
      <c r="Z51" s="573">
        <v>18</v>
      </c>
      <c r="AA51" s="574">
        <v>2234.8314606741574</v>
      </c>
      <c r="AB51" s="574">
        <v>124.15730337078652</v>
      </c>
      <c r="AC51" s="533">
        <f t="shared" si="31"/>
        <v>4</v>
      </c>
      <c r="AD51" s="690"/>
      <c r="AE51" s="573">
        <v>18</v>
      </c>
      <c r="AF51" s="574">
        <v>2258.6842105263154</v>
      </c>
      <c r="AG51" s="574">
        <v>125.48245614035085</v>
      </c>
      <c r="AH51" s="533">
        <f t="shared" si="32"/>
        <v>4</v>
      </c>
      <c r="AI51" s="690"/>
      <c r="AJ51" s="573">
        <v>18</v>
      </c>
      <c r="AK51" s="574">
        <v>2209.0243902439024</v>
      </c>
      <c r="AL51" s="574">
        <v>122.72357723577235</v>
      </c>
      <c r="AM51" s="533">
        <f t="shared" si="33"/>
        <v>4</v>
      </c>
      <c r="AN51" s="690"/>
      <c r="AO51" s="573">
        <v>18</v>
      </c>
      <c r="AP51" s="574">
        <v>2219.9999999999995</v>
      </c>
      <c r="AQ51" s="574">
        <v>123.33333333333331</v>
      </c>
      <c r="AR51" s="533">
        <f t="shared" si="34"/>
        <v>4</v>
      </c>
      <c r="AS51" s="690"/>
      <c r="AT51" s="573">
        <v>18</v>
      </c>
      <c r="AU51" s="574">
        <v>2229</v>
      </c>
      <c r="AV51" s="574">
        <v>123.83333333333333</v>
      </c>
      <c r="AW51" s="533">
        <f t="shared" si="35"/>
        <v>4</v>
      </c>
      <c r="AX51" s="690"/>
    </row>
    <row r="52" spans="2:50">
      <c r="B52" s="676"/>
      <c r="C52" s="327">
        <v>6</v>
      </c>
      <c r="D52" s="227"/>
      <c r="E52" s="182"/>
      <c r="F52" s="569"/>
      <c r="G52" s="570"/>
      <c r="H52" s="718"/>
      <c r="I52" s="199"/>
      <c r="J52" s="199"/>
      <c r="K52" s="200"/>
      <c r="L52" s="650"/>
      <c r="M52" s="201" t="e">
        <f>RANK(K52, K$47:$K$61)</f>
        <v>#N/A</v>
      </c>
      <c r="N52" s="668"/>
      <c r="O52" s="668"/>
      <c r="P52" s="573"/>
      <c r="Q52" s="574"/>
      <c r="R52" s="574"/>
      <c r="S52" s="533"/>
      <c r="T52" s="690"/>
      <c r="U52" s="573"/>
      <c r="V52" s="574"/>
      <c r="W52" s="574"/>
      <c r="X52" s="533"/>
      <c r="Y52" s="690"/>
      <c r="Z52" s="573"/>
      <c r="AA52" s="574"/>
      <c r="AB52" s="574"/>
      <c r="AC52" s="533"/>
      <c r="AD52" s="690"/>
      <c r="AE52" s="573"/>
      <c r="AF52" s="574"/>
      <c r="AG52" s="574"/>
      <c r="AH52" s="533"/>
      <c r="AI52" s="690"/>
      <c r="AJ52" s="573"/>
      <c r="AK52" s="574"/>
      <c r="AL52" s="574"/>
      <c r="AM52" s="533"/>
      <c r="AN52" s="690"/>
      <c r="AO52" s="573"/>
      <c r="AP52" s="574"/>
      <c r="AQ52" s="574"/>
      <c r="AR52" s="533"/>
      <c r="AS52" s="690"/>
      <c r="AT52" s="573"/>
      <c r="AU52" s="574"/>
      <c r="AV52" s="574"/>
      <c r="AW52" s="533"/>
      <c r="AX52" s="690"/>
    </row>
    <row r="53" spans="2:50">
      <c r="B53" s="676"/>
      <c r="C53" s="327">
        <v>7</v>
      </c>
      <c r="D53" s="227"/>
      <c r="E53" s="182"/>
      <c r="F53" s="569"/>
      <c r="G53" s="570"/>
      <c r="H53" s="718"/>
      <c r="I53" s="199"/>
      <c r="J53" s="199"/>
      <c r="K53" s="200"/>
      <c r="L53" s="650"/>
      <c r="M53" s="201" t="e">
        <f>RANK(K53, K$47:$K$61)</f>
        <v>#N/A</v>
      </c>
      <c r="N53" s="668"/>
      <c r="O53" s="668"/>
      <c r="P53" s="573"/>
      <c r="Q53" s="574"/>
      <c r="R53" s="574"/>
      <c r="S53" s="533"/>
      <c r="T53" s="690"/>
      <c r="U53" s="573"/>
      <c r="V53" s="574"/>
      <c r="W53" s="574"/>
      <c r="X53" s="533"/>
      <c r="Y53" s="690"/>
      <c r="Z53" s="573"/>
      <c r="AA53" s="574"/>
      <c r="AB53" s="574"/>
      <c r="AC53" s="533"/>
      <c r="AD53" s="690"/>
      <c r="AE53" s="573"/>
      <c r="AF53" s="574"/>
      <c r="AG53" s="574"/>
      <c r="AH53" s="533"/>
      <c r="AI53" s="690"/>
      <c r="AJ53" s="573"/>
      <c r="AK53" s="574"/>
      <c r="AL53" s="574"/>
      <c r="AM53" s="533"/>
      <c r="AN53" s="690"/>
      <c r="AO53" s="573"/>
      <c r="AP53" s="574"/>
      <c r="AQ53" s="574"/>
      <c r="AR53" s="533"/>
      <c r="AS53" s="690"/>
      <c r="AT53" s="573"/>
      <c r="AU53" s="574"/>
      <c r="AV53" s="574"/>
      <c r="AW53" s="533"/>
      <c r="AX53" s="690"/>
    </row>
    <row r="54" spans="2:50">
      <c r="B54" s="676"/>
      <c r="C54" s="327">
        <v>8</v>
      </c>
      <c r="D54" s="227"/>
      <c r="E54" s="182"/>
      <c r="F54" s="569"/>
      <c r="G54" s="570"/>
      <c r="H54" s="718"/>
      <c r="I54" s="199"/>
      <c r="J54" s="199"/>
      <c r="K54" s="200"/>
      <c r="L54" s="650"/>
      <c r="M54" s="201" t="e">
        <f>RANK(K54, K$47:$K$61)</f>
        <v>#N/A</v>
      </c>
      <c r="N54" s="668"/>
      <c r="O54" s="668"/>
      <c r="P54" s="573"/>
      <c r="Q54" s="574"/>
      <c r="R54" s="574"/>
      <c r="S54" s="533"/>
      <c r="T54" s="690"/>
      <c r="U54" s="573"/>
      <c r="V54" s="574"/>
      <c r="W54" s="574"/>
      <c r="X54" s="533"/>
      <c r="Y54" s="690"/>
      <c r="Z54" s="573"/>
      <c r="AA54" s="574"/>
      <c r="AB54" s="574"/>
      <c r="AC54" s="533"/>
      <c r="AD54" s="690"/>
      <c r="AE54" s="573"/>
      <c r="AF54" s="574"/>
      <c r="AG54" s="574"/>
      <c r="AH54" s="533"/>
      <c r="AI54" s="690"/>
      <c r="AJ54" s="573"/>
      <c r="AK54" s="574"/>
      <c r="AL54" s="574"/>
      <c r="AM54" s="533"/>
      <c r="AN54" s="690"/>
      <c r="AO54" s="573"/>
      <c r="AP54" s="574"/>
      <c r="AQ54" s="574"/>
      <c r="AR54" s="533"/>
      <c r="AS54" s="690"/>
      <c r="AT54" s="573"/>
      <c r="AU54" s="574"/>
      <c r="AV54" s="574"/>
      <c r="AW54" s="533"/>
      <c r="AX54" s="690"/>
    </row>
    <row r="55" spans="2:50">
      <c r="B55" s="676"/>
      <c r="C55" s="327">
        <v>9</v>
      </c>
      <c r="D55" s="227"/>
      <c r="E55" s="182"/>
      <c r="F55" s="569"/>
      <c r="G55" s="570"/>
      <c r="H55" s="718"/>
      <c r="I55" s="199"/>
      <c r="J55" s="199"/>
      <c r="K55" s="200"/>
      <c r="L55" s="650"/>
      <c r="M55" s="201" t="e">
        <f>RANK(K55, K$47:$K$61)</f>
        <v>#N/A</v>
      </c>
      <c r="N55" s="668"/>
      <c r="O55" s="668"/>
      <c r="P55" s="573"/>
      <c r="Q55" s="574"/>
      <c r="R55" s="574"/>
      <c r="S55" s="533"/>
      <c r="T55" s="690"/>
      <c r="U55" s="573"/>
      <c r="V55" s="574"/>
      <c r="W55" s="574"/>
      <c r="X55" s="533"/>
      <c r="Y55" s="690"/>
      <c r="Z55" s="573"/>
      <c r="AA55" s="574"/>
      <c r="AB55" s="574"/>
      <c r="AC55" s="533"/>
      <c r="AD55" s="690"/>
      <c r="AE55" s="573"/>
      <c r="AF55" s="574"/>
      <c r="AG55" s="574"/>
      <c r="AH55" s="533"/>
      <c r="AI55" s="690"/>
      <c r="AJ55" s="573"/>
      <c r="AK55" s="574"/>
      <c r="AL55" s="574"/>
      <c r="AM55" s="533"/>
      <c r="AN55" s="690"/>
      <c r="AO55" s="573"/>
      <c r="AP55" s="574"/>
      <c r="AQ55" s="574"/>
      <c r="AR55" s="533"/>
      <c r="AS55" s="690"/>
      <c r="AT55" s="573"/>
      <c r="AU55" s="574"/>
      <c r="AV55" s="574"/>
      <c r="AW55" s="533"/>
      <c r="AX55" s="690"/>
    </row>
    <row r="56" spans="2:50">
      <c r="B56" s="676"/>
      <c r="C56" s="327">
        <v>10</v>
      </c>
      <c r="D56" s="227"/>
      <c r="E56" s="182"/>
      <c r="F56" s="569"/>
      <c r="G56" s="570"/>
      <c r="H56" s="718"/>
      <c r="I56" s="199"/>
      <c r="J56" s="199"/>
      <c r="K56" s="200"/>
      <c r="L56" s="650"/>
      <c r="M56" s="201" t="e">
        <f>RANK(K56, K$47:$K$61)</f>
        <v>#N/A</v>
      </c>
      <c r="N56" s="668"/>
      <c r="O56" s="668"/>
      <c r="P56" s="573"/>
      <c r="Q56" s="574"/>
      <c r="R56" s="574"/>
      <c r="S56" s="533"/>
      <c r="T56" s="690"/>
      <c r="U56" s="573"/>
      <c r="V56" s="574"/>
      <c r="W56" s="574"/>
      <c r="X56" s="533"/>
      <c r="Y56" s="690"/>
      <c r="Z56" s="573"/>
      <c r="AA56" s="574"/>
      <c r="AB56" s="574"/>
      <c r="AC56" s="533"/>
      <c r="AD56" s="690"/>
      <c r="AE56" s="573"/>
      <c r="AF56" s="574"/>
      <c r="AG56" s="574"/>
      <c r="AH56" s="533"/>
      <c r="AI56" s="690"/>
      <c r="AJ56" s="573"/>
      <c r="AK56" s="574"/>
      <c r="AL56" s="574"/>
      <c r="AM56" s="533"/>
      <c r="AN56" s="690"/>
      <c r="AO56" s="573"/>
      <c r="AP56" s="574"/>
      <c r="AQ56" s="574"/>
      <c r="AR56" s="533"/>
      <c r="AS56" s="690"/>
      <c r="AT56" s="573"/>
      <c r="AU56" s="574"/>
      <c r="AV56" s="574"/>
      <c r="AW56" s="533"/>
      <c r="AX56" s="690"/>
    </row>
    <row r="57" spans="2:50">
      <c r="B57" s="676"/>
      <c r="C57" s="327">
        <v>11</v>
      </c>
      <c r="D57" s="227"/>
      <c r="E57" s="182"/>
      <c r="F57" s="569"/>
      <c r="G57" s="570"/>
      <c r="H57" s="718"/>
      <c r="I57" s="202"/>
      <c r="J57" s="202"/>
      <c r="K57" s="202"/>
      <c r="L57" s="650"/>
      <c r="M57" s="201" t="e">
        <f>RANK(K57, K$47:$K$61)</f>
        <v>#N/A</v>
      </c>
      <c r="N57" s="668"/>
      <c r="O57" s="668"/>
      <c r="P57" s="573"/>
      <c r="Q57" s="574"/>
      <c r="R57" s="574"/>
      <c r="S57" s="533"/>
      <c r="T57" s="690"/>
      <c r="U57" s="573"/>
      <c r="V57" s="574"/>
      <c r="W57" s="574"/>
      <c r="X57" s="535"/>
      <c r="Y57" s="690"/>
      <c r="Z57" s="573"/>
      <c r="AA57" s="574"/>
      <c r="AB57" s="574"/>
      <c r="AC57" s="533"/>
      <c r="AD57" s="690"/>
      <c r="AE57" s="573"/>
      <c r="AF57" s="574"/>
      <c r="AG57" s="574"/>
      <c r="AH57" s="533"/>
      <c r="AI57" s="690"/>
      <c r="AJ57" s="573"/>
      <c r="AK57" s="574"/>
      <c r="AL57" s="574"/>
      <c r="AM57" s="533"/>
      <c r="AN57" s="690"/>
      <c r="AO57" s="573"/>
      <c r="AP57" s="574"/>
      <c r="AQ57" s="574"/>
      <c r="AR57" s="533"/>
      <c r="AS57" s="690"/>
      <c r="AT57" s="573"/>
      <c r="AU57" s="574"/>
      <c r="AV57" s="574"/>
      <c r="AW57" s="533"/>
      <c r="AX57" s="690"/>
    </row>
    <row r="58" spans="2:50">
      <c r="B58" s="676"/>
      <c r="C58" s="327">
        <v>12</v>
      </c>
      <c r="D58" s="227"/>
      <c r="E58" s="182"/>
      <c r="F58" s="569"/>
      <c r="G58" s="570"/>
      <c r="H58" s="718"/>
      <c r="I58" s="202"/>
      <c r="J58" s="202"/>
      <c r="K58" s="202"/>
      <c r="L58" s="650"/>
      <c r="M58" s="201" t="e">
        <f>RANK(K58, K$47:$K$61)</f>
        <v>#N/A</v>
      </c>
      <c r="N58" s="668"/>
      <c r="O58" s="668"/>
      <c r="P58" s="573"/>
      <c r="Q58" s="574"/>
      <c r="R58" s="574"/>
      <c r="S58" s="533"/>
      <c r="T58" s="690"/>
      <c r="U58" s="573"/>
      <c r="V58" s="574"/>
      <c r="W58" s="574"/>
      <c r="X58" s="533"/>
      <c r="Y58" s="690"/>
      <c r="Z58" s="573"/>
      <c r="AA58" s="574"/>
      <c r="AB58" s="574"/>
      <c r="AC58" s="533"/>
      <c r="AD58" s="690"/>
      <c r="AE58" s="573"/>
      <c r="AF58" s="574"/>
      <c r="AG58" s="574"/>
      <c r="AH58" s="533"/>
      <c r="AI58" s="690"/>
      <c r="AJ58" s="573"/>
      <c r="AK58" s="574"/>
      <c r="AL58" s="574"/>
      <c r="AM58" s="533"/>
      <c r="AN58" s="690"/>
      <c r="AO58" s="573"/>
      <c r="AP58" s="574"/>
      <c r="AQ58" s="574"/>
      <c r="AR58" s="533"/>
      <c r="AS58" s="690"/>
      <c r="AT58" s="573"/>
      <c r="AU58" s="574"/>
      <c r="AV58" s="574"/>
      <c r="AW58" s="533"/>
      <c r="AX58" s="690"/>
    </row>
    <row r="59" spans="2:50">
      <c r="B59" s="676"/>
      <c r="C59" s="327">
        <v>13</v>
      </c>
      <c r="D59" s="227"/>
      <c r="E59" s="182"/>
      <c r="F59" s="569"/>
      <c r="G59" s="570"/>
      <c r="H59" s="718"/>
      <c r="I59" s="202"/>
      <c r="J59" s="202"/>
      <c r="K59" s="202"/>
      <c r="L59" s="650"/>
      <c r="M59" s="201" t="e">
        <f>RANK(K59, K$47:$K$61)</f>
        <v>#N/A</v>
      </c>
      <c r="N59" s="668"/>
      <c r="O59" s="668"/>
      <c r="P59" s="573"/>
      <c r="Q59" s="574"/>
      <c r="R59" s="574"/>
      <c r="S59" s="533"/>
      <c r="T59" s="690"/>
      <c r="U59" s="573"/>
      <c r="V59" s="574"/>
      <c r="W59" s="574"/>
      <c r="X59" s="533"/>
      <c r="Y59" s="690"/>
      <c r="Z59" s="573"/>
      <c r="AA59" s="574"/>
      <c r="AB59" s="574"/>
      <c r="AC59" s="533"/>
      <c r="AD59" s="690"/>
      <c r="AE59" s="573"/>
      <c r="AF59" s="574"/>
      <c r="AG59" s="574"/>
      <c r="AH59" s="533"/>
      <c r="AI59" s="690"/>
      <c r="AJ59" s="573"/>
      <c r="AK59" s="574"/>
      <c r="AL59" s="574"/>
      <c r="AM59" s="533"/>
      <c r="AN59" s="690"/>
      <c r="AO59" s="573"/>
      <c r="AP59" s="574"/>
      <c r="AQ59" s="574"/>
      <c r="AR59" s="533"/>
      <c r="AS59" s="690"/>
      <c r="AT59" s="573"/>
      <c r="AU59" s="574"/>
      <c r="AV59" s="574"/>
      <c r="AW59" s="533"/>
      <c r="AX59" s="690"/>
    </row>
    <row r="60" spans="2:50">
      <c r="B60" s="676"/>
      <c r="C60" s="327">
        <v>14</v>
      </c>
      <c r="D60" s="227"/>
      <c r="E60" s="182"/>
      <c r="F60" s="569"/>
      <c r="G60" s="570"/>
      <c r="H60" s="718"/>
      <c r="I60" s="202"/>
      <c r="J60" s="202"/>
      <c r="K60" s="202"/>
      <c r="L60" s="650"/>
      <c r="M60" s="201" t="e">
        <f>RANK(K60, K$47:$K$61)</f>
        <v>#N/A</v>
      </c>
      <c r="N60" s="668"/>
      <c r="O60" s="668"/>
      <c r="P60" s="573"/>
      <c r="Q60" s="574"/>
      <c r="R60" s="574"/>
      <c r="S60" s="533"/>
      <c r="T60" s="690"/>
      <c r="U60" s="573"/>
      <c r="V60" s="574"/>
      <c r="W60" s="574"/>
      <c r="X60" s="533"/>
      <c r="Y60" s="690"/>
      <c r="Z60" s="573"/>
      <c r="AA60" s="574"/>
      <c r="AB60" s="574"/>
      <c r="AC60" s="533"/>
      <c r="AD60" s="690"/>
      <c r="AE60" s="573"/>
      <c r="AF60" s="574"/>
      <c r="AG60" s="574"/>
      <c r="AH60" s="533"/>
      <c r="AI60" s="690"/>
      <c r="AJ60" s="573"/>
      <c r="AK60" s="574"/>
      <c r="AL60" s="574"/>
      <c r="AM60" s="533"/>
      <c r="AN60" s="690"/>
      <c r="AO60" s="573"/>
      <c r="AP60" s="574"/>
      <c r="AQ60" s="574"/>
      <c r="AR60" s="533"/>
      <c r="AS60" s="690"/>
      <c r="AT60" s="573"/>
      <c r="AU60" s="574"/>
      <c r="AV60" s="574"/>
      <c r="AW60" s="533"/>
      <c r="AX60" s="690"/>
    </row>
    <row r="61" spans="2:50">
      <c r="B61" s="676"/>
      <c r="C61" s="327">
        <v>15</v>
      </c>
      <c r="D61" s="227"/>
      <c r="E61" s="182"/>
      <c r="F61" s="569"/>
      <c r="G61" s="570"/>
      <c r="H61" s="719"/>
      <c r="I61" s="202"/>
      <c r="J61" s="202"/>
      <c r="K61" s="202"/>
      <c r="L61" s="651"/>
      <c r="M61" s="201" t="e">
        <f>RANK(K61, K$47:$K$61)</f>
        <v>#N/A</v>
      </c>
      <c r="N61" s="668"/>
      <c r="O61" s="668"/>
      <c r="P61" s="573"/>
      <c r="Q61" s="574"/>
      <c r="R61" s="574"/>
      <c r="S61" s="533"/>
      <c r="T61" s="690"/>
      <c r="U61" s="573"/>
      <c r="V61" s="574"/>
      <c r="W61" s="574"/>
      <c r="X61" s="533"/>
      <c r="Y61" s="690"/>
      <c r="Z61" s="573"/>
      <c r="AA61" s="574"/>
      <c r="AB61" s="574"/>
      <c r="AC61" s="533"/>
      <c r="AD61" s="690"/>
      <c r="AE61" s="573"/>
      <c r="AF61" s="574"/>
      <c r="AG61" s="574"/>
      <c r="AH61" s="533"/>
      <c r="AI61" s="690"/>
      <c r="AJ61" s="573"/>
      <c r="AK61" s="574"/>
      <c r="AL61" s="574"/>
      <c r="AM61" s="533"/>
      <c r="AN61" s="690"/>
      <c r="AO61" s="573"/>
      <c r="AP61" s="574"/>
      <c r="AQ61" s="574"/>
      <c r="AR61" s="533"/>
      <c r="AS61" s="690"/>
      <c r="AT61" s="573"/>
      <c r="AU61" s="574"/>
      <c r="AV61" s="574"/>
      <c r="AW61" s="533"/>
      <c r="AX61" s="690"/>
    </row>
    <row r="62" spans="2:50" ht="15.75">
      <c r="B62" s="680" t="s">
        <v>163</v>
      </c>
      <c r="C62" s="681"/>
      <c r="D62" s="681"/>
      <c r="E62" s="681"/>
      <c r="F62" s="681"/>
      <c r="G62" s="681"/>
      <c r="H62" s="682"/>
      <c r="I62" s="208"/>
      <c r="J62" s="208"/>
      <c r="K62" s="208"/>
      <c r="L62" s="208"/>
      <c r="M62" s="207"/>
      <c r="N62" s="669" t="s">
        <v>156</v>
      </c>
      <c r="O62" s="669" t="s">
        <v>105</v>
      </c>
      <c r="P62" s="675">
        <f>P42+7</f>
        <v>46105</v>
      </c>
      <c r="Q62" s="676"/>
      <c r="R62" s="676"/>
      <c r="S62" s="676"/>
      <c r="T62" s="676"/>
      <c r="U62" s="672">
        <f>P62+1</f>
        <v>46106</v>
      </c>
      <c r="V62" s="673"/>
      <c r="W62" s="673"/>
      <c r="X62" s="673"/>
      <c r="Y62" s="674"/>
      <c r="Z62" s="672">
        <f>U62+1</f>
        <v>46107</v>
      </c>
      <c r="AA62" s="673"/>
      <c r="AB62" s="673"/>
      <c r="AC62" s="673"/>
      <c r="AD62" s="674"/>
      <c r="AE62" s="672">
        <f>Z62+1</f>
        <v>46108</v>
      </c>
      <c r="AF62" s="673"/>
      <c r="AG62" s="673"/>
      <c r="AH62" s="673"/>
      <c r="AI62" s="674"/>
      <c r="AJ62" s="672">
        <f>AE62+1</f>
        <v>46109</v>
      </c>
      <c r="AK62" s="673"/>
      <c r="AL62" s="673"/>
      <c r="AM62" s="673"/>
      <c r="AN62" s="674"/>
      <c r="AO62" s="672">
        <f>AJ62+1</f>
        <v>46110</v>
      </c>
      <c r="AP62" s="673"/>
      <c r="AQ62" s="673"/>
      <c r="AR62" s="673"/>
      <c r="AS62" s="674"/>
      <c r="AT62" s="672">
        <f>AO62+1</f>
        <v>46111</v>
      </c>
      <c r="AU62" s="673"/>
      <c r="AV62" s="673"/>
      <c r="AW62" s="673"/>
      <c r="AX62" s="674"/>
    </row>
    <row r="63" spans="2:50" ht="15.75">
      <c r="B63" s="683"/>
      <c r="C63" s="683"/>
      <c r="D63" s="683"/>
      <c r="E63" s="683"/>
      <c r="F63" s="683"/>
      <c r="G63" s="683"/>
      <c r="H63" s="683"/>
      <c r="I63" s="205"/>
      <c r="J63" s="205"/>
      <c r="K63" s="205"/>
      <c r="L63" s="205"/>
      <c r="M63" s="206"/>
      <c r="N63" s="671"/>
      <c r="O63" s="671"/>
      <c r="P63" s="675" t="s">
        <v>336</v>
      </c>
      <c r="Q63" s="676"/>
      <c r="R63" s="676"/>
      <c r="S63" s="676"/>
      <c r="T63" s="676"/>
      <c r="U63" s="675" t="s">
        <v>337</v>
      </c>
      <c r="V63" s="676"/>
      <c r="W63" s="676"/>
      <c r="X63" s="676"/>
      <c r="Y63" s="676"/>
      <c r="Z63" s="675" t="s">
        <v>338</v>
      </c>
      <c r="AA63" s="676"/>
      <c r="AB63" s="676"/>
      <c r="AC63" s="676"/>
      <c r="AD63" s="676"/>
      <c r="AE63" s="675" t="s">
        <v>339</v>
      </c>
      <c r="AF63" s="676"/>
      <c r="AG63" s="676"/>
      <c r="AH63" s="676"/>
      <c r="AI63" s="676"/>
      <c r="AJ63" s="675" t="s">
        <v>340</v>
      </c>
      <c r="AK63" s="676"/>
      <c r="AL63" s="676"/>
      <c r="AM63" s="676"/>
      <c r="AN63" s="676"/>
      <c r="AO63" s="675" t="s">
        <v>341</v>
      </c>
      <c r="AP63" s="676"/>
      <c r="AQ63" s="676"/>
      <c r="AR63" s="676"/>
      <c r="AS63" s="676"/>
      <c r="AT63" s="675" t="s">
        <v>342</v>
      </c>
      <c r="AU63" s="676"/>
      <c r="AV63" s="676"/>
      <c r="AW63" s="676"/>
      <c r="AX63" s="676"/>
    </row>
    <row r="64" spans="2:50">
      <c r="B64" s="668" t="s">
        <v>477</v>
      </c>
      <c r="C64" s="668" t="s">
        <v>478</v>
      </c>
      <c r="D64" s="668"/>
      <c r="E64" s="668" t="s">
        <v>479</v>
      </c>
      <c r="F64" s="668"/>
      <c r="G64" s="668"/>
      <c r="H64" s="684" t="s">
        <v>480</v>
      </c>
      <c r="I64" s="652" t="s">
        <v>481</v>
      </c>
      <c r="J64" s="652"/>
      <c r="K64" s="652"/>
      <c r="L64" s="653" t="s">
        <v>480</v>
      </c>
      <c r="M64" s="659" t="s">
        <v>482</v>
      </c>
      <c r="N64" s="668"/>
      <c r="O64" s="668" t="s">
        <v>483</v>
      </c>
      <c r="P64" s="665" t="s">
        <v>484</v>
      </c>
      <c r="Q64" s="666"/>
      <c r="R64" s="666"/>
      <c r="S64" s="667"/>
      <c r="T64" s="668" t="s">
        <v>480</v>
      </c>
      <c r="U64" s="665" t="s">
        <v>484</v>
      </c>
      <c r="V64" s="666"/>
      <c r="W64" s="666"/>
      <c r="X64" s="667"/>
      <c r="Y64" s="668" t="s">
        <v>480</v>
      </c>
      <c r="Z64" s="665" t="s">
        <v>484</v>
      </c>
      <c r="AA64" s="666"/>
      <c r="AB64" s="666"/>
      <c r="AC64" s="667"/>
      <c r="AD64" s="668" t="s">
        <v>480</v>
      </c>
      <c r="AE64" s="665" t="s">
        <v>484</v>
      </c>
      <c r="AF64" s="666"/>
      <c r="AG64" s="666"/>
      <c r="AH64" s="667"/>
      <c r="AI64" s="668" t="s">
        <v>480</v>
      </c>
      <c r="AJ64" s="665" t="s">
        <v>484</v>
      </c>
      <c r="AK64" s="666"/>
      <c r="AL64" s="666"/>
      <c r="AM64" s="667"/>
      <c r="AN64" s="668" t="s">
        <v>480</v>
      </c>
      <c r="AO64" s="665" t="s">
        <v>484</v>
      </c>
      <c r="AP64" s="666"/>
      <c r="AQ64" s="666"/>
      <c r="AR64" s="667"/>
      <c r="AS64" s="668" t="s">
        <v>480</v>
      </c>
      <c r="AT64" s="665" t="s">
        <v>484</v>
      </c>
      <c r="AU64" s="666"/>
      <c r="AV64" s="666"/>
      <c r="AW64" s="667"/>
      <c r="AX64" s="668" t="s">
        <v>480</v>
      </c>
    </row>
    <row r="65" spans="2:50">
      <c r="B65" s="668"/>
      <c r="C65" s="668"/>
      <c r="D65" s="668"/>
      <c r="E65" s="668" t="s">
        <v>485</v>
      </c>
      <c r="F65" s="668"/>
      <c r="G65" s="668"/>
      <c r="H65" s="685"/>
      <c r="I65" s="652" t="s">
        <v>485</v>
      </c>
      <c r="J65" s="652"/>
      <c r="K65" s="652"/>
      <c r="L65" s="654"/>
      <c r="M65" s="660"/>
      <c r="N65" s="668"/>
      <c r="O65" s="668"/>
      <c r="P65" s="665" t="s">
        <v>486</v>
      </c>
      <c r="Q65" s="666"/>
      <c r="R65" s="666"/>
      <c r="S65" s="667"/>
      <c r="T65" s="668"/>
      <c r="U65" s="665" t="s">
        <v>486</v>
      </c>
      <c r="V65" s="666"/>
      <c r="W65" s="666"/>
      <c r="X65" s="667"/>
      <c r="Y65" s="668"/>
      <c r="Z65" s="665" t="s">
        <v>486</v>
      </c>
      <c r="AA65" s="666"/>
      <c r="AB65" s="666"/>
      <c r="AC65" s="667"/>
      <c r="AD65" s="668"/>
      <c r="AE65" s="665" t="s">
        <v>486</v>
      </c>
      <c r="AF65" s="666"/>
      <c r="AG65" s="666"/>
      <c r="AH65" s="667"/>
      <c r="AI65" s="668"/>
      <c r="AJ65" s="665" t="s">
        <v>486</v>
      </c>
      <c r="AK65" s="666"/>
      <c r="AL65" s="666"/>
      <c r="AM65" s="667"/>
      <c r="AN65" s="668"/>
      <c r="AO65" s="665" t="s">
        <v>486</v>
      </c>
      <c r="AP65" s="666"/>
      <c r="AQ65" s="666"/>
      <c r="AR65" s="667"/>
      <c r="AS65" s="668"/>
      <c r="AT65" s="665" t="s">
        <v>486</v>
      </c>
      <c r="AU65" s="666"/>
      <c r="AV65" s="666"/>
      <c r="AW65" s="667"/>
      <c r="AX65" s="668"/>
    </row>
    <row r="66" spans="2:50">
      <c r="B66" s="668"/>
      <c r="C66" s="668"/>
      <c r="D66" s="668"/>
      <c r="E66" s="308" t="s">
        <v>487</v>
      </c>
      <c r="F66" s="308" t="s">
        <v>488</v>
      </c>
      <c r="G66" s="308" t="s">
        <v>489</v>
      </c>
      <c r="H66" s="686"/>
      <c r="I66" s="307" t="s">
        <v>487</v>
      </c>
      <c r="J66" s="307" t="s">
        <v>488</v>
      </c>
      <c r="K66" s="307" t="s">
        <v>489</v>
      </c>
      <c r="L66" s="655"/>
      <c r="M66" s="661"/>
      <c r="N66" s="668"/>
      <c r="O66" s="668"/>
      <c r="P66" s="308" t="s">
        <v>487</v>
      </c>
      <c r="Q66" s="308" t="s">
        <v>488</v>
      </c>
      <c r="R66" s="308" t="s">
        <v>489</v>
      </c>
      <c r="S66" s="308" t="s">
        <v>482</v>
      </c>
      <c r="T66" s="668"/>
      <c r="U66" s="308" t="s">
        <v>487</v>
      </c>
      <c r="V66" s="308" t="s">
        <v>488</v>
      </c>
      <c r="W66" s="308" t="s">
        <v>489</v>
      </c>
      <c r="X66" s="308" t="s">
        <v>482</v>
      </c>
      <c r="Y66" s="668"/>
      <c r="Z66" s="308" t="s">
        <v>487</v>
      </c>
      <c r="AA66" s="308" t="s">
        <v>488</v>
      </c>
      <c r="AB66" s="308" t="s">
        <v>489</v>
      </c>
      <c r="AC66" s="308" t="s">
        <v>482</v>
      </c>
      <c r="AD66" s="668"/>
      <c r="AE66" s="308" t="s">
        <v>487</v>
      </c>
      <c r="AF66" s="308" t="s">
        <v>488</v>
      </c>
      <c r="AG66" s="308" t="s">
        <v>489</v>
      </c>
      <c r="AH66" s="308" t="s">
        <v>482</v>
      </c>
      <c r="AI66" s="668"/>
      <c r="AJ66" s="308" t="s">
        <v>487</v>
      </c>
      <c r="AK66" s="308" t="s">
        <v>488</v>
      </c>
      <c r="AL66" s="308" t="s">
        <v>489</v>
      </c>
      <c r="AM66" s="308" t="s">
        <v>482</v>
      </c>
      <c r="AN66" s="668"/>
      <c r="AO66" s="308" t="s">
        <v>487</v>
      </c>
      <c r="AP66" s="308" t="s">
        <v>488</v>
      </c>
      <c r="AQ66" s="308" t="s">
        <v>489</v>
      </c>
      <c r="AR66" s="308" t="s">
        <v>482</v>
      </c>
      <c r="AS66" s="668"/>
      <c r="AT66" s="308" t="s">
        <v>487</v>
      </c>
      <c r="AU66" s="308" t="s">
        <v>488</v>
      </c>
      <c r="AV66" s="308" t="s">
        <v>489</v>
      </c>
      <c r="AW66" s="308" t="s">
        <v>482</v>
      </c>
      <c r="AX66" s="668"/>
    </row>
    <row r="67" spans="2:50">
      <c r="B67" s="668" t="s">
        <v>494</v>
      </c>
      <c r="C67" s="309">
        <v>1</v>
      </c>
      <c r="D67" s="227" t="s">
        <v>378</v>
      </c>
      <c r="E67" s="182">
        <v>20</v>
      </c>
      <c r="F67" s="569">
        <v>2400</v>
      </c>
      <c r="G67" s="570">
        <v>120</v>
      </c>
      <c r="H67" s="717">
        <f>AVERAGE(G67:G81)</f>
        <v>148.73999999999998</v>
      </c>
      <c r="I67" s="199">
        <f t="shared" ref="I67:K70" si="39">AVERAGE(P67,U67,Z67,AE67,AJ67,AO67,AT67)</f>
        <v>20</v>
      </c>
      <c r="J67" s="199">
        <f t="shared" si="39"/>
        <v>2262.658236969658</v>
      </c>
      <c r="K67" s="200">
        <f t="shared" si="39"/>
        <v>113.13291184848289</v>
      </c>
      <c r="L67" s="649">
        <f>IFERROR(AVERAGE(K67:K81),"-")</f>
        <v>125.35811484347285</v>
      </c>
      <c r="M67" s="201">
        <f>RANK(K67, K$67:$K$81)</f>
        <v>5</v>
      </c>
      <c r="N67" s="668"/>
      <c r="O67" s="668"/>
      <c r="P67" s="573">
        <v>20</v>
      </c>
      <c r="Q67" s="574">
        <v>2226.4513274336286</v>
      </c>
      <c r="R67" s="574">
        <v>111.32256637168143</v>
      </c>
      <c r="S67" s="339">
        <f>RANK(R67, R$67:R$81)</f>
        <v>4</v>
      </c>
      <c r="T67" s="717">
        <f>AVERAGE(R67:R81)</f>
        <v>122.83481569945775</v>
      </c>
      <c r="U67" s="573">
        <v>20</v>
      </c>
      <c r="V67" s="574">
        <v>2284.2368421052633</v>
      </c>
      <c r="W67" s="574">
        <v>114.21184210526317</v>
      </c>
      <c r="X67" s="475">
        <f t="shared" ref="X67:X81" si="40">RANK(W67, W$67:W$81)</f>
        <v>5</v>
      </c>
      <c r="Y67" s="717">
        <f t="shared" ref="Y67" si="41">AVERAGE(W67:W81)</f>
        <v>126.3469117862827</v>
      </c>
      <c r="Z67" s="573">
        <v>20</v>
      </c>
      <c r="AA67" s="574">
        <v>2260.2471910112363</v>
      </c>
      <c r="AB67" s="574">
        <v>113.01235955056181</v>
      </c>
      <c r="AC67" s="475">
        <f t="shared" ref="AC67:AC81" si="42">RANK(AB67, AB$67:AB$81)</f>
        <v>5</v>
      </c>
      <c r="AD67" s="717">
        <f t="shared" ref="AD67" si="43">AVERAGE(AB67:AB81)</f>
        <v>125.31346130668071</v>
      </c>
      <c r="AE67" s="573">
        <v>20</v>
      </c>
      <c r="AF67" s="574">
        <v>2290.0312500000009</v>
      </c>
      <c r="AG67" s="574">
        <v>114.50156250000005</v>
      </c>
      <c r="AH67" s="475">
        <f t="shared" ref="AH67:AH81" si="44">RANK(AG67, AG$67:AG$81)</f>
        <v>5</v>
      </c>
      <c r="AI67" s="717">
        <f t="shared" ref="AI67" si="45">AVERAGE(AG67:AG81)</f>
        <v>126.18777862133868</v>
      </c>
      <c r="AJ67" s="573">
        <v>20</v>
      </c>
      <c r="AK67" s="574">
        <v>2254.4387755102048</v>
      </c>
      <c r="AL67" s="574">
        <v>112.72193877551024</v>
      </c>
      <c r="AM67" s="475">
        <f t="shared" ref="AM67:AM81" si="46">RANK(AL67, AL$67:AL$81)</f>
        <v>5</v>
      </c>
      <c r="AN67" s="717">
        <f t="shared" ref="AN67" si="47">AVERAGE(AL67:AL81)</f>
        <v>125.70314150136653</v>
      </c>
      <c r="AO67" s="573">
        <v>20</v>
      </c>
      <c r="AP67" s="574">
        <v>2295.3272727272724</v>
      </c>
      <c r="AQ67" s="574">
        <v>114.76636363636362</v>
      </c>
      <c r="AR67" s="475">
        <f t="shared" ref="AR67:AR81" si="48">RANK(AQ67, AQ$67:AQ$81)</f>
        <v>5</v>
      </c>
      <c r="AS67" s="717">
        <f t="shared" ref="AS67" si="49">AVERAGE(AQ67:AQ81)</f>
        <v>127.78596281416216</v>
      </c>
      <c r="AT67" s="573">
        <v>20</v>
      </c>
      <c r="AU67" s="574">
        <v>2227.8749999999991</v>
      </c>
      <c r="AV67" s="574">
        <v>111.39374999999995</v>
      </c>
      <c r="AW67" s="475">
        <f t="shared" ref="AW67:AW81" si="50">RANK(AV67, AV$67:AV$81)</f>
        <v>5</v>
      </c>
      <c r="AX67" s="690">
        <f t="shared" ref="AX67" si="51">AVERAGE(AV67:AV81)</f>
        <v>123.33473217502141</v>
      </c>
    </row>
    <row r="68" spans="2:50">
      <c r="B68" s="676"/>
      <c r="C68" s="309">
        <v>2</v>
      </c>
      <c r="D68" s="227" t="s">
        <v>379</v>
      </c>
      <c r="E68" s="182">
        <v>18</v>
      </c>
      <c r="F68" s="569">
        <v>2600</v>
      </c>
      <c r="G68" s="570">
        <v>166.7</v>
      </c>
      <c r="H68" s="718"/>
      <c r="I68" s="199">
        <f t="shared" si="39"/>
        <v>19</v>
      </c>
      <c r="J68" s="199">
        <f t="shared" si="39"/>
        <v>2512.6359254626518</v>
      </c>
      <c r="K68" s="200">
        <f t="shared" si="39"/>
        <v>132.24399607698166</v>
      </c>
      <c r="L68" s="650"/>
      <c r="M68" s="201">
        <f>RANK(K68, K$67:$K$81)</f>
        <v>2</v>
      </c>
      <c r="N68" s="668"/>
      <c r="O68" s="668"/>
      <c r="P68" s="573">
        <v>19</v>
      </c>
      <c r="Q68" s="574">
        <v>2554.5000000000014</v>
      </c>
      <c r="R68" s="574">
        <v>134.44736842105272</v>
      </c>
      <c r="S68" s="339">
        <f t="shared" ref="S68:S81" si="52">RANK(R68, R$67:R$81)</f>
        <v>1</v>
      </c>
      <c r="T68" s="718"/>
      <c r="U68" s="573">
        <v>19</v>
      </c>
      <c r="V68" s="574">
        <v>2486.084745762711</v>
      </c>
      <c r="W68" s="574">
        <v>130.84656556645848</v>
      </c>
      <c r="X68" s="475">
        <f t="shared" si="40"/>
        <v>2</v>
      </c>
      <c r="Y68" s="718"/>
      <c r="Z68" s="573">
        <v>19</v>
      </c>
      <c r="AA68" s="574">
        <v>2500.1785714285697</v>
      </c>
      <c r="AB68" s="574">
        <v>131.58834586466156</v>
      </c>
      <c r="AC68" s="475">
        <f t="shared" si="42"/>
        <v>2</v>
      </c>
      <c r="AD68" s="718"/>
      <c r="AE68" s="573">
        <v>19</v>
      </c>
      <c r="AF68" s="574">
        <v>2512.6111111111127</v>
      </c>
      <c r="AG68" s="574">
        <v>132.24269005847961</v>
      </c>
      <c r="AH68" s="475">
        <f t="shared" si="44"/>
        <v>2</v>
      </c>
      <c r="AI68" s="718"/>
      <c r="AJ68" s="573">
        <v>19</v>
      </c>
      <c r="AK68" s="574">
        <v>2548.2452830188695</v>
      </c>
      <c r="AL68" s="574">
        <v>134.11817279046682</v>
      </c>
      <c r="AM68" s="475">
        <f t="shared" si="46"/>
        <v>1</v>
      </c>
      <c r="AN68" s="718"/>
      <c r="AO68" s="573">
        <v>19</v>
      </c>
      <c r="AP68" s="574">
        <v>2473.4210526315806</v>
      </c>
      <c r="AQ68" s="574">
        <v>130.18005540166214</v>
      </c>
      <c r="AR68" s="475">
        <f t="shared" si="48"/>
        <v>2</v>
      </c>
      <c r="AS68" s="718"/>
      <c r="AT68" s="573">
        <v>19</v>
      </c>
      <c r="AU68" s="574">
        <v>2513.410714285716</v>
      </c>
      <c r="AV68" s="574">
        <v>132.28477443609032</v>
      </c>
      <c r="AW68" s="475">
        <f t="shared" si="50"/>
        <v>1</v>
      </c>
      <c r="AX68" s="690"/>
    </row>
    <row r="69" spans="2:50">
      <c r="B69" s="676"/>
      <c r="C69" s="309">
        <v>3</v>
      </c>
      <c r="D69" s="227" t="s">
        <v>380</v>
      </c>
      <c r="E69" s="182">
        <v>18</v>
      </c>
      <c r="F69" s="569">
        <v>2600</v>
      </c>
      <c r="G69" s="570">
        <v>166.7</v>
      </c>
      <c r="H69" s="718"/>
      <c r="I69" s="199">
        <f t="shared" si="39"/>
        <v>19.857142857142858</v>
      </c>
      <c r="J69" s="199">
        <f t="shared" si="39"/>
        <v>2643.111347572752</v>
      </c>
      <c r="K69" s="200">
        <f t="shared" si="39"/>
        <v>133.17242403641109</v>
      </c>
      <c r="L69" s="650"/>
      <c r="M69" s="201">
        <f>RANK(K69, K$67:$K$81)</f>
        <v>1</v>
      </c>
      <c r="N69" s="668"/>
      <c r="O69" s="668"/>
      <c r="P69" s="573">
        <v>20</v>
      </c>
      <c r="Q69" s="574">
        <v>2657.0149253731361</v>
      </c>
      <c r="R69" s="574">
        <v>132.85074626865679</v>
      </c>
      <c r="S69" s="339">
        <f t="shared" si="52"/>
        <v>2</v>
      </c>
      <c r="T69" s="718"/>
      <c r="U69" s="573">
        <v>20</v>
      </c>
      <c r="V69" s="574">
        <v>2696.3909774436092</v>
      </c>
      <c r="W69" s="574">
        <v>134.81954887218046</v>
      </c>
      <c r="X69" s="475">
        <f t="shared" si="40"/>
        <v>1</v>
      </c>
      <c r="Y69" s="718"/>
      <c r="Z69" s="573">
        <v>20</v>
      </c>
      <c r="AA69" s="574">
        <v>2704.5714285714298</v>
      </c>
      <c r="AB69" s="574">
        <v>135.22857142857148</v>
      </c>
      <c r="AC69" s="475">
        <f t="shared" si="42"/>
        <v>1</v>
      </c>
      <c r="AD69" s="718"/>
      <c r="AE69" s="573">
        <v>20</v>
      </c>
      <c r="AF69" s="574">
        <v>2669.7478991596627</v>
      </c>
      <c r="AG69" s="574">
        <v>133.48739495798313</v>
      </c>
      <c r="AH69" s="475">
        <f t="shared" si="44"/>
        <v>1</v>
      </c>
      <c r="AI69" s="718"/>
      <c r="AJ69" s="573">
        <v>20</v>
      </c>
      <c r="AK69" s="574">
        <v>2636.5289256198334</v>
      </c>
      <c r="AL69" s="574">
        <v>131.82644628099166</v>
      </c>
      <c r="AM69" s="475">
        <f t="shared" si="46"/>
        <v>2</v>
      </c>
      <c r="AN69" s="718"/>
      <c r="AO69" s="573">
        <v>19</v>
      </c>
      <c r="AP69" s="574">
        <v>2704.8387096774204</v>
      </c>
      <c r="AQ69" s="574">
        <v>142.35993208828529</v>
      </c>
      <c r="AR69" s="475">
        <f t="shared" si="48"/>
        <v>1</v>
      </c>
      <c r="AS69" s="718"/>
      <c r="AT69" s="573">
        <v>20</v>
      </c>
      <c r="AU69" s="574">
        <v>2432.6865671641744</v>
      </c>
      <c r="AV69" s="574">
        <v>121.63432835820872</v>
      </c>
      <c r="AW69" s="475">
        <f t="shared" si="50"/>
        <v>4</v>
      </c>
      <c r="AX69" s="690"/>
    </row>
    <row r="70" spans="2:50">
      <c r="B70" s="676"/>
      <c r="C70" s="309">
        <v>4</v>
      </c>
      <c r="D70" s="227" t="s">
        <v>381</v>
      </c>
      <c r="E70" s="182">
        <v>19</v>
      </c>
      <c r="F70" s="569">
        <v>2600</v>
      </c>
      <c r="G70" s="570">
        <v>157.9</v>
      </c>
      <c r="H70" s="718"/>
      <c r="I70" s="199">
        <f t="shared" si="39"/>
        <v>20</v>
      </c>
      <c r="J70" s="199">
        <f t="shared" si="39"/>
        <v>2522.1859490527422</v>
      </c>
      <c r="K70" s="200">
        <f t="shared" si="39"/>
        <v>126.10929745263714</v>
      </c>
      <c r="L70" s="650"/>
      <c r="M70" s="201">
        <f>RANK(K70, K$67:$K$81)</f>
        <v>3</v>
      </c>
      <c r="N70" s="668"/>
      <c r="O70" s="668"/>
      <c r="P70" s="573">
        <v>20</v>
      </c>
      <c r="Q70" s="574">
        <v>2522.7346153846147</v>
      </c>
      <c r="R70" s="574">
        <v>126.13673076923074</v>
      </c>
      <c r="S70" s="339">
        <f t="shared" si="52"/>
        <v>3</v>
      </c>
      <c r="T70" s="718"/>
      <c r="U70" s="573">
        <v>20</v>
      </c>
      <c r="V70" s="574">
        <v>2521.487603305784</v>
      </c>
      <c r="W70" s="574">
        <v>126.0743801652892</v>
      </c>
      <c r="X70" s="475">
        <f t="shared" si="40"/>
        <v>3</v>
      </c>
      <c r="Y70" s="718"/>
      <c r="Z70" s="573">
        <v>20</v>
      </c>
      <c r="AA70" s="574">
        <v>2518.8631578947375</v>
      </c>
      <c r="AB70" s="574">
        <v>125.94315789473687</v>
      </c>
      <c r="AC70" s="475">
        <f t="shared" si="42"/>
        <v>3</v>
      </c>
      <c r="AD70" s="718"/>
      <c r="AE70" s="573">
        <v>20</v>
      </c>
      <c r="AF70" s="574">
        <v>2521.3090909090906</v>
      </c>
      <c r="AG70" s="574">
        <v>126.06545454545453</v>
      </c>
      <c r="AH70" s="475">
        <f t="shared" si="44"/>
        <v>3</v>
      </c>
      <c r="AI70" s="718"/>
      <c r="AJ70" s="573">
        <v>20</v>
      </c>
      <c r="AK70" s="574">
        <v>2518.0714285714284</v>
      </c>
      <c r="AL70" s="574">
        <v>125.90357142857142</v>
      </c>
      <c r="AM70" s="475">
        <f t="shared" si="46"/>
        <v>3</v>
      </c>
      <c r="AN70" s="718"/>
      <c r="AO70" s="573">
        <v>20</v>
      </c>
      <c r="AP70" s="574">
        <v>2514.5084745762715</v>
      </c>
      <c r="AQ70" s="574">
        <v>125.72542372881358</v>
      </c>
      <c r="AR70" s="475">
        <f t="shared" si="48"/>
        <v>4</v>
      </c>
      <c r="AS70" s="718"/>
      <c r="AT70" s="573">
        <v>20</v>
      </c>
      <c r="AU70" s="574">
        <v>2538.3272727272724</v>
      </c>
      <c r="AV70" s="574">
        <v>126.91636363636363</v>
      </c>
      <c r="AW70" s="475">
        <f t="shared" si="50"/>
        <v>2</v>
      </c>
      <c r="AX70" s="690"/>
    </row>
    <row r="71" spans="2:50">
      <c r="B71" s="676"/>
      <c r="C71" s="309">
        <v>5</v>
      </c>
      <c r="D71" s="227" t="s">
        <v>763</v>
      </c>
      <c r="E71" s="182">
        <v>17</v>
      </c>
      <c r="F71" s="569">
        <v>2250</v>
      </c>
      <c r="G71" s="570">
        <v>132.4</v>
      </c>
      <c r="H71" s="718"/>
      <c r="I71" s="466">
        <f t="shared" ref="I71" si="53">AVERAGE(P71,U71,Z71,AE71,AJ71,AO71,AT71)</f>
        <v>18</v>
      </c>
      <c r="J71" s="466">
        <f t="shared" ref="J71" si="54">AVERAGE(Q71,V71,AA71,AF71,AK71,AP71,AU71)</f>
        <v>2198.375006451327</v>
      </c>
      <c r="K71" s="200">
        <f t="shared" ref="K71" si="55">AVERAGE(R71,W71,AB71,AG71,AL71,AQ71,AV71)</f>
        <v>122.13194480285146</v>
      </c>
      <c r="L71" s="650"/>
      <c r="M71" s="201">
        <f>RANK(K71, K$67:$K$81)</f>
        <v>4</v>
      </c>
      <c r="N71" s="668"/>
      <c r="O71" s="668"/>
      <c r="P71" s="573">
        <v>18</v>
      </c>
      <c r="Q71" s="574">
        <v>1969.500000000007</v>
      </c>
      <c r="R71" s="574">
        <v>109.41666666666706</v>
      </c>
      <c r="S71" s="339">
        <f t="shared" si="52"/>
        <v>5</v>
      </c>
      <c r="T71" s="718"/>
      <c r="U71" s="573">
        <v>18</v>
      </c>
      <c r="V71" s="574">
        <v>2264.0799999999995</v>
      </c>
      <c r="W71" s="574">
        <v>125.78222222222219</v>
      </c>
      <c r="X71" s="475">
        <f t="shared" si="40"/>
        <v>4</v>
      </c>
      <c r="Y71" s="718"/>
      <c r="Z71" s="573">
        <v>18</v>
      </c>
      <c r="AA71" s="574">
        <v>2174.3076923076919</v>
      </c>
      <c r="AB71" s="574">
        <v>120.79487179487177</v>
      </c>
      <c r="AC71" s="475">
        <f t="shared" si="42"/>
        <v>4</v>
      </c>
      <c r="AD71" s="718"/>
      <c r="AE71" s="573">
        <v>18</v>
      </c>
      <c r="AF71" s="574">
        <v>2243.5522388059699</v>
      </c>
      <c r="AG71" s="574">
        <v>124.6417910447761</v>
      </c>
      <c r="AH71" s="475">
        <f t="shared" si="44"/>
        <v>4</v>
      </c>
      <c r="AI71" s="718"/>
      <c r="AJ71" s="573">
        <v>18</v>
      </c>
      <c r="AK71" s="574">
        <v>2231.0204081632651</v>
      </c>
      <c r="AL71" s="574">
        <v>123.9455782312925</v>
      </c>
      <c r="AM71" s="475">
        <f t="shared" si="46"/>
        <v>4</v>
      </c>
      <c r="AN71" s="718"/>
      <c r="AO71" s="573">
        <v>18</v>
      </c>
      <c r="AP71" s="574">
        <v>2266.1647058823537</v>
      </c>
      <c r="AQ71" s="574">
        <v>125.89803921568631</v>
      </c>
      <c r="AR71" s="475">
        <f t="shared" si="48"/>
        <v>3</v>
      </c>
      <c r="AS71" s="718"/>
      <c r="AT71" s="573">
        <v>18</v>
      </c>
      <c r="AU71" s="574">
        <v>2240.0000000000005</v>
      </c>
      <c r="AV71" s="574">
        <v>124.44444444444447</v>
      </c>
      <c r="AW71" s="475">
        <f t="shared" si="50"/>
        <v>3</v>
      </c>
      <c r="AX71" s="690"/>
    </row>
    <row r="72" spans="2:50">
      <c r="B72" s="676"/>
      <c r="C72" s="309">
        <v>6</v>
      </c>
      <c r="D72" s="227"/>
      <c r="E72" s="182"/>
      <c r="F72" s="569"/>
      <c r="G72" s="570"/>
      <c r="H72" s="718"/>
      <c r="I72" s="199"/>
      <c r="J72" s="199"/>
      <c r="K72" s="200"/>
      <c r="L72" s="650"/>
      <c r="M72" s="201" t="e">
        <f>RANK(K72, K$67:$K$81)</f>
        <v>#N/A</v>
      </c>
      <c r="N72" s="668"/>
      <c r="O72" s="668"/>
      <c r="P72" s="573"/>
      <c r="Q72" s="574"/>
      <c r="R72" s="574"/>
      <c r="S72" s="339" t="e">
        <f t="shared" si="52"/>
        <v>#N/A</v>
      </c>
      <c r="T72" s="718"/>
      <c r="U72" s="573"/>
      <c r="V72" s="574"/>
      <c r="W72" s="574"/>
      <c r="X72" s="475" t="e">
        <f t="shared" si="40"/>
        <v>#N/A</v>
      </c>
      <c r="Y72" s="718"/>
      <c r="Z72" s="573"/>
      <c r="AA72" s="574"/>
      <c r="AB72" s="574"/>
      <c r="AC72" s="475" t="e">
        <f t="shared" si="42"/>
        <v>#N/A</v>
      </c>
      <c r="AD72" s="718"/>
      <c r="AE72" s="573"/>
      <c r="AF72" s="574"/>
      <c r="AG72" s="574"/>
      <c r="AH72" s="475" t="e">
        <f t="shared" si="44"/>
        <v>#N/A</v>
      </c>
      <c r="AI72" s="718"/>
      <c r="AJ72" s="573"/>
      <c r="AK72" s="574"/>
      <c r="AL72" s="574"/>
      <c r="AM72" s="475" t="e">
        <f t="shared" si="46"/>
        <v>#N/A</v>
      </c>
      <c r="AN72" s="718"/>
      <c r="AO72" s="573"/>
      <c r="AP72" s="574"/>
      <c r="AQ72" s="574"/>
      <c r="AR72" s="475" t="e">
        <f t="shared" si="48"/>
        <v>#N/A</v>
      </c>
      <c r="AS72" s="718"/>
      <c r="AT72" s="573"/>
      <c r="AU72" s="574"/>
      <c r="AV72" s="574"/>
      <c r="AW72" s="475" t="e">
        <f t="shared" si="50"/>
        <v>#N/A</v>
      </c>
      <c r="AX72" s="690"/>
    </row>
    <row r="73" spans="2:50">
      <c r="B73" s="676"/>
      <c r="C73" s="309">
        <v>7</v>
      </c>
      <c r="D73" s="227"/>
      <c r="E73" s="182"/>
      <c r="F73" s="569"/>
      <c r="G73" s="570"/>
      <c r="H73" s="718"/>
      <c r="I73" s="199"/>
      <c r="J73" s="199"/>
      <c r="K73" s="200"/>
      <c r="L73" s="650"/>
      <c r="M73" s="201" t="e">
        <f>RANK(K73, K$67:$K$81)</f>
        <v>#N/A</v>
      </c>
      <c r="N73" s="668"/>
      <c r="O73" s="668"/>
      <c r="P73" s="573"/>
      <c r="Q73" s="574"/>
      <c r="R73" s="574"/>
      <c r="S73" s="339" t="e">
        <f t="shared" si="52"/>
        <v>#N/A</v>
      </c>
      <c r="T73" s="718"/>
      <c r="U73" s="573"/>
      <c r="V73" s="574"/>
      <c r="W73" s="574"/>
      <c r="X73" s="475" t="e">
        <f t="shared" si="40"/>
        <v>#N/A</v>
      </c>
      <c r="Y73" s="718"/>
      <c r="Z73" s="573"/>
      <c r="AA73" s="574"/>
      <c r="AB73" s="574"/>
      <c r="AC73" s="475" t="e">
        <f t="shared" si="42"/>
        <v>#N/A</v>
      </c>
      <c r="AD73" s="718"/>
      <c r="AE73" s="573"/>
      <c r="AF73" s="574"/>
      <c r="AG73" s="574"/>
      <c r="AH73" s="475" t="e">
        <f t="shared" si="44"/>
        <v>#N/A</v>
      </c>
      <c r="AI73" s="718"/>
      <c r="AJ73" s="573"/>
      <c r="AK73" s="574"/>
      <c r="AL73" s="574"/>
      <c r="AM73" s="475" t="e">
        <f t="shared" si="46"/>
        <v>#N/A</v>
      </c>
      <c r="AN73" s="718"/>
      <c r="AO73" s="573"/>
      <c r="AP73" s="574"/>
      <c r="AQ73" s="574"/>
      <c r="AR73" s="475" t="e">
        <f t="shared" si="48"/>
        <v>#N/A</v>
      </c>
      <c r="AS73" s="718"/>
      <c r="AT73" s="573"/>
      <c r="AU73" s="574"/>
      <c r="AV73" s="574"/>
      <c r="AW73" s="475" t="e">
        <f t="shared" si="50"/>
        <v>#N/A</v>
      </c>
      <c r="AX73" s="690"/>
    </row>
    <row r="74" spans="2:50">
      <c r="B74" s="676"/>
      <c r="C74" s="309">
        <v>8</v>
      </c>
      <c r="D74" s="227"/>
      <c r="E74" s="182"/>
      <c r="F74" s="569"/>
      <c r="G74" s="570"/>
      <c r="H74" s="718"/>
      <c r="I74" s="199"/>
      <c r="J74" s="199"/>
      <c r="K74" s="200"/>
      <c r="L74" s="650"/>
      <c r="M74" s="201" t="e">
        <f>RANK(K74, K$67:$K$81)</f>
        <v>#N/A</v>
      </c>
      <c r="N74" s="668"/>
      <c r="O74" s="668"/>
      <c r="P74" s="573"/>
      <c r="Q74" s="574"/>
      <c r="R74" s="574"/>
      <c r="S74" s="339" t="e">
        <f t="shared" si="52"/>
        <v>#N/A</v>
      </c>
      <c r="T74" s="718"/>
      <c r="U74" s="573"/>
      <c r="V74" s="574"/>
      <c r="W74" s="574"/>
      <c r="X74" s="475" t="e">
        <f t="shared" si="40"/>
        <v>#N/A</v>
      </c>
      <c r="Y74" s="718"/>
      <c r="Z74" s="573"/>
      <c r="AA74" s="574"/>
      <c r="AB74" s="574"/>
      <c r="AC74" s="475" t="e">
        <f t="shared" si="42"/>
        <v>#N/A</v>
      </c>
      <c r="AD74" s="718"/>
      <c r="AE74" s="573"/>
      <c r="AF74" s="574"/>
      <c r="AG74" s="574"/>
      <c r="AH74" s="475" t="e">
        <f t="shared" si="44"/>
        <v>#N/A</v>
      </c>
      <c r="AI74" s="718"/>
      <c r="AJ74" s="573"/>
      <c r="AK74" s="574"/>
      <c r="AL74" s="574"/>
      <c r="AM74" s="475" t="e">
        <f t="shared" si="46"/>
        <v>#N/A</v>
      </c>
      <c r="AN74" s="718"/>
      <c r="AO74" s="573"/>
      <c r="AP74" s="574"/>
      <c r="AQ74" s="574"/>
      <c r="AR74" s="475" t="e">
        <f t="shared" si="48"/>
        <v>#N/A</v>
      </c>
      <c r="AS74" s="718"/>
      <c r="AT74" s="573"/>
      <c r="AU74" s="574"/>
      <c r="AV74" s="574"/>
      <c r="AW74" s="475" t="e">
        <f t="shared" si="50"/>
        <v>#N/A</v>
      </c>
      <c r="AX74" s="690"/>
    </row>
    <row r="75" spans="2:50">
      <c r="B75" s="676"/>
      <c r="C75" s="309">
        <v>9</v>
      </c>
      <c r="D75" s="227"/>
      <c r="E75" s="182"/>
      <c r="F75" s="569"/>
      <c r="G75" s="570"/>
      <c r="H75" s="718"/>
      <c r="I75" s="199"/>
      <c r="J75" s="199"/>
      <c r="K75" s="200"/>
      <c r="L75" s="650"/>
      <c r="M75" s="201" t="e">
        <f>RANK(K75, K$67:$K$81)</f>
        <v>#N/A</v>
      </c>
      <c r="N75" s="668"/>
      <c r="O75" s="668"/>
      <c r="P75" s="573"/>
      <c r="Q75" s="574"/>
      <c r="R75" s="574"/>
      <c r="S75" s="339" t="e">
        <f t="shared" si="52"/>
        <v>#N/A</v>
      </c>
      <c r="T75" s="718"/>
      <c r="U75" s="573"/>
      <c r="V75" s="574"/>
      <c r="W75" s="574"/>
      <c r="X75" s="475" t="e">
        <f t="shared" si="40"/>
        <v>#N/A</v>
      </c>
      <c r="Y75" s="718"/>
      <c r="Z75" s="573"/>
      <c r="AA75" s="574"/>
      <c r="AB75" s="574"/>
      <c r="AC75" s="475" t="e">
        <f t="shared" si="42"/>
        <v>#N/A</v>
      </c>
      <c r="AD75" s="718"/>
      <c r="AE75" s="573"/>
      <c r="AF75" s="574"/>
      <c r="AG75" s="574"/>
      <c r="AH75" s="475" t="e">
        <f t="shared" si="44"/>
        <v>#N/A</v>
      </c>
      <c r="AI75" s="718"/>
      <c r="AJ75" s="573"/>
      <c r="AK75" s="574"/>
      <c r="AL75" s="574"/>
      <c r="AM75" s="475" t="e">
        <f t="shared" si="46"/>
        <v>#N/A</v>
      </c>
      <c r="AN75" s="718"/>
      <c r="AO75" s="573"/>
      <c r="AP75" s="574"/>
      <c r="AQ75" s="574"/>
      <c r="AR75" s="475" t="e">
        <f t="shared" si="48"/>
        <v>#N/A</v>
      </c>
      <c r="AS75" s="718"/>
      <c r="AT75" s="573"/>
      <c r="AU75" s="574"/>
      <c r="AV75" s="574"/>
      <c r="AW75" s="475" t="e">
        <f t="shared" si="50"/>
        <v>#N/A</v>
      </c>
      <c r="AX75" s="690"/>
    </row>
    <row r="76" spans="2:50">
      <c r="B76" s="676"/>
      <c r="C76" s="309">
        <v>10</v>
      </c>
      <c r="D76" s="227"/>
      <c r="E76" s="182"/>
      <c r="F76" s="569"/>
      <c r="G76" s="570"/>
      <c r="H76" s="718"/>
      <c r="I76" s="199"/>
      <c r="J76" s="199"/>
      <c r="K76" s="200"/>
      <c r="L76" s="650"/>
      <c r="M76" s="201" t="e">
        <f>RANK(K76, K$67:$K$81)</f>
        <v>#N/A</v>
      </c>
      <c r="N76" s="668"/>
      <c r="O76" s="668"/>
      <c r="P76" s="573"/>
      <c r="Q76" s="574"/>
      <c r="R76" s="574"/>
      <c r="S76" s="339" t="e">
        <f t="shared" si="52"/>
        <v>#N/A</v>
      </c>
      <c r="T76" s="718"/>
      <c r="U76" s="573"/>
      <c r="V76" s="574"/>
      <c r="W76" s="574"/>
      <c r="X76" s="475" t="e">
        <f t="shared" si="40"/>
        <v>#N/A</v>
      </c>
      <c r="Y76" s="718"/>
      <c r="Z76" s="573"/>
      <c r="AA76" s="574"/>
      <c r="AB76" s="574"/>
      <c r="AC76" s="475" t="e">
        <f t="shared" si="42"/>
        <v>#N/A</v>
      </c>
      <c r="AD76" s="718"/>
      <c r="AE76" s="573"/>
      <c r="AF76" s="574"/>
      <c r="AG76" s="574"/>
      <c r="AH76" s="475" t="e">
        <f t="shared" si="44"/>
        <v>#N/A</v>
      </c>
      <c r="AI76" s="718"/>
      <c r="AJ76" s="573"/>
      <c r="AK76" s="574"/>
      <c r="AL76" s="574"/>
      <c r="AM76" s="475" t="e">
        <f t="shared" si="46"/>
        <v>#N/A</v>
      </c>
      <c r="AN76" s="718"/>
      <c r="AO76" s="573"/>
      <c r="AP76" s="574"/>
      <c r="AQ76" s="574"/>
      <c r="AR76" s="475" t="e">
        <f t="shared" si="48"/>
        <v>#N/A</v>
      </c>
      <c r="AS76" s="718"/>
      <c r="AT76" s="573"/>
      <c r="AU76" s="574"/>
      <c r="AV76" s="574"/>
      <c r="AW76" s="475" t="e">
        <f t="shared" si="50"/>
        <v>#N/A</v>
      </c>
      <c r="AX76" s="690"/>
    </row>
    <row r="77" spans="2:50">
      <c r="B77" s="676"/>
      <c r="C77" s="309">
        <v>11</v>
      </c>
      <c r="D77" s="227"/>
      <c r="E77" s="182"/>
      <c r="F77" s="569"/>
      <c r="G77" s="570"/>
      <c r="H77" s="718"/>
      <c r="I77" s="202"/>
      <c r="J77" s="202"/>
      <c r="K77" s="202"/>
      <c r="L77" s="650"/>
      <c r="M77" s="201" t="e">
        <f>RANK(K77, K$67:$K$81)</f>
        <v>#N/A</v>
      </c>
      <c r="N77" s="668"/>
      <c r="O77" s="668"/>
      <c r="P77" s="573"/>
      <c r="Q77" s="574"/>
      <c r="R77" s="574"/>
      <c r="S77" s="339" t="e">
        <f t="shared" si="52"/>
        <v>#N/A</v>
      </c>
      <c r="T77" s="718"/>
      <c r="U77" s="573"/>
      <c r="V77" s="574"/>
      <c r="W77" s="574"/>
      <c r="X77" s="475" t="e">
        <f t="shared" si="40"/>
        <v>#N/A</v>
      </c>
      <c r="Y77" s="718"/>
      <c r="Z77" s="573"/>
      <c r="AA77" s="574"/>
      <c r="AB77" s="574"/>
      <c r="AC77" s="475" t="e">
        <f t="shared" si="42"/>
        <v>#N/A</v>
      </c>
      <c r="AD77" s="718"/>
      <c r="AE77" s="573"/>
      <c r="AF77" s="574"/>
      <c r="AG77" s="574"/>
      <c r="AH77" s="475" t="e">
        <f t="shared" si="44"/>
        <v>#N/A</v>
      </c>
      <c r="AI77" s="718"/>
      <c r="AJ77" s="573"/>
      <c r="AK77" s="574"/>
      <c r="AL77" s="574"/>
      <c r="AM77" s="475" t="e">
        <f t="shared" si="46"/>
        <v>#N/A</v>
      </c>
      <c r="AN77" s="718"/>
      <c r="AO77" s="573"/>
      <c r="AP77" s="574"/>
      <c r="AQ77" s="574"/>
      <c r="AR77" s="475" t="e">
        <f t="shared" si="48"/>
        <v>#N/A</v>
      </c>
      <c r="AS77" s="718"/>
      <c r="AT77" s="573"/>
      <c r="AU77" s="574"/>
      <c r="AV77" s="574"/>
      <c r="AW77" s="475" t="e">
        <f t="shared" si="50"/>
        <v>#N/A</v>
      </c>
      <c r="AX77" s="690"/>
    </row>
    <row r="78" spans="2:50">
      <c r="B78" s="676"/>
      <c r="C78" s="309">
        <v>12</v>
      </c>
      <c r="D78" s="227"/>
      <c r="E78" s="182"/>
      <c r="F78" s="569"/>
      <c r="G78" s="570"/>
      <c r="H78" s="718"/>
      <c r="I78" s="202"/>
      <c r="J78" s="202"/>
      <c r="K78" s="202"/>
      <c r="L78" s="650"/>
      <c r="M78" s="201" t="e">
        <f>RANK(K78, K$67:$K$81)</f>
        <v>#N/A</v>
      </c>
      <c r="N78" s="668"/>
      <c r="O78" s="668"/>
      <c r="P78" s="573"/>
      <c r="Q78" s="574"/>
      <c r="R78" s="574"/>
      <c r="S78" s="339" t="e">
        <f t="shared" si="52"/>
        <v>#N/A</v>
      </c>
      <c r="T78" s="718"/>
      <c r="U78" s="573"/>
      <c r="V78" s="574"/>
      <c r="W78" s="574"/>
      <c r="X78" s="475" t="e">
        <f t="shared" si="40"/>
        <v>#N/A</v>
      </c>
      <c r="Y78" s="718"/>
      <c r="Z78" s="573"/>
      <c r="AA78" s="574"/>
      <c r="AB78" s="574"/>
      <c r="AC78" s="475" t="e">
        <f t="shared" si="42"/>
        <v>#N/A</v>
      </c>
      <c r="AD78" s="718"/>
      <c r="AE78" s="573"/>
      <c r="AF78" s="574"/>
      <c r="AG78" s="574"/>
      <c r="AH78" s="475" t="e">
        <f t="shared" si="44"/>
        <v>#N/A</v>
      </c>
      <c r="AI78" s="718"/>
      <c r="AJ78" s="573"/>
      <c r="AK78" s="574"/>
      <c r="AL78" s="574"/>
      <c r="AM78" s="475" t="e">
        <f t="shared" si="46"/>
        <v>#N/A</v>
      </c>
      <c r="AN78" s="718"/>
      <c r="AO78" s="573"/>
      <c r="AP78" s="574"/>
      <c r="AQ78" s="574"/>
      <c r="AR78" s="475" t="e">
        <f t="shared" si="48"/>
        <v>#N/A</v>
      </c>
      <c r="AS78" s="718"/>
      <c r="AT78" s="573"/>
      <c r="AU78" s="574"/>
      <c r="AV78" s="574"/>
      <c r="AW78" s="475" t="e">
        <f t="shared" si="50"/>
        <v>#N/A</v>
      </c>
      <c r="AX78" s="690"/>
    </row>
    <row r="79" spans="2:50">
      <c r="B79" s="676"/>
      <c r="C79" s="309">
        <v>13</v>
      </c>
      <c r="D79" s="227"/>
      <c r="E79" s="182"/>
      <c r="F79" s="569"/>
      <c r="G79" s="570"/>
      <c r="H79" s="718"/>
      <c r="I79" s="202"/>
      <c r="J79" s="202"/>
      <c r="K79" s="202"/>
      <c r="L79" s="650"/>
      <c r="M79" s="201" t="e">
        <f>RANK(K79, K$67:$K$81)</f>
        <v>#N/A</v>
      </c>
      <c r="N79" s="668"/>
      <c r="O79" s="668"/>
      <c r="P79" s="573"/>
      <c r="Q79" s="574"/>
      <c r="R79" s="574"/>
      <c r="S79" s="339" t="e">
        <f t="shared" si="52"/>
        <v>#N/A</v>
      </c>
      <c r="T79" s="718"/>
      <c r="U79" s="573"/>
      <c r="V79" s="574"/>
      <c r="W79" s="574"/>
      <c r="X79" s="475" t="e">
        <f t="shared" si="40"/>
        <v>#N/A</v>
      </c>
      <c r="Y79" s="718"/>
      <c r="Z79" s="573"/>
      <c r="AA79" s="574"/>
      <c r="AB79" s="574"/>
      <c r="AC79" s="475" t="e">
        <f t="shared" si="42"/>
        <v>#N/A</v>
      </c>
      <c r="AD79" s="718"/>
      <c r="AE79" s="573"/>
      <c r="AF79" s="574"/>
      <c r="AG79" s="574"/>
      <c r="AH79" s="475" t="e">
        <f t="shared" si="44"/>
        <v>#N/A</v>
      </c>
      <c r="AI79" s="718"/>
      <c r="AJ79" s="573"/>
      <c r="AK79" s="574"/>
      <c r="AL79" s="574"/>
      <c r="AM79" s="475" t="e">
        <f t="shared" si="46"/>
        <v>#N/A</v>
      </c>
      <c r="AN79" s="718"/>
      <c r="AO79" s="573"/>
      <c r="AP79" s="574"/>
      <c r="AQ79" s="574"/>
      <c r="AR79" s="475" t="e">
        <f t="shared" si="48"/>
        <v>#N/A</v>
      </c>
      <c r="AS79" s="718"/>
      <c r="AT79" s="573"/>
      <c r="AU79" s="574"/>
      <c r="AV79" s="574"/>
      <c r="AW79" s="475" t="e">
        <f t="shared" si="50"/>
        <v>#N/A</v>
      </c>
      <c r="AX79" s="690"/>
    </row>
    <row r="80" spans="2:50">
      <c r="B80" s="676"/>
      <c r="C80" s="309">
        <v>14</v>
      </c>
      <c r="D80" s="227"/>
      <c r="E80" s="182"/>
      <c r="F80" s="569"/>
      <c r="G80" s="570"/>
      <c r="H80" s="718"/>
      <c r="I80" s="202"/>
      <c r="J80" s="202"/>
      <c r="K80" s="202"/>
      <c r="L80" s="650"/>
      <c r="M80" s="201" t="e">
        <f>RANK(K80, K$67:$K$81)</f>
        <v>#N/A</v>
      </c>
      <c r="N80" s="668"/>
      <c r="O80" s="668"/>
      <c r="P80" s="573"/>
      <c r="Q80" s="574"/>
      <c r="R80" s="574"/>
      <c r="S80" s="339" t="e">
        <f t="shared" si="52"/>
        <v>#N/A</v>
      </c>
      <c r="T80" s="718"/>
      <c r="U80" s="573"/>
      <c r="V80" s="574"/>
      <c r="W80" s="574"/>
      <c r="X80" s="475" t="e">
        <f t="shared" si="40"/>
        <v>#N/A</v>
      </c>
      <c r="Y80" s="718"/>
      <c r="Z80" s="573"/>
      <c r="AA80" s="574"/>
      <c r="AB80" s="574"/>
      <c r="AC80" s="475" t="e">
        <f t="shared" si="42"/>
        <v>#N/A</v>
      </c>
      <c r="AD80" s="718"/>
      <c r="AE80" s="573"/>
      <c r="AF80" s="574"/>
      <c r="AG80" s="574"/>
      <c r="AH80" s="475" t="e">
        <f t="shared" si="44"/>
        <v>#N/A</v>
      </c>
      <c r="AI80" s="718"/>
      <c r="AJ80" s="573"/>
      <c r="AK80" s="574"/>
      <c r="AL80" s="574"/>
      <c r="AM80" s="475" t="e">
        <f t="shared" si="46"/>
        <v>#N/A</v>
      </c>
      <c r="AN80" s="718"/>
      <c r="AO80" s="573"/>
      <c r="AP80" s="574"/>
      <c r="AQ80" s="574"/>
      <c r="AR80" s="475" t="e">
        <f t="shared" si="48"/>
        <v>#N/A</v>
      </c>
      <c r="AS80" s="718"/>
      <c r="AT80" s="573"/>
      <c r="AU80" s="574"/>
      <c r="AV80" s="574"/>
      <c r="AW80" s="475" t="e">
        <f t="shared" si="50"/>
        <v>#N/A</v>
      </c>
      <c r="AX80" s="690"/>
    </row>
    <row r="81" spans="2:50">
      <c r="B81" s="676"/>
      <c r="C81" s="309">
        <v>15</v>
      </c>
      <c r="D81" s="227"/>
      <c r="E81" s="182"/>
      <c r="F81" s="569"/>
      <c r="G81" s="570"/>
      <c r="H81" s="719"/>
      <c r="I81" s="202"/>
      <c r="J81" s="202"/>
      <c r="K81" s="202"/>
      <c r="L81" s="651"/>
      <c r="M81" s="201" t="e">
        <f>RANK(K81, K$67:$K$81)</f>
        <v>#N/A</v>
      </c>
      <c r="N81" s="668"/>
      <c r="O81" s="668"/>
      <c r="P81" s="573"/>
      <c r="Q81" s="574"/>
      <c r="R81" s="574"/>
      <c r="S81" s="339" t="e">
        <f t="shared" si="52"/>
        <v>#N/A</v>
      </c>
      <c r="T81" s="719"/>
      <c r="U81" s="573"/>
      <c r="V81" s="574"/>
      <c r="W81" s="574"/>
      <c r="X81" s="475" t="e">
        <f t="shared" si="40"/>
        <v>#N/A</v>
      </c>
      <c r="Y81" s="719"/>
      <c r="Z81" s="573"/>
      <c r="AA81" s="574"/>
      <c r="AB81" s="574"/>
      <c r="AC81" s="475" t="e">
        <f t="shared" si="42"/>
        <v>#N/A</v>
      </c>
      <c r="AD81" s="719"/>
      <c r="AE81" s="573"/>
      <c r="AF81" s="574"/>
      <c r="AG81" s="574"/>
      <c r="AH81" s="475" t="e">
        <f t="shared" si="44"/>
        <v>#N/A</v>
      </c>
      <c r="AI81" s="719"/>
      <c r="AJ81" s="573"/>
      <c r="AK81" s="574"/>
      <c r="AL81" s="574"/>
      <c r="AM81" s="475" t="e">
        <f t="shared" si="46"/>
        <v>#N/A</v>
      </c>
      <c r="AN81" s="719"/>
      <c r="AO81" s="573"/>
      <c r="AP81" s="574"/>
      <c r="AQ81" s="574"/>
      <c r="AR81" s="475" t="e">
        <f t="shared" si="48"/>
        <v>#N/A</v>
      </c>
      <c r="AS81" s="719"/>
      <c r="AT81" s="573"/>
      <c r="AU81" s="574"/>
      <c r="AV81" s="574"/>
      <c r="AW81" s="475" t="e">
        <f t="shared" si="50"/>
        <v>#N/A</v>
      </c>
      <c r="AX81" s="690"/>
    </row>
    <row r="82" spans="2:50" ht="15.75">
      <c r="B82" s="680" t="s">
        <v>163</v>
      </c>
      <c r="C82" s="681"/>
      <c r="D82" s="681"/>
      <c r="E82" s="681"/>
      <c r="F82" s="681"/>
      <c r="G82" s="681"/>
      <c r="H82" s="682"/>
      <c r="I82" s="208"/>
      <c r="J82" s="208"/>
      <c r="K82" s="208"/>
      <c r="L82" s="208"/>
      <c r="M82" s="207"/>
      <c r="N82" s="669" t="s">
        <v>156</v>
      </c>
      <c r="O82" s="669" t="s">
        <v>105</v>
      </c>
      <c r="P82" s="675">
        <f>P62+7</f>
        <v>46112</v>
      </c>
      <c r="Q82" s="676"/>
      <c r="R82" s="676"/>
      <c r="S82" s="676"/>
      <c r="T82" s="676"/>
      <c r="U82" s="672">
        <f>P82+1</f>
        <v>46113</v>
      </c>
      <c r="V82" s="673"/>
      <c r="W82" s="673"/>
      <c r="X82" s="673"/>
      <c r="Y82" s="674"/>
      <c r="Z82" s="672">
        <f>U82+1</f>
        <v>46114</v>
      </c>
      <c r="AA82" s="673"/>
      <c r="AB82" s="673"/>
      <c r="AC82" s="673"/>
      <c r="AD82" s="674"/>
      <c r="AE82" s="672">
        <f>Z82+1</f>
        <v>46115</v>
      </c>
      <c r="AF82" s="673"/>
      <c r="AG82" s="673"/>
      <c r="AH82" s="673"/>
      <c r="AI82" s="674"/>
      <c r="AJ82" s="672">
        <f>AE82+1</f>
        <v>46116</v>
      </c>
      <c r="AK82" s="673"/>
      <c r="AL82" s="673"/>
      <c r="AM82" s="673"/>
      <c r="AN82" s="674"/>
      <c r="AO82" s="672">
        <f>AJ82+1</f>
        <v>46117</v>
      </c>
      <c r="AP82" s="673"/>
      <c r="AQ82" s="673"/>
      <c r="AR82" s="673"/>
      <c r="AS82" s="674"/>
      <c r="AT82" s="672">
        <f>AO82+1</f>
        <v>46118</v>
      </c>
      <c r="AU82" s="673"/>
      <c r="AV82" s="673"/>
      <c r="AW82" s="673"/>
      <c r="AX82" s="674"/>
    </row>
    <row r="83" spans="2:50" ht="15.75">
      <c r="B83" s="683"/>
      <c r="C83" s="683"/>
      <c r="D83" s="683"/>
      <c r="E83" s="683"/>
      <c r="F83" s="683"/>
      <c r="G83" s="683"/>
      <c r="H83" s="683"/>
      <c r="I83" s="205"/>
      <c r="J83" s="205"/>
      <c r="K83" s="205"/>
      <c r="L83" s="205"/>
      <c r="M83" s="206"/>
      <c r="N83" s="671"/>
      <c r="O83" s="671"/>
      <c r="P83" s="675" t="s">
        <v>336</v>
      </c>
      <c r="Q83" s="676"/>
      <c r="R83" s="676"/>
      <c r="S83" s="676"/>
      <c r="T83" s="676"/>
      <c r="U83" s="675" t="s">
        <v>337</v>
      </c>
      <c r="V83" s="676"/>
      <c r="W83" s="676"/>
      <c r="X83" s="676"/>
      <c r="Y83" s="676"/>
      <c r="Z83" s="675" t="s">
        <v>338</v>
      </c>
      <c r="AA83" s="676"/>
      <c r="AB83" s="676"/>
      <c r="AC83" s="676"/>
      <c r="AD83" s="676"/>
      <c r="AE83" s="675" t="s">
        <v>339</v>
      </c>
      <c r="AF83" s="676"/>
      <c r="AG83" s="676"/>
      <c r="AH83" s="676"/>
      <c r="AI83" s="676"/>
      <c r="AJ83" s="675" t="s">
        <v>340</v>
      </c>
      <c r="AK83" s="676"/>
      <c r="AL83" s="676"/>
      <c r="AM83" s="676"/>
      <c r="AN83" s="676"/>
      <c r="AO83" s="675" t="s">
        <v>341</v>
      </c>
      <c r="AP83" s="676"/>
      <c r="AQ83" s="676"/>
      <c r="AR83" s="676"/>
      <c r="AS83" s="676"/>
      <c r="AT83" s="675" t="s">
        <v>342</v>
      </c>
      <c r="AU83" s="676"/>
      <c r="AV83" s="676"/>
      <c r="AW83" s="676"/>
      <c r="AX83" s="676"/>
    </row>
    <row r="84" spans="2:50">
      <c r="B84" s="668" t="s">
        <v>477</v>
      </c>
      <c r="C84" s="668" t="s">
        <v>478</v>
      </c>
      <c r="D84" s="668"/>
      <c r="E84" s="668" t="s">
        <v>479</v>
      </c>
      <c r="F84" s="668"/>
      <c r="G84" s="668"/>
      <c r="H84" s="684" t="s">
        <v>480</v>
      </c>
      <c r="I84" s="652" t="s">
        <v>481</v>
      </c>
      <c r="J84" s="652"/>
      <c r="K84" s="652"/>
      <c r="L84" s="653" t="s">
        <v>480</v>
      </c>
      <c r="M84" s="659" t="s">
        <v>482</v>
      </c>
      <c r="N84" s="668"/>
      <c r="O84" s="668" t="s">
        <v>483</v>
      </c>
      <c r="P84" s="665" t="s">
        <v>484</v>
      </c>
      <c r="Q84" s="666"/>
      <c r="R84" s="666"/>
      <c r="S84" s="667"/>
      <c r="T84" s="668" t="s">
        <v>480</v>
      </c>
      <c r="U84" s="665" t="s">
        <v>484</v>
      </c>
      <c r="V84" s="666"/>
      <c r="W84" s="666"/>
      <c r="X84" s="667"/>
      <c r="Y84" s="668" t="s">
        <v>480</v>
      </c>
      <c r="Z84" s="665" t="s">
        <v>484</v>
      </c>
      <c r="AA84" s="666"/>
      <c r="AB84" s="666"/>
      <c r="AC84" s="667"/>
      <c r="AD84" s="668" t="s">
        <v>480</v>
      </c>
      <c r="AE84" s="665" t="s">
        <v>484</v>
      </c>
      <c r="AF84" s="666"/>
      <c r="AG84" s="666"/>
      <c r="AH84" s="667"/>
      <c r="AI84" s="668" t="s">
        <v>480</v>
      </c>
      <c r="AJ84" s="665" t="s">
        <v>484</v>
      </c>
      <c r="AK84" s="666"/>
      <c r="AL84" s="666"/>
      <c r="AM84" s="667"/>
      <c r="AN84" s="668" t="s">
        <v>480</v>
      </c>
      <c r="AO84" s="665" t="s">
        <v>484</v>
      </c>
      <c r="AP84" s="666"/>
      <c r="AQ84" s="666"/>
      <c r="AR84" s="667"/>
      <c r="AS84" s="668" t="s">
        <v>480</v>
      </c>
      <c r="AT84" s="665" t="s">
        <v>484</v>
      </c>
      <c r="AU84" s="666"/>
      <c r="AV84" s="666"/>
      <c r="AW84" s="667"/>
      <c r="AX84" s="668" t="s">
        <v>480</v>
      </c>
    </row>
    <row r="85" spans="2:50">
      <c r="B85" s="668"/>
      <c r="C85" s="668"/>
      <c r="D85" s="668"/>
      <c r="E85" s="668" t="s">
        <v>485</v>
      </c>
      <c r="F85" s="668"/>
      <c r="G85" s="668"/>
      <c r="H85" s="685"/>
      <c r="I85" s="652" t="s">
        <v>485</v>
      </c>
      <c r="J85" s="652"/>
      <c r="K85" s="652"/>
      <c r="L85" s="654"/>
      <c r="M85" s="660"/>
      <c r="N85" s="668"/>
      <c r="O85" s="668"/>
      <c r="P85" s="665" t="s">
        <v>486</v>
      </c>
      <c r="Q85" s="666"/>
      <c r="R85" s="666"/>
      <c r="S85" s="667"/>
      <c r="T85" s="668"/>
      <c r="U85" s="665" t="s">
        <v>486</v>
      </c>
      <c r="V85" s="666"/>
      <c r="W85" s="666"/>
      <c r="X85" s="667"/>
      <c r="Y85" s="668"/>
      <c r="Z85" s="665" t="s">
        <v>486</v>
      </c>
      <c r="AA85" s="666"/>
      <c r="AB85" s="666"/>
      <c r="AC85" s="667"/>
      <c r="AD85" s="668"/>
      <c r="AE85" s="665" t="s">
        <v>486</v>
      </c>
      <c r="AF85" s="666"/>
      <c r="AG85" s="666"/>
      <c r="AH85" s="667"/>
      <c r="AI85" s="668"/>
      <c r="AJ85" s="665" t="s">
        <v>486</v>
      </c>
      <c r="AK85" s="666"/>
      <c r="AL85" s="666"/>
      <c r="AM85" s="667"/>
      <c r="AN85" s="668"/>
      <c r="AO85" s="665" t="s">
        <v>486</v>
      </c>
      <c r="AP85" s="666"/>
      <c r="AQ85" s="666"/>
      <c r="AR85" s="667"/>
      <c r="AS85" s="668"/>
      <c r="AT85" s="665" t="s">
        <v>486</v>
      </c>
      <c r="AU85" s="666"/>
      <c r="AV85" s="666"/>
      <c r="AW85" s="667"/>
      <c r="AX85" s="668"/>
    </row>
    <row r="86" spans="2:50">
      <c r="B86" s="668"/>
      <c r="C86" s="668"/>
      <c r="D86" s="668"/>
      <c r="E86" s="305" t="s">
        <v>487</v>
      </c>
      <c r="F86" s="305" t="s">
        <v>488</v>
      </c>
      <c r="G86" s="305" t="s">
        <v>489</v>
      </c>
      <c r="H86" s="686"/>
      <c r="I86" s="306" t="s">
        <v>487</v>
      </c>
      <c r="J86" s="306" t="s">
        <v>488</v>
      </c>
      <c r="K86" s="306" t="s">
        <v>489</v>
      </c>
      <c r="L86" s="655"/>
      <c r="M86" s="661"/>
      <c r="N86" s="668"/>
      <c r="O86" s="668"/>
      <c r="P86" s="305" t="s">
        <v>487</v>
      </c>
      <c r="Q86" s="305" t="s">
        <v>488</v>
      </c>
      <c r="R86" s="305" t="s">
        <v>489</v>
      </c>
      <c r="S86" s="305" t="s">
        <v>482</v>
      </c>
      <c r="T86" s="668"/>
      <c r="U86" s="305" t="s">
        <v>487</v>
      </c>
      <c r="V86" s="305" t="s">
        <v>488</v>
      </c>
      <c r="W86" s="305" t="s">
        <v>489</v>
      </c>
      <c r="X86" s="305" t="s">
        <v>482</v>
      </c>
      <c r="Y86" s="668"/>
      <c r="Z86" s="305" t="s">
        <v>487</v>
      </c>
      <c r="AA86" s="305" t="s">
        <v>488</v>
      </c>
      <c r="AB86" s="305" t="s">
        <v>489</v>
      </c>
      <c r="AC86" s="305" t="s">
        <v>482</v>
      </c>
      <c r="AD86" s="668"/>
      <c r="AE86" s="305" t="s">
        <v>487</v>
      </c>
      <c r="AF86" s="305" t="s">
        <v>488</v>
      </c>
      <c r="AG86" s="305" t="s">
        <v>489</v>
      </c>
      <c r="AH86" s="305" t="s">
        <v>482</v>
      </c>
      <c r="AI86" s="668"/>
      <c r="AJ86" s="305" t="s">
        <v>487</v>
      </c>
      <c r="AK86" s="305" t="s">
        <v>488</v>
      </c>
      <c r="AL86" s="305" t="s">
        <v>489</v>
      </c>
      <c r="AM86" s="305" t="s">
        <v>482</v>
      </c>
      <c r="AN86" s="668"/>
      <c r="AO86" s="305" t="s">
        <v>487</v>
      </c>
      <c r="AP86" s="305" t="s">
        <v>488</v>
      </c>
      <c r="AQ86" s="305" t="s">
        <v>489</v>
      </c>
      <c r="AR86" s="305" t="s">
        <v>482</v>
      </c>
      <c r="AS86" s="668"/>
      <c r="AT86" s="305" t="s">
        <v>487</v>
      </c>
      <c r="AU86" s="305" t="s">
        <v>488</v>
      </c>
      <c r="AV86" s="305" t="s">
        <v>489</v>
      </c>
      <c r="AW86" s="305" t="s">
        <v>482</v>
      </c>
      <c r="AX86" s="668"/>
    </row>
    <row r="87" spans="2:50">
      <c r="B87" s="668" t="s">
        <v>494</v>
      </c>
      <c r="C87" s="304">
        <v>1</v>
      </c>
      <c r="D87" s="227"/>
      <c r="E87" s="182"/>
      <c r="F87" s="545"/>
      <c r="G87" s="546"/>
      <c r="H87" s="71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68"/>
      <c r="O87" s="668"/>
      <c r="P87" s="573"/>
      <c r="Q87" s="574"/>
      <c r="R87" s="574"/>
      <c r="S87" s="304" t="e">
        <f>RANK(R87, R$87:R$101)</f>
        <v>#N/A</v>
      </c>
      <c r="T87" s="717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717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717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717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717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717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90" t="e">
        <f t="shared" ref="AX87" si="67">AVERAGE(AV87:AV101)</f>
        <v>#DIV/0!</v>
      </c>
    </row>
    <row r="88" spans="2:50">
      <c r="B88" s="676"/>
      <c r="C88" s="304">
        <v>2</v>
      </c>
      <c r="D88" s="227"/>
      <c r="E88" s="182"/>
      <c r="F88" s="545"/>
      <c r="G88" s="546"/>
      <c r="H88" s="718"/>
      <c r="I88" s="199" t="e">
        <f t="shared" ref="I88:K91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50"/>
      <c r="M88" s="201" t="e">
        <f>RANK(K88, K$87:$K$101)</f>
        <v>#DIV/0!</v>
      </c>
      <c r="N88" s="668"/>
      <c r="O88" s="668"/>
      <c r="P88" s="573"/>
      <c r="Q88" s="574"/>
      <c r="R88" s="574"/>
      <c r="S88" s="304" t="e">
        <f t="shared" ref="S88:S101" si="69">RANK(R88, R$87:R$101)</f>
        <v>#N/A</v>
      </c>
      <c r="T88" s="718"/>
      <c r="U88" s="573"/>
      <c r="V88" s="574"/>
      <c r="W88" s="574"/>
      <c r="X88" s="475" t="e">
        <f t="shared" si="56"/>
        <v>#N/A</v>
      </c>
      <c r="Y88" s="718"/>
      <c r="Z88" s="573"/>
      <c r="AA88" s="574"/>
      <c r="AB88" s="574"/>
      <c r="AC88" s="475" t="e">
        <f t="shared" si="58"/>
        <v>#N/A</v>
      </c>
      <c r="AD88" s="718"/>
      <c r="AE88" s="573"/>
      <c r="AF88" s="574"/>
      <c r="AG88" s="574"/>
      <c r="AH88" s="475" t="e">
        <f t="shared" si="60"/>
        <v>#N/A</v>
      </c>
      <c r="AI88" s="718"/>
      <c r="AJ88" s="573"/>
      <c r="AK88" s="574"/>
      <c r="AL88" s="574"/>
      <c r="AM88" s="475" t="e">
        <f t="shared" si="62"/>
        <v>#N/A</v>
      </c>
      <c r="AN88" s="718"/>
      <c r="AO88" s="573"/>
      <c r="AP88" s="574"/>
      <c r="AQ88" s="574"/>
      <c r="AR88" s="475" t="e">
        <f t="shared" si="64"/>
        <v>#N/A</v>
      </c>
      <c r="AS88" s="718"/>
      <c r="AT88" s="573"/>
      <c r="AU88" s="574"/>
      <c r="AV88" s="574"/>
      <c r="AW88" s="475" t="e">
        <f t="shared" si="66"/>
        <v>#N/A</v>
      </c>
      <c r="AX88" s="690"/>
    </row>
    <row r="89" spans="2:50">
      <c r="B89" s="676"/>
      <c r="C89" s="304">
        <v>3</v>
      </c>
      <c r="D89" s="227"/>
      <c r="E89" s="182"/>
      <c r="F89" s="545"/>
      <c r="G89" s="546"/>
      <c r="H89" s="718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50"/>
      <c r="M89" s="201" t="e">
        <f>RANK(K89, K$87:$K$101)</f>
        <v>#DIV/0!</v>
      </c>
      <c r="N89" s="668"/>
      <c r="O89" s="668"/>
      <c r="P89" s="573"/>
      <c r="Q89" s="574"/>
      <c r="R89" s="574"/>
      <c r="S89" s="304" t="e">
        <f t="shared" si="69"/>
        <v>#N/A</v>
      </c>
      <c r="T89" s="718"/>
      <c r="U89" s="573"/>
      <c r="V89" s="574"/>
      <c r="W89" s="574"/>
      <c r="X89" s="475" t="e">
        <f t="shared" si="56"/>
        <v>#N/A</v>
      </c>
      <c r="Y89" s="718"/>
      <c r="Z89" s="573"/>
      <c r="AA89" s="574"/>
      <c r="AB89" s="574"/>
      <c r="AC89" s="475" t="e">
        <f t="shared" si="58"/>
        <v>#N/A</v>
      </c>
      <c r="AD89" s="718"/>
      <c r="AE89" s="573"/>
      <c r="AF89" s="574"/>
      <c r="AG89" s="574"/>
      <c r="AH89" s="475" t="e">
        <f t="shared" si="60"/>
        <v>#N/A</v>
      </c>
      <c r="AI89" s="718"/>
      <c r="AJ89" s="573"/>
      <c r="AK89" s="574"/>
      <c r="AL89" s="574"/>
      <c r="AM89" s="475" t="e">
        <f t="shared" si="62"/>
        <v>#N/A</v>
      </c>
      <c r="AN89" s="718"/>
      <c r="AO89" s="573"/>
      <c r="AP89" s="574"/>
      <c r="AQ89" s="574"/>
      <c r="AR89" s="475" t="e">
        <f t="shared" si="64"/>
        <v>#N/A</v>
      </c>
      <c r="AS89" s="718"/>
      <c r="AT89" s="573"/>
      <c r="AU89" s="574"/>
      <c r="AV89" s="574"/>
      <c r="AW89" s="475" t="e">
        <f t="shared" si="66"/>
        <v>#N/A</v>
      </c>
      <c r="AX89" s="690"/>
    </row>
    <row r="90" spans="2:50">
      <c r="B90" s="676"/>
      <c r="C90" s="304">
        <v>4</v>
      </c>
      <c r="D90" s="227"/>
      <c r="E90" s="182"/>
      <c r="F90" s="545"/>
      <c r="G90" s="546"/>
      <c r="H90" s="718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50"/>
      <c r="M90" s="201" t="e">
        <f>RANK(K90, K$87:$K$101)</f>
        <v>#DIV/0!</v>
      </c>
      <c r="N90" s="668"/>
      <c r="O90" s="668"/>
      <c r="P90" s="573"/>
      <c r="Q90" s="574"/>
      <c r="R90" s="574"/>
      <c r="S90" s="304" t="e">
        <f t="shared" si="69"/>
        <v>#N/A</v>
      </c>
      <c r="T90" s="718"/>
      <c r="U90" s="573"/>
      <c r="V90" s="574"/>
      <c r="W90" s="574"/>
      <c r="X90" s="475" t="e">
        <f t="shared" si="56"/>
        <v>#N/A</v>
      </c>
      <c r="Y90" s="718"/>
      <c r="Z90" s="573"/>
      <c r="AA90" s="574"/>
      <c r="AB90" s="574"/>
      <c r="AC90" s="475" t="e">
        <f t="shared" si="58"/>
        <v>#N/A</v>
      </c>
      <c r="AD90" s="718"/>
      <c r="AE90" s="573"/>
      <c r="AF90" s="574"/>
      <c r="AG90" s="574"/>
      <c r="AH90" s="475" t="e">
        <f t="shared" si="60"/>
        <v>#N/A</v>
      </c>
      <c r="AI90" s="718"/>
      <c r="AJ90" s="573"/>
      <c r="AK90" s="574"/>
      <c r="AL90" s="574"/>
      <c r="AM90" s="475" t="e">
        <f t="shared" si="62"/>
        <v>#N/A</v>
      </c>
      <c r="AN90" s="718"/>
      <c r="AO90" s="573"/>
      <c r="AP90" s="574"/>
      <c r="AQ90" s="574"/>
      <c r="AR90" s="475" t="e">
        <f t="shared" si="64"/>
        <v>#N/A</v>
      </c>
      <c r="AS90" s="718"/>
      <c r="AT90" s="573"/>
      <c r="AU90" s="574"/>
      <c r="AV90" s="574"/>
      <c r="AW90" s="475" t="e">
        <f t="shared" si="66"/>
        <v>#N/A</v>
      </c>
      <c r="AX90" s="690"/>
    </row>
    <row r="91" spans="2:50">
      <c r="B91" s="676"/>
      <c r="C91" s="304">
        <v>5</v>
      </c>
      <c r="D91" s="227"/>
      <c r="E91" s="182"/>
      <c r="F91" s="545"/>
      <c r="G91" s="546"/>
      <c r="H91" s="718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50"/>
      <c r="M91" s="201" t="e">
        <f>RANK(K91, K$87:$K$101)</f>
        <v>#DIV/0!</v>
      </c>
      <c r="N91" s="668"/>
      <c r="O91" s="668"/>
      <c r="P91" s="573"/>
      <c r="Q91" s="574"/>
      <c r="R91" s="574"/>
      <c r="S91" s="304" t="e">
        <f t="shared" si="69"/>
        <v>#N/A</v>
      </c>
      <c r="T91" s="718"/>
      <c r="U91" s="573"/>
      <c r="V91" s="574"/>
      <c r="W91" s="574"/>
      <c r="X91" s="475" t="e">
        <f t="shared" si="56"/>
        <v>#N/A</v>
      </c>
      <c r="Y91" s="718"/>
      <c r="Z91" s="573"/>
      <c r="AA91" s="574"/>
      <c r="AB91" s="574"/>
      <c r="AC91" s="475" t="e">
        <f t="shared" si="58"/>
        <v>#N/A</v>
      </c>
      <c r="AD91" s="718"/>
      <c r="AE91" s="573"/>
      <c r="AF91" s="574"/>
      <c r="AG91" s="574"/>
      <c r="AH91" s="475" t="e">
        <f t="shared" si="60"/>
        <v>#N/A</v>
      </c>
      <c r="AI91" s="718"/>
      <c r="AJ91" s="573"/>
      <c r="AK91" s="574"/>
      <c r="AL91" s="574"/>
      <c r="AM91" s="475" t="e">
        <f t="shared" si="62"/>
        <v>#N/A</v>
      </c>
      <c r="AN91" s="718"/>
      <c r="AO91" s="573"/>
      <c r="AP91" s="574"/>
      <c r="AQ91" s="574"/>
      <c r="AR91" s="475" t="e">
        <f t="shared" si="64"/>
        <v>#N/A</v>
      </c>
      <c r="AS91" s="718"/>
      <c r="AT91" s="573"/>
      <c r="AU91" s="574"/>
      <c r="AV91" s="574"/>
      <c r="AW91" s="475" t="e">
        <f t="shared" si="66"/>
        <v>#N/A</v>
      </c>
      <c r="AX91" s="690"/>
    </row>
    <row r="92" spans="2:50">
      <c r="B92" s="676"/>
      <c r="C92" s="304">
        <v>6</v>
      </c>
      <c r="D92" s="227"/>
      <c r="E92" s="182"/>
      <c r="F92" s="510"/>
      <c r="G92" s="511"/>
      <c r="H92" s="718"/>
      <c r="I92" s="199"/>
      <c r="J92" s="199"/>
      <c r="K92" s="200"/>
      <c r="L92" s="650"/>
      <c r="M92" s="201" t="e">
        <f>RANK(K92, K$87:$K$101)</f>
        <v>#DIV/0!</v>
      </c>
      <c r="N92" s="668"/>
      <c r="O92" s="668"/>
      <c r="P92" s="573"/>
      <c r="Q92" s="574"/>
      <c r="R92" s="574"/>
      <c r="S92" s="304" t="e">
        <f t="shared" si="69"/>
        <v>#N/A</v>
      </c>
      <c r="T92" s="718"/>
      <c r="U92" s="573"/>
      <c r="V92" s="574"/>
      <c r="W92" s="574"/>
      <c r="X92" s="475" t="e">
        <f t="shared" si="56"/>
        <v>#N/A</v>
      </c>
      <c r="Y92" s="718"/>
      <c r="Z92" s="573"/>
      <c r="AA92" s="574"/>
      <c r="AB92" s="574"/>
      <c r="AC92" s="475" t="e">
        <f t="shared" si="58"/>
        <v>#N/A</v>
      </c>
      <c r="AD92" s="718"/>
      <c r="AE92" s="573"/>
      <c r="AF92" s="574"/>
      <c r="AG92" s="574"/>
      <c r="AH92" s="475" t="e">
        <f t="shared" si="60"/>
        <v>#N/A</v>
      </c>
      <c r="AI92" s="718"/>
      <c r="AJ92" s="573"/>
      <c r="AK92" s="574"/>
      <c r="AL92" s="574"/>
      <c r="AM92" s="475" t="e">
        <f t="shared" si="62"/>
        <v>#N/A</v>
      </c>
      <c r="AN92" s="718"/>
      <c r="AO92" s="573"/>
      <c r="AP92" s="574"/>
      <c r="AQ92" s="574"/>
      <c r="AR92" s="475" t="e">
        <f t="shared" si="64"/>
        <v>#N/A</v>
      </c>
      <c r="AS92" s="718"/>
      <c r="AT92" s="573"/>
      <c r="AU92" s="574"/>
      <c r="AV92" s="574"/>
      <c r="AW92" s="475" t="e">
        <f t="shared" si="66"/>
        <v>#N/A</v>
      </c>
      <c r="AX92" s="690"/>
    </row>
    <row r="93" spans="2:50">
      <c r="B93" s="676"/>
      <c r="C93" s="304">
        <v>7</v>
      </c>
      <c r="D93" s="227"/>
      <c r="E93" s="182"/>
      <c r="F93" s="510"/>
      <c r="G93" s="511"/>
      <c r="H93" s="718"/>
      <c r="I93" s="199"/>
      <c r="J93" s="199"/>
      <c r="K93" s="200"/>
      <c r="L93" s="650"/>
      <c r="M93" s="201" t="e">
        <f>RANK(K93, K$87:$K$101)</f>
        <v>#DIV/0!</v>
      </c>
      <c r="N93" s="668"/>
      <c r="O93" s="668"/>
      <c r="P93" s="573"/>
      <c r="Q93" s="574"/>
      <c r="R93" s="574"/>
      <c r="S93" s="304" t="e">
        <f t="shared" si="69"/>
        <v>#N/A</v>
      </c>
      <c r="T93" s="718"/>
      <c r="U93" s="573"/>
      <c r="V93" s="574"/>
      <c r="W93" s="574"/>
      <c r="X93" s="475" t="e">
        <f t="shared" si="56"/>
        <v>#N/A</v>
      </c>
      <c r="Y93" s="718"/>
      <c r="Z93" s="573"/>
      <c r="AA93" s="574"/>
      <c r="AB93" s="574"/>
      <c r="AC93" s="475" t="e">
        <f t="shared" si="58"/>
        <v>#N/A</v>
      </c>
      <c r="AD93" s="718"/>
      <c r="AE93" s="573"/>
      <c r="AF93" s="574"/>
      <c r="AG93" s="574"/>
      <c r="AH93" s="475" t="e">
        <f t="shared" si="60"/>
        <v>#N/A</v>
      </c>
      <c r="AI93" s="718"/>
      <c r="AJ93" s="573"/>
      <c r="AK93" s="574"/>
      <c r="AL93" s="574"/>
      <c r="AM93" s="475" t="e">
        <f t="shared" si="62"/>
        <v>#N/A</v>
      </c>
      <c r="AN93" s="718"/>
      <c r="AO93" s="573"/>
      <c r="AP93" s="574"/>
      <c r="AQ93" s="574"/>
      <c r="AR93" s="475" t="e">
        <f t="shared" si="64"/>
        <v>#N/A</v>
      </c>
      <c r="AS93" s="718"/>
      <c r="AT93" s="573"/>
      <c r="AU93" s="574"/>
      <c r="AV93" s="574"/>
      <c r="AW93" s="475" t="e">
        <f t="shared" si="66"/>
        <v>#N/A</v>
      </c>
      <c r="AX93" s="690"/>
    </row>
    <row r="94" spans="2:50">
      <c r="B94" s="676"/>
      <c r="C94" s="304">
        <v>8</v>
      </c>
      <c r="D94" s="227"/>
      <c r="E94" s="182"/>
      <c r="F94" s="510"/>
      <c r="G94" s="511"/>
      <c r="H94" s="718"/>
      <c r="I94" s="199"/>
      <c r="J94" s="199"/>
      <c r="K94" s="200"/>
      <c r="L94" s="650"/>
      <c r="M94" s="201" t="e">
        <f>RANK(K94, K$87:$K$101)</f>
        <v>#DIV/0!</v>
      </c>
      <c r="N94" s="668"/>
      <c r="O94" s="668"/>
      <c r="P94" s="573"/>
      <c r="Q94" s="574"/>
      <c r="R94" s="574"/>
      <c r="S94" s="304" t="e">
        <f t="shared" si="69"/>
        <v>#N/A</v>
      </c>
      <c r="T94" s="718"/>
      <c r="U94" s="573"/>
      <c r="V94" s="574"/>
      <c r="W94" s="574"/>
      <c r="X94" s="475" t="e">
        <f t="shared" si="56"/>
        <v>#N/A</v>
      </c>
      <c r="Y94" s="718"/>
      <c r="Z94" s="573"/>
      <c r="AA94" s="574"/>
      <c r="AB94" s="574"/>
      <c r="AC94" s="475" t="e">
        <f t="shared" si="58"/>
        <v>#N/A</v>
      </c>
      <c r="AD94" s="718"/>
      <c r="AE94" s="573"/>
      <c r="AF94" s="574"/>
      <c r="AG94" s="574"/>
      <c r="AH94" s="475" t="e">
        <f t="shared" si="60"/>
        <v>#N/A</v>
      </c>
      <c r="AI94" s="718"/>
      <c r="AJ94" s="573"/>
      <c r="AK94" s="574"/>
      <c r="AL94" s="574"/>
      <c r="AM94" s="475" t="e">
        <f t="shared" si="62"/>
        <v>#N/A</v>
      </c>
      <c r="AN94" s="718"/>
      <c r="AO94" s="573"/>
      <c r="AP94" s="574"/>
      <c r="AQ94" s="574"/>
      <c r="AR94" s="475" t="e">
        <f t="shared" si="64"/>
        <v>#N/A</v>
      </c>
      <c r="AS94" s="718"/>
      <c r="AT94" s="573"/>
      <c r="AU94" s="574"/>
      <c r="AV94" s="574"/>
      <c r="AW94" s="475" t="e">
        <f t="shared" si="66"/>
        <v>#N/A</v>
      </c>
      <c r="AX94" s="690"/>
    </row>
    <row r="95" spans="2:50">
      <c r="B95" s="676"/>
      <c r="C95" s="304">
        <v>9</v>
      </c>
      <c r="D95" s="227"/>
      <c r="E95" s="182"/>
      <c r="F95" s="510"/>
      <c r="G95" s="511"/>
      <c r="H95" s="718"/>
      <c r="I95" s="199"/>
      <c r="J95" s="199"/>
      <c r="K95" s="200"/>
      <c r="L95" s="650"/>
      <c r="M95" s="201" t="e">
        <f>RANK(K95, K$87:$K$101)</f>
        <v>#DIV/0!</v>
      </c>
      <c r="N95" s="668"/>
      <c r="O95" s="668"/>
      <c r="P95" s="573"/>
      <c r="Q95" s="574"/>
      <c r="R95" s="574"/>
      <c r="S95" s="304" t="e">
        <f t="shared" si="69"/>
        <v>#N/A</v>
      </c>
      <c r="T95" s="718"/>
      <c r="U95" s="573"/>
      <c r="V95" s="574"/>
      <c r="W95" s="574"/>
      <c r="X95" s="475" t="e">
        <f t="shared" si="56"/>
        <v>#N/A</v>
      </c>
      <c r="Y95" s="718"/>
      <c r="Z95" s="573"/>
      <c r="AA95" s="574"/>
      <c r="AB95" s="574"/>
      <c r="AC95" s="475" t="e">
        <f t="shared" si="58"/>
        <v>#N/A</v>
      </c>
      <c r="AD95" s="718"/>
      <c r="AE95" s="573"/>
      <c r="AF95" s="574"/>
      <c r="AG95" s="574"/>
      <c r="AH95" s="475" t="e">
        <f t="shared" si="60"/>
        <v>#N/A</v>
      </c>
      <c r="AI95" s="718"/>
      <c r="AJ95" s="573"/>
      <c r="AK95" s="574"/>
      <c r="AL95" s="574"/>
      <c r="AM95" s="475" t="e">
        <f t="shared" si="62"/>
        <v>#N/A</v>
      </c>
      <c r="AN95" s="718"/>
      <c r="AO95" s="573"/>
      <c r="AP95" s="574"/>
      <c r="AQ95" s="574"/>
      <c r="AR95" s="475" t="e">
        <f t="shared" si="64"/>
        <v>#N/A</v>
      </c>
      <c r="AS95" s="718"/>
      <c r="AT95" s="573"/>
      <c r="AU95" s="574"/>
      <c r="AV95" s="574"/>
      <c r="AW95" s="475" t="e">
        <f t="shared" si="66"/>
        <v>#N/A</v>
      </c>
      <c r="AX95" s="690"/>
    </row>
    <row r="96" spans="2:50">
      <c r="B96" s="676"/>
      <c r="C96" s="304">
        <v>10</v>
      </c>
      <c r="D96" s="227"/>
      <c r="E96" s="182"/>
      <c r="F96" s="510"/>
      <c r="G96" s="511"/>
      <c r="H96" s="718"/>
      <c r="I96" s="199"/>
      <c r="J96" s="199"/>
      <c r="K96" s="200"/>
      <c r="L96" s="650"/>
      <c r="M96" s="201" t="e">
        <f>RANK(K96, K$87:$K$101)</f>
        <v>#DIV/0!</v>
      </c>
      <c r="N96" s="668"/>
      <c r="O96" s="668"/>
      <c r="P96" s="573"/>
      <c r="Q96" s="574"/>
      <c r="R96" s="574"/>
      <c r="S96" s="304" t="e">
        <f t="shared" si="69"/>
        <v>#N/A</v>
      </c>
      <c r="T96" s="718"/>
      <c r="U96" s="573"/>
      <c r="V96" s="574"/>
      <c r="W96" s="574"/>
      <c r="X96" s="475" t="e">
        <f t="shared" si="56"/>
        <v>#N/A</v>
      </c>
      <c r="Y96" s="718"/>
      <c r="Z96" s="573"/>
      <c r="AA96" s="574"/>
      <c r="AB96" s="574"/>
      <c r="AC96" s="475" t="e">
        <f t="shared" si="58"/>
        <v>#N/A</v>
      </c>
      <c r="AD96" s="718"/>
      <c r="AE96" s="573"/>
      <c r="AF96" s="574"/>
      <c r="AG96" s="574"/>
      <c r="AH96" s="475" t="e">
        <f t="shared" si="60"/>
        <v>#N/A</v>
      </c>
      <c r="AI96" s="718"/>
      <c r="AJ96" s="573"/>
      <c r="AK96" s="574"/>
      <c r="AL96" s="574"/>
      <c r="AM96" s="475" t="e">
        <f t="shared" si="62"/>
        <v>#N/A</v>
      </c>
      <c r="AN96" s="718"/>
      <c r="AO96" s="573"/>
      <c r="AP96" s="574"/>
      <c r="AQ96" s="574"/>
      <c r="AR96" s="475" t="e">
        <f t="shared" si="64"/>
        <v>#N/A</v>
      </c>
      <c r="AS96" s="718"/>
      <c r="AT96" s="573"/>
      <c r="AU96" s="574"/>
      <c r="AV96" s="574"/>
      <c r="AW96" s="475" t="e">
        <f t="shared" si="66"/>
        <v>#N/A</v>
      </c>
      <c r="AX96" s="690"/>
    </row>
    <row r="97" spans="2:50">
      <c r="B97" s="676"/>
      <c r="C97" s="304">
        <v>11</v>
      </c>
      <c r="D97" s="227"/>
      <c r="E97" s="182"/>
      <c r="F97" s="510"/>
      <c r="G97" s="511"/>
      <c r="H97" s="718"/>
      <c r="I97" s="202"/>
      <c r="J97" s="202"/>
      <c r="K97" s="202"/>
      <c r="L97" s="650"/>
      <c r="M97" s="201" t="e">
        <f>RANK(K97, K$87:$K$101)</f>
        <v>#DIV/0!</v>
      </c>
      <c r="N97" s="668"/>
      <c r="O97" s="668"/>
      <c r="P97" s="573"/>
      <c r="Q97" s="574"/>
      <c r="R97" s="574"/>
      <c r="S97" s="304" t="e">
        <f t="shared" si="69"/>
        <v>#N/A</v>
      </c>
      <c r="T97" s="718"/>
      <c r="U97" s="573"/>
      <c r="V97" s="574"/>
      <c r="W97" s="574"/>
      <c r="X97" s="475" t="e">
        <f t="shared" si="56"/>
        <v>#N/A</v>
      </c>
      <c r="Y97" s="718"/>
      <c r="Z97" s="573"/>
      <c r="AA97" s="574"/>
      <c r="AB97" s="574"/>
      <c r="AC97" s="475" t="e">
        <f t="shared" si="58"/>
        <v>#N/A</v>
      </c>
      <c r="AD97" s="718"/>
      <c r="AE97" s="573"/>
      <c r="AF97" s="574"/>
      <c r="AG97" s="574"/>
      <c r="AH97" s="475" t="e">
        <f t="shared" si="60"/>
        <v>#N/A</v>
      </c>
      <c r="AI97" s="718"/>
      <c r="AJ97" s="573"/>
      <c r="AK97" s="574"/>
      <c r="AL97" s="574"/>
      <c r="AM97" s="475" t="e">
        <f t="shared" si="62"/>
        <v>#N/A</v>
      </c>
      <c r="AN97" s="718"/>
      <c r="AO97" s="573"/>
      <c r="AP97" s="574"/>
      <c r="AQ97" s="574"/>
      <c r="AR97" s="475" t="e">
        <f t="shared" si="64"/>
        <v>#N/A</v>
      </c>
      <c r="AS97" s="718"/>
      <c r="AT97" s="573"/>
      <c r="AU97" s="574"/>
      <c r="AV97" s="574"/>
      <c r="AW97" s="475" t="e">
        <f t="shared" si="66"/>
        <v>#N/A</v>
      </c>
      <c r="AX97" s="690"/>
    </row>
    <row r="98" spans="2:50">
      <c r="B98" s="676"/>
      <c r="C98" s="304">
        <v>12</v>
      </c>
      <c r="D98" s="227"/>
      <c r="E98" s="182"/>
      <c r="F98" s="510"/>
      <c r="G98" s="511"/>
      <c r="H98" s="718"/>
      <c r="I98" s="202"/>
      <c r="J98" s="202"/>
      <c r="K98" s="202"/>
      <c r="L98" s="650"/>
      <c r="M98" s="201" t="e">
        <f>RANK(K98, K$87:$K$101)</f>
        <v>#DIV/0!</v>
      </c>
      <c r="N98" s="668"/>
      <c r="O98" s="668"/>
      <c r="P98" s="573"/>
      <c r="Q98" s="574"/>
      <c r="R98" s="574"/>
      <c r="S98" s="304" t="e">
        <f t="shared" si="69"/>
        <v>#N/A</v>
      </c>
      <c r="T98" s="718"/>
      <c r="U98" s="573"/>
      <c r="V98" s="574"/>
      <c r="W98" s="574"/>
      <c r="X98" s="475" t="e">
        <f t="shared" si="56"/>
        <v>#N/A</v>
      </c>
      <c r="Y98" s="718"/>
      <c r="Z98" s="573"/>
      <c r="AA98" s="574"/>
      <c r="AB98" s="574"/>
      <c r="AC98" s="475" t="e">
        <f t="shared" si="58"/>
        <v>#N/A</v>
      </c>
      <c r="AD98" s="718"/>
      <c r="AE98" s="573"/>
      <c r="AF98" s="574"/>
      <c r="AG98" s="574"/>
      <c r="AH98" s="475" t="e">
        <f t="shared" si="60"/>
        <v>#N/A</v>
      </c>
      <c r="AI98" s="718"/>
      <c r="AJ98" s="573"/>
      <c r="AK98" s="574"/>
      <c r="AL98" s="574"/>
      <c r="AM98" s="475" t="e">
        <f t="shared" si="62"/>
        <v>#N/A</v>
      </c>
      <c r="AN98" s="718"/>
      <c r="AO98" s="573"/>
      <c r="AP98" s="574"/>
      <c r="AQ98" s="574"/>
      <c r="AR98" s="475" t="e">
        <f t="shared" si="64"/>
        <v>#N/A</v>
      </c>
      <c r="AS98" s="718"/>
      <c r="AT98" s="573"/>
      <c r="AU98" s="574"/>
      <c r="AV98" s="574"/>
      <c r="AW98" s="475" t="e">
        <f t="shared" si="66"/>
        <v>#N/A</v>
      </c>
      <c r="AX98" s="690"/>
    </row>
    <row r="99" spans="2:50">
      <c r="B99" s="676"/>
      <c r="C99" s="304">
        <v>13</v>
      </c>
      <c r="D99" s="227"/>
      <c r="E99" s="182"/>
      <c r="F99" s="510"/>
      <c r="G99" s="511"/>
      <c r="H99" s="718"/>
      <c r="I99" s="202"/>
      <c r="J99" s="202"/>
      <c r="K99" s="202"/>
      <c r="L99" s="650"/>
      <c r="M99" s="201" t="e">
        <f>RANK(K99, K$87:$K$101)</f>
        <v>#DIV/0!</v>
      </c>
      <c r="N99" s="668"/>
      <c r="O99" s="668"/>
      <c r="P99" s="573"/>
      <c r="Q99" s="574"/>
      <c r="R99" s="574"/>
      <c r="S99" s="304" t="e">
        <f t="shared" si="69"/>
        <v>#N/A</v>
      </c>
      <c r="T99" s="718"/>
      <c r="U99" s="573"/>
      <c r="V99" s="574"/>
      <c r="W99" s="574"/>
      <c r="X99" s="475" t="e">
        <f t="shared" si="56"/>
        <v>#N/A</v>
      </c>
      <c r="Y99" s="718"/>
      <c r="Z99" s="573"/>
      <c r="AA99" s="574"/>
      <c r="AB99" s="574"/>
      <c r="AC99" s="475" t="e">
        <f t="shared" si="58"/>
        <v>#N/A</v>
      </c>
      <c r="AD99" s="718"/>
      <c r="AE99" s="573"/>
      <c r="AF99" s="574"/>
      <c r="AG99" s="574"/>
      <c r="AH99" s="475" t="e">
        <f t="shared" si="60"/>
        <v>#N/A</v>
      </c>
      <c r="AI99" s="718"/>
      <c r="AJ99" s="573"/>
      <c r="AK99" s="574"/>
      <c r="AL99" s="574"/>
      <c r="AM99" s="475" t="e">
        <f t="shared" si="62"/>
        <v>#N/A</v>
      </c>
      <c r="AN99" s="718"/>
      <c r="AO99" s="573"/>
      <c r="AP99" s="574"/>
      <c r="AQ99" s="574"/>
      <c r="AR99" s="475" t="e">
        <f t="shared" si="64"/>
        <v>#N/A</v>
      </c>
      <c r="AS99" s="718"/>
      <c r="AT99" s="573"/>
      <c r="AU99" s="574"/>
      <c r="AV99" s="574"/>
      <c r="AW99" s="475" t="e">
        <f t="shared" si="66"/>
        <v>#N/A</v>
      </c>
      <c r="AX99" s="690"/>
    </row>
    <row r="100" spans="2:50">
      <c r="B100" s="676"/>
      <c r="C100" s="304">
        <v>14</v>
      </c>
      <c r="D100" s="227"/>
      <c r="E100" s="182"/>
      <c r="F100" s="510"/>
      <c r="G100" s="511"/>
      <c r="H100" s="718"/>
      <c r="I100" s="202"/>
      <c r="J100" s="202"/>
      <c r="K100" s="202"/>
      <c r="L100" s="650"/>
      <c r="M100" s="201" t="e">
        <f>RANK(K100, K$87:$K$101)</f>
        <v>#DIV/0!</v>
      </c>
      <c r="N100" s="668"/>
      <c r="O100" s="668"/>
      <c r="P100" s="573"/>
      <c r="Q100" s="574"/>
      <c r="R100" s="574"/>
      <c r="S100" s="304" t="e">
        <f t="shared" si="69"/>
        <v>#N/A</v>
      </c>
      <c r="T100" s="718"/>
      <c r="U100" s="573"/>
      <c r="V100" s="574"/>
      <c r="W100" s="574"/>
      <c r="X100" s="475" t="e">
        <f t="shared" si="56"/>
        <v>#N/A</v>
      </c>
      <c r="Y100" s="718"/>
      <c r="Z100" s="573"/>
      <c r="AA100" s="574"/>
      <c r="AB100" s="574"/>
      <c r="AC100" s="475" t="e">
        <f t="shared" si="58"/>
        <v>#N/A</v>
      </c>
      <c r="AD100" s="718"/>
      <c r="AE100" s="573"/>
      <c r="AF100" s="574"/>
      <c r="AG100" s="574"/>
      <c r="AH100" s="475" t="e">
        <f t="shared" si="60"/>
        <v>#N/A</v>
      </c>
      <c r="AI100" s="718"/>
      <c r="AJ100" s="573"/>
      <c r="AK100" s="574"/>
      <c r="AL100" s="574"/>
      <c r="AM100" s="475" t="e">
        <f t="shared" si="62"/>
        <v>#N/A</v>
      </c>
      <c r="AN100" s="718"/>
      <c r="AO100" s="573"/>
      <c r="AP100" s="574"/>
      <c r="AQ100" s="574"/>
      <c r="AR100" s="475" t="e">
        <f t="shared" si="64"/>
        <v>#N/A</v>
      </c>
      <c r="AS100" s="718"/>
      <c r="AT100" s="573"/>
      <c r="AU100" s="574"/>
      <c r="AV100" s="574"/>
      <c r="AW100" s="475" t="e">
        <f t="shared" si="66"/>
        <v>#N/A</v>
      </c>
      <c r="AX100" s="690"/>
    </row>
    <row r="101" spans="2:50">
      <c r="B101" s="676"/>
      <c r="C101" s="304">
        <v>15</v>
      </c>
      <c r="D101" s="227"/>
      <c r="E101" s="182"/>
      <c r="F101" s="510"/>
      <c r="G101" s="511"/>
      <c r="H101" s="719"/>
      <c r="I101" s="202"/>
      <c r="J101" s="202"/>
      <c r="K101" s="202"/>
      <c r="L101" s="651"/>
      <c r="M101" s="199" t="e">
        <f>RANK(K101, K$87:$K$101)</f>
        <v>#DIV/0!</v>
      </c>
      <c r="N101" s="668"/>
      <c r="O101" s="668"/>
      <c r="P101" s="573"/>
      <c r="Q101" s="574"/>
      <c r="R101" s="574"/>
      <c r="S101" s="304" t="e">
        <f t="shared" si="69"/>
        <v>#N/A</v>
      </c>
      <c r="T101" s="719"/>
      <c r="U101" s="573"/>
      <c r="V101" s="574"/>
      <c r="W101" s="574"/>
      <c r="X101" s="475" t="e">
        <f t="shared" si="56"/>
        <v>#N/A</v>
      </c>
      <c r="Y101" s="719"/>
      <c r="Z101" s="573"/>
      <c r="AA101" s="574"/>
      <c r="AB101" s="574"/>
      <c r="AC101" s="475" t="e">
        <f t="shared" si="58"/>
        <v>#N/A</v>
      </c>
      <c r="AD101" s="719"/>
      <c r="AE101" s="573"/>
      <c r="AF101" s="574"/>
      <c r="AG101" s="574"/>
      <c r="AH101" s="475" t="e">
        <f t="shared" si="60"/>
        <v>#N/A</v>
      </c>
      <c r="AI101" s="719"/>
      <c r="AJ101" s="573"/>
      <c r="AK101" s="574"/>
      <c r="AL101" s="574"/>
      <c r="AM101" s="475" t="e">
        <f t="shared" si="62"/>
        <v>#N/A</v>
      </c>
      <c r="AN101" s="719"/>
      <c r="AO101" s="573"/>
      <c r="AP101" s="574"/>
      <c r="AQ101" s="574"/>
      <c r="AR101" s="475" t="e">
        <f t="shared" si="64"/>
        <v>#N/A</v>
      </c>
      <c r="AS101" s="719"/>
      <c r="AT101" s="573"/>
      <c r="AU101" s="574"/>
      <c r="AV101" s="574"/>
      <c r="AW101" s="475" t="e">
        <f t="shared" si="66"/>
        <v>#N/A</v>
      </c>
      <c r="AX101" s="690"/>
    </row>
    <row r="102" spans="2:50" ht="15.75">
      <c r="B102" s="680" t="s">
        <v>163</v>
      </c>
      <c r="C102" s="681"/>
      <c r="D102" s="681"/>
      <c r="E102" s="681"/>
      <c r="F102" s="681"/>
      <c r="G102" s="681"/>
      <c r="H102" s="682"/>
      <c r="I102" s="208"/>
      <c r="J102" s="208"/>
      <c r="K102" s="208"/>
      <c r="L102" s="208"/>
      <c r="M102" s="207"/>
      <c r="N102" s="669" t="s">
        <v>156</v>
      </c>
      <c r="O102" s="669" t="s">
        <v>105</v>
      </c>
      <c r="P102" s="675">
        <f>P82+7</f>
        <v>46119</v>
      </c>
      <c r="Q102" s="676"/>
      <c r="R102" s="676"/>
      <c r="S102" s="676"/>
      <c r="T102" s="676"/>
      <c r="U102" s="672">
        <f>P102+1</f>
        <v>46120</v>
      </c>
      <c r="V102" s="673"/>
      <c r="W102" s="673"/>
      <c r="X102" s="673"/>
      <c r="Y102" s="674"/>
      <c r="Z102" s="672">
        <f>U102+1</f>
        <v>46121</v>
      </c>
      <c r="AA102" s="673"/>
      <c r="AB102" s="673"/>
      <c r="AC102" s="673"/>
      <c r="AD102" s="674"/>
      <c r="AE102" s="672">
        <f>Z102+1</f>
        <v>46122</v>
      </c>
      <c r="AF102" s="673"/>
      <c r="AG102" s="673"/>
      <c r="AH102" s="673"/>
      <c r="AI102" s="674"/>
      <c r="AJ102" s="672">
        <f>AE102+1</f>
        <v>46123</v>
      </c>
      <c r="AK102" s="673"/>
      <c r="AL102" s="673"/>
      <c r="AM102" s="673"/>
      <c r="AN102" s="674"/>
      <c r="AO102" s="672">
        <f>AJ102+1</f>
        <v>46124</v>
      </c>
      <c r="AP102" s="673"/>
      <c r="AQ102" s="673"/>
      <c r="AR102" s="673"/>
      <c r="AS102" s="674"/>
      <c r="AT102" s="672">
        <f>AO102+1</f>
        <v>46125</v>
      </c>
      <c r="AU102" s="673"/>
      <c r="AV102" s="673"/>
      <c r="AW102" s="673"/>
      <c r="AX102" s="674"/>
    </row>
    <row r="103" spans="2:50" ht="15.75">
      <c r="B103" s="683"/>
      <c r="C103" s="683"/>
      <c r="D103" s="683"/>
      <c r="E103" s="683"/>
      <c r="F103" s="683"/>
      <c r="G103" s="683"/>
      <c r="H103" s="683"/>
      <c r="I103" s="205"/>
      <c r="J103" s="205"/>
      <c r="K103" s="205"/>
      <c r="L103" s="205"/>
      <c r="M103" s="206"/>
      <c r="N103" s="671"/>
      <c r="O103" s="671"/>
      <c r="P103" s="675" t="s">
        <v>158</v>
      </c>
      <c r="Q103" s="676"/>
      <c r="R103" s="676"/>
      <c r="S103" s="676"/>
      <c r="T103" s="676"/>
      <c r="U103" s="675" t="s">
        <v>114</v>
      </c>
      <c r="V103" s="676"/>
      <c r="W103" s="676"/>
      <c r="X103" s="676"/>
      <c r="Y103" s="676"/>
      <c r="Z103" s="675" t="s">
        <v>159</v>
      </c>
      <c r="AA103" s="676"/>
      <c r="AB103" s="676"/>
      <c r="AC103" s="676"/>
      <c r="AD103" s="676"/>
      <c r="AE103" s="675" t="s">
        <v>157</v>
      </c>
      <c r="AF103" s="676"/>
      <c r="AG103" s="676"/>
      <c r="AH103" s="676"/>
      <c r="AI103" s="676"/>
      <c r="AJ103" s="675" t="s">
        <v>160</v>
      </c>
      <c r="AK103" s="676"/>
      <c r="AL103" s="676"/>
      <c r="AM103" s="676"/>
      <c r="AN103" s="676"/>
      <c r="AO103" s="675" t="s">
        <v>115</v>
      </c>
      <c r="AP103" s="676"/>
      <c r="AQ103" s="676"/>
      <c r="AR103" s="676"/>
      <c r="AS103" s="676"/>
      <c r="AT103" s="675" t="s">
        <v>162</v>
      </c>
      <c r="AU103" s="676"/>
      <c r="AV103" s="676"/>
      <c r="AW103" s="676"/>
      <c r="AX103" s="676"/>
    </row>
    <row r="104" spans="2:50">
      <c r="B104" s="668" t="s">
        <v>822</v>
      </c>
      <c r="C104" s="668" t="s">
        <v>823</v>
      </c>
      <c r="D104" s="668"/>
      <c r="E104" s="668" t="s">
        <v>824</v>
      </c>
      <c r="F104" s="668"/>
      <c r="G104" s="668"/>
      <c r="H104" s="684" t="s">
        <v>825</v>
      </c>
      <c r="I104" s="668" t="s">
        <v>826</v>
      </c>
      <c r="J104" s="668"/>
      <c r="K104" s="668"/>
      <c r="L104" s="684" t="s">
        <v>825</v>
      </c>
      <c r="M104" s="669" t="s">
        <v>827</v>
      </c>
      <c r="N104" s="668"/>
      <c r="O104" s="668" t="s">
        <v>813</v>
      </c>
      <c r="P104" s="665" t="s">
        <v>814</v>
      </c>
      <c r="Q104" s="666"/>
      <c r="R104" s="666"/>
      <c r="S104" s="667"/>
      <c r="T104" s="668" t="s">
        <v>810</v>
      </c>
      <c r="U104" s="665" t="s">
        <v>814</v>
      </c>
      <c r="V104" s="666"/>
      <c r="W104" s="666"/>
      <c r="X104" s="667"/>
      <c r="Y104" s="668" t="s">
        <v>810</v>
      </c>
      <c r="Z104" s="665" t="s">
        <v>814</v>
      </c>
      <c r="AA104" s="666"/>
      <c r="AB104" s="666"/>
      <c r="AC104" s="667"/>
      <c r="AD104" s="668" t="s">
        <v>810</v>
      </c>
      <c r="AE104" s="665" t="s">
        <v>814</v>
      </c>
      <c r="AF104" s="666"/>
      <c r="AG104" s="666"/>
      <c r="AH104" s="667"/>
      <c r="AI104" s="668" t="s">
        <v>810</v>
      </c>
      <c r="AJ104" s="665" t="s">
        <v>814</v>
      </c>
      <c r="AK104" s="666"/>
      <c r="AL104" s="666"/>
      <c r="AM104" s="667"/>
      <c r="AN104" s="668" t="s">
        <v>810</v>
      </c>
      <c r="AO104" s="665" t="s">
        <v>814</v>
      </c>
      <c r="AP104" s="666"/>
      <c r="AQ104" s="666"/>
      <c r="AR104" s="667"/>
      <c r="AS104" s="668" t="s">
        <v>810</v>
      </c>
      <c r="AT104" s="665" t="s">
        <v>814</v>
      </c>
      <c r="AU104" s="666"/>
      <c r="AV104" s="666"/>
      <c r="AW104" s="667"/>
      <c r="AX104" s="668" t="s">
        <v>810</v>
      </c>
    </row>
    <row r="105" spans="2:50">
      <c r="B105" s="668"/>
      <c r="C105" s="668"/>
      <c r="D105" s="668"/>
      <c r="E105" s="668" t="s">
        <v>829</v>
      </c>
      <c r="F105" s="668"/>
      <c r="G105" s="668"/>
      <c r="H105" s="685"/>
      <c r="I105" s="668" t="s">
        <v>829</v>
      </c>
      <c r="J105" s="668"/>
      <c r="K105" s="668"/>
      <c r="L105" s="685"/>
      <c r="M105" s="670"/>
      <c r="N105" s="668"/>
      <c r="O105" s="668"/>
      <c r="P105" s="665" t="s">
        <v>816</v>
      </c>
      <c r="Q105" s="666"/>
      <c r="R105" s="666"/>
      <c r="S105" s="667"/>
      <c r="T105" s="668"/>
      <c r="U105" s="665" t="s">
        <v>816</v>
      </c>
      <c r="V105" s="666"/>
      <c r="W105" s="666"/>
      <c r="X105" s="667"/>
      <c r="Y105" s="668"/>
      <c r="Z105" s="665" t="s">
        <v>816</v>
      </c>
      <c r="AA105" s="666"/>
      <c r="AB105" s="666"/>
      <c r="AC105" s="667"/>
      <c r="AD105" s="668"/>
      <c r="AE105" s="665" t="s">
        <v>816</v>
      </c>
      <c r="AF105" s="666"/>
      <c r="AG105" s="666"/>
      <c r="AH105" s="667"/>
      <c r="AI105" s="668"/>
      <c r="AJ105" s="665" t="s">
        <v>816</v>
      </c>
      <c r="AK105" s="666"/>
      <c r="AL105" s="666"/>
      <c r="AM105" s="667"/>
      <c r="AN105" s="668"/>
      <c r="AO105" s="665" t="s">
        <v>816</v>
      </c>
      <c r="AP105" s="666"/>
      <c r="AQ105" s="666"/>
      <c r="AR105" s="667"/>
      <c r="AS105" s="668"/>
      <c r="AT105" s="665" t="s">
        <v>816</v>
      </c>
      <c r="AU105" s="666"/>
      <c r="AV105" s="666"/>
      <c r="AW105" s="667"/>
      <c r="AX105" s="668"/>
    </row>
    <row r="106" spans="2:50">
      <c r="B106" s="668"/>
      <c r="C106" s="668"/>
      <c r="D106" s="668"/>
      <c r="E106" s="488" t="s">
        <v>830</v>
      </c>
      <c r="F106" s="488" t="s">
        <v>831</v>
      </c>
      <c r="G106" s="488" t="s">
        <v>832</v>
      </c>
      <c r="H106" s="686"/>
      <c r="I106" s="488" t="s">
        <v>830</v>
      </c>
      <c r="J106" s="488" t="s">
        <v>831</v>
      </c>
      <c r="K106" s="488" t="s">
        <v>832</v>
      </c>
      <c r="L106" s="686"/>
      <c r="M106" s="671"/>
      <c r="N106" s="668"/>
      <c r="O106" s="668"/>
      <c r="P106" s="488" t="s">
        <v>817</v>
      </c>
      <c r="Q106" s="488" t="s">
        <v>818</v>
      </c>
      <c r="R106" s="488" t="s">
        <v>819</v>
      </c>
      <c r="S106" s="488" t="s">
        <v>812</v>
      </c>
      <c r="T106" s="668"/>
      <c r="U106" s="488" t="s">
        <v>817</v>
      </c>
      <c r="V106" s="488" t="s">
        <v>818</v>
      </c>
      <c r="W106" s="488" t="s">
        <v>819</v>
      </c>
      <c r="X106" s="488" t="s">
        <v>812</v>
      </c>
      <c r="Y106" s="668"/>
      <c r="Z106" s="488" t="s">
        <v>817</v>
      </c>
      <c r="AA106" s="488" t="s">
        <v>818</v>
      </c>
      <c r="AB106" s="488" t="s">
        <v>819</v>
      </c>
      <c r="AC106" s="488" t="s">
        <v>812</v>
      </c>
      <c r="AD106" s="668"/>
      <c r="AE106" s="488" t="s">
        <v>817</v>
      </c>
      <c r="AF106" s="488" t="s">
        <v>818</v>
      </c>
      <c r="AG106" s="488" t="s">
        <v>819</v>
      </c>
      <c r="AH106" s="488" t="s">
        <v>812</v>
      </c>
      <c r="AI106" s="668"/>
      <c r="AJ106" s="488" t="s">
        <v>817</v>
      </c>
      <c r="AK106" s="488" t="s">
        <v>818</v>
      </c>
      <c r="AL106" s="488" t="s">
        <v>819</v>
      </c>
      <c r="AM106" s="488" t="s">
        <v>812</v>
      </c>
      <c r="AN106" s="668"/>
      <c r="AO106" s="488" t="s">
        <v>817</v>
      </c>
      <c r="AP106" s="488" t="s">
        <v>818</v>
      </c>
      <c r="AQ106" s="488" t="s">
        <v>819</v>
      </c>
      <c r="AR106" s="488" t="s">
        <v>812</v>
      </c>
      <c r="AS106" s="668"/>
      <c r="AT106" s="488" t="s">
        <v>817</v>
      </c>
      <c r="AU106" s="488" t="s">
        <v>818</v>
      </c>
      <c r="AV106" s="488" t="s">
        <v>819</v>
      </c>
      <c r="AW106" s="488" t="s">
        <v>812</v>
      </c>
      <c r="AX106" s="668"/>
    </row>
    <row r="107" spans="2:50">
      <c r="B107" s="668" t="s">
        <v>136</v>
      </c>
      <c r="C107" s="493">
        <v>1</v>
      </c>
      <c r="D107" s="227"/>
      <c r="E107" s="182"/>
      <c r="F107" s="510"/>
      <c r="G107" s="511"/>
      <c r="H107" s="735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9" t="str">
        <f>IFERROR(AVERAGE(K107:K121),"-")</f>
        <v>-</v>
      </c>
      <c r="M107" s="494" t="e">
        <f>RANK(K107, K$67:$K$81)</f>
        <v>#DIV/0!</v>
      </c>
      <c r="N107" s="668"/>
      <c r="O107" s="668"/>
      <c r="P107" s="493"/>
      <c r="Q107" s="494"/>
      <c r="R107" s="494"/>
      <c r="S107" s="493" t="e">
        <f>RANK(R107, R$67:R$81)</f>
        <v>#N/A</v>
      </c>
      <c r="T107" s="715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715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715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715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715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715" t="e">
        <f>AVERAGE(AQ107:AQ121)</f>
        <v>#DIV/0!</v>
      </c>
      <c r="AT107" s="182"/>
      <c r="AU107" s="511"/>
      <c r="AV107" s="511"/>
      <c r="AW107" s="493" t="e">
        <f>RANK(AV107, AV$67:AV$81)</f>
        <v>#N/A</v>
      </c>
      <c r="AX107" s="715" t="e">
        <f>AVERAGE(AV107:AV121)</f>
        <v>#DIV/0!</v>
      </c>
    </row>
    <row r="108" spans="2:50">
      <c r="B108" s="701"/>
      <c r="C108" s="493">
        <v>2</v>
      </c>
      <c r="D108" s="227"/>
      <c r="E108" s="182"/>
      <c r="F108" s="510"/>
      <c r="G108" s="511"/>
      <c r="H108" s="736"/>
      <c r="I108" s="494" t="e">
        <f t="shared" ref="I108:K111" si="70">AVERAGE(P108,U108,Z108,AE108,AJ108,AO108,AT108)</f>
        <v>#DIV/0!</v>
      </c>
      <c r="J108" s="494" t="e">
        <f t="shared" si="70"/>
        <v>#DIV/0!</v>
      </c>
      <c r="K108" s="495" t="e">
        <f t="shared" si="70"/>
        <v>#DIV/0!</v>
      </c>
      <c r="L108" s="650"/>
      <c r="M108" s="494" t="e">
        <f>RANK(K108, K$67:$K$81)</f>
        <v>#DIV/0!</v>
      </c>
      <c r="N108" s="668"/>
      <c r="O108" s="668"/>
      <c r="P108" s="493"/>
      <c r="Q108" s="494"/>
      <c r="R108" s="494"/>
      <c r="S108" s="493" t="e">
        <f t="shared" ref="S108:S121" si="71">RANK(R108, R$67:R$81)</f>
        <v>#N/A</v>
      </c>
      <c r="T108" s="715"/>
      <c r="U108" s="515"/>
      <c r="V108" s="518"/>
      <c r="W108" s="518"/>
      <c r="X108" s="493" t="e">
        <f t="shared" ref="X108:X121" si="72">RANK(W108, W$67:W$81)</f>
        <v>#N/A</v>
      </c>
      <c r="Y108" s="715"/>
      <c r="Z108" s="515"/>
      <c r="AA108" s="518"/>
      <c r="AB108" s="518"/>
      <c r="AC108" s="493" t="e">
        <f t="shared" ref="AC108:AC121" si="73">RANK(AB108, AB$67:AB$81)</f>
        <v>#N/A</v>
      </c>
      <c r="AD108" s="715"/>
      <c r="AE108" s="515"/>
      <c r="AF108" s="518"/>
      <c r="AG108" s="518"/>
      <c r="AH108" s="493" t="e">
        <f t="shared" ref="AH108:AH121" si="74">RANK(AG108, AG$67:AG$81)</f>
        <v>#N/A</v>
      </c>
      <c r="AI108" s="715"/>
      <c r="AJ108" s="515"/>
      <c r="AK108" s="518"/>
      <c r="AL108" s="518"/>
      <c r="AM108" s="493" t="e">
        <f t="shared" ref="AM108:AM121" si="75">RANK(AL108, AL$67:AL$81)</f>
        <v>#N/A</v>
      </c>
      <c r="AN108" s="715"/>
      <c r="AO108" s="515"/>
      <c r="AP108" s="518"/>
      <c r="AQ108" s="518"/>
      <c r="AR108" s="493" t="e">
        <f t="shared" ref="AR108:AR121" si="76">RANK(AQ108, AQ$67:AQ$81)</f>
        <v>#N/A</v>
      </c>
      <c r="AS108" s="715"/>
      <c r="AT108" s="510"/>
      <c r="AU108" s="511"/>
      <c r="AV108" s="511"/>
      <c r="AW108" s="493" t="e">
        <f t="shared" ref="AW108:AW121" si="77">RANK(AV108, AV$67:AV$81)</f>
        <v>#N/A</v>
      </c>
      <c r="AX108" s="715"/>
    </row>
    <row r="109" spans="2:50">
      <c r="B109" s="701"/>
      <c r="C109" s="493">
        <v>3</v>
      </c>
      <c r="D109" s="227"/>
      <c r="E109" s="182"/>
      <c r="F109" s="510"/>
      <c r="G109" s="511"/>
      <c r="H109" s="736"/>
      <c r="I109" s="494" t="e">
        <f t="shared" si="70"/>
        <v>#DIV/0!</v>
      </c>
      <c r="J109" s="494" t="e">
        <f t="shared" si="70"/>
        <v>#DIV/0!</v>
      </c>
      <c r="K109" s="495" t="e">
        <f t="shared" si="70"/>
        <v>#DIV/0!</v>
      </c>
      <c r="L109" s="650"/>
      <c r="M109" s="494" t="e">
        <f>RANK(K109, K$67:$K$81)</f>
        <v>#DIV/0!</v>
      </c>
      <c r="N109" s="668"/>
      <c r="O109" s="668"/>
      <c r="P109" s="493"/>
      <c r="Q109" s="494"/>
      <c r="R109" s="494"/>
      <c r="S109" s="493" t="e">
        <f t="shared" si="71"/>
        <v>#N/A</v>
      </c>
      <c r="T109" s="715"/>
      <c r="U109" s="515"/>
      <c r="V109" s="518"/>
      <c r="W109" s="518"/>
      <c r="X109" s="493" t="e">
        <f t="shared" si="72"/>
        <v>#N/A</v>
      </c>
      <c r="Y109" s="715"/>
      <c r="Z109" s="515"/>
      <c r="AA109" s="518"/>
      <c r="AB109" s="518"/>
      <c r="AC109" s="493" t="e">
        <f t="shared" si="73"/>
        <v>#N/A</v>
      </c>
      <c r="AD109" s="715"/>
      <c r="AE109" s="515"/>
      <c r="AF109" s="518"/>
      <c r="AG109" s="518"/>
      <c r="AH109" s="493" t="e">
        <f t="shared" si="74"/>
        <v>#N/A</v>
      </c>
      <c r="AI109" s="715"/>
      <c r="AJ109" s="515"/>
      <c r="AK109" s="518"/>
      <c r="AL109" s="518"/>
      <c r="AM109" s="493" t="e">
        <f t="shared" si="75"/>
        <v>#N/A</v>
      </c>
      <c r="AN109" s="715"/>
      <c r="AO109" s="515"/>
      <c r="AP109" s="518"/>
      <c r="AQ109" s="518"/>
      <c r="AR109" s="493" t="e">
        <f t="shared" si="76"/>
        <v>#N/A</v>
      </c>
      <c r="AS109" s="715"/>
      <c r="AT109" s="510"/>
      <c r="AU109" s="511"/>
      <c r="AV109" s="511"/>
      <c r="AW109" s="493" t="e">
        <f t="shared" si="77"/>
        <v>#N/A</v>
      </c>
      <c r="AX109" s="715"/>
    </row>
    <row r="110" spans="2:50">
      <c r="B110" s="701"/>
      <c r="C110" s="493">
        <v>4</v>
      </c>
      <c r="D110" s="227"/>
      <c r="E110" s="182"/>
      <c r="F110" s="510"/>
      <c r="G110" s="511"/>
      <c r="H110" s="736"/>
      <c r="I110" s="494" t="e">
        <f t="shared" si="70"/>
        <v>#DIV/0!</v>
      </c>
      <c r="J110" s="494" t="e">
        <f t="shared" si="70"/>
        <v>#DIV/0!</v>
      </c>
      <c r="K110" s="495" t="e">
        <f t="shared" si="70"/>
        <v>#DIV/0!</v>
      </c>
      <c r="L110" s="650"/>
      <c r="M110" s="494" t="e">
        <f>RANK(K110, K$67:$K$81)</f>
        <v>#DIV/0!</v>
      </c>
      <c r="N110" s="668"/>
      <c r="O110" s="668"/>
      <c r="P110" s="493"/>
      <c r="Q110" s="494"/>
      <c r="R110" s="494"/>
      <c r="S110" s="493" t="e">
        <f t="shared" si="71"/>
        <v>#N/A</v>
      </c>
      <c r="T110" s="715"/>
      <c r="U110" s="515"/>
      <c r="V110" s="518"/>
      <c r="W110" s="518"/>
      <c r="X110" s="493" t="e">
        <f t="shared" si="72"/>
        <v>#N/A</v>
      </c>
      <c r="Y110" s="715"/>
      <c r="Z110" s="515"/>
      <c r="AA110" s="518"/>
      <c r="AB110" s="518"/>
      <c r="AC110" s="493" t="e">
        <f t="shared" si="73"/>
        <v>#N/A</v>
      </c>
      <c r="AD110" s="715"/>
      <c r="AE110" s="515"/>
      <c r="AF110" s="518"/>
      <c r="AG110" s="518"/>
      <c r="AH110" s="493" t="e">
        <f t="shared" si="74"/>
        <v>#N/A</v>
      </c>
      <c r="AI110" s="715"/>
      <c r="AJ110" s="515"/>
      <c r="AK110" s="518"/>
      <c r="AL110" s="518"/>
      <c r="AM110" s="493" t="e">
        <f t="shared" si="75"/>
        <v>#N/A</v>
      </c>
      <c r="AN110" s="715"/>
      <c r="AO110" s="515"/>
      <c r="AP110" s="518"/>
      <c r="AQ110" s="518"/>
      <c r="AR110" s="493" t="e">
        <f t="shared" si="76"/>
        <v>#N/A</v>
      </c>
      <c r="AS110" s="715"/>
      <c r="AT110" s="510"/>
      <c r="AU110" s="511"/>
      <c r="AV110" s="511"/>
      <c r="AW110" s="493" t="e">
        <f t="shared" si="77"/>
        <v>#N/A</v>
      </c>
      <c r="AX110" s="715"/>
    </row>
    <row r="111" spans="2:50">
      <c r="B111" s="701"/>
      <c r="C111" s="493">
        <v>5</v>
      </c>
      <c r="D111" s="227"/>
      <c r="E111" s="182"/>
      <c r="F111" s="510"/>
      <c r="G111" s="511"/>
      <c r="H111" s="736"/>
      <c r="I111" s="494" t="e">
        <f t="shared" si="70"/>
        <v>#DIV/0!</v>
      </c>
      <c r="J111" s="494" t="e">
        <f t="shared" si="70"/>
        <v>#DIV/0!</v>
      </c>
      <c r="K111" s="495" t="e">
        <f t="shared" si="70"/>
        <v>#DIV/0!</v>
      </c>
      <c r="L111" s="650"/>
      <c r="M111" s="494" t="e">
        <f>RANK(K111, K$67:$K$81)</f>
        <v>#DIV/0!</v>
      </c>
      <c r="N111" s="668"/>
      <c r="O111" s="668"/>
      <c r="P111" s="493"/>
      <c r="Q111" s="494"/>
      <c r="R111" s="494"/>
      <c r="S111" s="493" t="e">
        <f t="shared" si="71"/>
        <v>#N/A</v>
      </c>
      <c r="T111" s="715"/>
      <c r="U111" s="515"/>
      <c r="V111" s="518"/>
      <c r="W111" s="518"/>
      <c r="X111" s="493" t="e">
        <f t="shared" si="72"/>
        <v>#N/A</v>
      </c>
      <c r="Y111" s="715"/>
      <c r="Z111" s="515"/>
      <c r="AA111" s="518"/>
      <c r="AB111" s="518"/>
      <c r="AC111" s="493" t="e">
        <f t="shared" si="73"/>
        <v>#N/A</v>
      </c>
      <c r="AD111" s="715"/>
      <c r="AE111" s="515"/>
      <c r="AF111" s="518"/>
      <c r="AG111" s="518"/>
      <c r="AH111" s="493" t="e">
        <f t="shared" si="74"/>
        <v>#N/A</v>
      </c>
      <c r="AI111" s="715"/>
      <c r="AJ111" s="515"/>
      <c r="AK111" s="518"/>
      <c r="AL111" s="518"/>
      <c r="AM111" s="493" t="e">
        <f t="shared" si="75"/>
        <v>#N/A</v>
      </c>
      <c r="AN111" s="715"/>
      <c r="AO111" s="515"/>
      <c r="AP111" s="518"/>
      <c r="AQ111" s="518"/>
      <c r="AR111" s="493" t="e">
        <f t="shared" si="76"/>
        <v>#N/A</v>
      </c>
      <c r="AS111" s="715"/>
      <c r="AT111" s="510"/>
      <c r="AU111" s="511"/>
      <c r="AV111" s="511"/>
      <c r="AW111" s="493" t="e">
        <f t="shared" si="77"/>
        <v>#N/A</v>
      </c>
      <c r="AX111" s="715"/>
    </row>
    <row r="112" spans="2:50">
      <c r="B112" s="701"/>
      <c r="C112" s="493">
        <v>6</v>
      </c>
      <c r="D112" s="227"/>
      <c r="E112" s="182"/>
      <c r="F112" s="510"/>
      <c r="G112" s="511"/>
      <c r="H112" s="736"/>
      <c r="I112" s="494"/>
      <c r="J112" s="494"/>
      <c r="K112" s="495"/>
      <c r="L112" s="650"/>
      <c r="M112" s="494" t="e">
        <f>RANK(K112, K$67:$K$81)</f>
        <v>#N/A</v>
      </c>
      <c r="N112" s="668"/>
      <c r="O112" s="668"/>
      <c r="P112" s="493"/>
      <c r="Q112" s="494"/>
      <c r="R112" s="494"/>
      <c r="S112" s="493" t="e">
        <f t="shared" si="71"/>
        <v>#N/A</v>
      </c>
      <c r="T112" s="715"/>
      <c r="U112" s="515"/>
      <c r="V112" s="518"/>
      <c r="W112" s="518"/>
      <c r="X112" s="493" t="e">
        <f t="shared" si="72"/>
        <v>#N/A</v>
      </c>
      <c r="Y112" s="715"/>
      <c r="Z112" s="515"/>
      <c r="AA112" s="518"/>
      <c r="AB112" s="518"/>
      <c r="AC112" s="493" t="e">
        <f t="shared" si="73"/>
        <v>#N/A</v>
      </c>
      <c r="AD112" s="715"/>
      <c r="AE112" s="515"/>
      <c r="AF112" s="518"/>
      <c r="AG112" s="518"/>
      <c r="AH112" s="493" t="e">
        <f t="shared" si="74"/>
        <v>#N/A</v>
      </c>
      <c r="AI112" s="715"/>
      <c r="AJ112" s="515"/>
      <c r="AK112" s="518"/>
      <c r="AL112" s="518"/>
      <c r="AM112" s="493" t="e">
        <f t="shared" si="75"/>
        <v>#N/A</v>
      </c>
      <c r="AN112" s="715"/>
      <c r="AO112" s="515"/>
      <c r="AP112" s="518"/>
      <c r="AQ112" s="518"/>
      <c r="AR112" s="493" t="e">
        <f t="shared" si="76"/>
        <v>#N/A</v>
      </c>
      <c r="AS112" s="715"/>
      <c r="AT112" s="510"/>
      <c r="AU112" s="511"/>
      <c r="AV112" s="511"/>
      <c r="AW112" s="493" t="e">
        <f t="shared" si="77"/>
        <v>#N/A</v>
      </c>
      <c r="AX112" s="715"/>
    </row>
    <row r="113" spans="2:50">
      <c r="B113" s="701"/>
      <c r="C113" s="493">
        <v>7</v>
      </c>
      <c r="D113" s="227"/>
      <c r="E113" s="182"/>
      <c r="F113" s="510"/>
      <c r="G113" s="511"/>
      <c r="H113" s="736"/>
      <c r="I113" s="494"/>
      <c r="J113" s="494"/>
      <c r="K113" s="495"/>
      <c r="L113" s="650"/>
      <c r="M113" s="494" t="e">
        <f>RANK(K113, K$67:$K$81)</f>
        <v>#N/A</v>
      </c>
      <c r="N113" s="668"/>
      <c r="O113" s="668"/>
      <c r="P113" s="493"/>
      <c r="Q113" s="494"/>
      <c r="R113" s="494"/>
      <c r="S113" s="493" t="e">
        <f t="shared" si="71"/>
        <v>#N/A</v>
      </c>
      <c r="T113" s="715"/>
      <c r="U113" s="515"/>
      <c r="V113" s="518"/>
      <c r="W113" s="518"/>
      <c r="X113" s="493" t="e">
        <f t="shared" si="72"/>
        <v>#N/A</v>
      </c>
      <c r="Y113" s="715"/>
      <c r="Z113" s="515"/>
      <c r="AA113" s="518"/>
      <c r="AB113" s="518"/>
      <c r="AC113" s="493" t="e">
        <f t="shared" si="73"/>
        <v>#N/A</v>
      </c>
      <c r="AD113" s="715"/>
      <c r="AE113" s="515"/>
      <c r="AF113" s="518"/>
      <c r="AG113" s="518"/>
      <c r="AH113" s="493" t="e">
        <f t="shared" si="74"/>
        <v>#N/A</v>
      </c>
      <c r="AI113" s="715"/>
      <c r="AJ113" s="515"/>
      <c r="AK113" s="518"/>
      <c r="AL113" s="518"/>
      <c r="AM113" s="493" t="e">
        <f t="shared" si="75"/>
        <v>#N/A</v>
      </c>
      <c r="AN113" s="715"/>
      <c r="AO113" s="515"/>
      <c r="AP113" s="518"/>
      <c r="AQ113" s="518"/>
      <c r="AR113" s="493" t="e">
        <f t="shared" si="76"/>
        <v>#N/A</v>
      </c>
      <c r="AS113" s="715"/>
      <c r="AT113" s="510"/>
      <c r="AU113" s="511"/>
      <c r="AV113" s="511"/>
      <c r="AW113" s="493" t="e">
        <f t="shared" si="77"/>
        <v>#N/A</v>
      </c>
      <c r="AX113" s="715"/>
    </row>
    <row r="114" spans="2:50">
      <c r="B114" s="701"/>
      <c r="C114" s="493">
        <v>8</v>
      </c>
      <c r="D114" s="227"/>
      <c r="E114" s="182"/>
      <c r="F114" s="510"/>
      <c r="G114" s="511"/>
      <c r="H114" s="736"/>
      <c r="I114" s="494"/>
      <c r="J114" s="494"/>
      <c r="K114" s="495"/>
      <c r="L114" s="650"/>
      <c r="M114" s="494" t="e">
        <f>RANK(K114, K$67:$K$81)</f>
        <v>#N/A</v>
      </c>
      <c r="N114" s="668"/>
      <c r="O114" s="668"/>
      <c r="P114" s="493"/>
      <c r="Q114" s="494"/>
      <c r="R114" s="494"/>
      <c r="S114" s="493" t="e">
        <f t="shared" si="71"/>
        <v>#N/A</v>
      </c>
      <c r="T114" s="715"/>
      <c r="U114" s="515"/>
      <c r="V114" s="518"/>
      <c r="W114" s="518"/>
      <c r="X114" s="493" t="e">
        <f t="shared" si="72"/>
        <v>#N/A</v>
      </c>
      <c r="Y114" s="715"/>
      <c r="Z114" s="515"/>
      <c r="AA114" s="518"/>
      <c r="AB114" s="518"/>
      <c r="AC114" s="493" t="e">
        <f t="shared" si="73"/>
        <v>#N/A</v>
      </c>
      <c r="AD114" s="715"/>
      <c r="AE114" s="515"/>
      <c r="AF114" s="518"/>
      <c r="AG114" s="518"/>
      <c r="AH114" s="493" t="e">
        <f t="shared" si="74"/>
        <v>#N/A</v>
      </c>
      <c r="AI114" s="715"/>
      <c r="AJ114" s="515"/>
      <c r="AK114" s="518"/>
      <c r="AL114" s="518"/>
      <c r="AM114" s="493" t="e">
        <f t="shared" si="75"/>
        <v>#N/A</v>
      </c>
      <c r="AN114" s="715"/>
      <c r="AO114" s="515"/>
      <c r="AP114" s="518"/>
      <c r="AQ114" s="518"/>
      <c r="AR114" s="493" t="e">
        <f t="shared" si="76"/>
        <v>#N/A</v>
      </c>
      <c r="AS114" s="715"/>
      <c r="AT114" s="510"/>
      <c r="AU114" s="511"/>
      <c r="AV114" s="511"/>
      <c r="AW114" s="493" t="e">
        <f t="shared" si="77"/>
        <v>#N/A</v>
      </c>
      <c r="AX114" s="715"/>
    </row>
    <row r="115" spans="2:50">
      <c r="B115" s="701"/>
      <c r="C115" s="493">
        <v>9</v>
      </c>
      <c r="D115" s="227"/>
      <c r="E115" s="182"/>
      <c r="F115" s="510"/>
      <c r="G115" s="511"/>
      <c r="H115" s="736"/>
      <c r="I115" s="494"/>
      <c r="J115" s="494"/>
      <c r="K115" s="495"/>
      <c r="L115" s="650"/>
      <c r="M115" s="494" t="e">
        <f>RANK(K115, K$67:$K$81)</f>
        <v>#N/A</v>
      </c>
      <c r="N115" s="668"/>
      <c r="O115" s="668"/>
      <c r="P115" s="493"/>
      <c r="Q115" s="494"/>
      <c r="R115" s="494"/>
      <c r="S115" s="493" t="e">
        <f t="shared" si="71"/>
        <v>#N/A</v>
      </c>
      <c r="T115" s="715"/>
      <c r="U115" s="515"/>
      <c r="V115" s="518"/>
      <c r="W115" s="518"/>
      <c r="X115" s="493" t="e">
        <f t="shared" si="72"/>
        <v>#N/A</v>
      </c>
      <c r="Y115" s="715"/>
      <c r="Z115" s="515"/>
      <c r="AA115" s="518"/>
      <c r="AB115" s="518"/>
      <c r="AC115" s="493" t="e">
        <f t="shared" si="73"/>
        <v>#N/A</v>
      </c>
      <c r="AD115" s="715"/>
      <c r="AE115" s="515"/>
      <c r="AF115" s="518"/>
      <c r="AG115" s="518"/>
      <c r="AH115" s="493" t="e">
        <f t="shared" si="74"/>
        <v>#N/A</v>
      </c>
      <c r="AI115" s="715"/>
      <c r="AJ115" s="515"/>
      <c r="AK115" s="518"/>
      <c r="AL115" s="518"/>
      <c r="AM115" s="493" t="e">
        <f t="shared" si="75"/>
        <v>#N/A</v>
      </c>
      <c r="AN115" s="715"/>
      <c r="AO115" s="515"/>
      <c r="AP115" s="518"/>
      <c r="AQ115" s="518"/>
      <c r="AR115" s="493" t="e">
        <f t="shared" si="76"/>
        <v>#N/A</v>
      </c>
      <c r="AS115" s="715"/>
      <c r="AT115" s="510"/>
      <c r="AU115" s="511"/>
      <c r="AV115" s="511"/>
      <c r="AW115" s="493" t="e">
        <f t="shared" si="77"/>
        <v>#N/A</v>
      </c>
      <c r="AX115" s="715"/>
    </row>
    <row r="116" spans="2:50">
      <c r="B116" s="701"/>
      <c r="C116" s="493">
        <v>10</v>
      </c>
      <c r="D116" s="227"/>
      <c r="E116" s="182"/>
      <c r="F116" s="510"/>
      <c r="G116" s="511"/>
      <c r="H116" s="736"/>
      <c r="I116" s="494"/>
      <c r="J116" s="494"/>
      <c r="K116" s="495"/>
      <c r="L116" s="650"/>
      <c r="M116" s="494" t="e">
        <f>RANK(K116, K$67:$K$81)</f>
        <v>#N/A</v>
      </c>
      <c r="N116" s="668"/>
      <c r="O116" s="668"/>
      <c r="P116" s="493"/>
      <c r="Q116" s="494"/>
      <c r="R116" s="494"/>
      <c r="S116" s="493" t="e">
        <f t="shared" si="71"/>
        <v>#N/A</v>
      </c>
      <c r="T116" s="715"/>
      <c r="U116" s="515"/>
      <c r="V116" s="518"/>
      <c r="W116" s="518"/>
      <c r="X116" s="493" t="e">
        <f t="shared" si="72"/>
        <v>#N/A</v>
      </c>
      <c r="Y116" s="715"/>
      <c r="Z116" s="515"/>
      <c r="AA116" s="518"/>
      <c r="AB116" s="518"/>
      <c r="AC116" s="493" t="e">
        <f t="shared" si="73"/>
        <v>#N/A</v>
      </c>
      <c r="AD116" s="715"/>
      <c r="AE116" s="515"/>
      <c r="AF116" s="518"/>
      <c r="AG116" s="518"/>
      <c r="AH116" s="493" t="e">
        <f t="shared" si="74"/>
        <v>#N/A</v>
      </c>
      <c r="AI116" s="715"/>
      <c r="AJ116" s="515"/>
      <c r="AK116" s="518"/>
      <c r="AL116" s="518"/>
      <c r="AM116" s="493" t="e">
        <f t="shared" si="75"/>
        <v>#N/A</v>
      </c>
      <c r="AN116" s="715"/>
      <c r="AO116" s="515"/>
      <c r="AP116" s="518"/>
      <c r="AQ116" s="518"/>
      <c r="AR116" s="493" t="e">
        <f t="shared" si="76"/>
        <v>#N/A</v>
      </c>
      <c r="AS116" s="715"/>
      <c r="AT116" s="510"/>
      <c r="AU116" s="510"/>
      <c r="AV116" s="511"/>
      <c r="AW116" s="493" t="e">
        <f t="shared" si="77"/>
        <v>#N/A</v>
      </c>
      <c r="AX116" s="715"/>
    </row>
    <row r="117" spans="2:50">
      <c r="B117" s="701"/>
      <c r="C117" s="493">
        <v>11</v>
      </c>
      <c r="D117" s="227"/>
      <c r="E117" s="182"/>
      <c r="F117" s="510"/>
      <c r="G117" s="511"/>
      <c r="H117" s="736"/>
      <c r="I117" s="493"/>
      <c r="J117" s="493"/>
      <c r="K117" s="493"/>
      <c r="L117" s="650"/>
      <c r="M117" s="494" t="e">
        <f>RANK(K117, K$67:$K$81)</f>
        <v>#N/A</v>
      </c>
      <c r="N117" s="668"/>
      <c r="O117" s="668"/>
      <c r="P117" s="493"/>
      <c r="Q117" s="494"/>
      <c r="R117" s="494"/>
      <c r="S117" s="493" t="e">
        <f t="shared" si="71"/>
        <v>#N/A</v>
      </c>
      <c r="T117" s="715"/>
      <c r="U117" s="515"/>
      <c r="V117" s="518"/>
      <c r="W117" s="518"/>
      <c r="X117" s="493" t="e">
        <f t="shared" si="72"/>
        <v>#N/A</v>
      </c>
      <c r="Y117" s="715"/>
      <c r="Z117" s="515"/>
      <c r="AA117" s="518"/>
      <c r="AB117" s="518"/>
      <c r="AC117" s="493" t="e">
        <f t="shared" si="73"/>
        <v>#N/A</v>
      </c>
      <c r="AD117" s="715"/>
      <c r="AE117" s="515"/>
      <c r="AF117" s="518"/>
      <c r="AG117" s="518"/>
      <c r="AH117" s="493" t="e">
        <f t="shared" si="74"/>
        <v>#N/A</v>
      </c>
      <c r="AI117" s="715"/>
      <c r="AJ117" s="515"/>
      <c r="AK117" s="518"/>
      <c r="AL117" s="518"/>
      <c r="AM117" s="493" t="e">
        <f t="shared" si="75"/>
        <v>#N/A</v>
      </c>
      <c r="AN117" s="715"/>
      <c r="AO117" s="515"/>
      <c r="AP117" s="518"/>
      <c r="AQ117" s="518"/>
      <c r="AR117" s="493" t="e">
        <f t="shared" si="76"/>
        <v>#N/A</v>
      </c>
      <c r="AS117" s="715"/>
      <c r="AT117" s="510"/>
      <c r="AU117" s="510"/>
      <c r="AV117" s="510"/>
      <c r="AW117" s="493" t="e">
        <f t="shared" si="77"/>
        <v>#N/A</v>
      </c>
      <c r="AX117" s="715"/>
    </row>
    <row r="118" spans="2:50">
      <c r="B118" s="701"/>
      <c r="C118" s="493">
        <v>12</v>
      </c>
      <c r="D118" s="227"/>
      <c r="E118" s="182"/>
      <c r="F118" s="510"/>
      <c r="G118" s="511"/>
      <c r="H118" s="736"/>
      <c r="I118" s="493"/>
      <c r="J118" s="493"/>
      <c r="K118" s="493"/>
      <c r="L118" s="650"/>
      <c r="M118" s="494" t="e">
        <f>RANK(K118, K$67:$K$81)</f>
        <v>#N/A</v>
      </c>
      <c r="N118" s="668"/>
      <c r="O118" s="668"/>
      <c r="P118" s="493"/>
      <c r="Q118" s="494"/>
      <c r="R118" s="494"/>
      <c r="S118" s="493" t="e">
        <f t="shared" si="71"/>
        <v>#N/A</v>
      </c>
      <c r="T118" s="715"/>
      <c r="U118" s="515"/>
      <c r="V118" s="518"/>
      <c r="W118" s="518"/>
      <c r="X118" s="493" t="e">
        <f t="shared" si="72"/>
        <v>#N/A</v>
      </c>
      <c r="Y118" s="715"/>
      <c r="Z118" s="515"/>
      <c r="AA118" s="518"/>
      <c r="AB118" s="518"/>
      <c r="AC118" s="493" t="e">
        <f t="shared" si="73"/>
        <v>#N/A</v>
      </c>
      <c r="AD118" s="715"/>
      <c r="AE118" s="515"/>
      <c r="AF118" s="518"/>
      <c r="AG118" s="518"/>
      <c r="AH118" s="493" t="e">
        <f t="shared" si="74"/>
        <v>#N/A</v>
      </c>
      <c r="AI118" s="715"/>
      <c r="AJ118" s="515"/>
      <c r="AK118" s="518"/>
      <c r="AL118" s="518"/>
      <c r="AM118" s="493" t="e">
        <f t="shared" si="75"/>
        <v>#N/A</v>
      </c>
      <c r="AN118" s="715"/>
      <c r="AO118" s="515"/>
      <c r="AP118" s="518"/>
      <c r="AQ118" s="518"/>
      <c r="AR118" s="493" t="e">
        <f t="shared" si="76"/>
        <v>#N/A</v>
      </c>
      <c r="AS118" s="715"/>
      <c r="AT118" s="510"/>
      <c r="AU118" s="510"/>
      <c r="AV118" s="510"/>
      <c r="AW118" s="493" t="e">
        <f t="shared" si="77"/>
        <v>#N/A</v>
      </c>
      <c r="AX118" s="715"/>
    </row>
    <row r="119" spans="2:50">
      <c r="B119" s="701"/>
      <c r="C119" s="493">
        <v>13</v>
      </c>
      <c r="D119" s="227"/>
      <c r="E119" s="182"/>
      <c r="F119" s="510"/>
      <c r="G119" s="511"/>
      <c r="H119" s="736"/>
      <c r="I119" s="493"/>
      <c r="J119" s="493"/>
      <c r="K119" s="493"/>
      <c r="L119" s="650"/>
      <c r="M119" s="494" t="e">
        <f>RANK(K119, K$67:$K$81)</f>
        <v>#N/A</v>
      </c>
      <c r="N119" s="668"/>
      <c r="O119" s="668"/>
      <c r="P119" s="493"/>
      <c r="Q119" s="494"/>
      <c r="R119" s="494"/>
      <c r="S119" s="493" t="e">
        <f t="shared" si="71"/>
        <v>#N/A</v>
      </c>
      <c r="T119" s="715"/>
      <c r="U119" s="515"/>
      <c r="V119" s="518"/>
      <c r="W119" s="518"/>
      <c r="X119" s="493" t="e">
        <f t="shared" si="72"/>
        <v>#N/A</v>
      </c>
      <c r="Y119" s="715"/>
      <c r="Z119" s="515"/>
      <c r="AA119" s="518"/>
      <c r="AB119" s="518"/>
      <c r="AC119" s="493" t="e">
        <f t="shared" si="73"/>
        <v>#N/A</v>
      </c>
      <c r="AD119" s="715"/>
      <c r="AE119" s="515"/>
      <c r="AF119" s="518"/>
      <c r="AG119" s="518"/>
      <c r="AH119" s="493" t="e">
        <f t="shared" si="74"/>
        <v>#N/A</v>
      </c>
      <c r="AI119" s="715"/>
      <c r="AJ119" s="515"/>
      <c r="AK119" s="518"/>
      <c r="AL119" s="518"/>
      <c r="AM119" s="493" t="e">
        <f t="shared" si="75"/>
        <v>#N/A</v>
      </c>
      <c r="AN119" s="715"/>
      <c r="AO119" s="515"/>
      <c r="AP119" s="518"/>
      <c r="AQ119" s="518"/>
      <c r="AR119" s="493" t="e">
        <f t="shared" si="76"/>
        <v>#N/A</v>
      </c>
      <c r="AS119" s="715"/>
      <c r="AT119" s="510"/>
      <c r="AU119" s="510"/>
      <c r="AV119" s="510"/>
      <c r="AW119" s="493" t="e">
        <f t="shared" si="77"/>
        <v>#N/A</v>
      </c>
      <c r="AX119" s="715"/>
    </row>
    <row r="120" spans="2:50">
      <c r="B120" s="701"/>
      <c r="C120" s="493">
        <v>14</v>
      </c>
      <c r="D120" s="227"/>
      <c r="E120" s="182"/>
      <c r="F120" s="510"/>
      <c r="G120" s="511"/>
      <c r="H120" s="736"/>
      <c r="I120" s="493"/>
      <c r="J120" s="493"/>
      <c r="K120" s="493"/>
      <c r="L120" s="650"/>
      <c r="M120" s="494" t="e">
        <f>RANK(K120, K$67:$K$81)</f>
        <v>#N/A</v>
      </c>
      <c r="N120" s="668"/>
      <c r="O120" s="668"/>
      <c r="P120" s="493"/>
      <c r="Q120" s="494"/>
      <c r="R120" s="494"/>
      <c r="S120" s="493" t="e">
        <f t="shared" si="71"/>
        <v>#N/A</v>
      </c>
      <c r="T120" s="715"/>
      <c r="U120" s="515"/>
      <c r="V120" s="518"/>
      <c r="W120" s="518"/>
      <c r="X120" s="493" t="e">
        <f t="shared" si="72"/>
        <v>#N/A</v>
      </c>
      <c r="Y120" s="715"/>
      <c r="Z120" s="515"/>
      <c r="AA120" s="518"/>
      <c r="AB120" s="518"/>
      <c r="AC120" s="493" t="e">
        <f t="shared" si="73"/>
        <v>#N/A</v>
      </c>
      <c r="AD120" s="715"/>
      <c r="AE120" s="515"/>
      <c r="AF120" s="518"/>
      <c r="AG120" s="518"/>
      <c r="AH120" s="493" t="e">
        <f t="shared" si="74"/>
        <v>#N/A</v>
      </c>
      <c r="AI120" s="715"/>
      <c r="AJ120" s="515"/>
      <c r="AK120" s="518"/>
      <c r="AL120" s="518"/>
      <c r="AM120" s="493" t="e">
        <f t="shared" si="75"/>
        <v>#N/A</v>
      </c>
      <c r="AN120" s="715"/>
      <c r="AO120" s="515"/>
      <c r="AP120" s="518"/>
      <c r="AQ120" s="518"/>
      <c r="AR120" s="493" t="e">
        <f t="shared" si="76"/>
        <v>#N/A</v>
      </c>
      <c r="AS120" s="715"/>
      <c r="AT120" s="510"/>
      <c r="AU120" s="510"/>
      <c r="AV120" s="510"/>
      <c r="AW120" s="493" t="e">
        <f t="shared" si="77"/>
        <v>#N/A</v>
      </c>
      <c r="AX120" s="715"/>
    </row>
    <row r="121" spans="2:50">
      <c r="B121" s="701"/>
      <c r="C121" s="493">
        <v>15</v>
      </c>
      <c r="D121" s="227"/>
      <c r="E121" s="182"/>
      <c r="F121" s="510"/>
      <c r="G121" s="511"/>
      <c r="H121" s="737"/>
      <c r="I121" s="493"/>
      <c r="J121" s="493"/>
      <c r="K121" s="493"/>
      <c r="L121" s="651"/>
      <c r="M121" s="494" t="e">
        <f>RANK(K121, K$47:$K$61)</f>
        <v>#N/A</v>
      </c>
      <c r="N121" s="668"/>
      <c r="O121" s="668"/>
      <c r="P121" s="493"/>
      <c r="Q121" s="494"/>
      <c r="R121" s="494"/>
      <c r="S121" s="493" t="e">
        <f t="shared" si="71"/>
        <v>#N/A</v>
      </c>
      <c r="T121" s="715"/>
      <c r="U121" s="515"/>
      <c r="V121" s="518"/>
      <c r="W121" s="518"/>
      <c r="X121" s="493" t="e">
        <f t="shared" si="72"/>
        <v>#N/A</v>
      </c>
      <c r="Y121" s="715"/>
      <c r="Z121" s="515"/>
      <c r="AA121" s="518"/>
      <c r="AB121" s="518"/>
      <c r="AC121" s="493" t="e">
        <f t="shared" si="73"/>
        <v>#N/A</v>
      </c>
      <c r="AD121" s="715"/>
      <c r="AE121" s="515"/>
      <c r="AF121" s="518"/>
      <c r="AG121" s="518"/>
      <c r="AH121" s="493" t="e">
        <f t="shared" si="74"/>
        <v>#N/A</v>
      </c>
      <c r="AI121" s="715"/>
      <c r="AJ121" s="515"/>
      <c r="AK121" s="518"/>
      <c r="AL121" s="518"/>
      <c r="AM121" s="493" t="e">
        <f t="shared" si="75"/>
        <v>#N/A</v>
      </c>
      <c r="AN121" s="715"/>
      <c r="AO121" s="515"/>
      <c r="AP121" s="518"/>
      <c r="AQ121" s="518"/>
      <c r="AR121" s="493" t="e">
        <f t="shared" si="76"/>
        <v>#N/A</v>
      </c>
      <c r="AS121" s="715"/>
      <c r="AT121" s="510"/>
      <c r="AU121" s="510"/>
      <c r="AV121" s="510"/>
      <c r="AW121" s="493" t="e">
        <f t="shared" si="77"/>
        <v>#N/A</v>
      </c>
      <c r="AX121" s="715"/>
    </row>
    <row r="123" spans="2:50" ht="15.75">
      <c r="B123" s="707" t="s">
        <v>660</v>
      </c>
      <c r="C123" s="708"/>
      <c r="D123" s="708"/>
      <c r="E123" s="708"/>
      <c r="F123" s="708"/>
      <c r="G123" s="708"/>
      <c r="H123" s="709"/>
      <c r="I123" s="347"/>
      <c r="J123" s="347"/>
      <c r="K123" s="347"/>
      <c r="L123" s="347"/>
      <c r="M123" s="348"/>
    </row>
    <row r="124" spans="2:50" ht="15.75">
      <c r="B124" s="710"/>
      <c r="C124" s="710"/>
      <c r="D124" s="710"/>
      <c r="E124" s="710"/>
      <c r="F124" s="710"/>
      <c r="G124" s="710"/>
      <c r="H124" s="710"/>
      <c r="I124" s="349"/>
      <c r="J124" s="349"/>
      <c r="K124" s="349"/>
      <c r="L124" s="349"/>
      <c r="M124" s="350"/>
    </row>
    <row r="125" spans="2:50">
      <c r="B125" s="668" t="s">
        <v>661</v>
      </c>
      <c r="C125" s="668" t="s">
        <v>662</v>
      </c>
      <c r="D125" s="668"/>
      <c r="E125" s="668" t="s">
        <v>663</v>
      </c>
      <c r="F125" s="668"/>
      <c r="G125" s="668"/>
      <c r="H125" s="684" t="s">
        <v>664</v>
      </c>
      <c r="I125" s="711" t="s">
        <v>665</v>
      </c>
      <c r="J125" s="711"/>
      <c r="K125" s="711"/>
      <c r="L125" s="727" t="s">
        <v>664</v>
      </c>
      <c r="M125" s="730" t="s">
        <v>666</v>
      </c>
    </row>
    <row r="126" spans="2:50">
      <c r="B126" s="668"/>
      <c r="C126" s="668"/>
      <c r="D126" s="668"/>
      <c r="E126" s="668" t="s">
        <v>667</v>
      </c>
      <c r="F126" s="668"/>
      <c r="G126" s="668"/>
      <c r="H126" s="685"/>
      <c r="I126" s="711" t="s">
        <v>667</v>
      </c>
      <c r="J126" s="711"/>
      <c r="K126" s="711"/>
      <c r="L126" s="728"/>
      <c r="M126" s="731"/>
    </row>
    <row r="127" spans="2:50">
      <c r="B127" s="668"/>
      <c r="C127" s="668"/>
      <c r="D127" s="668"/>
      <c r="E127" s="344" t="s">
        <v>668</v>
      </c>
      <c r="F127" s="344" t="s">
        <v>669</v>
      </c>
      <c r="G127" s="344" t="s">
        <v>670</v>
      </c>
      <c r="H127" s="686"/>
      <c r="I127" s="351" t="s">
        <v>668</v>
      </c>
      <c r="J127" s="351" t="s">
        <v>669</v>
      </c>
      <c r="K127" s="351" t="s">
        <v>670</v>
      </c>
      <c r="L127" s="729"/>
      <c r="M127" s="732"/>
    </row>
    <row r="128" spans="2:50">
      <c r="B128" s="668" t="s">
        <v>677</v>
      </c>
      <c r="C128" s="343">
        <v>1</v>
      </c>
      <c r="D128" s="227"/>
      <c r="E128" s="182"/>
      <c r="F128" s="343"/>
      <c r="G128" s="346"/>
      <c r="H128" s="717" t="e">
        <f>AVERAGE(G128:G142)</f>
        <v>#DIV/0!</v>
      </c>
      <c r="I128" s="199" t="e">
        <f t="shared" ref="I128:J132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24" t="e">
        <f>AVERAGE(K128:K142)</f>
        <v>#DIV/0!</v>
      </c>
      <c r="M128" s="199" t="e">
        <f>RANK(K128, K$128:$K$142)</f>
        <v>#DIV/0!</v>
      </c>
    </row>
    <row r="129" spans="2:13" s="108" customFormat="1">
      <c r="B129" s="676"/>
      <c r="C129" s="343">
        <v>2</v>
      </c>
      <c r="D129" s="227"/>
      <c r="E129" s="182"/>
      <c r="F129" s="343"/>
      <c r="G129" s="346"/>
      <c r="H129" s="718"/>
      <c r="I129" s="199" t="e">
        <f t="shared" si="78"/>
        <v>#DIV/0!</v>
      </c>
      <c r="J129" s="199" t="e">
        <f t="shared" si="78"/>
        <v>#DIV/0!</v>
      </c>
      <c r="K129" s="199" t="e">
        <f>AVERAGEIF($D$7:$D$121,$D129,K$7:K$121)</f>
        <v>#DIV/0!</v>
      </c>
      <c r="L129" s="725"/>
      <c r="M129" s="199" t="e">
        <f>RANK(K129, K$128:$K$142)</f>
        <v>#DIV/0!</v>
      </c>
    </row>
    <row r="130" spans="2:13" s="108" customFormat="1">
      <c r="B130" s="676"/>
      <c r="C130" s="343">
        <v>3</v>
      </c>
      <c r="D130" s="227"/>
      <c r="E130" s="182"/>
      <c r="F130" s="343"/>
      <c r="G130" s="346"/>
      <c r="H130" s="718"/>
      <c r="I130" s="199" t="e">
        <f t="shared" si="78"/>
        <v>#DIV/0!</v>
      </c>
      <c r="J130" s="199" t="e">
        <f t="shared" si="78"/>
        <v>#DIV/0!</v>
      </c>
      <c r="K130" s="199" t="e">
        <f>AVERAGEIF($D$7:$D$121,$D130,K$7:K$121)</f>
        <v>#DIV/0!</v>
      </c>
      <c r="L130" s="725"/>
      <c r="M130" s="199" t="e">
        <f>RANK(K130, K$128:$K$142)</f>
        <v>#DIV/0!</v>
      </c>
    </row>
    <row r="131" spans="2:13" s="108" customFormat="1">
      <c r="B131" s="676"/>
      <c r="C131" s="343">
        <v>4</v>
      </c>
      <c r="D131" s="227"/>
      <c r="E131" s="182"/>
      <c r="F131" s="343"/>
      <c r="G131" s="346"/>
      <c r="H131" s="718"/>
      <c r="I131" s="199" t="e">
        <f t="shared" si="78"/>
        <v>#DIV/0!</v>
      </c>
      <c r="J131" s="199" t="e">
        <f t="shared" si="78"/>
        <v>#DIV/0!</v>
      </c>
      <c r="K131" s="199" t="e">
        <f>AVERAGEIF($D$7:$D$121,$D131,K$7:K$121)</f>
        <v>#DIV/0!</v>
      </c>
      <c r="L131" s="725"/>
      <c r="M131" s="199" t="e">
        <f>RANK(K131, K$128:$K$142)</f>
        <v>#DIV/0!</v>
      </c>
    </row>
    <row r="132" spans="2:13" s="108" customFormat="1">
      <c r="B132" s="676"/>
      <c r="C132" s="343">
        <v>5</v>
      </c>
      <c r="D132" s="227"/>
      <c r="E132" s="182"/>
      <c r="F132" s="343"/>
      <c r="G132" s="346"/>
      <c r="H132" s="718"/>
      <c r="I132" s="199" t="e">
        <f t="shared" si="78"/>
        <v>#DIV/0!</v>
      </c>
      <c r="J132" s="199" t="e">
        <f t="shared" si="78"/>
        <v>#DIV/0!</v>
      </c>
      <c r="K132" s="199" t="e">
        <f>AVERAGEIF($D$7:$D$121,$D132,K$7:K$121)</f>
        <v>#DIV/0!</v>
      </c>
      <c r="L132" s="725"/>
      <c r="M132" s="199" t="e">
        <f>RANK(K132, K$128:$K$142)</f>
        <v>#DIV/0!</v>
      </c>
    </row>
    <row r="133" spans="2:13" s="108" customFormat="1">
      <c r="B133" s="676"/>
      <c r="C133" s="343">
        <v>6</v>
      </c>
      <c r="D133" s="352"/>
      <c r="E133" s="182"/>
      <c r="F133" s="343"/>
      <c r="G133" s="346"/>
      <c r="H133" s="718"/>
      <c r="I133" s="199"/>
      <c r="J133" s="199"/>
      <c r="K133" s="199"/>
      <c r="L133" s="725"/>
      <c r="M133" s="199" t="e">
        <f>RANK(K133, K$128:$K$142)</f>
        <v>#DIV/0!</v>
      </c>
    </row>
    <row r="134" spans="2:13" s="108" customFormat="1">
      <c r="B134" s="676"/>
      <c r="C134" s="343">
        <v>7</v>
      </c>
      <c r="D134" s="227"/>
      <c r="E134" s="182"/>
      <c r="F134" s="343"/>
      <c r="G134" s="346"/>
      <c r="H134" s="718"/>
      <c r="I134" s="199"/>
      <c r="J134" s="199"/>
      <c r="K134" s="199"/>
      <c r="L134" s="725"/>
      <c r="M134" s="199" t="e">
        <f>RANK(K134, K$128:$K$142)</f>
        <v>#DIV/0!</v>
      </c>
    </row>
    <row r="135" spans="2:13" s="108" customFormat="1">
      <c r="B135" s="676"/>
      <c r="C135" s="343">
        <v>8</v>
      </c>
      <c r="D135" s="227"/>
      <c r="E135" s="182"/>
      <c r="F135" s="343"/>
      <c r="G135" s="346"/>
      <c r="H135" s="718"/>
      <c r="I135" s="199"/>
      <c r="J135" s="199"/>
      <c r="K135" s="199"/>
      <c r="L135" s="725"/>
      <c r="M135" s="199" t="e">
        <f>RANK(K135, K$128:$K$142)</f>
        <v>#DIV/0!</v>
      </c>
    </row>
    <row r="136" spans="2:13" s="108" customFormat="1">
      <c r="B136" s="676"/>
      <c r="C136" s="343">
        <v>9</v>
      </c>
      <c r="D136" s="227"/>
      <c r="E136" s="343"/>
      <c r="F136" s="343"/>
      <c r="G136" s="343"/>
      <c r="H136" s="718"/>
      <c r="I136" s="199"/>
      <c r="J136" s="199"/>
      <c r="K136" s="199"/>
      <c r="L136" s="725"/>
      <c r="M136" s="199" t="e">
        <f>RANK(K136, K$128:$K$142)</f>
        <v>#DIV/0!</v>
      </c>
    </row>
    <row r="137" spans="2:13" s="108" customFormat="1">
      <c r="B137" s="676"/>
      <c r="C137" s="343">
        <v>10</v>
      </c>
      <c r="D137" s="227"/>
      <c r="E137" s="343"/>
      <c r="F137" s="343"/>
      <c r="G137" s="343"/>
      <c r="H137" s="718"/>
      <c r="I137" s="199"/>
      <c r="J137" s="199"/>
      <c r="K137" s="199"/>
      <c r="L137" s="725"/>
      <c r="M137" s="199" t="e">
        <f>RANK(K137, K$128:$K$142)</f>
        <v>#DIV/0!</v>
      </c>
    </row>
    <row r="138" spans="2:13" s="108" customFormat="1">
      <c r="B138" s="676"/>
      <c r="C138" s="343">
        <v>11</v>
      </c>
      <c r="D138" s="227"/>
      <c r="E138" s="343"/>
      <c r="F138" s="343"/>
      <c r="G138" s="343"/>
      <c r="H138" s="718"/>
      <c r="I138" s="199"/>
      <c r="J138" s="199"/>
      <c r="K138" s="199"/>
      <c r="L138" s="725"/>
      <c r="M138" s="199" t="e">
        <f>RANK(K138, K$128:$K$142)</f>
        <v>#DIV/0!</v>
      </c>
    </row>
    <row r="139" spans="2:13" s="108" customFormat="1">
      <c r="B139" s="676"/>
      <c r="C139" s="343">
        <v>12</v>
      </c>
      <c r="D139" s="227"/>
      <c r="E139" s="343"/>
      <c r="F139" s="343"/>
      <c r="G139" s="343"/>
      <c r="H139" s="718"/>
      <c r="I139" s="199"/>
      <c r="J139" s="199"/>
      <c r="K139" s="199"/>
      <c r="L139" s="725"/>
      <c r="M139" s="199" t="e">
        <f>RANK(K139, K$128:$K$142)</f>
        <v>#DIV/0!</v>
      </c>
    </row>
    <row r="140" spans="2:13" s="108" customFormat="1">
      <c r="B140" s="676"/>
      <c r="C140" s="343">
        <v>13</v>
      </c>
      <c r="D140" s="227"/>
      <c r="E140" s="343"/>
      <c r="F140" s="343"/>
      <c r="G140" s="343"/>
      <c r="H140" s="718"/>
      <c r="I140" s="199"/>
      <c r="J140" s="199"/>
      <c r="K140" s="199"/>
      <c r="L140" s="725"/>
      <c r="M140" s="199" t="e">
        <f>RANK(K140, K$128:$K$142)</f>
        <v>#DIV/0!</v>
      </c>
    </row>
    <row r="141" spans="2:13" s="108" customFormat="1">
      <c r="B141" s="676"/>
      <c r="C141" s="343">
        <v>14</v>
      </c>
      <c r="D141" s="227"/>
      <c r="E141" s="343"/>
      <c r="F141" s="343"/>
      <c r="G141" s="343"/>
      <c r="H141" s="718"/>
      <c r="I141" s="199"/>
      <c r="J141" s="199"/>
      <c r="K141" s="199"/>
      <c r="L141" s="725"/>
      <c r="M141" s="199" t="e">
        <f>RANK(K141, K$128:$K$142)</f>
        <v>#DIV/0!</v>
      </c>
    </row>
    <row r="142" spans="2:13" s="108" customFormat="1">
      <c r="B142" s="676"/>
      <c r="C142" s="343">
        <v>15</v>
      </c>
      <c r="D142" s="227"/>
      <c r="E142" s="343"/>
      <c r="F142" s="343"/>
      <c r="G142" s="343"/>
      <c r="H142" s="719"/>
      <c r="I142" s="199"/>
      <c r="J142" s="199"/>
      <c r="K142" s="199"/>
      <c r="L142" s="726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55" zoomScaleNormal="55" workbookViewId="0">
      <pane xSplit="15" topLeftCell="Z1" activePane="topRight" state="frozen"/>
      <selection activeCell="P2" sqref="P2:AX2"/>
      <selection pane="topRight" activeCell="AT67" sqref="AT67:AV7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176.53250812732313</v>
      </c>
    </row>
    <row r="2" spans="1:54" ht="15.75">
      <c r="A2" s="81"/>
      <c r="B2" s="680" t="s">
        <v>163</v>
      </c>
      <c r="C2" s="680"/>
      <c r="D2" s="680"/>
      <c r="E2" s="680"/>
      <c r="F2" s="680"/>
      <c r="G2" s="680"/>
      <c r="H2" s="680"/>
      <c r="I2" s="310"/>
      <c r="J2" s="310"/>
      <c r="K2" s="310"/>
      <c r="L2" s="310"/>
      <c r="M2" s="197"/>
      <c r="N2" s="669" t="s">
        <v>156</v>
      </c>
      <c r="O2" s="669" t="s">
        <v>155</v>
      </c>
      <c r="P2" s="696">
        <v>46084</v>
      </c>
      <c r="Q2" s="697"/>
      <c r="R2" s="697"/>
      <c r="S2" s="697"/>
      <c r="T2" s="698"/>
      <c r="U2" s="675">
        <f>P2+1</f>
        <v>46085</v>
      </c>
      <c r="V2" s="676"/>
      <c r="W2" s="676"/>
      <c r="X2" s="676"/>
      <c r="Y2" s="676"/>
      <c r="Z2" s="675">
        <f>U2+1</f>
        <v>46086</v>
      </c>
      <c r="AA2" s="676"/>
      <c r="AB2" s="676"/>
      <c r="AC2" s="676"/>
      <c r="AD2" s="676"/>
      <c r="AE2" s="675">
        <f>Z2+1</f>
        <v>46087</v>
      </c>
      <c r="AF2" s="676"/>
      <c r="AG2" s="676"/>
      <c r="AH2" s="676"/>
      <c r="AI2" s="676"/>
      <c r="AJ2" s="675">
        <f>AE2+1</f>
        <v>46088</v>
      </c>
      <c r="AK2" s="676"/>
      <c r="AL2" s="676"/>
      <c r="AM2" s="676"/>
      <c r="AN2" s="676"/>
      <c r="AO2" s="675">
        <f>AJ2+1</f>
        <v>46089</v>
      </c>
      <c r="AP2" s="676"/>
      <c r="AQ2" s="676"/>
      <c r="AR2" s="676"/>
      <c r="AS2" s="676"/>
      <c r="AT2" s="672">
        <f>AO2+1</f>
        <v>46090</v>
      </c>
      <c r="AU2" s="673"/>
      <c r="AV2" s="673"/>
      <c r="AW2" s="673"/>
      <c r="AX2" s="674"/>
    </row>
    <row r="3" spans="1:54" ht="15.75">
      <c r="A3" s="81"/>
      <c r="B3" s="699"/>
      <c r="C3" s="699"/>
      <c r="D3" s="699"/>
      <c r="E3" s="699"/>
      <c r="F3" s="699"/>
      <c r="G3" s="699"/>
      <c r="H3" s="699"/>
      <c r="I3" s="311"/>
      <c r="J3" s="311"/>
      <c r="K3" s="311"/>
      <c r="L3" s="311"/>
      <c r="M3" s="198"/>
      <c r="N3" s="671"/>
      <c r="O3" s="671"/>
      <c r="P3" s="672" t="s">
        <v>158</v>
      </c>
      <c r="Q3" s="673"/>
      <c r="R3" s="673"/>
      <c r="S3" s="673"/>
      <c r="T3" s="674"/>
      <c r="U3" s="672" t="s">
        <v>114</v>
      </c>
      <c r="V3" s="673"/>
      <c r="W3" s="673"/>
      <c r="X3" s="673"/>
      <c r="Y3" s="674"/>
      <c r="Z3" s="672" t="s">
        <v>159</v>
      </c>
      <c r="AA3" s="673"/>
      <c r="AB3" s="673"/>
      <c r="AC3" s="673"/>
      <c r="AD3" s="674"/>
      <c r="AE3" s="672" t="s">
        <v>157</v>
      </c>
      <c r="AF3" s="673"/>
      <c r="AG3" s="673"/>
      <c r="AH3" s="673"/>
      <c r="AI3" s="674"/>
      <c r="AJ3" s="672" t="s">
        <v>160</v>
      </c>
      <c r="AK3" s="673"/>
      <c r="AL3" s="673"/>
      <c r="AM3" s="673"/>
      <c r="AN3" s="674"/>
      <c r="AO3" s="672" t="s">
        <v>161</v>
      </c>
      <c r="AP3" s="673"/>
      <c r="AQ3" s="673"/>
      <c r="AR3" s="673"/>
      <c r="AS3" s="674"/>
      <c r="AT3" s="672" t="s">
        <v>162</v>
      </c>
      <c r="AU3" s="673"/>
      <c r="AV3" s="673"/>
      <c r="AW3" s="673"/>
      <c r="AX3" s="674"/>
    </row>
    <row r="4" spans="1:54" ht="14.25">
      <c r="A4" s="81"/>
      <c r="B4" s="668" t="s">
        <v>822</v>
      </c>
      <c r="C4" s="668" t="s">
        <v>823</v>
      </c>
      <c r="D4" s="668"/>
      <c r="E4" s="668" t="s">
        <v>824</v>
      </c>
      <c r="F4" s="668"/>
      <c r="G4" s="668"/>
      <c r="H4" s="684" t="s">
        <v>825</v>
      </c>
      <c r="I4" s="668" t="s">
        <v>826</v>
      </c>
      <c r="J4" s="668"/>
      <c r="K4" s="668"/>
      <c r="L4" s="684" t="s">
        <v>825</v>
      </c>
      <c r="M4" s="669" t="s">
        <v>827</v>
      </c>
      <c r="N4" s="668"/>
      <c r="O4" s="668" t="s">
        <v>465</v>
      </c>
      <c r="P4" s="665" t="s">
        <v>418</v>
      </c>
      <c r="Q4" s="666"/>
      <c r="R4" s="666"/>
      <c r="S4" s="667"/>
      <c r="T4" s="668" t="s">
        <v>416</v>
      </c>
      <c r="U4" s="665" t="s">
        <v>418</v>
      </c>
      <c r="V4" s="666"/>
      <c r="W4" s="666"/>
      <c r="X4" s="667"/>
      <c r="Y4" s="668" t="s">
        <v>416</v>
      </c>
      <c r="Z4" s="665" t="s">
        <v>418</v>
      </c>
      <c r="AA4" s="666"/>
      <c r="AB4" s="666"/>
      <c r="AC4" s="667"/>
      <c r="AD4" s="668" t="s">
        <v>416</v>
      </c>
      <c r="AE4" s="665" t="s">
        <v>418</v>
      </c>
      <c r="AF4" s="666"/>
      <c r="AG4" s="666"/>
      <c r="AH4" s="667"/>
      <c r="AI4" s="668" t="s">
        <v>416</v>
      </c>
      <c r="AJ4" s="665" t="s">
        <v>418</v>
      </c>
      <c r="AK4" s="666"/>
      <c r="AL4" s="666"/>
      <c r="AM4" s="667"/>
      <c r="AN4" s="668" t="s">
        <v>416</v>
      </c>
      <c r="AO4" s="665" t="s">
        <v>418</v>
      </c>
      <c r="AP4" s="666"/>
      <c r="AQ4" s="666"/>
      <c r="AR4" s="667"/>
      <c r="AS4" s="668" t="s">
        <v>416</v>
      </c>
      <c r="AT4" s="665" t="s">
        <v>418</v>
      </c>
      <c r="AU4" s="666"/>
      <c r="AV4" s="666"/>
      <c r="AW4" s="667"/>
      <c r="AX4" s="668" t="s">
        <v>416</v>
      </c>
    </row>
    <row r="5" spans="1:54" ht="14.25">
      <c r="A5" s="81"/>
      <c r="B5" s="668"/>
      <c r="C5" s="668"/>
      <c r="D5" s="668"/>
      <c r="E5" s="668" t="s">
        <v>829</v>
      </c>
      <c r="F5" s="668"/>
      <c r="G5" s="668"/>
      <c r="H5" s="685"/>
      <c r="I5" s="668" t="s">
        <v>829</v>
      </c>
      <c r="J5" s="668"/>
      <c r="K5" s="668"/>
      <c r="L5" s="685"/>
      <c r="M5" s="670"/>
      <c r="N5" s="668"/>
      <c r="O5" s="668"/>
      <c r="P5" s="665" t="s">
        <v>816</v>
      </c>
      <c r="Q5" s="666"/>
      <c r="R5" s="666"/>
      <c r="S5" s="667"/>
      <c r="T5" s="668"/>
      <c r="U5" s="665" t="s">
        <v>816</v>
      </c>
      <c r="V5" s="666"/>
      <c r="W5" s="666"/>
      <c r="X5" s="667"/>
      <c r="Y5" s="668"/>
      <c r="Z5" s="665" t="s">
        <v>816</v>
      </c>
      <c r="AA5" s="666"/>
      <c r="AB5" s="666"/>
      <c r="AC5" s="667"/>
      <c r="AD5" s="668"/>
      <c r="AE5" s="665" t="s">
        <v>816</v>
      </c>
      <c r="AF5" s="666"/>
      <c r="AG5" s="666"/>
      <c r="AH5" s="667"/>
      <c r="AI5" s="668"/>
      <c r="AJ5" s="665" t="s">
        <v>816</v>
      </c>
      <c r="AK5" s="666"/>
      <c r="AL5" s="666"/>
      <c r="AM5" s="667"/>
      <c r="AN5" s="668"/>
      <c r="AO5" s="665" t="s">
        <v>816</v>
      </c>
      <c r="AP5" s="666"/>
      <c r="AQ5" s="666"/>
      <c r="AR5" s="667"/>
      <c r="AS5" s="668"/>
      <c r="AT5" s="665" t="s">
        <v>816</v>
      </c>
      <c r="AU5" s="666"/>
      <c r="AV5" s="666"/>
      <c r="AW5" s="667"/>
      <c r="AX5" s="668"/>
    </row>
    <row r="6" spans="1:54" ht="14.25">
      <c r="A6" s="79"/>
      <c r="B6" s="668"/>
      <c r="C6" s="668"/>
      <c r="D6" s="668"/>
      <c r="E6" s="514" t="s">
        <v>830</v>
      </c>
      <c r="F6" s="514" t="s">
        <v>831</v>
      </c>
      <c r="G6" s="514" t="s">
        <v>832</v>
      </c>
      <c r="H6" s="686"/>
      <c r="I6" s="514" t="s">
        <v>830</v>
      </c>
      <c r="J6" s="514" t="s">
        <v>831</v>
      </c>
      <c r="K6" s="514" t="s">
        <v>832</v>
      </c>
      <c r="L6" s="686"/>
      <c r="M6" s="671"/>
      <c r="N6" s="668"/>
      <c r="O6" s="668"/>
      <c r="P6" s="514" t="s">
        <v>425</v>
      </c>
      <c r="Q6" s="514" t="s">
        <v>818</v>
      </c>
      <c r="R6" s="514" t="s">
        <v>819</v>
      </c>
      <c r="S6" s="514" t="s">
        <v>417</v>
      </c>
      <c r="T6" s="668"/>
      <c r="U6" s="514" t="s">
        <v>425</v>
      </c>
      <c r="V6" s="514" t="s">
        <v>818</v>
      </c>
      <c r="W6" s="514" t="s">
        <v>819</v>
      </c>
      <c r="X6" s="514" t="s">
        <v>417</v>
      </c>
      <c r="Y6" s="668"/>
      <c r="Z6" s="514" t="s">
        <v>425</v>
      </c>
      <c r="AA6" s="514" t="s">
        <v>818</v>
      </c>
      <c r="AB6" s="514" t="s">
        <v>819</v>
      </c>
      <c r="AC6" s="514" t="s">
        <v>417</v>
      </c>
      <c r="AD6" s="668"/>
      <c r="AE6" s="514" t="s">
        <v>425</v>
      </c>
      <c r="AF6" s="514" t="s">
        <v>818</v>
      </c>
      <c r="AG6" s="514" t="s">
        <v>819</v>
      </c>
      <c r="AH6" s="514" t="s">
        <v>417</v>
      </c>
      <c r="AI6" s="668"/>
      <c r="AJ6" s="514" t="s">
        <v>425</v>
      </c>
      <c r="AK6" s="514" t="s">
        <v>818</v>
      </c>
      <c r="AL6" s="514" t="s">
        <v>819</v>
      </c>
      <c r="AM6" s="514" t="s">
        <v>417</v>
      </c>
      <c r="AN6" s="668"/>
      <c r="AO6" s="514" t="s">
        <v>425</v>
      </c>
      <c r="AP6" s="514" t="s">
        <v>818</v>
      </c>
      <c r="AQ6" s="514" t="s">
        <v>819</v>
      </c>
      <c r="AR6" s="514" t="s">
        <v>417</v>
      </c>
      <c r="AS6" s="668"/>
      <c r="AT6" s="514" t="s">
        <v>425</v>
      </c>
      <c r="AU6" s="514" t="s">
        <v>818</v>
      </c>
      <c r="AV6" s="514" t="s">
        <v>819</v>
      </c>
      <c r="AW6" s="514" t="s">
        <v>417</v>
      </c>
      <c r="AX6" s="668"/>
    </row>
    <row r="7" spans="1:54" ht="14.25">
      <c r="A7" s="81"/>
      <c r="B7" s="668" t="s">
        <v>136</v>
      </c>
      <c r="C7" s="515">
        <v>1</v>
      </c>
      <c r="D7" s="227" t="s">
        <v>383</v>
      </c>
      <c r="E7" s="182">
        <v>7</v>
      </c>
      <c r="F7" s="545">
        <v>1500</v>
      </c>
      <c r="G7" s="546">
        <v>214.3</v>
      </c>
      <c r="H7" s="712">
        <f>AVERAGE(G7:G21)</f>
        <v>184.22380952380954</v>
      </c>
      <c r="I7" s="518">
        <f>AVERAGE(P7,U7,Z7,AE7,AJ7,AO7,AT7)</f>
        <v>7</v>
      </c>
      <c r="J7" s="518">
        <f>AVERAGE(Q7,V7,AA7,AF7,AK7,AP7,AU7)</f>
        <v>1456.3739369680773</v>
      </c>
      <c r="K7" s="513">
        <f>AVERAGE(R7,W7,AB7,AG7,AL7,AQ7,AV7)</f>
        <v>208.05341956686817</v>
      </c>
      <c r="L7" s="712">
        <f>AVERAGE(K7:K21)</f>
        <v>173.33729823426933</v>
      </c>
      <c r="M7" s="517">
        <f>RANK(K7, K$7:$K$21)</f>
        <v>5</v>
      </c>
      <c r="N7" s="668"/>
      <c r="O7" s="668"/>
      <c r="P7" s="515">
        <v>7</v>
      </c>
      <c r="Q7" s="518">
        <v>1464.1666666666661</v>
      </c>
      <c r="R7" s="518">
        <v>209.16666666666657</v>
      </c>
      <c r="S7" s="515">
        <f>RANK(R7, R$7:R$21)</f>
        <v>4</v>
      </c>
      <c r="T7" s="715">
        <f>AVERAGE(R7:R21)</f>
        <v>173.73522285535583</v>
      </c>
      <c r="U7" s="573">
        <v>7</v>
      </c>
      <c r="V7" s="574">
        <v>1463.9999999999998</v>
      </c>
      <c r="W7" s="574">
        <v>209.14285714285711</v>
      </c>
      <c r="X7" s="515">
        <f>RANK(W7, W$7:W$21)</f>
        <v>3</v>
      </c>
      <c r="Y7" s="715">
        <f>AVERAGE(W7:W21)</f>
        <v>172.69212601576865</v>
      </c>
      <c r="Z7" s="573">
        <v>7</v>
      </c>
      <c r="AA7" s="574">
        <v>1453.714285714286</v>
      </c>
      <c r="AB7" s="574">
        <v>207.67346938775515</v>
      </c>
      <c r="AC7" s="515">
        <f>RANK(AB7, AB$7:AB$21)</f>
        <v>5</v>
      </c>
      <c r="AD7" s="715">
        <f>AVERAGE(AB7:AB21)</f>
        <v>173.10964897176294</v>
      </c>
      <c r="AE7" s="573">
        <v>7</v>
      </c>
      <c r="AF7" s="574">
        <v>1441.9354838709683</v>
      </c>
      <c r="AG7" s="574">
        <v>205.99078341013833</v>
      </c>
      <c r="AH7" s="515">
        <f>RANK(AG7, AG$7:AG$21)</f>
        <v>5</v>
      </c>
      <c r="AI7" s="715">
        <f>AVERAGE(AG7:AG21)</f>
        <v>173.9819072913352</v>
      </c>
      <c r="AJ7" s="573">
        <v>7</v>
      </c>
      <c r="AK7" s="574">
        <v>1447.6056338028172</v>
      </c>
      <c r="AL7" s="574">
        <v>206.8008048289739</v>
      </c>
      <c r="AM7" s="515">
        <f>RANK(AL7, AL$7:AL$21)</f>
        <v>5</v>
      </c>
      <c r="AN7" s="715">
        <f>AVERAGE(AL7:AL21)</f>
        <v>172.82360241296351</v>
      </c>
      <c r="AO7" s="573">
        <v>7</v>
      </c>
      <c r="AP7" s="574">
        <v>1457.1428571428576</v>
      </c>
      <c r="AQ7" s="574">
        <v>208.1632653061225</v>
      </c>
      <c r="AR7" s="515">
        <f>RANK(AQ7, AQ$7:AQ$21)</f>
        <v>2</v>
      </c>
      <c r="AS7" s="715">
        <f>AVERAGE(AQ7:AQ21)</f>
        <v>173.1690537053843</v>
      </c>
      <c r="AT7" s="573">
        <v>7</v>
      </c>
      <c r="AU7" s="574">
        <v>1466.0526315789471</v>
      </c>
      <c r="AV7" s="574">
        <v>209.43609022556387</v>
      </c>
      <c r="AW7" s="515">
        <f>RANK(AV7, AV$7:AV$21)</f>
        <v>3</v>
      </c>
      <c r="AX7" s="715">
        <f>AVERAGE(AV7:AV21)</f>
        <v>173.84952638731494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701"/>
      <c r="C8" s="515">
        <v>2</v>
      </c>
      <c r="D8" s="227" t="s">
        <v>384</v>
      </c>
      <c r="E8" s="182">
        <v>7</v>
      </c>
      <c r="F8" s="545">
        <v>1500</v>
      </c>
      <c r="G8" s="546">
        <v>214.3</v>
      </c>
      <c r="H8" s="713"/>
      <c r="I8" s="518">
        <f t="shared" ref="I8:I13" si="0">AVERAGE(P8,U8,Z8,AE8,AJ8,AO8,AT8)</f>
        <v>7</v>
      </c>
      <c r="J8" s="518">
        <f t="shared" ref="J8:J13" si="1">AVERAGE(Q8,V8,AA8,AF8,AK8,AP8,AU8)</f>
        <v>1463.3848501766622</v>
      </c>
      <c r="K8" s="513">
        <f t="shared" ref="K8:K13" si="2">AVERAGE(R8,W8,AB8,AG8,AL8,AQ8,AV8)</f>
        <v>209.05497859666599</v>
      </c>
      <c r="L8" s="713"/>
      <c r="M8" s="517">
        <f>RANK(K8, K$7:$K$21)</f>
        <v>3</v>
      </c>
      <c r="N8" s="668"/>
      <c r="O8" s="668"/>
      <c r="P8" s="515">
        <v>7</v>
      </c>
      <c r="Q8" s="518">
        <v>1457.4545454545453</v>
      </c>
      <c r="R8" s="518">
        <v>208.20779220779218</v>
      </c>
      <c r="S8" s="515">
        <f t="shared" ref="S8:S21" si="3">RANK(R8, R$7:R$21)</f>
        <v>5</v>
      </c>
      <c r="T8" s="715"/>
      <c r="U8" s="573">
        <v>7</v>
      </c>
      <c r="V8" s="574">
        <v>1448.1081081081081</v>
      </c>
      <c r="W8" s="574">
        <v>206.87258687258688</v>
      </c>
      <c r="X8" s="515">
        <f t="shared" ref="X8:X21" si="4">RANK(W8, W$7:W$21)</f>
        <v>4</v>
      </c>
      <c r="Y8" s="715"/>
      <c r="Z8" s="573">
        <v>7</v>
      </c>
      <c r="AA8" s="574">
        <v>1467.3214285714284</v>
      </c>
      <c r="AB8" s="574">
        <v>209.61734693877548</v>
      </c>
      <c r="AC8" s="515">
        <f t="shared" ref="AC8:AC21" si="5">RANK(AB8, AB$7:AB$21)</f>
        <v>4</v>
      </c>
      <c r="AD8" s="715"/>
      <c r="AE8" s="573">
        <v>7</v>
      </c>
      <c r="AF8" s="574">
        <v>1482.8571428571433</v>
      </c>
      <c r="AG8" s="574">
        <v>211.83673469387762</v>
      </c>
      <c r="AH8" s="515">
        <f t="shared" ref="AH8:AH21" si="6">RANK(AG8, AG$7:AG$21)</f>
        <v>2</v>
      </c>
      <c r="AI8" s="715"/>
      <c r="AJ8" s="573">
        <v>7</v>
      </c>
      <c r="AK8" s="574">
        <v>1469.7297297297298</v>
      </c>
      <c r="AL8" s="574">
        <v>209.96138996138998</v>
      </c>
      <c r="AM8" s="515">
        <f t="shared" ref="AM8:AM21" si="7">RANK(AL8, AL$7:AL$21)</f>
        <v>3</v>
      </c>
      <c r="AN8" s="715"/>
      <c r="AO8" s="573">
        <v>7</v>
      </c>
      <c r="AP8" s="574">
        <v>1445.3658536585363</v>
      </c>
      <c r="AQ8" s="574">
        <v>206.48083623693375</v>
      </c>
      <c r="AR8" s="515">
        <f t="shared" ref="AR8:AR21" si="8">RANK(AQ8, AQ$7:AQ$21)</f>
        <v>5</v>
      </c>
      <c r="AS8" s="715"/>
      <c r="AT8" s="573">
        <v>7</v>
      </c>
      <c r="AU8" s="574">
        <v>1472.8571428571424</v>
      </c>
      <c r="AV8" s="574">
        <v>210.40816326530606</v>
      </c>
      <c r="AW8" s="515">
        <f t="shared" ref="AW8:AW21" si="9">RANK(AV8, AV$7:AV$21)</f>
        <v>2</v>
      </c>
      <c r="AX8" s="715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701"/>
      <c r="C9" s="515">
        <v>3</v>
      </c>
      <c r="D9" s="227" t="s">
        <v>349</v>
      </c>
      <c r="E9" s="182">
        <v>20</v>
      </c>
      <c r="F9" s="545">
        <v>1500</v>
      </c>
      <c r="G9" s="546">
        <v>75</v>
      </c>
      <c r="H9" s="713"/>
      <c r="I9" s="518">
        <f t="shared" si="0"/>
        <v>20</v>
      </c>
      <c r="J9" s="518">
        <f t="shared" si="1"/>
        <v>1335.419049434357</v>
      </c>
      <c r="K9" s="513">
        <f t="shared" si="2"/>
        <v>66.770952471717848</v>
      </c>
      <c r="L9" s="713"/>
      <c r="M9" s="517">
        <f>RANK(K9, K$7:$K$21)</f>
        <v>7</v>
      </c>
      <c r="N9" s="668"/>
      <c r="O9" s="668"/>
      <c r="P9" s="515">
        <v>20</v>
      </c>
      <c r="Q9" s="518">
        <v>1329.0439024390248</v>
      </c>
      <c r="R9" s="518">
        <v>66.452195121951235</v>
      </c>
      <c r="S9" s="515">
        <f t="shared" si="3"/>
        <v>7</v>
      </c>
      <c r="T9" s="715"/>
      <c r="U9" s="573">
        <v>20</v>
      </c>
      <c r="V9" s="574">
        <v>1329.7655172413795</v>
      </c>
      <c r="W9" s="574">
        <v>66.488275862068974</v>
      </c>
      <c r="X9" s="515">
        <f t="shared" si="4"/>
        <v>7</v>
      </c>
      <c r="Y9" s="715"/>
      <c r="Z9" s="573">
        <v>20</v>
      </c>
      <c r="AA9" s="574">
        <v>1328.9513513513514</v>
      </c>
      <c r="AB9" s="574">
        <v>66.447567567567575</v>
      </c>
      <c r="AC9" s="515">
        <f t="shared" si="5"/>
        <v>7</v>
      </c>
      <c r="AD9" s="715"/>
      <c r="AE9" s="573">
        <v>20</v>
      </c>
      <c r="AF9" s="574">
        <v>1351.2932038834958</v>
      </c>
      <c r="AG9" s="574">
        <v>67.564660194174792</v>
      </c>
      <c r="AH9" s="515">
        <f t="shared" si="6"/>
        <v>7</v>
      </c>
      <c r="AI9" s="715"/>
      <c r="AJ9" s="573">
        <v>20</v>
      </c>
      <c r="AK9" s="574">
        <v>1336.5405405405404</v>
      </c>
      <c r="AL9" s="574">
        <v>66.827027027027015</v>
      </c>
      <c r="AM9" s="515">
        <f t="shared" si="7"/>
        <v>7</v>
      </c>
      <c r="AN9" s="715"/>
      <c r="AO9" s="573">
        <v>20</v>
      </c>
      <c r="AP9" s="574">
        <v>1330.6344827586208</v>
      </c>
      <c r="AQ9" s="574">
        <v>66.531724137931036</v>
      </c>
      <c r="AR9" s="515">
        <f t="shared" si="8"/>
        <v>7</v>
      </c>
      <c r="AS9" s="715"/>
      <c r="AT9" s="573">
        <v>20</v>
      </c>
      <c r="AU9" s="574">
        <v>1341.7043478260871</v>
      </c>
      <c r="AV9" s="574">
        <v>67.085217391304354</v>
      </c>
      <c r="AW9" s="515">
        <f t="shared" si="9"/>
        <v>7</v>
      </c>
      <c r="AX9" s="715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701"/>
      <c r="C10" s="515">
        <v>4</v>
      </c>
      <c r="D10" s="227" t="s">
        <v>385</v>
      </c>
      <c r="E10" s="182">
        <v>16</v>
      </c>
      <c r="F10" s="545">
        <v>1440</v>
      </c>
      <c r="G10" s="546">
        <v>84.7</v>
      </c>
      <c r="H10" s="713"/>
      <c r="I10" s="518">
        <f t="shared" si="0"/>
        <v>16</v>
      </c>
      <c r="J10" s="518">
        <f t="shared" si="1"/>
        <v>1395.8191101694076</v>
      </c>
      <c r="K10" s="513">
        <f t="shared" si="2"/>
        <v>87.238694385587976</v>
      </c>
      <c r="L10" s="713"/>
      <c r="M10" s="517">
        <f>RANK(K10, K$7:$K$21)</f>
        <v>6</v>
      </c>
      <c r="N10" s="668"/>
      <c r="O10" s="668"/>
      <c r="P10" s="515">
        <v>16</v>
      </c>
      <c r="Q10" s="518">
        <v>1388.5714285714284</v>
      </c>
      <c r="R10" s="518">
        <v>86.785714285714278</v>
      </c>
      <c r="S10" s="515">
        <f t="shared" si="3"/>
        <v>6</v>
      </c>
      <c r="T10" s="715"/>
      <c r="U10" s="573">
        <v>16</v>
      </c>
      <c r="V10" s="574">
        <v>1402.9213483146068</v>
      </c>
      <c r="W10" s="574">
        <v>87.682584269662925</v>
      </c>
      <c r="X10" s="515">
        <f t="shared" si="4"/>
        <v>6</v>
      </c>
      <c r="Y10" s="715"/>
      <c r="Z10" s="573">
        <v>16</v>
      </c>
      <c r="AA10" s="574">
        <v>1407.1428571428567</v>
      </c>
      <c r="AB10" s="574">
        <v>87.946428571428541</v>
      </c>
      <c r="AC10" s="515">
        <f t="shared" si="5"/>
        <v>6</v>
      </c>
      <c r="AD10" s="715"/>
      <c r="AE10" s="573">
        <v>16</v>
      </c>
      <c r="AF10" s="574">
        <v>1399.090909090909</v>
      </c>
      <c r="AG10" s="574">
        <v>87.443181818181813</v>
      </c>
      <c r="AH10" s="515">
        <f t="shared" si="6"/>
        <v>6</v>
      </c>
      <c r="AI10" s="715"/>
      <c r="AJ10" s="573">
        <v>16</v>
      </c>
      <c r="AK10" s="574">
        <v>1419.7402597402602</v>
      </c>
      <c r="AL10" s="574">
        <v>88.733766233766261</v>
      </c>
      <c r="AM10" s="515">
        <f t="shared" si="7"/>
        <v>6</v>
      </c>
      <c r="AN10" s="715"/>
      <c r="AO10" s="573">
        <v>16</v>
      </c>
      <c r="AP10" s="574">
        <v>1377.8823529411764</v>
      </c>
      <c r="AQ10" s="574">
        <v>86.117647058823522</v>
      </c>
      <c r="AR10" s="515">
        <f t="shared" si="8"/>
        <v>6</v>
      </c>
      <c r="AS10" s="715"/>
      <c r="AT10" s="573">
        <v>16</v>
      </c>
      <c r="AU10" s="574">
        <v>1375.3846153846155</v>
      </c>
      <c r="AV10" s="574">
        <v>85.961538461538467</v>
      </c>
      <c r="AW10" s="515">
        <f t="shared" si="9"/>
        <v>6</v>
      </c>
      <c r="AX10" s="715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701"/>
      <c r="C11" s="515">
        <v>5</v>
      </c>
      <c r="D11" s="227" t="s">
        <v>457</v>
      </c>
      <c r="E11" s="182">
        <v>7</v>
      </c>
      <c r="F11" s="545">
        <v>1500</v>
      </c>
      <c r="G11" s="546">
        <v>214.3</v>
      </c>
      <c r="H11" s="713"/>
      <c r="I11" s="518">
        <f t="shared" si="0"/>
        <v>7</v>
      </c>
      <c r="J11" s="518">
        <f t="shared" si="1"/>
        <v>1460.7200413856517</v>
      </c>
      <c r="K11" s="513">
        <f t="shared" si="2"/>
        <v>208.67429162652164</v>
      </c>
      <c r="L11" s="713"/>
      <c r="M11" s="517">
        <f>RANK(K11, K$7:$K$21)</f>
        <v>4</v>
      </c>
      <c r="N11" s="668"/>
      <c r="O11" s="668"/>
      <c r="P11" s="515">
        <v>7</v>
      </c>
      <c r="Q11" s="518">
        <v>1466.5486725663711</v>
      </c>
      <c r="R11" s="518">
        <v>209.50695322376731</v>
      </c>
      <c r="S11" s="515">
        <f t="shared" si="3"/>
        <v>3</v>
      </c>
      <c r="T11" s="715"/>
      <c r="U11" s="573">
        <v>7</v>
      </c>
      <c r="V11" s="574">
        <v>1447.9591836734696</v>
      </c>
      <c r="W11" s="574">
        <v>206.85131195335279</v>
      </c>
      <c r="X11" s="515">
        <f t="shared" si="4"/>
        <v>5</v>
      </c>
      <c r="Y11" s="715"/>
      <c r="Z11" s="573">
        <v>7</v>
      </c>
      <c r="AA11" s="574">
        <v>1469.0909090909095</v>
      </c>
      <c r="AB11" s="574">
        <v>209.87012987012992</v>
      </c>
      <c r="AC11" s="515">
        <f t="shared" si="5"/>
        <v>3</v>
      </c>
      <c r="AD11" s="715"/>
      <c r="AE11" s="573">
        <v>7</v>
      </c>
      <c r="AF11" s="574">
        <v>1450.9677419354834</v>
      </c>
      <c r="AG11" s="574">
        <v>207.28110599078335</v>
      </c>
      <c r="AH11" s="515">
        <f t="shared" si="6"/>
        <v>4</v>
      </c>
      <c r="AI11" s="715"/>
      <c r="AJ11" s="573">
        <v>7</v>
      </c>
      <c r="AK11" s="574">
        <v>1477.3469387755106</v>
      </c>
      <c r="AL11" s="574">
        <v>211.04956268221579</v>
      </c>
      <c r="AM11" s="515">
        <f t="shared" si="7"/>
        <v>2</v>
      </c>
      <c r="AN11" s="715"/>
      <c r="AO11" s="573">
        <v>7</v>
      </c>
      <c r="AP11" s="574">
        <v>1456.4601769911503</v>
      </c>
      <c r="AQ11" s="574">
        <v>208.06573957016434</v>
      </c>
      <c r="AR11" s="515">
        <f t="shared" si="8"/>
        <v>3</v>
      </c>
      <c r="AS11" s="715"/>
      <c r="AT11" s="573">
        <v>7</v>
      </c>
      <c r="AU11" s="574">
        <v>1456.6666666666672</v>
      </c>
      <c r="AV11" s="574">
        <v>208.09523809523816</v>
      </c>
      <c r="AW11" s="515">
        <f t="shared" si="9"/>
        <v>4</v>
      </c>
      <c r="AX11" s="715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701"/>
      <c r="C12" s="515">
        <v>6</v>
      </c>
      <c r="D12" s="227" t="s">
        <v>898</v>
      </c>
      <c r="E12" s="182">
        <v>6</v>
      </c>
      <c r="F12" s="545">
        <v>1636</v>
      </c>
      <c r="G12" s="546">
        <v>272.66666666666669</v>
      </c>
      <c r="H12" s="713"/>
      <c r="I12" s="518">
        <f t="shared" si="0"/>
        <v>6</v>
      </c>
      <c r="J12" s="518">
        <f t="shared" si="1"/>
        <v>1346.8072755417941</v>
      </c>
      <c r="K12" s="513">
        <f t="shared" si="2"/>
        <v>224.46787925696566</v>
      </c>
      <c r="L12" s="713"/>
      <c r="M12" s="517">
        <f>RANK(K12, K$7:$K$21)</f>
        <v>1</v>
      </c>
      <c r="N12" s="668"/>
      <c r="O12" s="668"/>
      <c r="P12" s="515">
        <v>6</v>
      </c>
      <c r="Q12" s="518">
        <v>1358.823529411763</v>
      </c>
      <c r="R12" s="518">
        <v>226.47058823529383</v>
      </c>
      <c r="S12" s="515">
        <f t="shared" si="3"/>
        <v>1</v>
      </c>
      <c r="T12" s="715"/>
      <c r="U12" s="573">
        <v>6</v>
      </c>
      <c r="V12" s="574">
        <v>1323.7499999999982</v>
      </c>
      <c r="W12" s="574">
        <v>220.62499999999969</v>
      </c>
      <c r="X12" s="515">
        <f t="shared" si="4"/>
        <v>1</v>
      </c>
      <c r="Y12" s="715"/>
      <c r="Z12" s="573">
        <v>6</v>
      </c>
      <c r="AA12" s="574">
        <v>1316.842105263157</v>
      </c>
      <c r="AB12" s="574">
        <v>219.47368421052616</v>
      </c>
      <c r="AC12" s="515">
        <f t="shared" si="5"/>
        <v>1</v>
      </c>
      <c r="AD12" s="715"/>
      <c r="AE12" s="573">
        <v>6</v>
      </c>
      <c r="AF12" s="574">
        <v>1376.4705882352923</v>
      </c>
      <c r="AG12" s="574">
        <v>229.41176470588206</v>
      </c>
      <c r="AH12" s="515">
        <f t="shared" si="6"/>
        <v>1</v>
      </c>
      <c r="AI12" s="715"/>
      <c r="AJ12" s="573">
        <v>6</v>
      </c>
      <c r="AK12" s="574">
        <v>1298.823529411763</v>
      </c>
      <c r="AL12" s="574">
        <v>216.47058823529383</v>
      </c>
      <c r="AM12" s="515">
        <f t="shared" si="7"/>
        <v>1</v>
      </c>
      <c r="AN12" s="715"/>
      <c r="AO12" s="573">
        <v>6</v>
      </c>
      <c r="AP12" s="574">
        <v>1376.4705882352923</v>
      </c>
      <c r="AQ12" s="574">
        <v>229.41176470588206</v>
      </c>
      <c r="AR12" s="515">
        <f t="shared" si="8"/>
        <v>1</v>
      </c>
      <c r="AS12" s="715"/>
      <c r="AT12" s="573">
        <v>6</v>
      </c>
      <c r="AU12" s="574">
        <v>1376.4705882352923</v>
      </c>
      <c r="AV12" s="574">
        <v>229.41176470588206</v>
      </c>
      <c r="AW12" s="515">
        <f t="shared" si="9"/>
        <v>1</v>
      </c>
      <c r="AX12" s="715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701"/>
      <c r="C13" s="515">
        <v>7</v>
      </c>
      <c r="D13" s="227" t="s">
        <v>903</v>
      </c>
      <c r="E13" s="182">
        <v>7</v>
      </c>
      <c r="F13" s="545">
        <v>1500</v>
      </c>
      <c r="G13" s="546">
        <v>214.3</v>
      </c>
      <c r="H13" s="713"/>
      <c r="I13" s="518">
        <f t="shared" si="0"/>
        <v>7</v>
      </c>
      <c r="J13" s="518">
        <f t="shared" si="1"/>
        <v>1463.7061021489062</v>
      </c>
      <c r="K13" s="513">
        <f t="shared" si="2"/>
        <v>209.10087173555803</v>
      </c>
      <c r="L13" s="713"/>
      <c r="M13" s="517">
        <f>RANK(K13, K$7:$K$21)</f>
        <v>2</v>
      </c>
      <c r="N13" s="668"/>
      <c r="O13" s="668"/>
      <c r="P13" s="515">
        <v>7</v>
      </c>
      <c r="Q13" s="518">
        <v>1466.8965517241381</v>
      </c>
      <c r="R13" s="518">
        <v>209.55665024630545</v>
      </c>
      <c r="S13" s="515">
        <f t="shared" si="3"/>
        <v>2</v>
      </c>
      <c r="T13" s="715"/>
      <c r="U13" s="573">
        <v>7</v>
      </c>
      <c r="V13" s="574">
        <v>1478.2758620689656</v>
      </c>
      <c r="W13" s="574">
        <v>211.18226600985221</v>
      </c>
      <c r="X13" s="515">
        <f t="shared" si="4"/>
        <v>2</v>
      </c>
      <c r="Y13" s="715"/>
      <c r="Z13" s="573">
        <v>7</v>
      </c>
      <c r="AA13" s="574">
        <v>1475.1724137931035</v>
      </c>
      <c r="AB13" s="574">
        <v>210.73891625615764</v>
      </c>
      <c r="AC13" s="515">
        <f t="shared" si="5"/>
        <v>2</v>
      </c>
      <c r="AD13" s="715"/>
      <c r="AE13" s="573">
        <v>7</v>
      </c>
      <c r="AF13" s="574">
        <v>1458.4158415841591</v>
      </c>
      <c r="AG13" s="574">
        <v>208.34512022630844</v>
      </c>
      <c r="AH13" s="515">
        <f t="shared" si="6"/>
        <v>3</v>
      </c>
      <c r="AI13" s="715"/>
      <c r="AJ13" s="573">
        <v>7</v>
      </c>
      <c r="AK13" s="574">
        <v>1469.4545454545453</v>
      </c>
      <c r="AL13" s="574">
        <v>209.9220779220779</v>
      </c>
      <c r="AM13" s="515">
        <f t="shared" si="7"/>
        <v>4</v>
      </c>
      <c r="AN13" s="715"/>
      <c r="AO13" s="573">
        <v>7</v>
      </c>
      <c r="AP13" s="574">
        <v>1451.8867924528297</v>
      </c>
      <c r="AQ13" s="574">
        <v>207.41239892183282</v>
      </c>
      <c r="AR13" s="515">
        <f t="shared" si="8"/>
        <v>4</v>
      </c>
      <c r="AS13" s="715"/>
      <c r="AT13" s="573">
        <v>7</v>
      </c>
      <c r="AU13" s="574">
        <v>1445.8407079646017</v>
      </c>
      <c r="AV13" s="574">
        <v>206.54867256637166</v>
      </c>
      <c r="AW13" s="515">
        <f t="shared" si="9"/>
        <v>5</v>
      </c>
      <c r="AX13" s="715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701"/>
      <c r="C14" s="515">
        <v>8</v>
      </c>
      <c r="D14" s="352"/>
      <c r="E14" s="518"/>
      <c r="F14" s="518"/>
      <c r="G14" s="518"/>
      <c r="H14" s="713"/>
      <c r="I14" s="518"/>
      <c r="J14" s="518"/>
      <c r="K14" s="513"/>
      <c r="L14" s="713"/>
      <c r="M14" s="517" t="e">
        <f>RANK(K14, K$7:$K$21)</f>
        <v>#N/A</v>
      </c>
      <c r="N14" s="668"/>
      <c r="O14" s="668"/>
      <c r="P14" s="515"/>
      <c r="Q14" s="518"/>
      <c r="R14" s="518"/>
      <c r="S14" s="515" t="e">
        <f t="shared" si="3"/>
        <v>#N/A</v>
      </c>
      <c r="T14" s="715"/>
      <c r="U14" s="573"/>
      <c r="V14" s="574"/>
      <c r="W14" s="574"/>
      <c r="X14" s="515" t="e">
        <f t="shared" si="4"/>
        <v>#N/A</v>
      </c>
      <c r="Y14" s="715"/>
      <c r="Z14" s="573"/>
      <c r="AA14" s="574"/>
      <c r="AB14" s="574"/>
      <c r="AC14" s="515" t="e">
        <f t="shared" si="5"/>
        <v>#N/A</v>
      </c>
      <c r="AD14" s="715"/>
      <c r="AE14" s="573"/>
      <c r="AF14" s="574"/>
      <c r="AG14" s="574"/>
      <c r="AH14" s="515" t="e">
        <f t="shared" si="6"/>
        <v>#N/A</v>
      </c>
      <c r="AI14" s="715"/>
      <c r="AJ14" s="573"/>
      <c r="AK14" s="574"/>
      <c r="AL14" s="574"/>
      <c r="AM14" s="515" t="e">
        <f t="shared" si="7"/>
        <v>#N/A</v>
      </c>
      <c r="AN14" s="715"/>
      <c r="AO14" s="573"/>
      <c r="AP14" s="574"/>
      <c r="AQ14" s="574"/>
      <c r="AR14" s="515" t="e">
        <f t="shared" si="8"/>
        <v>#N/A</v>
      </c>
      <c r="AS14" s="715"/>
      <c r="AT14" s="573"/>
      <c r="AU14" s="574"/>
      <c r="AV14" s="574"/>
      <c r="AW14" s="515" t="e">
        <f t="shared" si="9"/>
        <v>#N/A</v>
      </c>
      <c r="AX14" s="715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701"/>
      <c r="C15" s="515">
        <v>9</v>
      </c>
      <c r="D15" s="498"/>
      <c r="E15" s="518"/>
      <c r="F15" s="518"/>
      <c r="G15" s="518"/>
      <c r="H15" s="713"/>
      <c r="I15" s="518"/>
      <c r="J15" s="518"/>
      <c r="K15" s="513"/>
      <c r="L15" s="713"/>
      <c r="M15" s="517" t="e">
        <f>RANK(K15, K$7:$K$21)</f>
        <v>#N/A</v>
      </c>
      <c r="N15" s="668"/>
      <c r="O15" s="668"/>
      <c r="P15" s="515"/>
      <c r="Q15" s="518"/>
      <c r="R15" s="518"/>
      <c r="S15" s="515" t="e">
        <f t="shared" si="3"/>
        <v>#N/A</v>
      </c>
      <c r="T15" s="715"/>
      <c r="U15" s="573"/>
      <c r="V15" s="574"/>
      <c r="W15" s="574"/>
      <c r="X15" s="515" t="e">
        <f t="shared" si="4"/>
        <v>#N/A</v>
      </c>
      <c r="Y15" s="715"/>
      <c r="Z15" s="573"/>
      <c r="AA15" s="574"/>
      <c r="AB15" s="574"/>
      <c r="AC15" s="515" t="e">
        <f t="shared" si="5"/>
        <v>#N/A</v>
      </c>
      <c r="AD15" s="715"/>
      <c r="AE15" s="573"/>
      <c r="AF15" s="574"/>
      <c r="AG15" s="574"/>
      <c r="AH15" s="515" t="e">
        <f t="shared" si="6"/>
        <v>#N/A</v>
      </c>
      <c r="AI15" s="715"/>
      <c r="AJ15" s="573"/>
      <c r="AK15" s="574"/>
      <c r="AL15" s="574"/>
      <c r="AM15" s="515" t="e">
        <f t="shared" si="7"/>
        <v>#N/A</v>
      </c>
      <c r="AN15" s="715"/>
      <c r="AO15" s="573"/>
      <c r="AP15" s="574"/>
      <c r="AQ15" s="574"/>
      <c r="AR15" s="515" t="e">
        <f t="shared" si="8"/>
        <v>#N/A</v>
      </c>
      <c r="AS15" s="715"/>
      <c r="AT15" s="573"/>
      <c r="AU15" s="574"/>
      <c r="AV15" s="574"/>
      <c r="AW15" s="515" t="e">
        <f t="shared" si="9"/>
        <v>#N/A</v>
      </c>
      <c r="AX15" s="715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701"/>
      <c r="C16" s="515">
        <v>10</v>
      </c>
      <c r="D16" s="498"/>
      <c r="E16" s="518"/>
      <c r="F16" s="518"/>
      <c r="G16" s="518"/>
      <c r="H16" s="713"/>
      <c r="I16" s="518"/>
      <c r="J16" s="518"/>
      <c r="K16" s="513"/>
      <c r="L16" s="713"/>
      <c r="M16" s="517" t="e">
        <f>RANK(K16, K$7:$K$21)</f>
        <v>#N/A</v>
      </c>
      <c r="N16" s="668"/>
      <c r="O16" s="668"/>
      <c r="P16" s="515"/>
      <c r="Q16" s="518"/>
      <c r="R16" s="518"/>
      <c r="S16" s="515" t="e">
        <f t="shared" si="3"/>
        <v>#N/A</v>
      </c>
      <c r="T16" s="715"/>
      <c r="U16" s="573"/>
      <c r="V16" s="574"/>
      <c r="W16" s="574"/>
      <c r="X16" s="515" t="e">
        <f t="shared" si="4"/>
        <v>#N/A</v>
      </c>
      <c r="Y16" s="715"/>
      <c r="Z16" s="573"/>
      <c r="AA16" s="574"/>
      <c r="AB16" s="574"/>
      <c r="AC16" s="515" t="e">
        <f t="shared" si="5"/>
        <v>#N/A</v>
      </c>
      <c r="AD16" s="715"/>
      <c r="AE16" s="573"/>
      <c r="AF16" s="574"/>
      <c r="AG16" s="574"/>
      <c r="AH16" s="515" t="e">
        <f t="shared" si="6"/>
        <v>#N/A</v>
      </c>
      <c r="AI16" s="715"/>
      <c r="AJ16" s="573"/>
      <c r="AK16" s="574"/>
      <c r="AL16" s="574"/>
      <c r="AM16" s="515" t="e">
        <f t="shared" si="7"/>
        <v>#N/A</v>
      </c>
      <c r="AN16" s="715"/>
      <c r="AO16" s="573"/>
      <c r="AP16" s="574"/>
      <c r="AQ16" s="574"/>
      <c r="AR16" s="515" t="e">
        <f t="shared" si="8"/>
        <v>#N/A</v>
      </c>
      <c r="AS16" s="715"/>
      <c r="AT16" s="573"/>
      <c r="AU16" s="574"/>
      <c r="AV16" s="574"/>
      <c r="AW16" s="515" t="e">
        <f t="shared" si="9"/>
        <v>#N/A</v>
      </c>
      <c r="AX16" s="715"/>
      <c r="AZ16" s="362" t="e">
        <f>RANK(AX16, $K$7:AX$21)</f>
        <v>#N/A</v>
      </c>
      <c r="BB16" s="359" t="e">
        <f t="shared" si="10"/>
        <v>#N/A</v>
      </c>
    </row>
    <row r="17" spans="2:54">
      <c r="B17" s="701"/>
      <c r="C17" s="515">
        <v>11</v>
      </c>
      <c r="D17" s="498"/>
      <c r="E17" s="518"/>
      <c r="F17" s="518"/>
      <c r="G17" s="518"/>
      <c r="H17" s="713"/>
      <c r="I17" s="515"/>
      <c r="J17" s="515"/>
      <c r="K17" s="515"/>
      <c r="L17" s="713"/>
      <c r="M17" s="517" t="e">
        <f>RANK(K17, K$7:$K$21)</f>
        <v>#N/A</v>
      </c>
      <c r="N17" s="668"/>
      <c r="O17" s="668"/>
      <c r="P17" s="515"/>
      <c r="Q17" s="518"/>
      <c r="R17" s="518"/>
      <c r="S17" s="515" t="e">
        <f t="shared" si="3"/>
        <v>#N/A</v>
      </c>
      <c r="T17" s="715"/>
      <c r="U17" s="573"/>
      <c r="V17" s="574"/>
      <c r="W17" s="574"/>
      <c r="X17" s="515" t="e">
        <f t="shared" si="4"/>
        <v>#N/A</v>
      </c>
      <c r="Y17" s="715"/>
      <c r="Z17" s="573"/>
      <c r="AA17" s="574"/>
      <c r="AB17" s="574"/>
      <c r="AC17" s="515" t="e">
        <f t="shared" si="5"/>
        <v>#N/A</v>
      </c>
      <c r="AD17" s="715"/>
      <c r="AE17" s="573"/>
      <c r="AF17" s="574"/>
      <c r="AG17" s="574"/>
      <c r="AH17" s="515" t="e">
        <f t="shared" si="6"/>
        <v>#N/A</v>
      </c>
      <c r="AI17" s="715"/>
      <c r="AJ17" s="573"/>
      <c r="AK17" s="574"/>
      <c r="AL17" s="574"/>
      <c r="AM17" s="515" t="e">
        <f t="shared" si="7"/>
        <v>#N/A</v>
      </c>
      <c r="AN17" s="715"/>
      <c r="AO17" s="573"/>
      <c r="AP17" s="574"/>
      <c r="AQ17" s="574"/>
      <c r="AR17" s="515" t="e">
        <f t="shared" si="8"/>
        <v>#N/A</v>
      </c>
      <c r="AS17" s="715"/>
      <c r="AT17" s="573"/>
      <c r="AU17" s="574"/>
      <c r="AV17" s="574"/>
      <c r="AW17" s="515" t="e">
        <f t="shared" si="9"/>
        <v>#N/A</v>
      </c>
      <c r="AX17" s="715"/>
      <c r="AZ17" s="362" t="e">
        <f>RANK(AX17, $K$7:AX$21)</f>
        <v>#N/A</v>
      </c>
      <c r="BB17" s="359" t="e">
        <f t="shared" si="10"/>
        <v>#N/A</v>
      </c>
    </row>
    <row r="18" spans="2:54">
      <c r="B18" s="701"/>
      <c r="C18" s="515">
        <v>12</v>
      </c>
      <c r="D18" s="498"/>
      <c r="E18" s="518"/>
      <c r="F18" s="518"/>
      <c r="G18" s="518"/>
      <c r="H18" s="713"/>
      <c r="I18" s="515"/>
      <c r="J18" s="515"/>
      <c r="K18" s="515"/>
      <c r="L18" s="713"/>
      <c r="M18" s="517" t="e">
        <f>RANK(K18, K$7:$K$21)</f>
        <v>#N/A</v>
      </c>
      <c r="N18" s="668"/>
      <c r="O18" s="668"/>
      <c r="P18" s="515"/>
      <c r="Q18" s="518"/>
      <c r="R18" s="518"/>
      <c r="S18" s="515" t="e">
        <f t="shared" si="3"/>
        <v>#N/A</v>
      </c>
      <c r="T18" s="715"/>
      <c r="U18" s="573"/>
      <c r="V18" s="574"/>
      <c r="W18" s="574"/>
      <c r="X18" s="515" t="e">
        <f t="shared" si="4"/>
        <v>#N/A</v>
      </c>
      <c r="Y18" s="715"/>
      <c r="Z18" s="573"/>
      <c r="AA18" s="574"/>
      <c r="AB18" s="574"/>
      <c r="AC18" s="515" t="e">
        <f t="shared" si="5"/>
        <v>#N/A</v>
      </c>
      <c r="AD18" s="715"/>
      <c r="AE18" s="573"/>
      <c r="AF18" s="574"/>
      <c r="AG18" s="574"/>
      <c r="AH18" s="515" t="e">
        <f t="shared" si="6"/>
        <v>#N/A</v>
      </c>
      <c r="AI18" s="715"/>
      <c r="AJ18" s="573"/>
      <c r="AK18" s="574"/>
      <c r="AL18" s="574"/>
      <c r="AM18" s="515" t="e">
        <f t="shared" si="7"/>
        <v>#N/A</v>
      </c>
      <c r="AN18" s="715"/>
      <c r="AO18" s="573"/>
      <c r="AP18" s="574"/>
      <c r="AQ18" s="574"/>
      <c r="AR18" s="515" t="e">
        <f t="shared" si="8"/>
        <v>#N/A</v>
      </c>
      <c r="AS18" s="715"/>
      <c r="AT18" s="573"/>
      <c r="AU18" s="574"/>
      <c r="AV18" s="574"/>
      <c r="AW18" s="515" t="e">
        <f t="shared" si="9"/>
        <v>#N/A</v>
      </c>
      <c r="AX18" s="715"/>
      <c r="AZ18" s="362" t="e">
        <f>RANK(AX18, $K$7:AX$21)</f>
        <v>#N/A</v>
      </c>
      <c r="BB18" s="359" t="e">
        <f t="shared" si="10"/>
        <v>#N/A</v>
      </c>
    </row>
    <row r="19" spans="2:54">
      <c r="B19" s="701"/>
      <c r="C19" s="515">
        <v>13</v>
      </c>
      <c r="D19" s="498"/>
      <c r="E19" s="518"/>
      <c r="F19" s="518"/>
      <c r="G19" s="518"/>
      <c r="H19" s="713"/>
      <c r="I19" s="515"/>
      <c r="J19" s="515"/>
      <c r="K19" s="515"/>
      <c r="L19" s="713"/>
      <c r="M19" s="517" t="e">
        <f>RANK(K19, K$7:$K$21)</f>
        <v>#N/A</v>
      </c>
      <c r="N19" s="668"/>
      <c r="O19" s="668"/>
      <c r="P19" s="515"/>
      <c r="Q19" s="518"/>
      <c r="R19" s="518"/>
      <c r="S19" s="515" t="e">
        <f t="shared" si="3"/>
        <v>#N/A</v>
      </c>
      <c r="T19" s="715"/>
      <c r="U19" s="573"/>
      <c r="V19" s="574"/>
      <c r="W19" s="574"/>
      <c r="X19" s="515" t="e">
        <f t="shared" si="4"/>
        <v>#N/A</v>
      </c>
      <c r="Y19" s="715"/>
      <c r="Z19" s="573"/>
      <c r="AA19" s="574"/>
      <c r="AB19" s="574"/>
      <c r="AC19" s="515" t="e">
        <f t="shared" si="5"/>
        <v>#N/A</v>
      </c>
      <c r="AD19" s="715"/>
      <c r="AE19" s="573"/>
      <c r="AF19" s="574"/>
      <c r="AG19" s="574"/>
      <c r="AH19" s="515" t="e">
        <f t="shared" si="6"/>
        <v>#N/A</v>
      </c>
      <c r="AI19" s="715"/>
      <c r="AJ19" s="573"/>
      <c r="AK19" s="574"/>
      <c r="AL19" s="574"/>
      <c r="AM19" s="515" t="e">
        <f t="shared" si="7"/>
        <v>#N/A</v>
      </c>
      <c r="AN19" s="715"/>
      <c r="AO19" s="573"/>
      <c r="AP19" s="574"/>
      <c r="AQ19" s="574"/>
      <c r="AR19" s="515" t="e">
        <f t="shared" si="8"/>
        <v>#N/A</v>
      </c>
      <c r="AS19" s="715"/>
      <c r="AT19" s="573"/>
      <c r="AU19" s="574"/>
      <c r="AV19" s="574"/>
      <c r="AW19" s="515" t="e">
        <f t="shared" si="9"/>
        <v>#N/A</v>
      </c>
      <c r="AX19" s="715"/>
      <c r="AZ19" s="362" t="e">
        <f>RANK(AX19, $K$7:AX$21)</f>
        <v>#N/A</v>
      </c>
      <c r="BB19" s="359" t="e">
        <f t="shared" si="10"/>
        <v>#N/A</v>
      </c>
    </row>
    <row r="20" spans="2:54">
      <c r="B20" s="701"/>
      <c r="C20" s="515">
        <v>14</v>
      </c>
      <c r="D20" s="498"/>
      <c r="E20" s="518"/>
      <c r="F20" s="518"/>
      <c r="G20" s="518"/>
      <c r="H20" s="713"/>
      <c r="I20" s="515"/>
      <c r="J20" s="515"/>
      <c r="K20" s="515"/>
      <c r="L20" s="713"/>
      <c r="M20" s="517" t="e">
        <f>RANK(K20, K$7:$K$21)</f>
        <v>#N/A</v>
      </c>
      <c r="N20" s="668"/>
      <c r="O20" s="668"/>
      <c r="P20" s="515"/>
      <c r="Q20" s="518"/>
      <c r="R20" s="518"/>
      <c r="S20" s="515" t="e">
        <f t="shared" si="3"/>
        <v>#N/A</v>
      </c>
      <c r="T20" s="715"/>
      <c r="U20" s="573"/>
      <c r="V20" s="574"/>
      <c r="W20" s="574"/>
      <c r="X20" s="515" t="e">
        <f t="shared" si="4"/>
        <v>#N/A</v>
      </c>
      <c r="Y20" s="715"/>
      <c r="Z20" s="573"/>
      <c r="AA20" s="574"/>
      <c r="AB20" s="574"/>
      <c r="AC20" s="515" t="e">
        <f t="shared" si="5"/>
        <v>#N/A</v>
      </c>
      <c r="AD20" s="715"/>
      <c r="AE20" s="573"/>
      <c r="AF20" s="574"/>
      <c r="AG20" s="574"/>
      <c r="AH20" s="515" t="e">
        <f t="shared" si="6"/>
        <v>#N/A</v>
      </c>
      <c r="AI20" s="715"/>
      <c r="AJ20" s="573"/>
      <c r="AK20" s="574"/>
      <c r="AL20" s="574"/>
      <c r="AM20" s="515" t="e">
        <f t="shared" si="7"/>
        <v>#N/A</v>
      </c>
      <c r="AN20" s="715"/>
      <c r="AO20" s="573"/>
      <c r="AP20" s="574"/>
      <c r="AQ20" s="574"/>
      <c r="AR20" s="515" t="e">
        <f t="shared" si="8"/>
        <v>#N/A</v>
      </c>
      <c r="AS20" s="715"/>
      <c r="AT20" s="573"/>
      <c r="AU20" s="574"/>
      <c r="AV20" s="574"/>
      <c r="AW20" s="515" t="e">
        <f t="shared" si="9"/>
        <v>#N/A</v>
      </c>
      <c r="AX20" s="715"/>
      <c r="AZ20" s="362" t="e">
        <f>RANK(AX20, $K$7:AX$21)</f>
        <v>#N/A</v>
      </c>
      <c r="BB20" s="359" t="e">
        <f t="shared" si="10"/>
        <v>#N/A</v>
      </c>
    </row>
    <row r="21" spans="2:54">
      <c r="B21" s="701"/>
      <c r="C21" s="515">
        <v>15</v>
      </c>
      <c r="D21" s="498"/>
      <c r="E21" s="518"/>
      <c r="F21" s="518"/>
      <c r="G21" s="518"/>
      <c r="H21" s="723"/>
      <c r="I21" s="515"/>
      <c r="J21" s="515"/>
      <c r="K21" s="515"/>
      <c r="L21" s="723"/>
      <c r="M21" s="517" t="e">
        <f>RANK(K21, K$7:$K$21)</f>
        <v>#N/A</v>
      </c>
      <c r="N21" s="668"/>
      <c r="O21" s="668"/>
      <c r="P21" s="515"/>
      <c r="Q21" s="518"/>
      <c r="R21" s="518"/>
      <c r="S21" s="515" t="e">
        <f t="shared" si="3"/>
        <v>#N/A</v>
      </c>
      <c r="T21" s="715"/>
      <c r="U21" s="573"/>
      <c r="V21" s="574"/>
      <c r="W21" s="574"/>
      <c r="X21" s="515" t="e">
        <f t="shared" si="4"/>
        <v>#N/A</v>
      </c>
      <c r="Y21" s="715"/>
      <c r="Z21" s="573"/>
      <c r="AA21" s="574"/>
      <c r="AB21" s="574"/>
      <c r="AC21" s="515" t="e">
        <f t="shared" si="5"/>
        <v>#N/A</v>
      </c>
      <c r="AD21" s="715"/>
      <c r="AE21" s="573"/>
      <c r="AF21" s="574"/>
      <c r="AG21" s="574"/>
      <c r="AH21" s="515" t="e">
        <f t="shared" si="6"/>
        <v>#N/A</v>
      </c>
      <c r="AI21" s="715"/>
      <c r="AJ21" s="573"/>
      <c r="AK21" s="574"/>
      <c r="AL21" s="574"/>
      <c r="AM21" s="515" t="e">
        <f t="shared" si="7"/>
        <v>#N/A</v>
      </c>
      <c r="AN21" s="715"/>
      <c r="AO21" s="573"/>
      <c r="AP21" s="574"/>
      <c r="AQ21" s="574"/>
      <c r="AR21" s="515" t="e">
        <f t="shared" si="8"/>
        <v>#N/A</v>
      </c>
      <c r="AS21" s="715"/>
      <c r="AT21" s="573"/>
      <c r="AU21" s="574"/>
      <c r="AV21" s="574"/>
      <c r="AW21" s="515" t="e">
        <f t="shared" si="9"/>
        <v>#N/A</v>
      </c>
      <c r="AX21" s="715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69" t="s">
        <v>156</v>
      </c>
      <c r="O22" s="669" t="s">
        <v>105</v>
      </c>
      <c r="P22" s="675">
        <f>P2+7</f>
        <v>46091</v>
      </c>
      <c r="Q22" s="676"/>
      <c r="R22" s="676"/>
      <c r="S22" s="676"/>
      <c r="T22" s="676"/>
      <c r="U22" s="672">
        <f>P22+1</f>
        <v>46092</v>
      </c>
      <c r="V22" s="673"/>
      <c r="W22" s="673"/>
      <c r="X22" s="673"/>
      <c r="Y22" s="674"/>
      <c r="Z22" s="672">
        <f>U22+1</f>
        <v>46093</v>
      </c>
      <c r="AA22" s="673"/>
      <c r="AB22" s="673"/>
      <c r="AC22" s="673"/>
      <c r="AD22" s="674"/>
      <c r="AE22" s="672">
        <f>Z22+1</f>
        <v>46094</v>
      </c>
      <c r="AF22" s="673"/>
      <c r="AG22" s="673"/>
      <c r="AH22" s="673"/>
      <c r="AI22" s="674"/>
      <c r="AJ22" s="672">
        <f>AE22+1</f>
        <v>46095</v>
      </c>
      <c r="AK22" s="673"/>
      <c r="AL22" s="673"/>
      <c r="AM22" s="673"/>
      <c r="AN22" s="674"/>
      <c r="AO22" s="672">
        <f>AJ22+1</f>
        <v>46096</v>
      </c>
      <c r="AP22" s="673"/>
      <c r="AQ22" s="673"/>
      <c r="AR22" s="673"/>
      <c r="AS22" s="674"/>
      <c r="AT22" s="672">
        <f>AO22+1</f>
        <v>46097</v>
      </c>
      <c r="AU22" s="673"/>
      <c r="AV22" s="673"/>
      <c r="AW22" s="673"/>
      <c r="AX22" s="674"/>
    </row>
    <row r="23" spans="2:54" ht="15.75">
      <c r="B23" s="683"/>
      <c r="C23" s="683"/>
      <c r="D23" s="683"/>
      <c r="E23" s="683"/>
      <c r="F23" s="683"/>
      <c r="G23" s="683"/>
      <c r="H23" s="683"/>
      <c r="I23" s="205"/>
      <c r="J23" s="205"/>
      <c r="K23" s="205"/>
      <c r="L23" s="205"/>
      <c r="M23" s="206"/>
      <c r="N23" s="671"/>
      <c r="O23" s="671"/>
      <c r="P23" s="675" t="s">
        <v>336</v>
      </c>
      <c r="Q23" s="676"/>
      <c r="R23" s="676"/>
      <c r="S23" s="676"/>
      <c r="T23" s="676"/>
      <c r="U23" s="675" t="s">
        <v>337</v>
      </c>
      <c r="V23" s="676"/>
      <c r="W23" s="676"/>
      <c r="X23" s="676"/>
      <c r="Y23" s="676"/>
      <c r="Z23" s="675" t="s">
        <v>338</v>
      </c>
      <c r="AA23" s="676"/>
      <c r="AB23" s="676"/>
      <c r="AC23" s="676"/>
      <c r="AD23" s="676"/>
      <c r="AE23" s="675" t="s">
        <v>339</v>
      </c>
      <c r="AF23" s="676"/>
      <c r="AG23" s="676"/>
      <c r="AH23" s="676"/>
      <c r="AI23" s="676"/>
      <c r="AJ23" s="675" t="s">
        <v>340</v>
      </c>
      <c r="AK23" s="676"/>
      <c r="AL23" s="676"/>
      <c r="AM23" s="676"/>
      <c r="AN23" s="676"/>
      <c r="AO23" s="675" t="s">
        <v>341</v>
      </c>
      <c r="AP23" s="676"/>
      <c r="AQ23" s="676"/>
      <c r="AR23" s="676"/>
      <c r="AS23" s="676"/>
      <c r="AT23" s="675" t="s">
        <v>342</v>
      </c>
      <c r="AU23" s="676"/>
      <c r="AV23" s="676"/>
      <c r="AW23" s="676"/>
      <c r="AX23" s="676"/>
    </row>
    <row r="24" spans="2:54">
      <c r="B24" s="668" t="s">
        <v>549</v>
      </c>
      <c r="C24" s="668" t="s">
        <v>550</v>
      </c>
      <c r="D24" s="668"/>
      <c r="E24" s="668" t="s">
        <v>551</v>
      </c>
      <c r="F24" s="668"/>
      <c r="G24" s="668"/>
      <c r="H24" s="684" t="s">
        <v>522</v>
      </c>
      <c r="I24" s="652" t="s">
        <v>518</v>
      </c>
      <c r="J24" s="652"/>
      <c r="K24" s="652"/>
      <c r="L24" s="653" t="s">
        <v>522</v>
      </c>
      <c r="M24" s="659" t="s">
        <v>552</v>
      </c>
      <c r="N24" s="668"/>
      <c r="O24" s="668" t="s">
        <v>553</v>
      </c>
      <c r="P24" s="665" t="s">
        <v>520</v>
      </c>
      <c r="Q24" s="666"/>
      <c r="R24" s="666"/>
      <c r="S24" s="667"/>
      <c r="T24" s="668" t="s">
        <v>522</v>
      </c>
      <c r="U24" s="665" t="s">
        <v>520</v>
      </c>
      <c r="V24" s="666"/>
      <c r="W24" s="666"/>
      <c r="X24" s="667"/>
      <c r="Y24" s="668" t="s">
        <v>522</v>
      </c>
      <c r="Z24" s="665" t="s">
        <v>520</v>
      </c>
      <c r="AA24" s="666"/>
      <c r="AB24" s="666"/>
      <c r="AC24" s="667"/>
      <c r="AD24" s="668" t="s">
        <v>522</v>
      </c>
      <c r="AE24" s="665" t="s">
        <v>520</v>
      </c>
      <c r="AF24" s="666"/>
      <c r="AG24" s="666"/>
      <c r="AH24" s="667"/>
      <c r="AI24" s="668" t="s">
        <v>522</v>
      </c>
      <c r="AJ24" s="665" t="s">
        <v>520</v>
      </c>
      <c r="AK24" s="666"/>
      <c r="AL24" s="666"/>
      <c r="AM24" s="667"/>
      <c r="AN24" s="668" t="s">
        <v>522</v>
      </c>
      <c r="AO24" s="665" t="s">
        <v>520</v>
      </c>
      <c r="AP24" s="666"/>
      <c r="AQ24" s="666"/>
      <c r="AR24" s="667"/>
      <c r="AS24" s="668" t="s">
        <v>522</v>
      </c>
      <c r="AT24" s="665" t="s">
        <v>520</v>
      </c>
      <c r="AU24" s="666"/>
      <c r="AV24" s="666"/>
      <c r="AW24" s="667"/>
      <c r="AX24" s="668" t="s">
        <v>522</v>
      </c>
    </row>
    <row r="25" spans="2:54">
      <c r="B25" s="668"/>
      <c r="C25" s="668"/>
      <c r="D25" s="668"/>
      <c r="E25" s="668" t="s">
        <v>525</v>
      </c>
      <c r="F25" s="668"/>
      <c r="G25" s="668"/>
      <c r="H25" s="685"/>
      <c r="I25" s="652" t="s">
        <v>525</v>
      </c>
      <c r="J25" s="652"/>
      <c r="K25" s="652"/>
      <c r="L25" s="654"/>
      <c r="M25" s="660"/>
      <c r="N25" s="668"/>
      <c r="O25" s="668"/>
      <c r="P25" s="665" t="s">
        <v>526</v>
      </c>
      <c r="Q25" s="666"/>
      <c r="R25" s="666"/>
      <c r="S25" s="667"/>
      <c r="T25" s="668"/>
      <c r="U25" s="665" t="s">
        <v>526</v>
      </c>
      <c r="V25" s="666"/>
      <c r="W25" s="666"/>
      <c r="X25" s="667"/>
      <c r="Y25" s="668"/>
      <c r="Z25" s="665" t="s">
        <v>526</v>
      </c>
      <c r="AA25" s="666"/>
      <c r="AB25" s="666"/>
      <c r="AC25" s="667"/>
      <c r="AD25" s="668"/>
      <c r="AE25" s="665" t="s">
        <v>526</v>
      </c>
      <c r="AF25" s="666"/>
      <c r="AG25" s="666"/>
      <c r="AH25" s="667"/>
      <c r="AI25" s="668"/>
      <c r="AJ25" s="665" t="s">
        <v>526</v>
      </c>
      <c r="AK25" s="666"/>
      <c r="AL25" s="666"/>
      <c r="AM25" s="667"/>
      <c r="AN25" s="668"/>
      <c r="AO25" s="665" t="s">
        <v>526</v>
      </c>
      <c r="AP25" s="666"/>
      <c r="AQ25" s="666"/>
      <c r="AR25" s="667"/>
      <c r="AS25" s="668"/>
      <c r="AT25" s="665" t="s">
        <v>526</v>
      </c>
      <c r="AU25" s="666"/>
      <c r="AV25" s="666"/>
      <c r="AW25" s="667"/>
      <c r="AX25" s="668"/>
    </row>
    <row r="26" spans="2:54">
      <c r="B26" s="668"/>
      <c r="C26" s="668"/>
      <c r="D26" s="668"/>
      <c r="E26" s="320" t="s">
        <v>530</v>
      </c>
      <c r="F26" s="320" t="s">
        <v>554</v>
      </c>
      <c r="G26" s="320" t="s">
        <v>529</v>
      </c>
      <c r="H26" s="686"/>
      <c r="I26" s="319" t="s">
        <v>530</v>
      </c>
      <c r="J26" s="319" t="s">
        <v>554</v>
      </c>
      <c r="K26" s="319" t="s">
        <v>529</v>
      </c>
      <c r="L26" s="655"/>
      <c r="M26" s="661"/>
      <c r="N26" s="668"/>
      <c r="O26" s="668"/>
      <c r="P26" s="320" t="s">
        <v>530</v>
      </c>
      <c r="Q26" s="320" t="s">
        <v>554</v>
      </c>
      <c r="R26" s="320" t="s">
        <v>529</v>
      </c>
      <c r="S26" s="320" t="s">
        <v>552</v>
      </c>
      <c r="T26" s="668"/>
      <c r="U26" s="320" t="s">
        <v>530</v>
      </c>
      <c r="V26" s="320" t="s">
        <v>426</v>
      </c>
      <c r="W26" s="320" t="s">
        <v>529</v>
      </c>
      <c r="X26" s="320" t="s">
        <v>552</v>
      </c>
      <c r="Y26" s="668"/>
      <c r="Z26" s="320" t="s">
        <v>530</v>
      </c>
      <c r="AA26" s="320" t="s">
        <v>426</v>
      </c>
      <c r="AB26" s="320" t="s">
        <v>529</v>
      </c>
      <c r="AC26" s="320" t="s">
        <v>552</v>
      </c>
      <c r="AD26" s="668"/>
      <c r="AE26" s="320" t="s">
        <v>530</v>
      </c>
      <c r="AF26" s="320" t="s">
        <v>554</v>
      </c>
      <c r="AG26" s="320" t="s">
        <v>529</v>
      </c>
      <c r="AH26" s="320" t="s">
        <v>552</v>
      </c>
      <c r="AI26" s="668"/>
      <c r="AJ26" s="320" t="s">
        <v>530</v>
      </c>
      <c r="AK26" s="320" t="s">
        <v>554</v>
      </c>
      <c r="AL26" s="320" t="s">
        <v>529</v>
      </c>
      <c r="AM26" s="320" t="s">
        <v>552</v>
      </c>
      <c r="AN26" s="668"/>
      <c r="AO26" s="320" t="s">
        <v>530</v>
      </c>
      <c r="AP26" s="320" t="s">
        <v>554</v>
      </c>
      <c r="AQ26" s="320" t="s">
        <v>529</v>
      </c>
      <c r="AR26" s="320" t="s">
        <v>552</v>
      </c>
      <c r="AS26" s="668"/>
      <c r="AT26" s="320" t="s">
        <v>530</v>
      </c>
      <c r="AU26" s="320" t="s">
        <v>554</v>
      </c>
      <c r="AV26" s="320" t="s">
        <v>529</v>
      </c>
      <c r="AW26" s="320" t="s">
        <v>552</v>
      </c>
      <c r="AX26" s="668"/>
    </row>
    <row r="27" spans="2:54">
      <c r="B27" s="668" t="s">
        <v>555</v>
      </c>
      <c r="C27" s="321">
        <v>1</v>
      </c>
      <c r="D27" s="227" t="s">
        <v>383</v>
      </c>
      <c r="E27" s="182">
        <v>7</v>
      </c>
      <c r="F27" s="569">
        <v>1500</v>
      </c>
      <c r="G27" s="570">
        <v>214.3</v>
      </c>
      <c r="H27" s="717">
        <f>AVERAGE(G27:G41)</f>
        <v>184.22380952380954</v>
      </c>
      <c r="I27" s="199">
        <f t="shared" ref="I27:K32" si="11">AVERAGE(P27,U27,Z27,AE27,AJ27,AO27,AT27)</f>
        <v>7</v>
      </c>
      <c r="J27" s="199">
        <f t="shared" si="11"/>
        <v>1458.6358753542122</v>
      </c>
      <c r="K27" s="200">
        <f t="shared" si="11"/>
        <v>208.37655362203031</v>
      </c>
      <c r="L27" s="649">
        <f>IFERROR(AVERAGE(K27:K41),"-")</f>
        <v>172.37040001971948</v>
      </c>
      <c r="M27" s="201">
        <f>RANK(K27, K$27:$K$41)</f>
        <v>3</v>
      </c>
      <c r="N27" s="668"/>
      <c r="O27" s="668"/>
      <c r="P27" s="573">
        <v>7</v>
      </c>
      <c r="Q27" s="574">
        <v>1451.6883116883116</v>
      </c>
      <c r="R27" s="574">
        <v>207.38404452690165</v>
      </c>
      <c r="S27" s="321">
        <f t="shared" ref="S27:S41" si="12">RANK(R27, R$27:R$41)</f>
        <v>4</v>
      </c>
      <c r="T27" s="677">
        <f>AVERAGE(R27:R41)</f>
        <v>169.6099345806156</v>
      </c>
      <c r="U27" s="573">
        <v>7</v>
      </c>
      <c r="V27" s="574">
        <v>1459.714285714286</v>
      </c>
      <c r="W27" s="574">
        <v>208.53061224489801</v>
      </c>
      <c r="X27" s="475">
        <f t="shared" ref="X27:X41" si="13">RANK(W27, W$27:W$41)</f>
        <v>3</v>
      </c>
      <c r="Y27" s="677">
        <f t="shared" ref="Y27" si="14">AVERAGE(W27:W41)</f>
        <v>173.02584570332115</v>
      </c>
      <c r="Z27" s="573">
        <v>7</v>
      </c>
      <c r="AA27" s="574">
        <v>1450.8333333333328</v>
      </c>
      <c r="AB27" s="574">
        <v>207.26190476190467</v>
      </c>
      <c r="AC27" s="475">
        <f t="shared" ref="AC27:AC41" si="15">RANK(AB27, AB$27:AB$41)</f>
        <v>5</v>
      </c>
      <c r="AD27" s="677">
        <f t="shared" ref="AD27" si="16">AVERAGE(AB27:AB41)</f>
        <v>172.04558679808798</v>
      </c>
      <c r="AE27" s="573">
        <v>7</v>
      </c>
      <c r="AF27" s="574">
        <v>1467.0000000000005</v>
      </c>
      <c r="AG27" s="574">
        <v>209.57142857142864</v>
      </c>
      <c r="AH27" s="475">
        <f t="shared" ref="AH27:AH41" si="17">RANK(AG27, AG$27:AG$41)</f>
        <v>3</v>
      </c>
      <c r="AI27" s="677">
        <f t="shared" ref="AI27" si="18">AVERAGE(AG27:AG41)</f>
        <v>172.37213604825635</v>
      </c>
      <c r="AJ27" s="573">
        <v>7</v>
      </c>
      <c r="AK27" s="574">
        <v>1460.5970149253731</v>
      </c>
      <c r="AL27" s="574">
        <v>208.65671641791045</v>
      </c>
      <c r="AM27" s="475">
        <f t="shared" ref="AM27:AM41" si="19">RANK(AL27, AL$27:AL$41)</f>
        <v>3</v>
      </c>
      <c r="AN27" s="677">
        <f t="shared" ref="AN27" si="20">AVERAGE(AL27:AL41)</f>
        <v>172.69981204254051</v>
      </c>
      <c r="AO27" s="573">
        <v>7</v>
      </c>
      <c r="AP27" s="574">
        <v>1471.818181818182</v>
      </c>
      <c r="AQ27" s="574">
        <v>210.25974025974028</v>
      </c>
      <c r="AR27" s="475">
        <f t="shared" ref="AR27:AR41" si="21">RANK(AQ27, AQ$27:AQ$41)</f>
        <v>3</v>
      </c>
      <c r="AS27" s="677">
        <f t="shared" ref="AS27" si="22">AVERAGE(AQ27:AQ41)</f>
        <v>173.61283006031422</v>
      </c>
      <c r="AT27" s="573">
        <v>7</v>
      </c>
      <c r="AU27" s="574">
        <v>1448.7999999999997</v>
      </c>
      <c r="AV27" s="574">
        <v>206.97142857142853</v>
      </c>
      <c r="AW27" s="475">
        <f t="shared" ref="AW27:AW41" si="23">RANK(AV27, AV$27:AV$41)</f>
        <v>5</v>
      </c>
      <c r="AX27" s="690">
        <f t="shared" ref="AX27" si="24">AVERAGE(AV27:AV41)</f>
        <v>173.2266549049005</v>
      </c>
    </row>
    <row r="28" spans="2:54">
      <c r="B28" s="676"/>
      <c r="C28" s="321">
        <v>2</v>
      </c>
      <c r="D28" s="227" t="s">
        <v>384</v>
      </c>
      <c r="E28" s="182">
        <v>7</v>
      </c>
      <c r="F28" s="569">
        <v>1500</v>
      </c>
      <c r="G28" s="570">
        <v>214.3</v>
      </c>
      <c r="H28" s="718"/>
      <c r="I28" s="199">
        <f t="shared" si="11"/>
        <v>7</v>
      </c>
      <c r="J28" s="199">
        <f t="shared" si="11"/>
        <v>1456.1842796863655</v>
      </c>
      <c r="K28" s="200">
        <f t="shared" si="11"/>
        <v>208.02632566948077</v>
      </c>
      <c r="L28" s="650"/>
      <c r="M28" s="201">
        <f>RANK(K28, K$27:$K$41)</f>
        <v>4</v>
      </c>
      <c r="N28" s="668"/>
      <c r="O28" s="668"/>
      <c r="P28" s="573">
        <v>7</v>
      </c>
      <c r="Q28" s="574">
        <v>1458.0000000000002</v>
      </c>
      <c r="R28" s="574">
        <v>208.28571428571431</v>
      </c>
      <c r="S28" s="321">
        <f t="shared" si="12"/>
        <v>3</v>
      </c>
      <c r="T28" s="678"/>
      <c r="U28" s="573">
        <v>7</v>
      </c>
      <c r="V28" s="574">
        <v>1451.2195121951215</v>
      </c>
      <c r="W28" s="574">
        <v>207.31707317073165</v>
      </c>
      <c r="X28" s="475">
        <f t="shared" si="13"/>
        <v>4</v>
      </c>
      <c r="Y28" s="678"/>
      <c r="Z28" s="573">
        <v>7</v>
      </c>
      <c r="AA28" s="574">
        <v>1457.1428571428576</v>
      </c>
      <c r="AB28" s="574">
        <v>208.1632653061225</v>
      </c>
      <c r="AC28" s="475">
        <f t="shared" si="15"/>
        <v>3</v>
      </c>
      <c r="AD28" s="678"/>
      <c r="AE28" s="573">
        <v>7</v>
      </c>
      <c r="AF28" s="574">
        <v>1445.7142857142853</v>
      </c>
      <c r="AG28" s="574">
        <v>206.5306122448979</v>
      </c>
      <c r="AH28" s="475">
        <f t="shared" si="17"/>
        <v>4</v>
      </c>
      <c r="AI28" s="678"/>
      <c r="AJ28" s="573">
        <v>7</v>
      </c>
      <c r="AK28" s="574">
        <v>1455.9633027522934</v>
      </c>
      <c r="AL28" s="574">
        <v>207.99475753604193</v>
      </c>
      <c r="AM28" s="475">
        <f t="shared" si="19"/>
        <v>4</v>
      </c>
      <c r="AN28" s="678"/>
      <c r="AO28" s="573">
        <v>7</v>
      </c>
      <c r="AP28" s="574">
        <v>1459.0000000000005</v>
      </c>
      <c r="AQ28" s="574">
        <v>208.4285714285715</v>
      </c>
      <c r="AR28" s="475">
        <f t="shared" si="21"/>
        <v>5</v>
      </c>
      <c r="AS28" s="678"/>
      <c r="AT28" s="573">
        <v>7</v>
      </c>
      <c r="AU28" s="574">
        <v>1466.2499999999995</v>
      </c>
      <c r="AV28" s="574">
        <v>209.46428571428564</v>
      </c>
      <c r="AW28" s="475">
        <f t="shared" si="23"/>
        <v>3</v>
      </c>
      <c r="AX28" s="690"/>
    </row>
    <row r="29" spans="2:54">
      <c r="B29" s="676"/>
      <c r="C29" s="321">
        <v>3</v>
      </c>
      <c r="D29" s="227" t="s">
        <v>349</v>
      </c>
      <c r="E29" s="182">
        <v>20</v>
      </c>
      <c r="F29" s="569">
        <v>1500</v>
      </c>
      <c r="G29" s="570">
        <v>75</v>
      </c>
      <c r="H29" s="718"/>
      <c r="I29" s="199">
        <f t="shared" si="11"/>
        <v>20</v>
      </c>
      <c r="J29" s="199">
        <f t="shared" si="11"/>
        <v>1324.1637164448969</v>
      </c>
      <c r="K29" s="200">
        <f t="shared" si="11"/>
        <v>66.208185822244857</v>
      </c>
      <c r="L29" s="650"/>
      <c r="M29" s="201">
        <f>RANK(K29, K$27:$K$41)</f>
        <v>7</v>
      </c>
      <c r="N29" s="668"/>
      <c r="O29" s="668"/>
      <c r="P29" s="573">
        <v>20</v>
      </c>
      <c r="Q29" s="574">
        <v>1341.5261538461536</v>
      </c>
      <c r="R29" s="574">
        <v>67.07630769230768</v>
      </c>
      <c r="S29" s="321">
        <f t="shared" si="12"/>
        <v>7</v>
      </c>
      <c r="T29" s="678"/>
      <c r="U29" s="573">
        <v>20</v>
      </c>
      <c r="V29" s="574">
        <v>1329.4165605095541</v>
      </c>
      <c r="W29" s="574">
        <v>66.470828025477701</v>
      </c>
      <c r="X29" s="475">
        <f t="shared" si="13"/>
        <v>7</v>
      </c>
      <c r="Y29" s="678"/>
      <c r="Z29" s="573">
        <v>20</v>
      </c>
      <c r="AA29" s="574">
        <v>1297.8647482014389</v>
      </c>
      <c r="AB29" s="574">
        <v>64.893237410071947</v>
      </c>
      <c r="AC29" s="475">
        <f t="shared" si="15"/>
        <v>7</v>
      </c>
      <c r="AD29" s="678"/>
      <c r="AE29" s="573">
        <v>20</v>
      </c>
      <c r="AF29" s="574">
        <v>1291.9230769230769</v>
      </c>
      <c r="AG29" s="574">
        <v>64.59615384615384</v>
      </c>
      <c r="AH29" s="475">
        <f t="shared" si="17"/>
        <v>7</v>
      </c>
      <c r="AI29" s="678"/>
      <c r="AJ29" s="573">
        <v>20</v>
      </c>
      <c r="AK29" s="574">
        <v>1301.8867924528308</v>
      </c>
      <c r="AL29" s="574">
        <v>65.094339622641542</v>
      </c>
      <c r="AM29" s="475">
        <f t="shared" si="19"/>
        <v>7</v>
      </c>
      <c r="AN29" s="678"/>
      <c r="AO29" s="573">
        <v>20</v>
      </c>
      <c r="AP29" s="574">
        <v>1307.8846153846157</v>
      </c>
      <c r="AQ29" s="574">
        <v>65.394230769230788</v>
      </c>
      <c r="AR29" s="475">
        <f t="shared" si="21"/>
        <v>7</v>
      </c>
      <c r="AS29" s="678"/>
      <c r="AT29" s="573">
        <v>20</v>
      </c>
      <c r="AU29" s="574">
        <v>1398.6440677966102</v>
      </c>
      <c r="AV29" s="574">
        <v>69.932203389830505</v>
      </c>
      <c r="AW29" s="475">
        <f t="shared" si="23"/>
        <v>7</v>
      </c>
      <c r="AX29" s="690"/>
    </row>
    <row r="30" spans="2:54">
      <c r="B30" s="676"/>
      <c r="C30" s="321">
        <v>4</v>
      </c>
      <c r="D30" s="227" t="s">
        <v>385</v>
      </c>
      <c r="E30" s="182">
        <v>16</v>
      </c>
      <c r="F30" s="569">
        <v>1440</v>
      </c>
      <c r="G30" s="570">
        <v>84.7</v>
      </c>
      <c r="H30" s="718"/>
      <c r="I30" s="199">
        <f>AVERAGE(P30,U30,Z30,AE30,AJ30,AO30,AT30)</f>
        <v>16</v>
      </c>
      <c r="J30" s="199">
        <f>AVERAGE(Q30,V30,AA30,AF30,AK30,AP30,AU30)</f>
        <v>1371.766901605155</v>
      </c>
      <c r="K30" s="200">
        <f t="shared" si="11"/>
        <v>85.735431350322187</v>
      </c>
      <c r="L30" s="650"/>
      <c r="M30" s="201">
        <f>RANK(K30, K$27:$K$41)</f>
        <v>6</v>
      </c>
      <c r="N30" s="668"/>
      <c r="O30" s="668"/>
      <c r="P30" s="573">
        <v>16</v>
      </c>
      <c r="Q30" s="574">
        <v>1373.9130434782608</v>
      </c>
      <c r="R30" s="574">
        <v>85.869565217391298</v>
      </c>
      <c r="S30" s="321">
        <f t="shared" si="12"/>
        <v>6</v>
      </c>
      <c r="T30" s="678"/>
      <c r="U30" s="573">
        <v>16</v>
      </c>
      <c r="V30" s="574">
        <v>1373.5714285714282</v>
      </c>
      <c r="W30" s="574">
        <v>85.848214285714263</v>
      </c>
      <c r="X30" s="475">
        <f t="shared" si="13"/>
        <v>6</v>
      </c>
      <c r="Y30" s="678"/>
      <c r="Z30" s="573">
        <v>16</v>
      </c>
      <c r="AA30" s="574">
        <v>1371.4285714285711</v>
      </c>
      <c r="AB30" s="574">
        <v>85.714285714285694</v>
      </c>
      <c r="AC30" s="475">
        <f t="shared" si="15"/>
        <v>6</v>
      </c>
      <c r="AD30" s="678"/>
      <c r="AE30" s="573">
        <v>16</v>
      </c>
      <c r="AF30" s="574">
        <v>1359.4285714285718</v>
      </c>
      <c r="AG30" s="574">
        <v>84.964285714285737</v>
      </c>
      <c r="AH30" s="475">
        <f t="shared" si="17"/>
        <v>6</v>
      </c>
      <c r="AI30" s="678"/>
      <c r="AJ30" s="573">
        <v>16</v>
      </c>
      <c r="AK30" s="574">
        <v>1379.9999999999991</v>
      </c>
      <c r="AL30" s="574">
        <v>86.249999999999943</v>
      </c>
      <c r="AM30" s="475">
        <f t="shared" si="19"/>
        <v>6</v>
      </c>
      <c r="AN30" s="678"/>
      <c r="AO30" s="573">
        <v>16</v>
      </c>
      <c r="AP30" s="574">
        <v>1372.4137931034479</v>
      </c>
      <c r="AQ30" s="574">
        <v>85.775862068965495</v>
      </c>
      <c r="AR30" s="475">
        <f t="shared" si="21"/>
        <v>6</v>
      </c>
      <c r="AS30" s="678"/>
      <c r="AT30" s="573">
        <v>16</v>
      </c>
      <c r="AU30" s="574">
        <v>1371.6129032258066</v>
      </c>
      <c r="AV30" s="574">
        <v>85.725806451612911</v>
      </c>
      <c r="AW30" s="475">
        <f t="shared" si="23"/>
        <v>6</v>
      </c>
      <c r="AX30" s="690"/>
    </row>
    <row r="31" spans="2:54">
      <c r="B31" s="676"/>
      <c r="C31" s="321">
        <v>5</v>
      </c>
      <c r="D31" s="227" t="s">
        <v>457</v>
      </c>
      <c r="E31" s="182">
        <v>7</v>
      </c>
      <c r="F31" s="569">
        <v>1500</v>
      </c>
      <c r="G31" s="570">
        <v>214.3</v>
      </c>
      <c r="H31" s="718"/>
      <c r="I31" s="199">
        <f t="shared" si="11"/>
        <v>7</v>
      </c>
      <c r="J31" s="199">
        <f t="shared" si="11"/>
        <v>1455.1313064019766</v>
      </c>
      <c r="K31" s="200">
        <f t="shared" si="11"/>
        <v>207.87590091456812</v>
      </c>
      <c r="L31" s="650"/>
      <c r="M31" s="201">
        <f>RANK(K31, K$27:$K$41)</f>
        <v>5</v>
      </c>
      <c r="N31" s="668"/>
      <c r="O31" s="668"/>
      <c r="P31" s="573">
        <v>7</v>
      </c>
      <c r="Q31" s="574">
        <v>1461.3084112149534</v>
      </c>
      <c r="R31" s="574">
        <v>208.75834445927904</v>
      </c>
      <c r="S31" s="321">
        <f t="shared" si="12"/>
        <v>2</v>
      </c>
      <c r="T31" s="678"/>
      <c r="U31" s="573">
        <v>7</v>
      </c>
      <c r="V31" s="574">
        <v>1447.8504672897193</v>
      </c>
      <c r="W31" s="574">
        <v>206.83578104138846</v>
      </c>
      <c r="X31" s="475">
        <f t="shared" si="13"/>
        <v>5</v>
      </c>
      <c r="Y31" s="678"/>
      <c r="Z31" s="573">
        <v>7</v>
      </c>
      <c r="AA31" s="574">
        <v>1455.849056603774</v>
      </c>
      <c r="AB31" s="574">
        <v>207.97843665768201</v>
      </c>
      <c r="AC31" s="475">
        <f t="shared" si="15"/>
        <v>4</v>
      </c>
      <c r="AD31" s="678"/>
      <c r="AE31" s="573">
        <v>7</v>
      </c>
      <c r="AF31" s="574">
        <v>1442.4742268041234</v>
      </c>
      <c r="AG31" s="574">
        <v>206.06774668630334</v>
      </c>
      <c r="AH31" s="475">
        <f t="shared" si="17"/>
        <v>5</v>
      </c>
      <c r="AI31" s="678"/>
      <c r="AJ31" s="573">
        <v>7</v>
      </c>
      <c r="AK31" s="574">
        <v>1452.2448979591841</v>
      </c>
      <c r="AL31" s="574">
        <v>207.46355685131201</v>
      </c>
      <c r="AM31" s="475">
        <f t="shared" si="19"/>
        <v>5</v>
      </c>
      <c r="AN31" s="678"/>
      <c r="AO31" s="573">
        <v>7</v>
      </c>
      <c r="AP31" s="574">
        <v>1472.6785714285716</v>
      </c>
      <c r="AQ31" s="574">
        <v>210.38265306122452</v>
      </c>
      <c r="AR31" s="475">
        <f t="shared" si="21"/>
        <v>2</v>
      </c>
      <c r="AS31" s="678"/>
      <c r="AT31" s="573">
        <v>7</v>
      </c>
      <c r="AU31" s="574">
        <v>1453.5135135135129</v>
      </c>
      <c r="AV31" s="574">
        <v>207.64478764478756</v>
      </c>
      <c r="AW31" s="475">
        <f t="shared" si="23"/>
        <v>4</v>
      </c>
      <c r="AX31" s="690"/>
    </row>
    <row r="32" spans="2:54">
      <c r="B32" s="676"/>
      <c r="C32" s="321">
        <v>6</v>
      </c>
      <c r="D32" s="227" t="s">
        <v>946</v>
      </c>
      <c r="E32" s="182">
        <v>6</v>
      </c>
      <c r="F32" s="569">
        <v>1636</v>
      </c>
      <c r="G32" s="580">
        <v>272.66666666666669</v>
      </c>
      <c r="H32" s="718"/>
      <c r="I32" s="199">
        <f t="shared" si="11"/>
        <v>7.1428571428571432</v>
      </c>
      <c r="J32" s="199">
        <f t="shared" si="11"/>
        <v>1572.2136480094941</v>
      </c>
      <c r="K32" s="200">
        <f t="shared" si="11"/>
        <v>220.54288378157611</v>
      </c>
      <c r="L32" s="650"/>
      <c r="M32" s="201">
        <f>RANK(K32, K$27:$K$41)</f>
        <v>1</v>
      </c>
      <c r="N32" s="668"/>
      <c r="O32" s="668"/>
      <c r="P32" s="573">
        <v>8</v>
      </c>
      <c r="Q32" s="574">
        <v>1591.1538461538464</v>
      </c>
      <c r="R32" s="574">
        <v>198.8942307692308</v>
      </c>
      <c r="S32" s="321">
        <f t="shared" si="12"/>
        <v>5</v>
      </c>
      <c r="T32" s="678"/>
      <c r="U32" s="573">
        <v>7</v>
      </c>
      <c r="V32" s="574">
        <v>1592.3560209424081</v>
      </c>
      <c r="W32" s="574">
        <v>227.47943156320116</v>
      </c>
      <c r="X32" s="475">
        <f t="shared" si="13"/>
        <v>1</v>
      </c>
      <c r="Y32" s="678"/>
      <c r="Z32" s="573">
        <v>7</v>
      </c>
      <c r="AA32" s="574">
        <v>1551.4285714285718</v>
      </c>
      <c r="AB32" s="574">
        <v>221.63265306122454</v>
      </c>
      <c r="AC32" s="475">
        <f t="shared" si="15"/>
        <v>1</v>
      </c>
      <c r="AD32" s="678"/>
      <c r="AE32" s="573">
        <v>7</v>
      </c>
      <c r="AF32" s="574">
        <v>1566.9230769230767</v>
      </c>
      <c r="AG32" s="574">
        <v>223.84615384615381</v>
      </c>
      <c r="AH32" s="475">
        <f t="shared" si="17"/>
        <v>1</v>
      </c>
      <c r="AI32" s="678"/>
      <c r="AJ32" s="573">
        <v>7</v>
      </c>
      <c r="AK32" s="574">
        <v>1571.1340206185564</v>
      </c>
      <c r="AL32" s="574">
        <v>224.44771723122236</v>
      </c>
      <c r="AM32" s="475">
        <f t="shared" si="19"/>
        <v>1</v>
      </c>
      <c r="AN32" s="678"/>
      <c r="AO32" s="573">
        <v>7</v>
      </c>
      <c r="AP32" s="574">
        <v>1574.7857142857142</v>
      </c>
      <c r="AQ32" s="574">
        <v>224.96938775510202</v>
      </c>
      <c r="AR32" s="475">
        <f t="shared" si="21"/>
        <v>1</v>
      </c>
      <c r="AS32" s="678"/>
      <c r="AT32" s="573">
        <v>7</v>
      </c>
      <c r="AU32" s="574">
        <v>1557.714285714286</v>
      </c>
      <c r="AV32" s="574">
        <v>222.53061224489801</v>
      </c>
      <c r="AW32" s="475">
        <f t="shared" si="23"/>
        <v>1</v>
      </c>
      <c r="AX32" s="690"/>
    </row>
    <row r="33" spans="2:50">
      <c r="B33" s="676"/>
      <c r="C33" s="321">
        <v>7</v>
      </c>
      <c r="D33" s="227" t="s">
        <v>903</v>
      </c>
      <c r="E33" s="182">
        <v>7</v>
      </c>
      <c r="F33" s="569">
        <v>1500</v>
      </c>
      <c r="G33" s="570">
        <v>214.3</v>
      </c>
      <c r="H33" s="718"/>
      <c r="I33" s="458">
        <f t="shared" ref="I33" si="25">AVERAGE(P33,U33,Z33,AE33,AJ33,AO33,AT33)</f>
        <v>7</v>
      </c>
      <c r="J33" s="458">
        <f t="shared" ref="J33" si="26">AVERAGE(Q33,V33,AA33,AF33,AK33,AP33,AU33)</f>
        <v>1468.7926328446979</v>
      </c>
      <c r="K33" s="200">
        <f t="shared" ref="K33" si="27">AVERAGE(R33,W33,AB33,AG33,AL33,AQ33,AV33)</f>
        <v>209.82751897781398</v>
      </c>
      <c r="L33" s="650"/>
      <c r="M33" s="201">
        <f>RANK(K33, K$27:$K$41)</f>
        <v>2</v>
      </c>
      <c r="N33" s="668"/>
      <c r="O33" s="668"/>
      <c r="P33" s="573">
        <v>7</v>
      </c>
      <c r="Q33" s="574">
        <v>1477.0093457943922</v>
      </c>
      <c r="R33" s="574">
        <v>211.0013351134846</v>
      </c>
      <c r="S33" s="321">
        <f t="shared" si="12"/>
        <v>1</v>
      </c>
      <c r="T33" s="678"/>
      <c r="U33" s="573">
        <v>7</v>
      </c>
      <c r="V33" s="574">
        <v>1460.8928571428571</v>
      </c>
      <c r="W33" s="574">
        <v>208.69897959183672</v>
      </c>
      <c r="X33" s="475">
        <f t="shared" si="13"/>
        <v>2</v>
      </c>
      <c r="Y33" s="678"/>
      <c r="Z33" s="573">
        <v>7</v>
      </c>
      <c r="AA33" s="574">
        <v>1460.7272727272723</v>
      </c>
      <c r="AB33" s="574">
        <v>208.67532467532462</v>
      </c>
      <c r="AC33" s="475">
        <f t="shared" si="15"/>
        <v>2</v>
      </c>
      <c r="AD33" s="678"/>
      <c r="AE33" s="573">
        <v>7</v>
      </c>
      <c r="AF33" s="574">
        <v>1477.1999999999994</v>
      </c>
      <c r="AG33" s="574">
        <v>211.02857142857133</v>
      </c>
      <c r="AH33" s="475">
        <f t="shared" si="17"/>
        <v>2</v>
      </c>
      <c r="AI33" s="678"/>
      <c r="AJ33" s="573">
        <v>7</v>
      </c>
      <c r="AK33" s="574">
        <v>1462.9411764705876</v>
      </c>
      <c r="AL33" s="574">
        <v>208.99159663865538</v>
      </c>
      <c r="AM33" s="475">
        <f t="shared" si="19"/>
        <v>2</v>
      </c>
      <c r="AN33" s="678"/>
      <c r="AO33" s="573">
        <v>7</v>
      </c>
      <c r="AP33" s="574">
        <v>1470.5555555555554</v>
      </c>
      <c r="AQ33" s="574">
        <v>210.07936507936506</v>
      </c>
      <c r="AR33" s="475">
        <f t="shared" si="21"/>
        <v>4</v>
      </c>
      <c r="AS33" s="678"/>
      <c r="AT33" s="573">
        <v>7</v>
      </c>
      <c r="AU33" s="574">
        <v>1472.2222222222222</v>
      </c>
      <c r="AV33" s="574">
        <v>210.3174603174603</v>
      </c>
      <c r="AW33" s="475">
        <f t="shared" si="23"/>
        <v>2</v>
      </c>
      <c r="AX33" s="690"/>
    </row>
    <row r="34" spans="2:50">
      <c r="B34" s="676"/>
      <c r="C34" s="321">
        <v>8</v>
      </c>
      <c r="D34" s="227"/>
      <c r="E34" s="182"/>
      <c r="F34" s="569"/>
      <c r="G34" s="570"/>
      <c r="H34" s="718"/>
      <c r="I34" s="458"/>
      <c r="J34" s="458"/>
      <c r="K34" s="200"/>
      <c r="L34" s="650"/>
      <c r="M34" s="201" t="e">
        <f>RANK(K34, K$27:$K$41)</f>
        <v>#N/A</v>
      </c>
      <c r="N34" s="668"/>
      <c r="O34" s="668"/>
      <c r="P34" s="573"/>
      <c r="Q34" s="574"/>
      <c r="R34" s="574"/>
      <c r="S34" s="321" t="e">
        <f t="shared" si="12"/>
        <v>#N/A</v>
      </c>
      <c r="T34" s="678"/>
      <c r="U34" s="573"/>
      <c r="V34" s="574"/>
      <c r="W34" s="574"/>
      <c r="X34" s="475" t="e">
        <f t="shared" si="13"/>
        <v>#N/A</v>
      </c>
      <c r="Y34" s="678"/>
      <c r="Z34" s="573"/>
      <c r="AA34" s="574"/>
      <c r="AB34" s="574"/>
      <c r="AC34" s="475" t="e">
        <f t="shared" si="15"/>
        <v>#N/A</v>
      </c>
      <c r="AD34" s="678"/>
      <c r="AE34" s="573"/>
      <c r="AF34" s="574"/>
      <c r="AG34" s="574"/>
      <c r="AH34" s="475" t="e">
        <f t="shared" si="17"/>
        <v>#N/A</v>
      </c>
      <c r="AI34" s="678"/>
      <c r="AJ34" s="573"/>
      <c r="AK34" s="574"/>
      <c r="AL34" s="574"/>
      <c r="AM34" s="475" t="e">
        <f t="shared" si="19"/>
        <v>#N/A</v>
      </c>
      <c r="AN34" s="678"/>
      <c r="AO34" s="573"/>
      <c r="AP34" s="574"/>
      <c r="AQ34" s="574"/>
      <c r="AR34" s="475" t="e">
        <f t="shared" si="21"/>
        <v>#N/A</v>
      </c>
      <c r="AS34" s="678"/>
      <c r="AT34" s="573"/>
      <c r="AU34" s="574"/>
      <c r="AV34" s="574"/>
      <c r="AW34" s="475" t="e">
        <f t="shared" si="23"/>
        <v>#N/A</v>
      </c>
      <c r="AX34" s="690"/>
    </row>
    <row r="35" spans="2:50">
      <c r="B35" s="676"/>
      <c r="C35" s="321">
        <v>9</v>
      </c>
      <c r="D35" s="227"/>
      <c r="E35" s="182"/>
      <c r="F35" s="569"/>
      <c r="G35" s="570"/>
      <c r="H35" s="718"/>
      <c r="I35" s="199"/>
      <c r="J35" s="199"/>
      <c r="K35" s="200"/>
      <c r="L35" s="650"/>
      <c r="M35" s="201" t="e">
        <f>RANK(K35, K$27:$K$41)</f>
        <v>#N/A</v>
      </c>
      <c r="N35" s="668"/>
      <c r="O35" s="668"/>
      <c r="P35" s="573"/>
      <c r="Q35" s="574"/>
      <c r="R35" s="574"/>
      <c r="S35" s="321" t="e">
        <f t="shared" si="12"/>
        <v>#N/A</v>
      </c>
      <c r="T35" s="678"/>
      <c r="U35" s="573"/>
      <c r="V35" s="574"/>
      <c r="W35" s="574"/>
      <c r="X35" s="475" t="e">
        <f t="shared" si="13"/>
        <v>#N/A</v>
      </c>
      <c r="Y35" s="678"/>
      <c r="Z35" s="573"/>
      <c r="AA35" s="574"/>
      <c r="AB35" s="574"/>
      <c r="AC35" s="475" t="e">
        <f t="shared" si="15"/>
        <v>#N/A</v>
      </c>
      <c r="AD35" s="678"/>
      <c r="AE35" s="573"/>
      <c r="AF35" s="574"/>
      <c r="AG35" s="574"/>
      <c r="AH35" s="475" t="e">
        <f t="shared" si="17"/>
        <v>#N/A</v>
      </c>
      <c r="AI35" s="678"/>
      <c r="AJ35" s="573"/>
      <c r="AK35" s="574"/>
      <c r="AL35" s="574"/>
      <c r="AM35" s="475" t="e">
        <f t="shared" si="19"/>
        <v>#N/A</v>
      </c>
      <c r="AN35" s="678"/>
      <c r="AO35" s="573"/>
      <c r="AP35" s="574"/>
      <c r="AQ35" s="574"/>
      <c r="AR35" s="475" t="e">
        <f t="shared" si="21"/>
        <v>#N/A</v>
      </c>
      <c r="AS35" s="678"/>
      <c r="AT35" s="573"/>
      <c r="AU35" s="574"/>
      <c r="AV35" s="574"/>
      <c r="AW35" s="475" t="e">
        <f t="shared" si="23"/>
        <v>#N/A</v>
      </c>
      <c r="AX35" s="690"/>
    </row>
    <row r="36" spans="2:50">
      <c r="B36" s="676"/>
      <c r="C36" s="321">
        <v>10</v>
      </c>
      <c r="D36" s="227"/>
      <c r="E36" s="182"/>
      <c r="F36" s="569"/>
      <c r="G36" s="570"/>
      <c r="H36" s="718"/>
      <c r="I36" s="199"/>
      <c r="J36" s="199"/>
      <c r="K36" s="200"/>
      <c r="L36" s="650"/>
      <c r="M36" s="201" t="e">
        <f>RANK(K36, K$27:$K$41)</f>
        <v>#N/A</v>
      </c>
      <c r="N36" s="668"/>
      <c r="O36" s="668"/>
      <c r="P36" s="573"/>
      <c r="Q36" s="574"/>
      <c r="R36" s="574"/>
      <c r="S36" s="321" t="e">
        <f t="shared" si="12"/>
        <v>#N/A</v>
      </c>
      <c r="T36" s="678"/>
      <c r="U36" s="573"/>
      <c r="V36" s="574"/>
      <c r="W36" s="574"/>
      <c r="X36" s="475" t="e">
        <f t="shared" si="13"/>
        <v>#N/A</v>
      </c>
      <c r="Y36" s="678"/>
      <c r="Z36" s="573"/>
      <c r="AA36" s="574"/>
      <c r="AB36" s="574"/>
      <c r="AC36" s="475" t="e">
        <f t="shared" si="15"/>
        <v>#N/A</v>
      </c>
      <c r="AD36" s="678"/>
      <c r="AE36" s="573"/>
      <c r="AF36" s="574"/>
      <c r="AG36" s="574"/>
      <c r="AH36" s="475" t="e">
        <f t="shared" si="17"/>
        <v>#N/A</v>
      </c>
      <c r="AI36" s="678"/>
      <c r="AJ36" s="573"/>
      <c r="AK36" s="574"/>
      <c r="AL36" s="574"/>
      <c r="AM36" s="475" t="e">
        <f t="shared" si="19"/>
        <v>#N/A</v>
      </c>
      <c r="AN36" s="678"/>
      <c r="AO36" s="573"/>
      <c r="AP36" s="574"/>
      <c r="AQ36" s="574"/>
      <c r="AR36" s="475" t="e">
        <f t="shared" si="21"/>
        <v>#N/A</v>
      </c>
      <c r="AS36" s="678"/>
      <c r="AT36" s="573"/>
      <c r="AU36" s="574"/>
      <c r="AV36" s="574"/>
      <c r="AW36" s="475" t="e">
        <f t="shared" si="23"/>
        <v>#N/A</v>
      </c>
      <c r="AX36" s="690"/>
    </row>
    <row r="37" spans="2:50">
      <c r="B37" s="676"/>
      <c r="C37" s="321">
        <v>11</v>
      </c>
      <c r="D37" s="227"/>
      <c r="E37" s="182"/>
      <c r="F37" s="569"/>
      <c r="G37" s="570"/>
      <c r="H37" s="718"/>
      <c r="I37" s="199"/>
      <c r="J37" s="199"/>
      <c r="K37" s="200"/>
      <c r="L37" s="650"/>
      <c r="M37" s="201" t="e">
        <f>RANK(K37, K$27:$K$41)</f>
        <v>#N/A</v>
      </c>
      <c r="N37" s="668"/>
      <c r="O37" s="668"/>
      <c r="P37" s="573"/>
      <c r="Q37" s="574"/>
      <c r="R37" s="574"/>
      <c r="S37" s="321" t="e">
        <f t="shared" si="12"/>
        <v>#N/A</v>
      </c>
      <c r="T37" s="678"/>
      <c r="U37" s="573"/>
      <c r="V37" s="574"/>
      <c r="W37" s="574"/>
      <c r="X37" s="475" t="e">
        <f t="shared" si="13"/>
        <v>#N/A</v>
      </c>
      <c r="Y37" s="678"/>
      <c r="Z37" s="573"/>
      <c r="AA37" s="574"/>
      <c r="AB37" s="574"/>
      <c r="AC37" s="475" t="e">
        <f t="shared" si="15"/>
        <v>#N/A</v>
      </c>
      <c r="AD37" s="678"/>
      <c r="AE37" s="573"/>
      <c r="AF37" s="574"/>
      <c r="AG37" s="574"/>
      <c r="AH37" s="475" t="e">
        <f t="shared" si="17"/>
        <v>#N/A</v>
      </c>
      <c r="AI37" s="678"/>
      <c r="AJ37" s="573"/>
      <c r="AK37" s="574"/>
      <c r="AL37" s="574"/>
      <c r="AM37" s="475" t="e">
        <f t="shared" si="19"/>
        <v>#N/A</v>
      </c>
      <c r="AN37" s="678"/>
      <c r="AO37" s="573"/>
      <c r="AP37" s="574"/>
      <c r="AQ37" s="574"/>
      <c r="AR37" s="475" t="e">
        <f t="shared" si="21"/>
        <v>#N/A</v>
      </c>
      <c r="AS37" s="678"/>
      <c r="AT37" s="573"/>
      <c r="AU37" s="574"/>
      <c r="AV37" s="574"/>
      <c r="AW37" s="475" t="e">
        <f t="shared" si="23"/>
        <v>#N/A</v>
      </c>
      <c r="AX37" s="690"/>
    </row>
    <row r="38" spans="2:50">
      <c r="B38" s="676"/>
      <c r="C38" s="321">
        <v>12</v>
      </c>
      <c r="D38" s="227"/>
      <c r="E38" s="182"/>
      <c r="F38" s="569"/>
      <c r="G38" s="570"/>
      <c r="H38" s="718"/>
      <c r="I38" s="199"/>
      <c r="J38" s="199"/>
      <c r="K38" s="200"/>
      <c r="L38" s="650"/>
      <c r="M38" s="201" t="e">
        <f>RANK(K38, K$27:$K$41)</f>
        <v>#N/A</v>
      </c>
      <c r="N38" s="668"/>
      <c r="O38" s="668"/>
      <c r="P38" s="573"/>
      <c r="Q38" s="574"/>
      <c r="R38" s="574"/>
      <c r="S38" s="321" t="e">
        <f t="shared" si="12"/>
        <v>#N/A</v>
      </c>
      <c r="T38" s="678"/>
      <c r="U38" s="573"/>
      <c r="V38" s="574"/>
      <c r="W38" s="574"/>
      <c r="X38" s="475" t="e">
        <f t="shared" si="13"/>
        <v>#N/A</v>
      </c>
      <c r="Y38" s="678"/>
      <c r="Z38" s="573"/>
      <c r="AA38" s="574"/>
      <c r="AB38" s="574"/>
      <c r="AC38" s="475" t="e">
        <f t="shared" si="15"/>
        <v>#N/A</v>
      </c>
      <c r="AD38" s="678"/>
      <c r="AE38" s="573"/>
      <c r="AF38" s="574"/>
      <c r="AG38" s="574"/>
      <c r="AH38" s="475" t="e">
        <f t="shared" si="17"/>
        <v>#N/A</v>
      </c>
      <c r="AI38" s="678"/>
      <c r="AJ38" s="573"/>
      <c r="AK38" s="574"/>
      <c r="AL38" s="574"/>
      <c r="AM38" s="475" t="e">
        <f t="shared" si="19"/>
        <v>#N/A</v>
      </c>
      <c r="AN38" s="678"/>
      <c r="AO38" s="573"/>
      <c r="AP38" s="574"/>
      <c r="AQ38" s="574"/>
      <c r="AR38" s="475" t="e">
        <f t="shared" si="21"/>
        <v>#N/A</v>
      </c>
      <c r="AS38" s="678"/>
      <c r="AT38" s="573"/>
      <c r="AU38" s="574"/>
      <c r="AV38" s="574"/>
      <c r="AW38" s="475" t="e">
        <f t="shared" si="23"/>
        <v>#N/A</v>
      </c>
      <c r="AX38" s="690"/>
    </row>
    <row r="39" spans="2:50">
      <c r="B39" s="676"/>
      <c r="C39" s="321">
        <v>13</v>
      </c>
      <c r="D39" s="227"/>
      <c r="E39" s="182"/>
      <c r="F39" s="569"/>
      <c r="G39" s="570"/>
      <c r="H39" s="718"/>
      <c r="I39" s="199"/>
      <c r="J39" s="199"/>
      <c r="K39" s="200"/>
      <c r="L39" s="650"/>
      <c r="M39" s="201" t="e">
        <f>RANK(K39, K$27:$K$41)</f>
        <v>#N/A</v>
      </c>
      <c r="N39" s="668"/>
      <c r="O39" s="668"/>
      <c r="P39" s="573"/>
      <c r="Q39" s="574"/>
      <c r="R39" s="574"/>
      <c r="S39" s="321" t="e">
        <f t="shared" si="12"/>
        <v>#N/A</v>
      </c>
      <c r="T39" s="678"/>
      <c r="U39" s="573"/>
      <c r="V39" s="574"/>
      <c r="W39" s="574"/>
      <c r="X39" s="475" t="e">
        <f t="shared" si="13"/>
        <v>#N/A</v>
      </c>
      <c r="Y39" s="678"/>
      <c r="Z39" s="573"/>
      <c r="AA39" s="574"/>
      <c r="AB39" s="574"/>
      <c r="AC39" s="475" t="e">
        <f t="shared" si="15"/>
        <v>#N/A</v>
      </c>
      <c r="AD39" s="678"/>
      <c r="AE39" s="573"/>
      <c r="AF39" s="574"/>
      <c r="AG39" s="574"/>
      <c r="AH39" s="475" t="e">
        <f t="shared" si="17"/>
        <v>#N/A</v>
      </c>
      <c r="AI39" s="678"/>
      <c r="AJ39" s="573"/>
      <c r="AK39" s="574"/>
      <c r="AL39" s="574"/>
      <c r="AM39" s="475" t="e">
        <f t="shared" si="19"/>
        <v>#N/A</v>
      </c>
      <c r="AN39" s="678"/>
      <c r="AO39" s="573"/>
      <c r="AP39" s="574"/>
      <c r="AQ39" s="574"/>
      <c r="AR39" s="475" t="e">
        <f t="shared" si="21"/>
        <v>#N/A</v>
      </c>
      <c r="AS39" s="678"/>
      <c r="AT39" s="573"/>
      <c r="AU39" s="574"/>
      <c r="AV39" s="574"/>
      <c r="AW39" s="475" t="e">
        <f t="shared" si="23"/>
        <v>#N/A</v>
      </c>
      <c r="AX39" s="690"/>
    </row>
    <row r="40" spans="2:50">
      <c r="B40" s="676"/>
      <c r="C40" s="321">
        <v>14</v>
      </c>
      <c r="D40" s="227"/>
      <c r="E40" s="182"/>
      <c r="F40" s="569"/>
      <c r="G40" s="570"/>
      <c r="H40" s="718"/>
      <c r="I40" s="199"/>
      <c r="J40" s="199"/>
      <c r="K40" s="200"/>
      <c r="L40" s="650"/>
      <c r="M40" s="201" t="e">
        <f>RANK(K40, K$27:$K$41)</f>
        <v>#N/A</v>
      </c>
      <c r="N40" s="668"/>
      <c r="O40" s="668"/>
      <c r="P40" s="573"/>
      <c r="Q40" s="574"/>
      <c r="R40" s="574"/>
      <c r="S40" s="321" t="e">
        <f t="shared" si="12"/>
        <v>#N/A</v>
      </c>
      <c r="T40" s="678"/>
      <c r="U40" s="573"/>
      <c r="V40" s="574"/>
      <c r="W40" s="574"/>
      <c r="X40" s="475" t="e">
        <f t="shared" si="13"/>
        <v>#N/A</v>
      </c>
      <c r="Y40" s="678"/>
      <c r="Z40" s="573"/>
      <c r="AA40" s="574"/>
      <c r="AB40" s="574"/>
      <c r="AC40" s="475" t="e">
        <f t="shared" si="15"/>
        <v>#N/A</v>
      </c>
      <c r="AD40" s="678"/>
      <c r="AE40" s="573"/>
      <c r="AF40" s="574"/>
      <c r="AG40" s="574"/>
      <c r="AH40" s="475" t="e">
        <f t="shared" si="17"/>
        <v>#N/A</v>
      </c>
      <c r="AI40" s="678"/>
      <c r="AJ40" s="573"/>
      <c r="AK40" s="574"/>
      <c r="AL40" s="574"/>
      <c r="AM40" s="475" t="e">
        <f t="shared" si="19"/>
        <v>#N/A</v>
      </c>
      <c r="AN40" s="678"/>
      <c r="AO40" s="573"/>
      <c r="AP40" s="574"/>
      <c r="AQ40" s="574"/>
      <c r="AR40" s="475" t="e">
        <f t="shared" si="21"/>
        <v>#N/A</v>
      </c>
      <c r="AS40" s="678"/>
      <c r="AT40" s="573"/>
      <c r="AU40" s="574"/>
      <c r="AV40" s="574"/>
      <c r="AW40" s="475" t="e">
        <f t="shared" si="23"/>
        <v>#N/A</v>
      </c>
      <c r="AX40" s="690"/>
    </row>
    <row r="41" spans="2:50">
      <c r="B41" s="676"/>
      <c r="C41" s="321">
        <v>15</v>
      </c>
      <c r="D41" s="227"/>
      <c r="E41" s="182"/>
      <c r="F41" s="569"/>
      <c r="G41" s="570"/>
      <c r="H41" s="719"/>
      <c r="I41" s="199"/>
      <c r="J41" s="199"/>
      <c r="K41" s="200"/>
      <c r="L41" s="651"/>
      <c r="M41" s="199" t="e">
        <f>RANK(K41, K$27:$K$41)</f>
        <v>#N/A</v>
      </c>
      <c r="N41" s="668"/>
      <c r="O41" s="668"/>
      <c r="P41" s="573"/>
      <c r="Q41" s="574"/>
      <c r="R41" s="574"/>
      <c r="S41" s="321" t="e">
        <f t="shared" si="12"/>
        <v>#N/A</v>
      </c>
      <c r="T41" s="679"/>
      <c r="U41" s="573"/>
      <c r="V41" s="574"/>
      <c r="W41" s="574"/>
      <c r="X41" s="475" t="e">
        <f t="shared" si="13"/>
        <v>#N/A</v>
      </c>
      <c r="Y41" s="679"/>
      <c r="Z41" s="573"/>
      <c r="AA41" s="574"/>
      <c r="AB41" s="574"/>
      <c r="AC41" s="475" t="e">
        <f t="shared" si="15"/>
        <v>#N/A</v>
      </c>
      <c r="AD41" s="679"/>
      <c r="AE41" s="573"/>
      <c r="AF41" s="574"/>
      <c r="AG41" s="574"/>
      <c r="AH41" s="475" t="e">
        <f t="shared" si="17"/>
        <v>#N/A</v>
      </c>
      <c r="AI41" s="679"/>
      <c r="AJ41" s="573"/>
      <c r="AK41" s="574"/>
      <c r="AL41" s="574"/>
      <c r="AM41" s="475" t="e">
        <f t="shared" si="19"/>
        <v>#N/A</v>
      </c>
      <c r="AN41" s="679"/>
      <c r="AO41" s="573"/>
      <c r="AP41" s="574"/>
      <c r="AQ41" s="574"/>
      <c r="AR41" s="475" t="e">
        <f t="shared" si="21"/>
        <v>#N/A</v>
      </c>
      <c r="AS41" s="679"/>
      <c r="AT41" s="573"/>
      <c r="AU41" s="574"/>
      <c r="AV41" s="574"/>
      <c r="AW41" s="475" t="e">
        <f t="shared" si="23"/>
        <v>#N/A</v>
      </c>
      <c r="AX41" s="690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69" t="s">
        <v>156</v>
      </c>
      <c r="O42" s="669" t="s">
        <v>105</v>
      </c>
      <c r="P42" s="675">
        <f>P22+7</f>
        <v>46098</v>
      </c>
      <c r="Q42" s="676"/>
      <c r="R42" s="676"/>
      <c r="S42" s="676"/>
      <c r="T42" s="676"/>
      <c r="U42" s="672">
        <f>P42+1</f>
        <v>46099</v>
      </c>
      <c r="V42" s="673"/>
      <c r="W42" s="673"/>
      <c r="X42" s="673"/>
      <c r="Y42" s="674"/>
      <c r="Z42" s="672">
        <f>U42+1</f>
        <v>46100</v>
      </c>
      <c r="AA42" s="673"/>
      <c r="AB42" s="673"/>
      <c r="AC42" s="673"/>
      <c r="AD42" s="674"/>
      <c r="AE42" s="672">
        <f>Z42+1</f>
        <v>46101</v>
      </c>
      <c r="AF42" s="673"/>
      <c r="AG42" s="673"/>
      <c r="AH42" s="673"/>
      <c r="AI42" s="674"/>
      <c r="AJ42" s="672">
        <f>AE42+1</f>
        <v>46102</v>
      </c>
      <c r="AK42" s="673"/>
      <c r="AL42" s="673"/>
      <c r="AM42" s="673"/>
      <c r="AN42" s="674"/>
      <c r="AO42" s="672">
        <f>AJ42+1</f>
        <v>46103</v>
      </c>
      <c r="AP42" s="673"/>
      <c r="AQ42" s="673"/>
      <c r="AR42" s="673"/>
      <c r="AS42" s="674"/>
      <c r="AT42" s="672">
        <f>AO42+1</f>
        <v>46104</v>
      </c>
      <c r="AU42" s="673"/>
      <c r="AV42" s="673"/>
      <c r="AW42" s="673"/>
      <c r="AX42" s="674"/>
    </row>
    <row r="43" spans="2:50" ht="15.75">
      <c r="B43" s="683"/>
      <c r="C43" s="683"/>
      <c r="D43" s="683"/>
      <c r="E43" s="683"/>
      <c r="F43" s="683"/>
      <c r="G43" s="683"/>
      <c r="H43" s="683"/>
      <c r="I43" s="205"/>
      <c r="J43" s="205"/>
      <c r="K43" s="205"/>
      <c r="L43" s="205"/>
      <c r="M43" s="206"/>
      <c r="N43" s="671"/>
      <c r="O43" s="671"/>
      <c r="P43" s="675" t="s">
        <v>336</v>
      </c>
      <c r="Q43" s="676"/>
      <c r="R43" s="676"/>
      <c r="S43" s="676"/>
      <c r="T43" s="676"/>
      <c r="U43" s="675" t="s">
        <v>337</v>
      </c>
      <c r="V43" s="676"/>
      <c r="W43" s="676"/>
      <c r="X43" s="676"/>
      <c r="Y43" s="676"/>
      <c r="Z43" s="675" t="s">
        <v>338</v>
      </c>
      <c r="AA43" s="676"/>
      <c r="AB43" s="676"/>
      <c r="AC43" s="676"/>
      <c r="AD43" s="676"/>
      <c r="AE43" s="675" t="s">
        <v>339</v>
      </c>
      <c r="AF43" s="676"/>
      <c r="AG43" s="676"/>
      <c r="AH43" s="676"/>
      <c r="AI43" s="676"/>
      <c r="AJ43" s="675" t="s">
        <v>340</v>
      </c>
      <c r="AK43" s="676"/>
      <c r="AL43" s="676"/>
      <c r="AM43" s="676"/>
      <c r="AN43" s="676"/>
      <c r="AO43" s="675" t="s">
        <v>341</v>
      </c>
      <c r="AP43" s="676"/>
      <c r="AQ43" s="676"/>
      <c r="AR43" s="676"/>
      <c r="AS43" s="676"/>
      <c r="AT43" s="675" t="s">
        <v>342</v>
      </c>
      <c r="AU43" s="676"/>
      <c r="AV43" s="676"/>
      <c r="AW43" s="676"/>
      <c r="AX43" s="676"/>
    </row>
    <row r="44" spans="2:50">
      <c r="B44" s="668" t="s">
        <v>604</v>
      </c>
      <c r="C44" s="668" t="s">
        <v>605</v>
      </c>
      <c r="D44" s="668"/>
      <c r="E44" s="668" t="s">
        <v>606</v>
      </c>
      <c r="F44" s="668"/>
      <c r="G44" s="668"/>
      <c r="H44" s="684" t="s">
        <v>607</v>
      </c>
      <c r="I44" s="652" t="s">
        <v>608</v>
      </c>
      <c r="J44" s="652"/>
      <c r="K44" s="652"/>
      <c r="L44" s="653" t="s">
        <v>607</v>
      </c>
      <c r="M44" s="659" t="s">
        <v>609</v>
      </c>
      <c r="N44" s="668"/>
      <c r="O44" s="668" t="s">
        <v>610</v>
      </c>
      <c r="P44" s="665" t="s">
        <v>889</v>
      </c>
      <c r="Q44" s="666"/>
      <c r="R44" s="666"/>
      <c r="S44" s="667"/>
      <c r="T44" s="668" t="s">
        <v>890</v>
      </c>
      <c r="U44" s="665" t="s">
        <v>889</v>
      </c>
      <c r="V44" s="666"/>
      <c r="W44" s="666"/>
      <c r="X44" s="667"/>
      <c r="Y44" s="668" t="s">
        <v>890</v>
      </c>
      <c r="Z44" s="665" t="s">
        <v>889</v>
      </c>
      <c r="AA44" s="666"/>
      <c r="AB44" s="666"/>
      <c r="AC44" s="667"/>
      <c r="AD44" s="668" t="s">
        <v>890</v>
      </c>
      <c r="AE44" s="665" t="s">
        <v>889</v>
      </c>
      <c r="AF44" s="666"/>
      <c r="AG44" s="666"/>
      <c r="AH44" s="667"/>
      <c r="AI44" s="668" t="s">
        <v>890</v>
      </c>
      <c r="AJ44" s="665" t="s">
        <v>889</v>
      </c>
      <c r="AK44" s="666"/>
      <c r="AL44" s="666"/>
      <c r="AM44" s="667"/>
      <c r="AN44" s="668" t="s">
        <v>890</v>
      </c>
      <c r="AO44" s="665" t="s">
        <v>889</v>
      </c>
      <c r="AP44" s="666"/>
      <c r="AQ44" s="666"/>
      <c r="AR44" s="667"/>
      <c r="AS44" s="668" t="s">
        <v>890</v>
      </c>
      <c r="AT44" s="665" t="s">
        <v>889</v>
      </c>
      <c r="AU44" s="666"/>
      <c r="AV44" s="666"/>
      <c r="AW44" s="667"/>
      <c r="AX44" s="668" t="s">
        <v>890</v>
      </c>
    </row>
    <row r="45" spans="2:50">
      <c r="B45" s="668"/>
      <c r="C45" s="668"/>
      <c r="D45" s="668"/>
      <c r="E45" s="668" t="s">
        <v>612</v>
      </c>
      <c r="F45" s="668"/>
      <c r="G45" s="668"/>
      <c r="H45" s="685"/>
      <c r="I45" s="652" t="s">
        <v>612</v>
      </c>
      <c r="J45" s="652"/>
      <c r="K45" s="652"/>
      <c r="L45" s="654"/>
      <c r="M45" s="660"/>
      <c r="N45" s="668"/>
      <c r="O45" s="668"/>
      <c r="P45" s="665" t="s">
        <v>891</v>
      </c>
      <c r="Q45" s="666"/>
      <c r="R45" s="666"/>
      <c r="S45" s="667"/>
      <c r="T45" s="668"/>
      <c r="U45" s="665" t="s">
        <v>891</v>
      </c>
      <c r="V45" s="666"/>
      <c r="W45" s="666"/>
      <c r="X45" s="667"/>
      <c r="Y45" s="668"/>
      <c r="Z45" s="665" t="s">
        <v>891</v>
      </c>
      <c r="AA45" s="666"/>
      <c r="AB45" s="666"/>
      <c r="AC45" s="667"/>
      <c r="AD45" s="668"/>
      <c r="AE45" s="665" t="s">
        <v>891</v>
      </c>
      <c r="AF45" s="666"/>
      <c r="AG45" s="666"/>
      <c r="AH45" s="667"/>
      <c r="AI45" s="668"/>
      <c r="AJ45" s="665" t="s">
        <v>891</v>
      </c>
      <c r="AK45" s="666"/>
      <c r="AL45" s="666"/>
      <c r="AM45" s="667"/>
      <c r="AN45" s="668"/>
      <c r="AO45" s="665" t="s">
        <v>891</v>
      </c>
      <c r="AP45" s="666"/>
      <c r="AQ45" s="666"/>
      <c r="AR45" s="667"/>
      <c r="AS45" s="668"/>
      <c r="AT45" s="665" t="s">
        <v>891</v>
      </c>
      <c r="AU45" s="666"/>
      <c r="AV45" s="666"/>
      <c r="AW45" s="667"/>
      <c r="AX45" s="668"/>
    </row>
    <row r="46" spans="2:50">
      <c r="B46" s="668"/>
      <c r="C46" s="668"/>
      <c r="D46" s="668"/>
      <c r="E46" s="326" t="s">
        <v>614</v>
      </c>
      <c r="F46" s="326" t="s">
        <v>615</v>
      </c>
      <c r="G46" s="326" t="s">
        <v>616</v>
      </c>
      <c r="H46" s="686"/>
      <c r="I46" s="325" t="s">
        <v>614</v>
      </c>
      <c r="J46" s="325" t="s">
        <v>615</v>
      </c>
      <c r="K46" s="325" t="s">
        <v>616</v>
      </c>
      <c r="L46" s="655"/>
      <c r="M46" s="661"/>
      <c r="N46" s="668"/>
      <c r="O46" s="668"/>
      <c r="P46" s="532" t="s">
        <v>892</v>
      </c>
      <c r="Q46" s="532" t="s">
        <v>893</v>
      </c>
      <c r="R46" s="532" t="s">
        <v>894</v>
      </c>
      <c r="S46" s="532" t="s">
        <v>895</v>
      </c>
      <c r="T46" s="668"/>
      <c r="U46" s="532" t="s">
        <v>892</v>
      </c>
      <c r="V46" s="532" t="s">
        <v>893</v>
      </c>
      <c r="W46" s="532" t="s">
        <v>894</v>
      </c>
      <c r="X46" s="532" t="s">
        <v>895</v>
      </c>
      <c r="Y46" s="668"/>
      <c r="Z46" s="532" t="s">
        <v>892</v>
      </c>
      <c r="AA46" s="532" t="s">
        <v>893</v>
      </c>
      <c r="AB46" s="532" t="s">
        <v>894</v>
      </c>
      <c r="AC46" s="532" t="s">
        <v>895</v>
      </c>
      <c r="AD46" s="668"/>
      <c r="AE46" s="532" t="s">
        <v>892</v>
      </c>
      <c r="AF46" s="532" t="s">
        <v>893</v>
      </c>
      <c r="AG46" s="532" t="s">
        <v>894</v>
      </c>
      <c r="AH46" s="532" t="s">
        <v>895</v>
      </c>
      <c r="AI46" s="668"/>
      <c r="AJ46" s="532" t="s">
        <v>892</v>
      </c>
      <c r="AK46" s="532" t="s">
        <v>893</v>
      </c>
      <c r="AL46" s="532" t="s">
        <v>894</v>
      </c>
      <c r="AM46" s="532" t="s">
        <v>895</v>
      </c>
      <c r="AN46" s="668"/>
      <c r="AO46" s="532" t="s">
        <v>892</v>
      </c>
      <c r="AP46" s="532" t="s">
        <v>893</v>
      </c>
      <c r="AQ46" s="532" t="s">
        <v>894</v>
      </c>
      <c r="AR46" s="532" t="s">
        <v>895</v>
      </c>
      <c r="AS46" s="668"/>
      <c r="AT46" s="532" t="s">
        <v>892</v>
      </c>
      <c r="AU46" s="532" t="s">
        <v>893</v>
      </c>
      <c r="AV46" s="532" t="s">
        <v>894</v>
      </c>
      <c r="AW46" s="532" t="s">
        <v>895</v>
      </c>
      <c r="AX46" s="668"/>
    </row>
    <row r="47" spans="2:50">
      <c r="B47" s="668" t="s">
        <v>620</v>
      </c>
      <c r="C47" s="327">
        <v>1</v>
      </c>
      <c r="D47" s="227" t="s">
        <v>383</v>
      </c>
      <c r="E47" s="182">
        <v>7</v>
      </c>
      <c r="F47" s="569">
        <v>1500</v>
      </c>
      <c r="G47" s="570">
        <v>214.3</v>
      </c>
      <c r="H47" s="717">
        <f>AVERAGE(G47:G61)</f>
        <v>488.12857142857149</v>
      </c>
      <c r="I47" s="199">
        <f t="shared" ref="I47:K51" si="28">AVERAGE(P47,U47,Z47,AE47,AJ47,AO47,AT47)</f>
        <v>7</v>
      </c>
      <c r="J47" s="199">
        <f t="shared" si="28"/>
        <v>1480.2236227002907</v>
      </c>
      <c r="K47" s="200">
        <f t="shared" si="28"/>
        <v>211.460517528613</v>
      </c>
      <c r="L47" s="649">
        <f>IFERROR(AVERAGE(K47:K61),"-")</f>
        <v>179.69564268248948</v>
      </c>
      <c r="M47" s="201">
        <f>RANK(K47, K$47:$K$61)</f>
        <v>2</v>
      </c>
      <c r="N47" s="668"/>
      <c r="O47" s="668"/>
      <c r="P47" s="573">
        <v>7</v>
      </c>
      <c r="Q47" s="574">
        <v>1485.2054794520545</v>
      </c>
      <c r="R47" s="574">
        <v>212.17221135029351</v>
      </c>
      <c r="S47" s="533">
        <f>RANK(R47, R$47:R$61)</f>
        <v>4</v>
      </c>
      <c r="T47" s="690">
        <f>AVERAGE(R47:R61)</f>
        <v>180.0652727980717</v>
      </c>
      <c r="U47" s="573">
        <v>7</v>
      </c>
      <c r="V47" s="574">
        <v>1470.4225352112678</v>
      </c>
      <c r="W47" s="574">
        <v>210.06036217303827</v>
      </c>
      <c r="X47" s="533">
        <f>RANK(W47, W$47:W$61)</f>
        <v>5</v>
      </c>
      <c r="Y47" s="690">
        <f>AVERAGE(W47:W61)</f>
        <v>180.05809505423366</v>
      </c>
      <c r="Z47" s="573">
        <v>7</v>
      </c>
      <c r="AA47" s="574">
        <v>1470.8571428571431</v>
      </c>
      <c r="AB47" s="574">
        <v>210.12244897959187</v>
      </c>
      <c r="AC47" s="533">
        <f>RANK(AB47, AB$47:AB$61)</f>
        <v>4</v>
      </c>
      <c r="AD47" s="690">
        <f>AVERAGE(AB47:AB61)</f>
        <v>178.72486094341113</v>
      </c>
      <c r="AE47" s="573">
        <v>7</v>
      </c>
      <c r="AF47" s="574">
        <v>1467.7777777777776</v>
      </c>
      <c r="AG47" s="574">
        <v>209.68253968253967</v>
      </c>
      <c r="AH47" s="533">
        <f>RANK(AG47, AG$47:AG$61)</f>
        <v>4</v>
      </c>
      <c r="AI47" s="690">
        <f>AVERAGE(AG47:AG61)</f>
        <v>179.47967948014622</v>
      </c>
      <c r="AJ47" s="573">
        <v>7</v>
      </c>
      <c r="AK47" s="574">
        <v>1490</v>
      </c>
      <c r="AL47" s="574">
        <v>212.85714285714286</v>
      </c>
      <c r="AM47" s="533">
        <f>RANK(AL47, AL$47:AL$61)</f>
        <v>2</v>
      </c>
      <c r="AN47" s="690">
        <f>AVERAGE(AL47:AL61)</f>
        <v>179.73413495948176</v>
      </c>
      <c r="AO47" s="573">
        <v>7</v>
      </c>
      <c r="AP47" s="574">
        <v>1495.384615384615</v>
      </c>
      <c r="AQ47" s="574">
        <v>213.62637362637358</v>
      </c>
      <c r="AR47" s="533">
        <f>RANK(AQ47, AQ$47:AQ$61)</f>
        <v>2</v>
      </c>
      <c r="AS47" s="690">
        <f>AVERAGE(AQ47:AQ61)</f>
        <v>180.21920597493349</v>
      </c>
      <c r="AT47" s="573">
        <v>7</v>
      </c>
      <c r="AU47" s="574">
        <v>1481.9178082191777</v>
      </c>
      <c r="AV47" s="574">
        <v>211.70254403131111</v>
      </c>
      <c r="AW47" s="533">
        <f>RANK(AV47, AV$47:AV$61)</f>
        <v>2</v>
      </c>
      <c r="AX47" s="690">
        <f>AVERAGE(AV47:AV61)</f>
        <v>179.5882495671483</v>
      </c>
    </row>
    <row r="48" spans="2:50">
      <c r="B48" s="676"/>
      <c r="C48" s="327">
        <v>2</v>
      </c>
      <c r="D48" s="227" t="s">
        <v>384</v>
      </c>
      <c r="E48" s="182">
        <v>7</v>
      </c>
      <c r="F48" s="569">
        <v>1500</v>
      </c>
      <c r="G48" s="570">
        <v>214.3</v>
      </c>
      <c r="H48" s="718"/>
      <c r="I48" s="199">
        <f t="shared" si="28"/>
        <v>7</v>
      </c>
      <c r="J48" s="199">
        <f t="shared" si="28"/>
        <v>1469.5087935187589</v>
      </c>
      <c r="K48" s="200">
        <f t="shared" si="28"/>
        <v>209.92982764553702</v>
      </c>
      <c r="L48" s="650"/>
      <c r="M48" s="201">
        <f>RANK(K48, K$47:$K$61)</f>
        <v>5</v>
      </c>
      <c r="N48" s="668"/>
      <c r="O48" s="668"/>
      <c r="P48" s="573">
        <v>7</v>
      </c>
      <c r="Q48" s="574">
        <v>1501.008403361345</v>
      </c>
      <c r="R48" s="574">
        <v>214.42977190876357</v>
      </c>
      <c r="S48" s="533">
        <f t="shared" ref="S48:S54" si="29">RANK(R48, R$47:R$61)</f>
        <v>2</v>
      </c>
      <c r="T48" s="690"/>
      <c r="U48" s="573">
        <v>7</v>
      </c>
      <c r="V48" s="574">
        <v>1477.948717948718</v>
      </c>
      <c r="W48" s="574">
        <v>211.13553113553115</v>
      </c>
      <c r="X48" s="533">
        <f t="shared" ref="X48:X54" si="30">RANK(W48, W$47:W$61)</f>
        <v>4</v>
      </c>
      <c r="Y48" s="690"/>
      <c r="Z48" s="573">
        <v>7</v>
      </c>
      <c r="AA48" s="574">
        <v>1377.0247933884293</v>
      </c>
      <c r="AB48" s="574">
        <v>196.71782762691848</v>
      </c>
      <c r="AC48" s="533">
        <f t="shared" ref="AC48:AC54" si="31">RANK(AB48, AB$47:AB$61)</f>
        <v>5</v>
      </c>
      <c r="AD48" s="690"/>
      <c r="AE48" s="573">
        <v>7</v>
      </c>
      <c r="AF48" s="574">
        <v>1494.432989690722</v>
      </c>
      <c r="AG48" s="574">
        <v>213.49042709867459</v>
      </c>
      <c r="AH48" s="533">
        <f t="shared" ref="AH48:AH54" si="32">RANK(AG48, AG$47:AG$61)</f>
        <v>2</v>
      </c>
      <c r="AI48" s="690"/>
      <c r="AJ48" s="573">
        <v>7</v>
      </c>
      <c r="AK48" s="574">
        <v>1481.8867924528297</v>
      </c>
      <c r="AL48" s="574">
        <v>211.6981132075471</v>
      </c>
      <c r="AM48" s="533">
        <f t="shared" ref="AM48:AM54" si="33">RANK(AL48, AL$47:AL$61)</f>
        <v>3</v>
      </c>
      <c r="AN48" s="690"/>
      <c r="AO48" s="573">
        <v>7</v>
      </c>
      <c r="AP48" s="574">
        <v>1478.4615384615386</v>
      </c>
      <c r="AQ48" s="574">
        <v>211.20879120879121</v>
      </c>
      <c r="AR48" s="533">
        <f t="shared" ref="AR48:AR54" si="34">RANK(AQ48, AQ$47:AQ$61)</f>
        <v>3</v>
      </c>
      <c r="AS48" s="690"/>
      <c r="AT48" s="573">
        <v>7</v>
      </c>
      <c r="AU48" s="574">
        <v>1475.7983193277314</v>
      </c>
      <c r="AV48" s="574">
        <v>210.82833133253305</v>
      </c>
      <c r="AW48" s="533">
        <f t="shared" ref="AW48:AW54" si="35">RANK(AV48, AV$47:AV$61)</f>
        <v>4</v>
      </c>
      <c r="AX48" s="690"/>
    </row>
    <row r="49" spans="2:50">
      <c r="B49" s="676"/>
      <c r="C49" s="327">
        <v>3</v>
      </c>
      <c r="D49" s="227" t="s">
        <v>349</v>
      </c>
      <c r="E49" s="182">
        <v>20</v>
      </c>
      <c r="F49" s="569">
        <v>1500</v>
      </c>
      <c r="G49" s="570">
        <v>75</v>
      </c>
      <c r="H49" s="718"/>
      <c r="I49" s="199">
        <f t="shared" si="28"/>
        <v>20</v>
      </c>
      <c r="J49" s="199">
        <f t="shared" si="28"/>
        <v>1420.0841031672282</v>
      </c>
      <c r="K49" s="200">
        <f t="shared" si="28"/>
        <v>71.004205158361401</v>
      </c>
      <c r="L49" s="650"/>
      <c r="M49" s="201">
        <f>RANK(K49, K$47:$K$61)</f>
        <v>7</v>
      </c>
      <c r="N49" s="668"/>
      <c r="O49" s="668"/>
      <c r="P49" s="573">
        <v>20</v>
      </c>
      <c r="Q49" s="574">
        <v>1430.8695652173915</v>
      </c>
      <c r="R49" s="574">
        <v>71.543478260869577</v>
      </c>
      <c r="S49" s="533">
        <f t="shared" si="29"/>
        <v>7</v>
      </c>
      <c r="T49" s="690"/>
      <c r="U49" s="573">
        <v>20</v>
      </c>
      <c r="V49" s="574">
        <v>1448.5714285714253</v>
      </c>
      <c r="W49" s="574">
        <v>72.42857142857126</v>
      </c>
      <c r="X49" s="533">
        <f t="shared" si="30"/>
        <v>7</v>
      </c>
      <c r="Y49" s="690"/>
      <c r="Z49" s="573">
        <v>20</v>
      </c>
      <c r="AA49" s="574">
        <v>1444.9599999999975</v>
      </c>
      <c r="AB49" s="574">
        <v>72.247999999999877</v>
      </c>
      <c r="AC49" s="533">
        <f t="shared" si="31"/>
        <v>7</v>
      </c>
      <c r="AD49" s="690"/>
      <c r="AE49" s="573">
        <v>20</v>
      </c>
      <c r="AF49" s="574">
        <v>1393.4637931034486</v>
      </c>
      <c r="AG49" s="574">
        <v>69.673189655172422</v>
      </c>
      <c r="AH49" s="533">
        <f t="shared" si="32"/>
        <v>7</v>
      </c>
      <c r="AI49" s="690"/>
      <c r="AJ49" s="573">
        <v>20</v>
      </c>
      <c r="AK49" s="574">
        <v>1390.0952380952376</v>
      </c>
      <c r="AL49" s="574">
        <v>69.504761904761878</v>
      </c>
      <c r="AM49" s="533">
        <f t="shared" si="33"/>
        <v>7</v>
      </c>
      <c r="AN49" s="690"/>
      <c r="AO49" s="573">
        <v>20</v>
      </c>
      <c r="AP49" s="574">
        <v>1429.766197183098</v>
      </c>
      <c r="AQ49" s="574">
        <v>71.488309859154896</v>
      </c>
      <c r="AR49" s="533">
        <f t="shared" si="34"/>
        <v>7</v>
      </c>
      <c r="AS49" s="690"/>
      <c r="AT49" s="573">
        <v>20</v>
      </c>
      <c r="AU49" s="574">
        <v>1402.8624999999995</v>
      </c>
      <c r="AV49" s="574">
        <v>70.143124999999969</v>
      </c>
      <c r="AW49" s="533">
        <f t="shared" si="35"/>
        <v>7</v>
      </c>
      <c r="AX49" s="690"/>
    </row>
    <row r="50" spans="2:50">
      <c r="B50" s="676"/>
      <c r="C50" s="327">
        <v>4</v>
      </c>
      <c r="D50" s="227" t="s">
        <v>385</v>
      </c>
      <c r="E50" s="182">
        <v>16</v>
      </c>
      <c r="F50" s="569">
        <v>1440</v>
      </c>
      <c r="G50" s="570">
        <v>84.7</v>
      </c>
      <c r="H50" s="718"/>
      <c r="I50" s="199">
        <f t="shared" si="28"/>
        <v>16</v>
      </c>
      <c r="J50" s="199">
        <f t="shared" si="28"/>
        <v>1425.0747044989446</v>
      </c>
      <c r="K50" s="200">
        <f t="shared" si="28"/>
        <v>89.067169031184036</v>
      </c>
      <c r="L50" s="650"/>
      <c r="M50" s="201">
        <f>RANK(K50, K$47:$K$61)</f>
        <v>6</v>
      </c>
      <c r="N50" s="668"/>
      <c r="O50" s="668"/>
      <c r="P50" s="573">
        <v>16</v>
      </c>
      <c r="Q50" s="574">
        <v>1403.3333333333333</v>
      </c>
      <c r="R50" s="574">
        <v>87.708333333333329</v>
      </c>
      <c r="S50" s="533">
        <f t="shared" si="29"/>
        <v>6</v>
      </c>
      <c r="T50" s="690"/>
      <c r="U50" s="573">
        <v>16</v>
      </c>
      <c r="V50" s="574">
        <v>1449.23076923077</v>
      </c>
      <c r="W50" s="574">
        <v>90.576923076923123</v>
      </c>
      <c r="X50" s="533">
        <f t="shared" si="30"/>
        <v>6</v>
      </c>
      <c r="Y50" s="690"/>
      <c r="Z50" s="573">
        <v>16</v>
      </c>
      <c r="AA50" s="574">
        <v>1433.0769230769238</v>
      </c>
      <c r="AB50" s="574">
        <v>89.567307692307736</v>
      </c>
      <c r="AC50" s="533">
        <f t="shared" si="31"/>
        <v>6</v>
      </c>
      <c r="AD50" s="690"/>
      <c r="AE50" s="573">
        <v>16</v>
      </c>
      <c r="AF50" s="574">
        <v>1421.2499999999998</v>
      </c>
      <c r="AG50" s="574">
        <v>88.828124999999986</v>
      </c>
      <c r="AH50" s="533">
        <f t="shared" si="32"/>
        <v>6</v>
      </c>
      <c r="AI50" s="690"/>
      <c r="AJ50" s="573">
        <v>16</v>
      </c>
      <c r="AK50" s="574">
        <v>1415.5263157894742</v>
      </c>
      <c r="AL50" s="574">
        <v>88.470394736842138</v>
      </c>
      <c r="AM50" s="533">
        <f t="shared" si="33"/>
        <v>6</v>
      </c>
      <c r="AN50" s="690"/>
      <c r="AO50" s="573">
        <v>16</v>
      </c>
      <c r="AP50" s="574">
        <v>1415.7142857142853</v>
      </c>
      <c r="AQ50" s="574">
        <v>88.482142857142833</v>
      </c>
      <c r="AR50" s="533">
        <f t="shared" si="34"/>
        <v>6</v>
      </c>
      <c r="AS50" s="690"/>
      <c r="AT50" s="573">
        <v>16</v>
      </c>
      <c r="AU50" s="574">
        <v>1437.391304347826</v>
      </c>
      <c r="AV50" s="574">
        <v>89.836956521739125</v>
      </c>
      <c r="AW50" s="533">
        <f t="shared" si="35"/>
        <v>6</v>
      </c>
      <c r="AX50" s="690"/>
    </row>
    <row r="51" spans="2:50">
      <c r="B51" s="676"/>
      <c r="C51" s="327">
        <v>5</v>
      </c>
      <c r="D51" s="227" t="s">
        <v>457</v>
      </c>
      <c r="E51" s="182">
        <v>7</v>
      </c>
      <c r="F51" s="569">
        <v>1500</v>
      </c>
      <c r="G51" s="570">
        <v>214.3</v>
      </c>
      <c r="H51" s="718"/>
      <c r="I51" s="199">
        <f t="shared" si="28"/>
        <v>7</v>
      </c>
      <c r="J51" s="199">
        <f t="shared" si="28"/>
        <v>1479.0007196554509</v>
      </c>
      <c r="K51" s="200">
        <f t="shared" si="28"/>
        <v>211.28581709363587</v>
      </c>
      <c r="L51" s="650"/>
      <c r="M51" s="201">
        <f>RANK(K51, K$47:$K$61)</f>
        <v>3</v>
      </c>
      <c r="N51" s="668"/>
      <c r="O51" s="668"/>
      <c r="P51" s="573">
        <v>7</v>
      </c>
      <c r="Q51" s="574">
        <v>1493.7142857142853</v>
      </c>
      <c r="R51" s="574">
        <v>213.38775510204076</v>
      </c>
      <c r="S51" s="533">
        <f>RANK(R51, R$47:R$61)</f>
        <v>3</v>
      </c>
      <c r="T51" s="690"/>
      <c r="U51" s="573">
        <v>7</v>
      </c>
      <c r="V51" s="574">
        <v>1480.6060606060605</v>
      </c>
      <c r="W51" s="574">
        <v>211.5151515151515</v>
      </c>
      <c r="X51" s="533">
        <f>RANK(W51, W$47:W$61)</f>
        <v>2</v>
      </c>
      <c r="Y51" s="690"/>
      <c r="Z51" s="573">
        <v>7</v>
      </c>
      <c r="AA51" s="574">
        <v>1494.9999999999998</v>
      </c>
      <c r="AB51" s="574">
        <v>213.57142857142853</v>
      </c>
      <c r="AC51" s="533">
        <f>RANK(AB51, AB$47:AB$61)</f>
        <v>3</v>
      </c>
      <c r="AD51" s="690"/>
      <c r="AE51" s="573">
        <v>7</v>
      </c>
      <c r="AF51" s="574">
        <v>1459.9999999999995</v>
      </c>
      <c r="AG51" s="574">
        <v>208.5714285714285</v>
      </c>
      <c r="AH51" s="533">
        <f>RANK(AG51, AG$47:AG$61)</f>
        <v>5</v>
      </c>
      <c r="AI51" s="690"/>
      <c r="AJ51" s="573">
        <v>7</v>
      </c>
      <c r="AK51" s="574">
        <v>1475.8695652173919</v>
      </c>
      <c r="AL51" s="574">
        <v>210.83850931677028</v>
      </c>
      <c r="AM51" s="533">
        <f>RANK(AL51, AL$47:AL$61)</f>
        <v>4</v>
      </c>
      <c r="AN51" s="690"/>
      <c r="AO51" s="573">
        <v>7</v>
      </c>
      <c r="AP51" s="574">
        <v>1469.9999999999993</v>
      </c>
      <c r="AQ51" s="574">
        <v>209.99999999999991</v>
      </c>
      <c r="AR51" s="533">
        <f>RANK(AQ51, AQ$47:AQ$61)</f>
        <v>5</v>
      </c>
      <c r="AS51" s="690"/>
      <c r="AT51" s="573">
        <v>7</v>
      </c>
      <c r="AU51" s="574">
        <v>1477.8151260504205</v>
      </c>
      <c r="AV51" s="574">
        <v>211.1164465786315</v>
      </c>
      <c r="AW51" s="533">
        <f>RANK(AV51, AV$47:AV$61)</f>
        <v>3</v>
      </c>
      <c r="AX51" s="690"/>
    </row>
    <row r="52" spans="2:50">
      <c r="B52" s="676"/>
      <c r="C52" s="327">
        <v>6</v>
      </c>
      <c r="D52" s="227" t="s">
        <v>946</v>
      </c>
      <c r="E52" s="182">
        <v>6</v>
      </c>
      <c r="F52" s="569">
        <v>1636</v>
      </c>
      <c r="G52" s="570">
        <v>2400</v>
      </c>
      <c r="H52" s="718"/>
      <c r="I52" s="427">
        <f t="shared" ref="I52:I53" si="36">AVERAGE(P52,U52,Z52,AE52,AJ52,AO52,AT52)</f>
        <v>6</v>
      </c>
      <c r="J52" s="427">
        <f t="shared" ref="J52:J53" si="37">AVERAGE(Q52,V52,AA52,AF52,AK52,AP52,AU52)</f>
        <v>1525.4881501063614</v>
      </c>
      <c r="K52" s="200">
        <f t="shared" ref="K52:K53" si="38">AVERAGE(R52,W52,AB52,AG52,AL52,AQ52,AV52)</f>
        <v>254.24802501772689</v>
      </c>
      <c r="L52" s="650"/>
      <c r="M52" s="201">
        <f>RANK(K52, K$47:$K$61)</f>
        <v>1</v>
      </c>
      <c r="N52" s="668"/>
      <c r="O52" s="668"/>
      <c r="P52" s="573">
        <v>6</v>
      </c>
      <c r="Q52" s="574">
        <v>1511.1111111111118</v>
      </c>
      <c r="R52" s="574">
        <v>251.85185185185196</v>
      </c>
      <c r="S52" s="533">
        <f t="shared" si="29"/>
        <v>1</v>
      </c>
      <c r="T52" s="690"/>
      <c r="U52" s="573">
        <v>6</v>
      </c>
      <c r="V52" s="574">
        <v>1521.1764705882347</v>
      </c>
      <c r="W52" s="574">
        <v>253.52941176470577</v>
      </c>
      <c r="X52" s="533">
        <f t="shared" si="30"/>
        <v>1</v>
      </c>
      <c r="Y52" s="690"/>
      <c r="Z52" s="573">
        <v>6</v>
      </c>
      <c r="AA52" s="574">
        <v>1527.9207920792073</v>
      </c>
      <c r="AB52" s="574">
        <v>254.65346534653455</v>
      </c>
      <c r="AC52" s="533">
        <f t="shared" si="31"/>
        <v>1</v>
      </c>
      <c r="AD52" s="690"/>
      <c r="AE52" s="573">
        <v>6</v>
      </c>
      <c r="AF52" s="574">
        <v>1522.2471910112361</v>
      </c>
      <c r="AG52" s="574">
        <v>253.70786516853934</v>
      </c>
      <c r="AH52" s="533">
        <f t="shared" si="32"/>
        <v>1</v>
      </c>
      <c r="AI52" s="690"/>
      <c r="AJ52" s="573">
        <v>6</v>
      </c>
      <c r="AK52" s="574">
        <v>1539.3103448275861</v>
      </c>
      <c r="AL52" s="574">
        <v>256.55172413793099</v>
      </c>
      <c r="AM52" s="533">
        <f t="shared" si="33"/>
        <v>1</v>
      </c>
      <c r="AN52" s="690"/>
      <c r="AO52" s="573">
        <v>6</v>
      </c>
      <c r="AP52" s="574">
        <v>1538.2300884955753</v>
      </c>
      <c r="AQ52" s="574">
        <v>256.37168141592923</v>
      </c>
      <c r="AR52" s="533">
        <f t="shared" si="34"/>
        <v>1</v>
      </c>
      <c r="AS52" s="690"/>
      <c r="AT52" s="573">
        <v>6</v>
      </c>
      <c r="AU52" s="574">
        <v>1518.421052631579</v>
      </c>
      <c r="AV52" s="574">
        <v>253.07017543859649</v>
      </c>
      <c r="AW52" s="533">
        <f t="shared" si="35"/>
        <v>1</v>
      </c>
      <c r="AX52" s="690"/>
    </row>
    <row r="53" spans="2:50">
      <c r="B53" s="676"/>
      <c r="C53" s="327">
        <v>7</v>
      </c>
      <c r="D53" s="227" t="s">
        <v>903</v>
      </c>
      <c r="E53" s="182">
        <v>7</v>
      </c>
      <c r="F53" s="569">
        <v>1500</v>
      </c>
      <c r="G53" s="570">
        <v>214.3</v>
      </c>
      <c r="H53" s="718"/>
      <c r="I53" s="427">
        <f t="shared" si="36"/>
        <v>7</v>
      </c>
      <c r="J53" s="427">
        <f t="shared" si="37"/>
        <v>1476.1175611165766</v>
      </c>
      <c r="K53" s="200">
        <f t="shared" si="38"/>
        <v>210.87393730236809</v>
      </c>
      <c r="L53" s="650"/>
      <c r="M53" s="201">
        <f>RANK(K53, K$47:$K$61)</f>
        <v>4</v>
      </c>
      <c r="N53" s="668"/>
      <c r="O53" s="668"/>
      <c r="P53" s="573">
        <v>7</v>
      </c>
      <c r="Q53" s="574">
        <v>1465.5445544554464</v>
      </c>
      <c r="R53" s="574">
        <v>209.36350777934948</v>
      </c>
      <c r="S53" s="533">
        <f t="shared" si="29"/>
        <v>5</v>
      </c>
      <c r="T53" s="690"/>
      <c r="U53" s="573">
        <v>7</v>
      </c>
      <c r="V53" s="574">
        <v>1478.1250000000005</v>
      </c>
      <c r="W53" s="574">
        <v>211.16071428571436</v>
      </c>
      <c r="X53" s="533">
        <f t="shared" si="30"/>
        <v>3</v>
      </c>
      <c r="Y53" s="690"/>
      <c r="Z53" s="573">
        <v>7</v>
      </c>
      <c r="AA53" s="574">
        <v>1499.3548387096776</v>
      </c>
      <c r="AB53" s="574">
        <v>214.1935483870968</v>
      </c>
      <c r="AC53" s="533">
        <f t="shared" si="31"/>
        <v>2</v>
      </c>
      <c r="AD53" s="690"/>
      <c r="AE53" s="573">
        <v>7</v>
      </c>
      <c r="AF53" s="574">
        <v>1486.8292682926824</v>
      </c>
      <c r="AG53" s="574">
        <v>212.40418118466891</v>
      </c>
      <c r="AH53" s="533">
        <f t="shared" si="32"/>
        <v>3</v>
      </c>
      <c r="AI53" s="690"/>
      <c r="AJ53" s="573">
        <v>7</v>
      </c>
      <c r="AK53" s="574">
        <v>1457.5280898876406</v>
      </c>
      <c r="AL53" s="574">
        <v>208.21829855537723</v>
      </c>
      <c r="AM53" s="533">
        <f t="shared" si="33"/>
        <v>5</v>
      </c>
      <c r="AN53" s="690"/>
      <c r="AO53" s="573">
        <v>7</v>
      </c>
      <c r="AP53" s="574">
        <v>1472.5000000000005</v>
      </c>
      <c r="AQ53" s="574">
        <v>210.35714285714292</v>
      </c>
      <c r="AR53" s="533">
        <f t="shared" si="34"/>
        <v>4</v>
      </c>
      <c r="AS53" s="690"/>
      <c r="AT53" s="573">
        <v>7</v>
      </c>
      <c r="AU53" s="574">
        <v>1472.9411764705887</v>
      </c>
      <c r="AV53" s="574">
        <v>210.42016806722697</v>
      </c>
      <c r="AW53" s="533">
        <f t="shared" si="35"/>
        <v>5</v>
      </c>
      <c r="AX53" s="690"/>
    </row>
    <row r="54" spans="2:50">
      <c r="B54" s="676"/>
      <c r="C54" s="327">
        <v>8</v>
      </c>
      <c r="D54" s="227"/>
      <c r="E54" s="182"/>
      <c r="F54" s="569"/>
      <c r="G54" s="570"/>
      <c r="H54" s="718"/>
      <c r="I54" s="463"/>
      <c r="J54" s="463"/>
      <c r="K54" s="200"/>
      <c r="L54" s="650"/>
      <c r="M54" s="201" t="e">
        <f>RANK(K54, K$47:$K$61)</f>
        <v>#N/A</v>
      </c>
      <c r="N54" s="668"/>
      <c r="O54" s="668"/>
      <c r="P54" s="573"/>
      <c r="Q54" s="574"/>
      <c r="R54" s="574"/>
      <c r="S54" s="533" t="e">
        <f t="shared" si="29"/>
        <v>#N/A</v>
      </c>
      <c r="T54" s="690"/>
      <c r="U54" s="573"/>
      <c r="V54" s="574"/>
      <c r="W54" s="574"/>
      <c r="X54" s="533" t="e">
        <f t="shared" si="30"/>
        <v>#N/A</v>
      </c>
      <c r="Y54" s="690"/>
      <c r="Z54" s="573"/>
      <c r="AA54" s="574"/>
      <c r="AB54" s="574"/>
      <c r="AC54" s="533" t="e">
        <f t="shared" si="31"/>
        <v>#N/A</v>
      </c>
      <c r="AD54" s="690"/>
      <c r="AE54" s="573"/>
      <c r="AF54" s="574"/>
      <c r="AG54" s="574"/>
      <c r="AH54" s="533" t="e">
        <f t="shared" si="32"/>
        <v>#N/A</v>
      </c>
      <c r="AI54" s="690"/>
      <c r="AJ54" s="573"/>
      <c r="AK54" s="574"/>
      <c r="AL54" s="574"/>
      <c r="AM54" s="533" t="e">
        <f t="shared" si="33"/>
        <v>#N/A</v>
      </c>
      <c r="AN54" s="690"/>
      <c r="AO54" s="573"/>
      <c r="AP54" s="574"/>
      <c r="AQ54" s="574"/>
      <c r="AR54" s="533" t="e">
        <f t="shared" si="34"/>
        <v>#N/A</v>
      </c>
      <c r="AS54" s="690"/>
      <c r="AT54" s="573"/>
      <c r="AU54" s="574"/>
      <c r="AV54" s="574"/>
      <c r="AW54" s="533" t="e">
        <f t="shared" si="35"/>
        <v>#N/A</v>
      </c>
      <c r="AX54" s="690"/>
    </row>
    <row r="55" spans="2:50">
      <c r="B55" s="676"/>
      <c r="C55" s="327">
        <v>9</v>
      </c>
      <c r="D55" s="227"/>
      <c r="E55" s="182"/>
      <c r="F55" s="569"/>
      <c r="G55" s="570"/>
      <c r="H55" s="718"/>
      <c r="I55" s="199"/>
      <c r="J55" s="199"/>
      <c r="K55" s="200"/>
      <c r="L55" s="650"/>
      <c r="M55" s="201" t="e">
        <f>RANK(K55, K$47:$K$61)</f>
        <v>#N/A</v>
      </c>
      <c r="N55" s="668"/>
      <c r="O55" s="668"/>
      <c r="P55" s="573"/>
      <c r="Q55" s="574"/>
      <c r="R55" s="574"/>
      <c r="S55" s="533"/>
      <c r="T55" s="690"/>
      <c r="U55" s="573"/>
      <c r="V55" s="574"/>
      <c r="W55" s="574"/>
      <c r="X55" s="533"/>
      <c r="Y55" s="690"/>
      <c r="Z55" s="573"/>
      <c r="AA55" s="574"/>
      <c r="AB55" s="574"/>
      <c r="AC55" s="533"/>
      <c r="AD55" s="690"/>
      <c r="AE55" s="573"/>
      <c r="AF55" s="574"/>
      <c r="AG55" s="574"/>
      <c r="AH55" s="533"/>
      <c r="AI55" s="690"/>
      <c r="AJ55" s="573"/>
      <c r="AK55" s="574"/>
      <c r="AL55" s="574"/>
      <c r="AM55" s="533"/>
      <c r="AN55" s="690"/>
      <c r="AO55" s="573"/>
      <c r="AP55" s="574"/>
      <c r="AQ55" s="574"/>
      <c r="AR55" s="533"/>
      <c r="AS55" s="690"/>
      <c r="AT55" s="573"/>
      <c r="AU55" s="574"/>
      <c r="AV55" s="574"/>
      <c r="AW55" s="533"/>
      <c r="AX55" s="690"/>
    </row>
    <row r="56" spans="2:50">
      <c r="B56" s="676"/>
      <c r="C56" s="327">
        <v>10</v>
      </c>
      <c r="D56" s="227"/>
      <c r="E56" s="182"/>
      <c r="F56" s="569"/>
      <c r="G56" s="570"/>
      <c r="H56" s="718"/>
      <c r="I56" s="199"/>
      <c r="J56" s="199"/>
      <c r="K56" s="200"/>
      <c r="L56" s="650"/>
      <c r="M56" s="201" t="e">
        <f>RANK(K56, K$47:$K$61)</f>
        <v>#N/A</v>
      </c>
      <c r="N56" s="668"/>
      <c r="O56" s="668"/>
      <c r="P56" s="573"/>
      <c r="Q56" s="574"/>
      <c r="R56" s="574"/>
      <c r="S56" s="533"/>
      <c r="T56" s="690"/>
      <c r="U56" s="573"/>
      <c r="V56" s="574"/>
      <c r="W56" s="574"/>
      <c r="X56" s="533"/>
      <c r="Y56" s="690"/>
      <c r="Z56" s="573"/>
      <c r="AA56" s="574"/>
      <c r="AB56" s="574"/>
      <c r="AC56" s="533"/>
      <c r="AD56" s="690"/>
      <c r="AE56" s="573"/>
      <c r="AF56" s="574"/>
      <c r="AG56" s="574"/>
      <c r="AH56" s="533"/>
      <c r="AI56" s="690"/>
      <c r="AJ56" s="573"/>
      <c r="AK56" s="574"/>
      <c r="AL56" s="574"/>
      <c r="AM56" s="533"/>
      <c r="AN56" s="690"/>
      <c r="AO56" s="573"/>
      <c r="AP56" s="574"/>
      <c r="AQ56" s="574"/>
      <c r="AR56" s="533"/>
      <c r="AS56" s="690"/>
      <c r="AT56" s="573"/>
      <c r="AU56" s="574"/>
      <c r="AV56" s="574"/>
      <c r="AW56" s="533"/>
      <c r="AX56" s="690"/>
    </row>
    <row r="57" spans="2:50">
      <c r="B57" s="676"/>
      <c r="C57" s="327">
        <v>11</v>
      </c>
      <c r="D57" s="227"/>
      <c r="E57" s="182"/>
      <c r="F57" s="569"/>
      <c r="G57" s="570"/>
      <c r="H57" s="718"/>
      <c r="I57" s="199"/>
      <c r="J57" s="199"/>
      <c r="K57" s="200"/>
      <c r="L57" s="650"/>
      <c r="M57" s="201" t="e">
        <f>RANK(K57, K$47:$K$61)</f>
        <v>#N/A</v>
      </c>
      <c r="N57" s="668"/>
      <c r="O57" s="668"/>
      <c r="P57" s="573"/>
      <c r="Q57" s="574"/>
      <c r="R57" s="574"/>
      <c r="S57" s="533"/>
      <c r="T57" s="690"/>
      <c r="U57" s="573"/>
      <c r="V57" s="574"/>
      <c r="W57" s="574"/>
      <c r="X57" s="533"/>
      <c r="Y57" s="690"/>
      <c r="Z57" s="573"/>
      <c r="AA57" s="574"/>
      <c r="AB57" s="574"/>
      <c r="AC57" s="533"/>
      <c r="AD57" s="690"/>
      <c r="AE57" s="573"/>
      <c r="AF57" s="574"/>
      <c r="AG57" s="574"/>
      <c r="AH57" s="533"/>
      <c r="AI57" s="690"/>
      <c r="AJ57" s="573"/>
      <c r="AK57" s="574"/>
      <c r="AL57" s="574"/>
      <c r="AM57" s="533"/>
      <c r="AN57" s="690"/>
      <c r="AO57" s="573"/>
      <c r="AP57" s="574"/>
      <c r="AQ57" s="574"/>
      <c r="AR57" s="533"/>
      <c r="AS57" s="690"/>
      <c r="AT57" s="573"/>
      <c r="AU57" s="574"/>
      <c r="AV57" s="574"/>
      <c r="AW57" s="533"/>
      <c r="AX57" s="690"/>
    </row>
    <row r="58" spans="2:50">
      <c r="B58" s="676"/>
      <c r="C58" s="327">
        <v>12</v>
      </c>
      <c r="D58" s="227"/>
      <c r="E58" s="182"/>
      <c r="F58" s="569"/>
      <c r="G58" s="570"/>
      <c r="H58" s="718"/>
      <c r="I58" s="199"/>
      <c r="J58" s="199"/>
      <c r="K58" s="200"/>
      <c r="L58" s="650"/>
      <c r="M58" s="201" t="e">
        <f>RANK(K58, K$47:$K$61)</f>
        <v>#N/A</v>
      </c>
      <c r="N58" s="668"/>
      <c r="O58" s="668"/>
      <c r="P58" s="573"/>
      <c r="Q58" s="574"/>
      <c r="R58" s="574"/>
      <c r="S58" s="533"/>
      <c r="T58" s="690"/>
      <c r="U58" s="573"/>
      <c r="V58" s="574"/>
      <c r="W58" s="574"/>
      <c r="X58" s="533"/>
      <c r="Y58" s="690"/>
      <c r="Z58" s="573"/>
      <c r="AA58" s="574"/>
      <c r="AB58" s="574"/>
      <c r="AC58" s="533"/>
      <c r="AD58" s="690"/>
      <c r="AE58" s="573"/>
      <c r="AF58" s="574"/>
      <c r="AG58" s="574"/>
      <c r="AH58" s="533"/>
      <c r="AI58" s="690"/>
      <c r="AJ58" s="573"/>
      <c r="AK58" s="574"/>
      <c r="AL58" s="574"/>
      <c r="AM58" s="533"/>
      <c r="AN58" s="690"/>
      <c r="AO58" s="573"/>
      <c r="AP58" s="574"/>
      <c r="AQ58" s="574"/>
      <c r="AR58" s="533"/>
      <c r="AS58" s="690"/>
      <c r="AT58" s="573"/>
      <c r="AU58" s="574"/>
      <c r="AV58" s="574"/>
      <c r="AW58" s="533"/>
      <c r="AX58" s="690"/>
    </row>
    <row r="59" spans="2:50">
      <c r="B59" s="676"/>
      <c r="C59" s="327">
        <v>13</v>
      </c>
      <c r="D59" s="227"/>
      <c r="E59" s="182"/>
      <c r="F59" s="569"/>
      <c r="G59" s="570"/>
      <c r="H59" s="718"/>
      <c r="I59" s="199"/>
      <c r="J59" s="199"/>
      <c r="K59" s="200"/>
      <c r="L59" s="650"/>
      <c r="M59" s="201" t="e">
        <f>RANK(K59, K$47:$K$61)</f>
        <v>#N/A</v>
      </c>
      <c r="N59" s="668"/>
      <c r="O59" s="668"/>
      <c r="P59" s="573"/>
      <c r="Q59" s="574"/>
      <c r="R59" s="574"/>
      <c r="S59" s="533"/>
      <c r="T59" s="690"/>
      <c r="U59" s="573"/>
      <c r="V59" s="574"/>
      <c r="W59" s="574"/>
      <c r="X59" s="533"/>
      <c r="Y59" s="690"/>
      <c r="Z59" s="573"/>
      <c r="AA59" s="574"/>
      <c r="AB59" s="574"/>
      <c r="AC59" s="533"/>
      <c r="AD59" s="690"/>
      <c r="AE59" s="573"/>
      <c r="AF59" s="574"/>
      <c r="AG59" s="574"/>
      <c r="AH59" s="533"/>
      <c r="AI59" s="690"/>
      <c r="AJ59" s="573"/>
      <c r="AK59" s="574"/>
      <c r="AL59" s="574"/>
      <c r="AM59" s="533"/>
      <c r="AN59" s="690"/>
      <c r="AO59" s="573"/>
      <c r="AP59" s="574"/>
      <c r="AQ59" s="574"/>
      <c r="AR59" s="533"/>
      <c r="AS59" s="690"/>
      <c r="AT59" s="573"/>
      <c r="AU59" s="574"/>
      <c r="AV59" s="574"/>
      <c r="AW59" s="533"/>
      <c r="AX59" s="690"/>
    </row>
    <row r="60" spans="2:50">
      <c r="B60" s="676"/>
      <c r="C60" s="327">
        <v>14</v>
      </c>
      <c r="D60" s="227"/>
      <c r="E60" s="182"/>
      <c r="F60" s="569"/>
      <c r="G60" s="570"/>
      <c r="H60" s="718"/>
      <c r="I60" s="199"/>
      <c r="J60" s="199"/>
      <c r="K60" s="200"/>
      <c r="L60" s="650"/>
      <c r="M60" s="201" t="e">
        <f>RANK(K60, K$47:$K$61)</f>
        <v>#N/A</v>
      </c>
      <c r="N60" s="668"/>
      <c r="O60" s="668"/>
      <c r="P60" s="573"/>
      <c r="Q60" s="574"/>
      <c r="R60" s="574"/>
      <c r="S60" s="533"/>
      <c r="T60" s="690"/>
      <c r="U60" s="573"/>
      <c r="V60" s="574"/>
      <c r="W60" s="574"/>
      <c r="X60" s="533"/>
      <c r="Y60" s="690"/>
      <c r="Z60" s="573"/>
      <c r="AA60" s="574"/>
      <c r="AB60" s="574"/>
      <c r="AC60" s="533"/>
      <c r="AD60" s="690"/>
      <c r="AE60" s="573"/>
      <c r="AF60" s="574"/>
      <c r="AG60" s="574"/>
      <c r="AH60" s="533"/>
      <c r="AI60" s="690"/>
      <c r="AJ60" s="573"/>
      <c r="AK60" s="574"/>
      <c r="AL60" s="574"/>
      <c r="AM60" s="533"/>
      <c r="AN60" s="690"/>
      <c r="AO60" s="573"/>
      <c r="AP60" s="574"/>
      <c r="AQ60" s="574"/>
      <c r="AR60" s="533"/>
      <c r="AS60" s="690"/>
      <c r="AT60" s="573"/>
      <c r="AU60" s="574"/>
      <c r="AV60" s="574"/>
      <c r="AW60" s="533"/>
      <c r="AX60" s="690"/>
    </row>
    <row r="61" spans="2:50">
      <c r="B61" s="676"/>
      <c r="C61" s="327">
        <v>15</v>
      </c>
      <c r="D61" s="227"/>
      <c r="E61" s="182"/>
      <c r="F61" s="569"/>
      <c r="G61" s="570"/>
      <c r="H61" s="719"/>
      <c r="I61" s="199"/>
      <c r="J61" s="199"/>
      <c r="K61" s="200"/>
      <c r="L61" s="651"/>
      <c r="M61" s="201" t="e">
        <f>RANK(K61, K$47:$K$61)</f>
        <v>#N/A</v>
      </c>
      <c r="N61" s="668"/>
      <c r="O61" s="668"/>
      <c r="P61" s="573"/>
      <c r="Q61" s="574"/>
      <c r="R61" s="574"/>
      <c r="S61" s="533"/>
      <c r="T61" s="690"/>
      <c r="U61" s="573"/>
      <c r="V61" s="574"/>
      <c r="W61" s="574"/>
      <c r="X61" s="533"/>
      <c r="Y61" s="690"/>
      <c r="Z61" s="573"/>
      <c r="AA61" s="574"/>
      <c r="AB61" s="574"/>
      <c r="AC61" s="533"/>
      <c r="AD61" s="690"/>
      <c r="AE61" s="573"/>
      <c r="AF61" s="574"/>
      <c r="AG61" s="574"/>
      <c r="AH61" s="533"/>
      <c r="AI61" s="690"/>
      <c r="AJ61" s="573"/>
      <c r="AK61" s="574"/>
      <c r="AL61" s="574"/>
      <c r="AM61" s="533"/>
      <c r="AN61" s="690"/>
      <c r="AO61" s="573"/>
      <c r="AP61" s="574"/>
      <c r="AQ61" s="574"/>
      <c r="AR61" s="533"/>
      <c r="AS61" s="690"/>
      <c r="AT61" s="573"/>
      <c r="AU61" s="574"/>
      <c r="AV61" s="574"/>
      <c r="AW61" s="533"/>
      <c r="AX61" s="690"/>
    </row>
    <row r="62" spans="2:50" ht="15.75">
      <c r="B62" s="680" t="s">
        <v>163</v>
      </c>
      <c r="C62" s="681"/>
      <c r="D62" s="681"/>
      <c r="E62" s="681"/>
      <c r="F62" s="681"/>
      <c r="G62" s="681"/>
      <c r="H62" s="682"/>
      <c r="I62" s="208"/>
      <c r="J62" s="208"/>
      <c r="K62" s="208"/>
      <c r="L62" s="208"/>
      <c r="M62" s="207"/>
      <c r="N62" s="669" t="s">
        <v>156</v>
      </c>
      <c r="O62" s="669" t="s">
        <v>105</v>
      </c>
      <c r="P62" s="675">
        <f>P42+7</f>
        <v>46105</v>
      </c>
      <c r="Q62" s="676"/>
      <c r="R62" s="676"/>
      <c r="S62" s="676"/>
      <c r="T62" s="676"/>
      <c r="U62" s="672">
        <f>P62+1</f>
        <v>46106</v>
      </c>
      <c r="V62" s="673"/>
      <c r="W62" s="673"/>
      <c r="X62" s="673"/>
      <c r="Y62" s="674"/>
      <c r="Z62" s="672">
        <f>U62+1</f>
        <v>46107</v>
      </c>
      <c r="AA62" s="673"/>
      <c r="AB62" s="673"/>
      <c r="AC62" s="673"/>
      <c r="AD62" s="674"/>
      <c r="AE62" s="672">
        <f>Z62+1</f>
        <v>46108</v>
      </c>
      <c r="AF62" s="673"/>
      <c r="AG62" s="673"/>
      <c r="AH62" s="673"/>
      <c r="AI62" s="674"/>
      <c r="AJ62" s="672">
        <f>AE62+1</f>
        <v>46109</v>
      </c>
      <c r="AK62" s="673"/>
      <c r="AL62" s="673"/>
      <c r="AM62" s="673"/>
      <c r="AN62" s="674"/>
      <c r="AO62" s="672">
        <f>AJ62+1</f>
        <v>46110</v>
      </c>
      <c r="AP62" s="673"/>
      <c r="AQ62" s="673"/>
      <c r="AR62" s="673"/>
      <c r="AS62" s="674"/>
      <c r="AT62" s="672">
        <f>AO62+1</f>
        <v>46111</v>
      </c>
      <c r="AU62" s="673"/>
      <c r="AV62" s="673"/>
      <c r="AW62" s="673"/>
      <c r="AX62" s="674"/>
    </row>
    <row r="63" spans="2:50" ht="15.75">
      <c r="B63" s="683"/>
      <c r="C63" s="683"/>
      <c r="D63" s="683"/>
      <c r="E63" s="683"/>
      <c r="F63" s="683"/>
      <c r="G63" s="683"/>
      <c r="H63" s="683"/>
      <c r="I63" s="205"/>
      <c r="J63" s="205"/>
      <c r="K63" s="205"/>
      <c r="L63" s="205"/>
      <c r="M63" s="206"/>
      <c r="N63" s="671"/>
      <c r="O63" s="671"/>
      <c r="P63" s="675" t="s">
        <v>336</v>
      </c>
      <c r="Q63" s="676"/>
      <c r="R63" s="676"/>
      <c r="S63" s="676"/>
      <c r="T63" s="676"/>
      <c r="U63" s="675" t="s">
        <v>337</v>
      </c>
      <c r="V63" s="676"/>
      <c r="W63" s="676"/>
      <c r="X63" s="676"/>
      <c r="Y63" s="676"/>
      <c r="Z63" s="675" t="s">
        <v>338</v>
      </c>
      <c r="AA63" s="676"/>
      <c r="AB63" s="676"/>
      <c r="AC63" s="676"/>
      <c r="AD63" s="676"/>
      <c r="AE63" s="675" t="s">
        <v>339</v>
      </c>
      <c r="AF63" s="676"/>
      <c r="AG63" s="676"/>
      <c r="AH63" s="676"/>
      <c r="AI63" s="676"/>
      <c r="AJ63" s="675" t="s">
        <v>340</v>
      </c>
      <c r="AK63" s="676"/>
      <c r="AL63" s="676"/>
      <c r="AM63" s="676"/>
      <c r="AN63" s="676"/>
      <c r="AO63" s="675" t="s">
        <v>341</v>
      </c>
      <c r="AP63" s="676"/>
      <c r="AQ63" s="676"/>
      <c r="AR63" s="676"/>
      <c r="AS63" s="676"/>
      <c r="AT63" s="675" t="s">
        <v>342</v>
      </c>
      <c r="AU63" s="676"/>
      <c r="AV63" s="676"/>
      <c r="AW63" s="676"/>
      <c r="AX63" s="676"/>
    </row>
    <row r="64" spans="2:50">
      <c r="B64" s="668" t="s">
        <v>477</v>
      </c>
      <c r="C64" s="668" t="s">
        <v>478</v>
      </c>
      <c r="D64" s="668"/>
      <c r="E64" s="668" t="s">
        <v>479</v>
      </c>
      <c r="F64" s="668"/>
      <c r="G64" s="668"/>
      <c r="H64" s="684" t="s">
        <v>480</v>
      </c>
      <c r="I64" s="652" t="s">
        <v>481</v>
      </c>
      <c r="J64" s="652"/>
      <c r="K64" s="652"/>
      <c r="L64" s="653" t="s">
        <v>480</v>
      </c>
      <c r="M64" s="659" t="s">
        <v>482</v>
      </c>
      <c r="N64" s="668"/>
      <c r="O64" s="668" t="s">
        <v>483</v>
      </c>
      <c r="P64" s="665" t="s">
        <v>484</v>
      </c>
      <c r="Q64" s="666"/>
      <c r="R64" s="666"/>
      <c r="S64" s="667"/>
      <c r="T64" s="668" t="s">
        <v>480</v>
      </c>
      <c r="U64" s="665" t="s">
        <v>484</v>
      </c>
      <c r="V64" s="666"/>
      <c r="W64" s="666"/>
      <c r="X64" s="667"/>
      <c r="Y64" s="668" t="s">
        <v>480</v>
      </c>
      <c r="Z64" s="665" t="s">
        <v>484</v>
      </c>
      <c r="AA64" s="666"/>
      <c r="AB64" s="666"/>
      <c r="AC64" s="667"/>
      <c r="AD64" s="668" t="s">
        <v>480</v>
      </c>
      <c r="AE64" s="665" t="s">
        <v>484</v>
      </c>
      <c r="AF64" s="666"/>
      <c r="AG64" s="666"/>
      <c r="AH64" s="667"/>
      <c r="AI64" s="668" t="s">
        <v>480</v>
      </c>
      <c r="AJ64" s="665" t="s">
        <v>484</v>
      </c>
      <c r="AK64" s="666"/>
      <c r="AL64" s="666"/>
      <c r="AM64" s="667"/>
      <c r="AN64" s="668" t="s">
        <v>480</v>
      </c>
      <c r="AO64" s="665" t="s">
        <v>484</v>
      </c>
      <c r="AP64" s="666"/>
      <c r="AQ64" s="666"/>
      <c r="AR64" s="667"/>
      <c r="AS64" s="668" t="s">
        <v>480</v>
      </c>
      <c r="AT64" s="665" t="s">
        <v>484</v>
      </c>
      <c r="AU64" s="666"/>
      <c r="AV64" s="666"/>
      <c r="AW64" s="667"/>
      <c r="AX64" s="668" t="s">
        <v>480</v>
      </c>
    </row>
    <row r="65" spans="2:50">
      <c r="B65" s="668"/>
      <c r="C65" s="668"/>
      <c r="D65" s="668"/>
      <c r="E65" s="668" t="s">
        <v>485</v>
      </c>
      <c r="F65" s="668"/>
      <c r="G65" s="668"/>
      <c r="H65" s="685"/>
      <c r="I65" s="652" t="s">
        <v>485</v>
      </c>
      <c r="J65" s="652"/>
      <c r="K65" s="652"/>
      <c r="L65" s="654"/>
      <c r="M65" s="660"/>
      <c r="N65" s="668"/>
      <c r="O65" s="668"/>
      <c r="P65" s="665" t="s">
        <v>486</v>
      </c>
      <c r="Q65" s="666"/>
      <c r="R65" s="666"/>
      <c r="S65" s="667"/>
      <c r="T65" s="668"/>
      <c r="U65" s="665" t="s">
        <v>486</v>
      </c>
      <c r="V65" s="666"/>
      <c r="W65" s="666"/>
      <c r="X65" s="667"/>
      <c r="Y65" s="668"/>
      <c r="Z65" s="665" t="s">
        <v>486</v>
      </c>
      <c r="AA65" s="666"/>
      <c r="AB65" s="666"/>
      <c r="AC65" s="667"/>
      <c r="AD65" s="668"/>
      <c r="AE65" s="665" t="s">
        <v>486</v>
      </c>
      <c r="AF65" s="666"/>
      <c r="AG65" s="666"/>
      <c r="AH65" s="667"/>
      <c r="AI65" s="668"/>
      <c r="AJ65" s="665" t="s">
        <v>486</v>
      </c>
      <c r="AK65" s="666"/>
      <c r="AL65" s="666"/>
      <c r="AM65" s="667"/>
      <c r="AN65" s="668"/>
      <c r="AO65" s="665" t="s">
        <v>486</v>
      </c>
      <c r="AP65" s="666"/>
      <c r="AQ65" s="666"/>
      <c r="AR65" s="667"/>
      <c r="AS65" s="668"/>
      <c r="AT65" s="665" t="s">
        <v>486</v>
      </c>
      <c r="AU65" s="666"/>
      <c r="AV65" s="666"/>
      <c r="AW65" s="667"/>
      <c r="AX65" s="668"/>
    </row>
    <row r="66" spans="2:50">
      <c r="B66" s="668"/>
      <c r="C66" s="668"/>
      <c r="D66" s="668"/>
      <c r="E66" s="308" t="s">
        <v>487</v>
      </c>
      <c r="F66" s="308" t="s">
        <v>488</v>
      </c>
      <c r="G66" s="308" t="s">
        <v>489</v>
      </c>
      <c r="H66" s="686"/>
      <c r="I66" s="307" t="s">
        <v>487</v>
      </c>
      <c r="J66" s="307" t="s">
        <v>488</v>
      </c>
      <c r="K66" s="307" t="s">
        <v>489</v>
      </c>
      <c r="L66" s="655"/>
      <c r="M66" s="661"/>
      <c r="N66" s="668"/>
      <c r="O66" s="668"/>
      <c r="P66" s="308" t="s">
        <v>487</v>
      </c>
      <c r="Q66" s="308" t="s">
        <v>488</v>
      </c>
      <c r="R66" s="308" t="s">
        <v>489</v>
      </c>
      <c r="S66" s="308" t="s">
        <v>482</v>
      </c>
      <c r="T66" s="668"/>
      <c r="U66" s="308" t="s">
        <v>487</v>
      </c>
      <c r="V66" s="308" t="s">
        <v>488</v>
      </c>
      <c r="W66" s="308" t="s">
        <v>489</v>
      </c>
      <c r="X66" s="308" t="s">
        <v>482</v>
      </c>
      <c r="Y66" s="668"/>
      <c r="Z66" s="308" t="s">
        <v>487</v>
      </c>
      <c r="AA66" s="308" t="s">
        <v>488</v>
      </c>
      <c r="AB66" s="308" t="s">
        <v>489</v>
      </c>
      <c r="AC66" s="308" t="s">
        <v>482</v>
      </c>
      <c r="AD66" s="668"/>
      <c r="AE66" s="308" t="s">
        <v>487</v>
      </c>
      <c r="AF66" s="308" t="s">
        <v>488</v>
      </c>
      <c r="AG66" s="308" t="s">
        <v>489</v>
      </c>
      <c r="AH66" s="308" t="s">
        <v>482</v>
      </c>
      <c r="AI66" s="668"/>
      <c r="AJ66" s="308" t="s">
        <v>487</v>
      </c>
      <c r="AK66" s="308" t="s">
        <v>488</v>
      </c>
      <c r="AL66" s="308" t="s">
        <v>489</v>
      </c>
      <c r="AM66" s="308" t="s">
        <v>482</v>
      </c>
      <c r="AN66" s="668"/>
      <c r="AO66" s="308" t="s">
        <v>487</v>
      </c>
      <c r="AP66" s="308" t="s">
        <v>488</v>
      </c>
      <c r="AQ66" s="308" t="s">
        <v>489</v>
      </c>
      <c r="AR66" s="308" t="s">
        <v>482</v>
      </c>
      <c r="AS66" s="668"/>
      <c r="AT66" s="308" t="s">
        <v>487</v>
      </c>
      <c r="AU66" s="308" t="s">
        <v>488</v>
      </c>
      <c r="AV66" s="308" t="s">
        <v>489</v>
      </c>
      <c r="AW66" s="308" t="s">
        <v>482</v>
      </c>
      <c r="AX66" s="668"/>
    </row>
    <row r="67" spans="2:50">
      <c r="B67" s="668" t="s">
        <v>491</v>
      </c>
      <c r="C67" s="309">
        <v>1</v>
      </c>
      <c r="D67" s="227" t="s">
        <v>383</v>
      </c>
      <c r="E67" s="182">
        <v>7</v>
      </c>
      <c r="F67" s="569">
        <v>1500</v>
      </c>
      <c r="G67" s="570">
        <v>214.3</v>
      </c>
      <c r="H67" s="717">
        <f>AVERAGE(G67:G81)</f>
        <v>488.12857142857149</v>
      </c>
      <c r="I67" s="199">
        <f t="shared" ref="I67:K72" si="39">AVERAGE(P67,U67,Z67,AE67,AJ67,AO67,AT67)</f>
        <v>7</v>
      </c>
      <c r="J67" s="199">
        <f t="shared" si="39"/>
        <v>1485.8248746326426</v>
      </c>
      <c r="K67" s="200">
        <f t="shared" si="39"/>
        <v>212.2606963760918</v>
      </c>
      <c r="L67" s="649">
        <f>IFERROR(AVERAGE(K67:K81),"-")</f>
        <v>180.7266915728141</v>
      </c>
      <c r="M67" s="201">
        <f>RANK(K67, K$67:$K$81)</f>
        <v>5</v>
      </c>
      <c r="N67" s="668"/>
      <c r="O67" s="668"/>
      <c r="P67" s="573">
        <v>7</v>
      </c>
      <c r="Q67" s="574">
        <v>1488.5294117647059</v>
      </c>
      <c r="R67" s="574">
        <v>212.64705882352942</v>
      </c>
      <c r="S67" s="309">
        <f>RANK(R67, R$67:R$81)</f>
        <v>5</v>
      </c>
      <c r="T67" s="677">
        <f>AVERAGE(R67:R81)</f>
        <v>180.26873274881819</v>
      </c>
      <c r="U67" s="573">
        <v>7</v>
      </c>
      <c r="V67" s="574">
        <v>1488.1818181818182</v>
      </c>
      <c r="W67" s="574">
        <v>212.59740259740261</v>
      </c>
      <c r="X67" s="475">
        <f t="shared" ref="X67:X81" si="40">RANK(W67, W$67:W$81)</f>
        <v>4</v>
      </c>
      <c r="Y67" s="677">
        <f t="shared" ref="Y67" si="41">AVERAGE(W67:W81)</f>
        <v>181.35855244906983</v>
      </c>
      <c r="Z67" s="573">
        <v>7</v>
      </c>
      <c r="AA67" s="574">
        <v>1488.5294117647059</v>
      </c>
      <c r="AB67" s="574">
        <v>212.64705882352942</v>
      </c>
      <c r="AC67" s="475">
        <f t="shared" ref="AC67:AC81" si="42">RANK(AB67, AB$67:AB$81)</f>
        <v>4</v>
      </c>
      <c r="AD67" s="677">
        <f t="shared" ref="AD67" si="43">AVERAGE(AB67:AB81)</f>
        <v>181.04065663228241</v>
      </c>
      <c r="AE67" s="573">
        <v>7</v>
      </c>
      <c r="AF67" s="574">
        <v>1479.6610169491528</v>
      </c>
      <c r="AG67" s="574">
        <v>211.38014527845039</v>
      </c>
      <c r="AH67" s="475">
        <f t="shared" ref="AH67:AH81" si="44">RANK(AG67, AG$67:AG$81)</f>
        <v>4</v>
      </c>
      <c r="AI67" s="677">
        <f t="shared" ref="AI67" si="45">AVERAGE(AG67:AG81)</f>
        <v>180.11337671852365</v>
      </c>
      <c r="AJ67" s="573">
        <v>7</v>
      </c>
      <c r="AK67" s="574">
        <v>1473.3333333333328</v>
      </c>
      <c r="AL67" s="574">
        <v>210.4761904761904</v>
      </c>
      <c r="AM67" s="475">
        <f t="shared" ref="AM67:AM81" si="46">RANK(AL67, AL$67:AL$81)</f>
        <v>4</v>
      </c>
      <c r="AN67" s="677">
        <f t="shared" ref="AN67" si="47">AVERAGE(AL67:AL81)</f>
        <v>180.90360011561683</v>
      </c>
      <c r="AO67" s="573">
        <v>7</v>
      </c>
      <c r="AP67" s="574">
        <v>1501.7391304347825</v>
      </c>
      <c r="AQ67" s="574">
        <v>214.5341614906832</v>
      </c>
      <c r="AR67" s="475">
        <f t="shared" ref="AR67:AR81" si="48">RANK(AQ67, AQ$67:AQ$81)</f>
        <v>2</v>
      </c>
      <c r="AS67" s="677">
        <f t="shared" ref="AS67" si="49">AVERAGE(AQ67:AQ81)</f>
        <v>180.97561093140229</v>
      </c>
      <c r="AT67" s="573">
        <v>7</v>
      </c>
      <c r="AU67" s="574">
        <v>1480.7999999999997</v>
      </c>
      <c r="AV67" s="574">
        <v>211.54285714285712</v>
      </c>
      <c r="AW67" s="475">
        <f t="shared" ref="AW67:AW81" si="50">RANK(AV67, AV$67:AV$81)</f>
        <v>4</v>
      </c>
      <c r="AX67" s="690">
        <f t="shared" ref="AX67" si="51">AVERAGE(AV67:AV81)</f>
        <v>180.42631141398559</v>
      </c>
    </row>
    <row r="68" spans="2:50">
      <c r="B68" s="676"/>
      <c r="C68" s="309">
        <v>2</v>
      </c>
      <c r="D68" s="227" t="s">
        <v>384</v>
      </c>
      <c r="E68" s="182">
        <v>7</v>
      </c>
      <c r="F68" s="569">
        <v>1500</v>
      </c>
      <c r="G68" s="570">
        <v>214.3</v>
      </c>
      <c r="H68" s="718"/>
      <c r="I68" s="199">
        <f t="shared" si="39"/>
        <v>7</v>
      </c>
      <c r="J68" s="199">
        <f t="shared" si="39"/>
        <v>1491.4584032616069</v>
      </c>
      <c r="K68" s="200">
        <f t="shared" si="39"/>
        <v>213.06548618022956</v>
      </c>
      <c r="L68" s="650"/>
      <c r="M68" s="201">
        <f>RANK(K68, K$67:$K$81)</f>
        <v>2</v>
      </c>
      <c r="N68" s="668"/>
      <c r="O68" s="668"/>
      <c r="P68" s="573">
        <v>7</v>
      </c>
      <c r="Q68" s="574">
        <v>1509.8275862068967</v>
      </c>
      <c r="R68" s="574">
        <v>215.68965517241381</v>
      </c>
      <c r="S68" s="339">
        <f t="shared" ref="S68:S81" si="52">RANK(R68, R$67:R$81)</f>
        <v>2</v>
      </c>
      <c r="T68" s="678"/>
      <c r="U68" s="573">
        <v>7</v>
      </c>
      <c r="V68" s="574">
        <v>1501.0619469026549</v>
      </c>
      <c r="W68" s="574">
        <v>214.43742098609354</v>
      </c>
      <c r="X68" s="475">
        <f t="shared" si="40"/>
        <v>3</v>
      </c>
      <c r="Y68" s="678"/>
      <c r="Z68" s="573">
        <v>7</v>
      </c>
      <c r="AA68" s="574">
        <v>1491.9642857142856</v>
      </c>
      <c r="AB68" s="574">
        <v>213.13775510204079</v>
      </c>
      <c r="AC68" s="475">
        <f t="shared" si="42"/>
        <v>3</v>
      </c>
      <c r="AD68" s="678"/>
      <c r="AE68" s="573">
        <v>7</v>
      </c>
      <c r="AF68" s="574">
        <v>1487.0588235294113</v>
      </c>
      <c r="AG68" s="574">
        <v>212.43697478991589</v>
      </c>
      <c r="AH68" s="475">
        <f t="shared" si="44"/>
        <v>2</v>
      </c>
      <c r="AI68" s="678"/>
      <c r="AJ68" s="573">
        <v>7</v>
      </c>
      <c r="AK68" s="574">
        <v>1483.7837837837837</v>
      </c>
      <c r="AL68" s="574">
        <v>211.96911196911196</v>
      </c>
      <c r="AM68" s="475">
        <f t="shared" si="46"/>
        <v>3</v>
      </c>
      <c r="AN68" s="678"/>
      <c r="AO68" s="573">
        <v>7</v>
      </c>
      <c r="AP68" s="574">
        <v>1498.5123966942153</v>
      </c>
      <c r="AQ68" s="574">
        <v>214.07319952774506</v>
      </c>
      <c r="AR68" s="475">
        <f t="shared" si="48"/>
        <v>3</v>
      </c>
      <c r="AS68" s="678"/>
      <c r="AT68" s="573">
        <v>7</v>
      </c>
      <c r="AU68" s="574">
        <v>1468.0000000000002</v>
      </c>
      <c r="AV68" s="574">
        <v>209.71428571428575</v>
      </c>
      <c r="AW68" s="475">
        <f t="shared" si="50"/>
        <v>5</v>
      </c>
      <c r="AX68" s="690"/>
    </row>
    <row r="69" spans="2:50">
      <c r="B69" s="676"/>
      <c r="C69" s="309">
        <v>3</v>
      </c>
      <c r="D69" s="227" t="s">
        <v>349</v>
      </c>
      <c r="E69" s="182">
        <v>20</v>
      </c>
      <c r="F69" s="569">
        <v>1500</v>
      </c>
      <c r="G69" s="570">
        <v>75</v>
      </c>
      <c r="H69" s="718"/>
      <c r="I69" s="199">
        <f t="shared" si="39"/>
        <v>19.571428571428573</v>
      </c>
      <c r="J69" s="199">
        <f t="shared" si="39"/>
        <v>1371.7857621326377</v>
      </c>
      <c r="K69" s="200">
        <f t="shared" si="39"/>
        <v>70.139814021963119</v>
      </c>
      <c r="L69" s="650"/>
      <c r="M69" s="201">
        <f>RANK(K69, K$67:$K$81)</f>
        <v>7</v>
      </c>
      <c r="N69" s="668"/>
      <c r="O69" s="668"/>
      <c r="P69" s="573">
        <v>19</v>
      </c>
      <c r="Q69" s="574">
        <v>1359.4300884955751</v>
      </c>
      <c r="R69" s="574">
        <v>71.548952026082901</v>
      </c>
      <c r="S69" s="339">
        <f t="shared" si="52"/>
        <v>7</v>
      </c>
      <c r="T69" s="678"/>
      <c r="U69" s="573">
        <v>20</v>
      </c>
      <c r="V69" s="574">
        <v>1349.5999999999958</v>
      </c>
      <c r="W69" s="574">
        <v>67.479999999999791</v>
      </c>
      <c r="X69" s="475">
        <f t="shared" si="40"/>
        <v>7</v>
      </c>
      <c r="Y69" s="678"/>
      <c r="Z69" s="573">
        <v>20</v>
      </c>
      <c r="AA69" s="574">
        <v>1361.1130434782563</v>
      </c>
      <c r="AB69" s="574">
        <v>68.055652173912819</v>
      </c>
      <c r="AC69" s="475">
        <f t="shared" si="42"/>
        <v>7</v>
      </c>
      <c r="AD69" s="678"/>
      <c r="AE69" s="573">
        <v>20</v>
      </c>
      <c r="AF69" s="574">
        <v>1358.6086956521692</v>
      </c>
      <c r="AG69" s="574">
        <v>67.930434782608458</v>
      </c>
      <c r="AH69" s="475">
        <f t="shared" si="44"/>
        <v>7</v>
      </c>
      <c r="AI69" s="678"/>
      <c r="AJ69" s="573">
        <v>19</v>
      </c>
      <c r="AK69" s="574">
        <v>1418.8818897637793</v>
      </c>
      <c r="AL69" s="574">
        <v>74.677994198093643</v>
      </c>
      <c r="AM69" s="475">
        <f t="shared" si="46"/>
        <v>7</v>
      </c>
      <c r="AN69" s="678"/>
      <c r="AO69" s="573">
        <v>19</v>
      </c>
      <c r="AP69" s="574">
        <v>1346.0869565217386</v>
      </c>
      <c r="AQ69" s="574">
        <v>70.846681922196765</v>
      </c>
      <c r="AR69" s="475">
        <f t="shared" si="48"/>
        <v>7</v>
      </c>
      <c r="AS69" s="678"/>
      <c r="AT69" s="573">
        <v>20</v>
      </c>
      <c r="AU69" s="574">
        <v>1408.7796610169494</v>
      </c>
      <c r="AV69" s="574">
        <v>70.438983050847469</v>
      </c>
      <c r="AW69" s="475">
        <f t="shared" si="50"/>
        <v>7</v>
      </c>
      <c r="AX69" s="690"/>
    </row>
    <row r="70" spans="2:50">
      <c r="B70" s="676"/>
      <c r="C70" s="309">
        <v>4</v>
      </c>
      <c r="D70" s="227" t="s">
        <v>385</v>
      </c>
      <c r="E70" s="182">
        <v>16</v>
      </c>
      <c r="F70" s="569">
        <v>1440</v>
      </c>
      <c r="G70" s="570">
        <v>84.7</v>
      </c>
      <c r="H70" s="718"/>
      <c r="I70" s="199">
        <f t="shared" si="39"/>
        <v>16</v>
      </c>
      <c r="J70" s="199">
        <f t="shared" si="39"/>
        <v>1419.4195708370441</v>
      </c>
      <c r="K70" s="200">
        <f t="shared" si="39"/>
        <v>88.713723177315259</v>
      </c>
      <c r="L70" s="650"/>
      <c r="M70" s="201">
        <f>RANK(K70, K$67:$K$81)</f>
        <v>6</v>
      </c>
      <c r="N70" s="668"/>
      <c r="O70" s="668"/>
      <c r="P70" s="573">
        <v>16</v>
      </c>
      <c r="Q70" s="574">
        <v>1407.9069767441858</v>
      </c>
      <c r="R70" s="574">
        <v>87.994186046511615</v>
      </c>
      <c r="S70" s="339">
        <f t="shared" si="52"/>
        <v>6</v>
      </c>
      <c r="T70" s="678"/>
      <c r="U70" s="573">
        <v>16</v>
      </c>
      <c r="V70" s="574">
        <v>1414.1772151898726</v>
      </c>
      <c r="W70" s="574">
        <v>88.38607594936704</v>
      </c>
      <c r="X70" s="475">
        <f t="shared" si="40"/>
        <v>6</v>
      </c>
      <c r="Y70" s="678"/>
      <c r="Z70" s="573">
        <v>16</v>
      </c>
      <c r="AA70" s="574">
        <v>1437.6623376623381</v>
      </c>
      <c r="AB70" s="574">
        <v>89.853896103896133</v>
      </c>
      <c r="AC70" s="475">
        <f t="shared" si="42"/>
        <v>6</v>
      </c>
      <c r="AD70" s="678"/>
      <c r="AE70" s="573">
        <v>16</v>
      </c>
      <c r="AF70" s="574">
        <v>1411.304347826087</v>
      </c>
      <c r="AG70" s="574">
        <v>88.206521739130437</v>
      </c>
      <c r="AH70" s="475">
        <f t="shared" si="44"/>
        <v>6</v>
      </c>
      <c r="AI70" s="678"/>
      <c r="AJ70" s="573">
        <v>16</v>
      </c>
      <c r="AK70" s="574">
        <v>1419.9999999999995</v>
      </c>
      <c r="AL70" s="574">
        <v>88.749999999999972</v>
      </c>
      <c r="AM70" s="475">
        <f t="shared" si="46"/>
        <v>6</v>
      </c>
      <c r="AN70" s="678"/>
      <c r="AO70" s="573">
        <v>16</v>
      </c>
      <c r="AP70" s="574">
        <v>1435.8139534883717</v>
      </c>
      <c r="AQ70" s="574">
        <v>89.73837209302323</v>
      </c>
      <c r="AR70" s="475">
        <f t="shared" si="48"/>
        <v>6</v>
      </c>
      <c r="AS70" s="678"/>
      <c r="AT70" s="573">
        <v>16</v>
      </c>
      <c r="AU70" s="574">
        <v>1409.072164948454</v>
      </c>
      <c r="AV70" s="574">
        <v>88.067010309278373</v>
      </c>
      <c r="AW70" s="475">
        <f t="shared" si="50"/>
        <v>6</v>
      </c>
      <c r="AX70" s="690"/>
    </row>
    <row r="71" spans="2:50">
      <c r="B71" s="676"/>
      <c r="C71" s="309">
        <v>5</v>
      </c>
      <c r="D71" s="227" t="s">
        <v>457</v>
      </c>
      <c r="E71" s="182">
        <v>7</v>
      </c>
      <c r="F71" s="569">
        <v>1500</v>
      </c>
      <c r="G71" s="570">
        <v>214.3</v>
      </c>
      <c r="H71" s="718"/>
      <c r="I71" s="199">
        <f t="shared" si="39"/>
        <v>7</v>
      </c>
      <c r="J71" s="199">
        <f t="shared" si="39"/>
        <v>1491.354042102342</v>
      </c>
      <c r="K71" s="200">
        <f t="shared" si="39"/>
        <v>213.05057744319174</v>
      </c>
      <c r="L71" s="650"/>
      <c r="M71" s="201">
        <f>RANK(K71, K$67:$K$81)</f>
        <v>3</v>
      </c>
      <c r="N71" s="668"/>
      <c r="O71" s="668"/>
      <c r="P71" s="573">
        <v>7</v>
      </c>
      <c r="Q71" s="574">
        <v>1507.6923076923072</v>
      </c>
      <c r="R71" s="574">
        <v>215.3846153846153</v>
      </c>
      <c r="S71" s="339">
        <f t="shared" si="52"/>
        <v>3</v>
      </c>
      <c r="T71" s="678"/>
      <c r="U71" s="573">
        <v>7</v>
      </c>
      <c r="V71" s="574">
        <v>1487.2881355932202</v>
      </c>
      <c r="W71" s="574">
        <v>212.46973365617433</v>
      </c>
      <c r="X71" s="475">
        <f t="shared" si="40"/>
        <v>5</v>
      </c>
      <c r="Y71" s="678"/>
      <c r="Z71" s="573">
        <v>7</v>
      </c>
      <c r="AA71" s="574">
        <v>1480.1652892561983</v>
      </c>
      <c r="AB71" s="574">
        <v>211.45218417945691</v>
      </c>
      <c r="AC71" s="475">
        <f t="shared" si="42"/>
        <v>5</v>
      </c>
      <c r="AD71" s="678"/>
      <c r="AE71" s="573">
        <v>7</v>
      </c>
      <c r="AF71" s="574">
        <v>1470.5769230769238</v>
      </c>
      <c r="AG71" s="574">
        <v>210.08241758241769</v>
      </c>
      <c r="AH71" s="475">
        <f t="shared" si="44"/>
        <v>5</v>
      </c>
      <c r="AI71" s="678"/>
      <c r="AJ71" s="573">
        <v>7</v>
      </c>
      <c r="AK71" s="574">
        <v>1507.5</v>
      </c>
      <c r="AL71" s="574">
        <v>215.35714285714286</v>
      </c>
      <c r="AM71" s="475">
        <f t="shared" si="46"/>
        <v>2</v>
      </c>
      <c r="AN71" s="678"/>
      <c r="AO71" s="573">
        <v>7</v>
      </c>
      <c r="AP71" s="574">
        <v>1484.0000000000007</v>
      </c>
      <c r="AQ71" s="574">
        <v>212.00000000000009</v>
      </c>
      <c r="AR71" s="475">
        <f t="shared" si="48"/>
        <v>5</v>
      </c>
      <c r="AS71" s="678"/>
      <c r="AT71" s="573">
        <v>7</v>
      </c>
      <c r="AU71" s="574">
        <v>1502.2556390977443</v>
      </c>
      <c r="AV71" s="574">
        <v>214.60794844253491</v>
      </c>
      <c r="AW71" s="475">
        <f t="shared" si="50"/>
        <v>2</v>
      </c>
      <c r="AX71" s="690"/>
    </row>
    <row r="72" spans="2:50">
      <c r="B72" s="676"/>
      <c r="C72" s="309">
        <v>6</v>
      </c>
      <c r="D72" s="227" t="s">
        <v>946</v>
      </c>
      <c r="E72" s="182">
        <v>6</v>
      </c>
      <c r="F72" s="569">
        <v>1636</v>
      </c>
      <c r="G72" s="570">
        <v>2400</v>
      </c>
      <c r="H72" s="718"/>
      <c r="I72" s="199">
        <f t="shared" si="39"/>
        <v>6</v>
      </c>
      <c r="J72" s="199">
        <f t="shared" si="39"/>
        <v>1530.2085985964859</v>
      </c>
      <c r="K72" s="200">
        <f t="shared" si="39"/>
        <v>255.03476643274766</v>
      </c>
      <c r="L72" s="650"/>
      <c r="M72" s="201">
        <f>RANK(K72, K$67:$K$81)</f>
        <v>1</v>
      </c>
      <c r="N72" s="668"/>
      <c r="O72" s="668"/>
      <c r="P72" s="573">
        <v>6</v>
      </c>
      <c r="Q72" s="574">
        <v>1475.5932203389823</v>
      </c>
      <c r="R72" s="574">
        <v>245.93220338983039</v>
      </c>
      <c r="S72" s="339">
        <f t="shared" si="52"/>
        <v>1</v>
      </c>
      <c r="T72" s="678"/>
      <c r="U72" s="573">
        <v>6</v>
      </c>
      <c r="V72" s="574">
        <v>1548.5000000000005</v>
      </c>
      <c r="W72" s="574">
        <v>258.08333333333343</v>
      </c>
      <c r="X72" s="475">
        <f t="shared" si="40"/>
        <v>1</v>
      </c>
      <c r="Y72" s="678"/>
      <c r="Z72" s="573">
        <v>6</v>
      </c>
      <c r="AA72" s="574">
        <v>1548.1967213114758</v>
      </c>
      <c r="AB72" s="574">
        <v>258.03278688524597</v>
      </c>
      <c r="AC72" s="475">
        <f t="shared" si="42"/>
        <v>1</v>
      </c>
      <c r="AD72" s="678"/>
      <c r="AE72" s="573">
        <v>6</v>
      </c>
      <c r="AF72" s="574">
        <v>1550.3999999999994</v>
      </c>
      <c r="AG72" s="574">
        <v>258.39999999999992</v>
      </c>
      <c r="AH72" s="475">
        <f t="shared" si="44"/>
        <v>1</v>
      </c>
      <c r="AI72" s="678"/>
      <c r="AJ72" s="573">
        <v>6</v>
      </c>
      <c r="AK72" s="574">
        <v>1535.1063829787236</v>
      </c>
      <c r="AL72" s="574">
        <v>255.85106382978725</v>
      </c>
      <c r="AM72" s="475">
        <f t="shared" si="46"/>
        <v>1</v>
      </c>
      <c r="AN72" s="678"/>
      <c r="AO72" s="573">
        <v>6</v>
      </c>
      <c r="AP72" s="574">
        <v>1519.6638655462189</v>
      </c>
      <c r="AQ72" s="574">
        <v>253.2773109243698</v>
      </c>
      <c r="AR72" s="475">
        <f t="shared" si="48"/>
        <v>1</v>
      </c>
      <c r="AS72" s="678"/>
      <c r="AT72" s="573">
        <v>6</v>
      </c>
      <c r="AU72" s="574">
        <v>1534.0000000000005</v>
      </c>
      <c r="AV72" s="574">
        <v>255.66666666666674</v>
      </c>
      <c r="AW72" s="475">
        <f t="shared" si="50"/>
        <v>1</v>
      </c>
      <c r="AX72" s="690"/>
    </row>
    <row r="73" spans="2:50">
      <c r="B73" s="676"/>
      <c r="C73" s="309">
        <v>7</v>
      </c>
      <c r="D73" s="227" t="s">
        <v>903</v>
      </c>
      <c r="E73" s="182">
        <v>7</v>
      </c>
      <c r="F73" s="569">
        <v>1500</v>
      </c>
      <c r="G73" s="570">
        <v>214.3</v>
      </c>
      <c r="H73" s="718"/>
      <c r="I73" s="428">
        <f t="shared" ref="I73" si="53">AVERAGE(P73,U73,Z73,AE73,AJ73,AO73,AT73)</f>
        <v>7</v>
      </c>
      <c r="J73" s="428">
        <f t="shared" ref="J73" si="54">AVERAGE(Q73,V73,AA73,AF73,AK73,AP73,AU73)</f>
        <v>1489.7524416471174</v>
      </c>
      <c r="K73" s="200">
        <f t="shared" ref="K73" si="55">AVERAGE(R73,W73,AB73,AG73,AL73,AQ73,AV73)</f>
        <v>212.82177737815965</v>
      </c>
      <c r="L73" s="650"/>
      <c r="M73" s="201">
        <f>RANK(K73, K$67:$K$81)</f>
        <v>4</v>
      </c>
      <c r="N73" s="668"/>
      <c r="O73" s="668"/>
      <c r="P73" s="573">
        <v>7</v>
      </c>
      <c r="Q73" s="574">
        <v>1488.7912087912089</v>
      </c>
      <c r="R73" s="574">
        <v>212.68445839874411</v>
      </c>
      <c r="S73" s="339">
        <f t="shared" si="52"/>
        <v>4</v>
      </c>
      <c r="T73" s="678"/>
      <c r="U73" s="573">
        <v>7</v>
      </c>
      <c r="V73" s="574">
        <v>1512.391304347826</v>
      </c>
      <c r="W73" s="574">
        <v>216.05590062111801</v>
      </c>
      <c r="X73" s="475">
        <f t="shared" si="40"/>
        <v>2</v>
      </c>
      <c r="Y73" s="678"/>
      <c r="Z73" s="573">
        <v>7</v>
      </c>
      <c r="AA73" s="574">
        <v>1498.7368421052633</v>
      </c>
      <c r="AB73" s="574">
        <v>214.10526315789477</v>
      </c>
      <c r="AC73" s="475">
        <f t="shared" si="42"/>
        <v>2</v>
      </c>
      <c r="AD73" s="678"/>
      <c r="AE73" s="573">
        <v>7</v>
      </c>
      <c r="AF73" s="574">
        <v>1486.4999999999995</v>
      </c>
      <c r="AG73" s="574">
        <v>212.3571428571428</v>
      </c>
      <c r="AH73" s="475">
        <f t="shared" si="44"/>
        <v>3</v>
      </c>
      <c r="AI73" s="678"/>
      <c r="AJ73" s="573">
        <v>7</v>
      </c>
      <c r="AK73" s="574">
        <v>1464.705882352941</v>
      </c>
      <c r="AL73" s="574">
        <v>209.24369747899158</v>
      </c>
      <c r="AM73" s="475">
        <f t="shared" si="46"/>
        <v>5</v>
      </c>
      <c r="AN73" s="678"/>
      <c r="AO73" s="573">
        <v>7</v>
      </c>
      <c r="AP73" s="574">
        <v>1486.5168539325841</v>
      </c>
      <c r="AQ73" s="574">
        <v>212.35955056179773</v>
      </c>
      <c r="AR73" s="475">
        <f t="shared" si="48"/>
        <v>4</v>
      </c>
      <c r="AS73" s="678"/>
      <c r="AT73" s="573">
        <v>7</v>
      </c>
      <c r="AU73" s="574">
        <v>1490.6250000000005</v>
      </c>
      <c r="AV73" s="574">
        <v>212.94642857142864</v>
      </c>
      <c r="AW73" s="475">
        <f t="shared" si="50"/>
        <v>3</v>
      </c>
      <c r="AX73" s="690"/>
    </row>
    <row r="74" spans="2:50">
      <c r="B74" s="676"/>
      <c r="C74" s="309">
        <v>8</v>
      </c>
      <c r="D74" s="227"/>
      <c r="E74" s="182"/>
      <c r="F74" s="569"/>
      <c r="G74" s="570"/>
      <c r="H74" s="718"/>
      <c r="I74" s="466"/>
      <c r="J74" s="466"/>
      <c r="K74" s="200"/>
      <c r="L74" s="650"/>
      <c r="M74" s="201" t="e">
        <f>RANK(K74, K$67:$K$81)</f>
        <v>#N/A</v>
      </c>
      <c r="N74" s="668"/>
      <c r="O74" s="668"/>
      <c r="P74" s="573"/>
      <c r="Q74" s="574"/>
      <c r="R74" s="574"/>
      <c r="S74" s="339" t="e">
        <f t="shared" si="52"/>
        <v>#N/A</v>
      </c>
      <c r="T74" s="678"/>
      <c r="U74" s="573"/>
      <c r="V74" s="574"/>
      <c r="W74" s="574"/>
      <c r="X74" s="475" t="e">
        <f t="shared" si="40"/>
        <v>#N/A</v>
      </c>
      <c r="Y74" s="678"/>
      <c r="Z74" s="573"/>
      <c r="AA74" s="574"/>
      <c r="AB74" s="574"/>
      <c r="AC74" s="475" t="e">
        <f t="shared" si="42"/>
        <v>#N/A</v>
      </c>
      <c r="AD74" s="678"/>
      <c r="AE74" s="573"/>
      <c r="AF74" s="574"/>
      <c r="AG74" s="574"/>
      <c r="AH74" s="475" t="e">
        <f t="shared" si="44"/>
        <v>#N/A</v>
      </c>
      <c r="AI74" s="678"/>
      <c r="AJ74" s="573"/>
      <c r="AK74" s="574"/>
      <c r="AL74" s="574"/>
      <c r="AM74" s="475" t="e">
        <f t="shared" si="46"/>
        <v>#N/A</v>
      </c>
      <c r="AN74" s="678"/>
      <c r="AO74" s="573"/>
      <c r="AP74" s="574"/>
      <c r="AQ74" s="574"/>
      <c r="AR74" s="475" t="e">
        <f t="shared" si="48"/>
        <v>#N/A</v>
      </c>
      <c r="AS74" s="678"/>
      <c r="AT74" s="573"/>
      <c r="AU74" s="574"/>
      <c r="AV74" s="574"/>
      <c r="AW74" s="475" t="e">
        <f t="shared" si="50"/>
        <v>#N/A</v>
      </c>
      <c r="AX74" s="690"/>
    </row>
    <row r="75" spans="2:50">
      <c r="B75" s="676"/>
      <c r="C75" s="309">
        <v>9</v>
      </c>
      <c r="D75" s="227"/>
      <c r="E75" s="182"/>
      <c r="F75" s="569"/>
      <c r="G75" s="570"/>
      <c r="H75" s="718"/>
      <c r="I75" s="199"/>
      <c r="J75" s="199"/>
      <c r="K75" s="200"/>
      <c r="L75" s="650"/>
      <c r="M75" s="201" t="e">
        <f>RANK(K75, K$67:$K$81)</f>
        <v>#N/A</v>
      </c>
      <c r="N75" s="668"/>
      <c r="O75" s="668"/>
      <c r="P75" s="573"/>
      <c r="Q75" s="574"/>
      <c r="R75" s="574"/>
      <c r="S75" s="339" t="e">
        <f t="shared" si="52"/>
        <v>#N/A</v>
      </c>
      <c r="T75" s="678"/>
      <c r="U75" s="573"/>
      <c r="V75" s="574"/>
      <c r="W75" s="574"/>
      <c r="X75" s="475" t="e">
        <f t="shared" si="40"/>
        <v>#N/A</v>
      </c>
      <c r="Y75" s="678"/>
      <c r="Z75" s="573"/>
      <c r="AA75" s="574"/>
      <c r="AB75" s="574"/>
      <c r="AC75" s="475" t="e">
        <f t="shared" si="42"/>
        <v>#N/A</v>
      </c>
      <c r="AD75" s="678"/>
      <c r="AE75" s="573"/>
      <c r="AF75" s="574"/>
      <c r="AG75" s="574"/>
      <c r="AH75" s="475" t="e">
        <f t="shared" si="44"/>
        <v>#N/A</v>
      </c>
      <c r="AI75" s="678"/>
      <c r="AJ75" s="573"/>
      <c r="AK75" s="574"/>
      <c r="AL75" s="574"/>
      <c r="AM75" s="475" t="e">
        <f t="shared" si="46"/>
        <v>#N/A</v>
      </c>
      <c r="AN75" s="678"/>
      <c r="AO75" s="573"/>
      <c r="AP75" s="574"/>
      <c r="AQ75" s="574"/>
      <c r="AR75" s="475" t="e">
        <f t="shared" si="48"/>
        <v>#N/A</v>
      </c>
      <c r="AS75" s="678"/>
      <c r="AT75" s="573"/>
      <c r="AU75" s="574"/>
      <c r="AV75" s="574"/>
      <c r="AW75" s="475" t="e">
        <f t="shared" si="50"/>
        <v>#N/A</v>
      </c>
      <c r="AX75" s="690"/>
    </row>
    <row r="76" spans="2:50">
      <c r="B76" s="676"/>
      <c r="C76" s="309">
        <v>10</v>
      </c>
      <c r="D76" s="227"/>
      <c r="E76" s="182"/>
      <c r="F76" s="569"/>
      <c r="G76" s="570"/>
      <c r="H76" s="718"/>
      <c r="I76" s="199"/>
      <c r="J76" s="199"/>
      <c r="K76" s="200"/>
      <c r="L76" s="650"/>
      <c r="M76" s="201" t="e">
        <f>RANK(K76, K$67:$K$81)</f>
        <v>#N/A</v>
      </c>
      <c r="N76" s="668"/>
      <c r="O76" s="668"/>
      <c r="P76" s="573"/>
      <c r="Q76" s="574"/>
      <c r="R76" s="574"/>
      <c r="S76" s="339" t="e">
        <f t="shared" si="52"/>
        <v>#N/A</v>
      </c>
      <c r="T76" s="678"/>
      <c r="U76" s="573"/>
      <c r="V76" s="574"/>
      <c r="W76" s="574"/>
      <c r="X76" s="475" t="e">
        <f t="shared" si="40"/>
        <v>#N/A</v>
      </c>
      <c r="Y76" s="678"/>
      <c r="Z76" s="573"/>
      <c r="AA76" s="574"/>
      <c r="AB76" s="574"/>
      <c r="AC76" s="475" t="e">
        <f t="shared" si="42"/>
        <v>#N/A</v>
      </c>
      <c r="AD76" s="678"/>
      <c r="AE76" s="573"/>
      <c r="AF76" s="574"/>
      <c r="AG76" s="574"/>
      <c r="AH76" s="475" t="e">
        <f t="shared" si="44"/>
        <v>#N/A</v>
      </c>
      <c r="AI76" s="678"/>
      <c r="AJ76" s="573"/>
      <c r="AK76" s="574"/>
      <c r="AL76" s="574"/>
      <c r="AM76" s="475" t="e">
        <f t="shared" si="46"/>
        <v>#N/A</v>
      </c>
      <c r="AN76" s="678"/>
      <c r="AO76" s="573"/>
      <c r="AP76" s="574"/>
      <c r="AQ76" s="574"/>
      <c r="AR76" s="475" t="e">
        <f t="shared" si="48"/>
        <v>#N/A</v>
      </c>
      <c r="AS76" s="678"/>
      <c r="AT76" s="573"/>
      <c r="AU76" s="574"/>
      <c r="AV76" s="574"/>
      <c r="AW76" s="475" t="e">
        <f t="shared" si="50"/>
        <v>#N/A</v>
      </c>
      <c r="AX76" s="690"/>
    </row>
    <row r="77" spans="2:50">
      <c r="B77" s="676"/>
      <c r="C77" s="309">
        <v>11</v>
      </c>
      <c r="D77" s="227"/>
      <c r="E77" s="182"/>
      <c r="F77" s="569"/>
      <c r="G77" s="570"/>
      <c r="H77" s="718"/>
      <c r="I77" s="199"/>
      <c r="J77" s="199"/>
      <c r="K77" s="200"/>
      <c r="L77" s="650"/>
      <c r="M77" s="201" t="e">
        <f>RANK(K77, K$67:$K$81)</f>
        <v>#N/A</v>
      </c>
      <c r="N77" s="668"/>
      <c r="O77" s="668"/>
      <c r="P77" s="573"/>
      <c r="Q77" s="574"/>
      <c r="R77" s="574"/>
      <c r="S77" s="339" t="e">
        <f t="shared" si="52"/>
        <v>#N/A</v>
      </c>
      <c r="T77" s="678"/>
      <c r="U77" s="573"/>
      <c r="V77" s="574"/>
      <c r="W77" s="574"/>
      <c r="X77" s="475" t="e">
        <f t="shared" si="40"/>
        <v>#N/A</v>
      </c>
      <c r="Y77" s="678"/>
      <c r="Z77" s="573"/>
      <c r="AA77" s="574"/>
      <c r="AB77" s="574"/>
      <c r="AC77" s="475" t="e">
        <f t="shared" si="42"/>
        <v>#N/A</v>
      </c>
      <c r="AD77" s="678"/>
      <c r="AE77" s="573"/>
      <c r="AF77" s="574"/>
      <c r="AG77" s="574"/>
      <c r="AH77" s="475" t="e">
        <f t="shared" si="44"/>
        <v>#N/A</v>
      </c>
      <c r="AI77" s="678"/>
      <c r="AJ77" s="573"/>
      <c r="AK77" s="574"/>
      <c r="AL77" s="574"/>
      <c r="AM77" s="475" t="e">
        <f t="shared" si="46"/>
        <v>#N/A</v>
      </c>
      <c r="AN77" s="678"/>
      <c r="AO77" s="573"/>
      <c r="AP77" s="574"/>
      <c r="AQ77" s="574"/>
      <c r="AR77" s="475" t="e">
        <f t="shared" si="48"/>
        <v>#N/A</v>
      </c>
      <c r="AS77" s="678"/>
      <c r="AT77" s="573"/>
      <c r="AU77" s="574"/>
      <c r="AV77" s="574"/>
      <c r="AW77" s="475" t="e">
        <f t="shared" si="50"/>
        <v>#N/A</v>
      </c>
      <c r="AX77" s="690"/>
    </row>
    <row r="78" spans="2:50">
      <c r="B78" s="676"/>
      <c r="C78" s="309">
        <v>12</v>
      </c>
      <c r="D78" s="227"/>
      <c r="E78" s="182"/>
      <c r="F78" s="569"/>
      <c r="G78" s="570"/>
      <c r="H78" s="718"/>
      <c r="I78" s="199"/>
      <c r="J78" s="199"/>
      <c r="K78" s="200"/>
      <c r="L78" s="650"/>
      <c r="M78" s="201" t="e">
        <f>RANK(K78, K$67:$K$81)</f>
        <v>#N/A</v>
      </c>
      <c r="N78" s="668"/>
      <c r="O78" s="668"/>
      <c r="P78" s="573"/>
      <c r="Q78" s="574"/>
      <c r="R78" s="574"/>
      <c r="S78" s="339" t="e">
        <f t="shared" si="52"/>
        <v>#N/A</v>
      </c>
      <c r="T78" s="678"/>
      <c r="U78" s="573"/>
      <c r="V78" s="574"/>
      <c r="W78" s="574"/>
      <c r="X78" s="475" t="e">
        <f t="shared" si="40"/>
        <v>#N/A</v>
      </c>
      <c r="Y78" s="678"/>
      <c r="Z78" s="573"/>
      <c r="AA78" s="574"/>
      <c r="AB78" s="574"/>
      <c r="AC78" s="475" t="e">
        <f t="shared" si="42"/>
        <v>#N/A</v>
      </c>
      <c r="AD78" s="678"/>
      <c r="AE78" s="573"/>
      <c r="AF78" s="574"/>
      <c r="AG78" s="574"/>
      <c r="AH78" s="475" t="e">
        <f t="shared" si="44"/>
        <v>#N/A</v>
      </c>
      <c r="AI78" s="678"/>
      <c r="AJ78" s="573"/>
      <c r="AK78" s="574"/>
      <c r="AL78" s="574"/>
      <c r="AM78" s="475" t="e">
        <f t="shared" si="46"/>
        <v>#N/A</v>
      </c>
      <c r="AN78" s="678"/>
      <c r="AO78" s="573"/>
      <c r="AP78" s="574"/>
      <c r="AQ78" s="574"/>
      <c r="AR78" s="475" t="e">
        <f t="shared" si="48"/>
        <v>#N/A</v>
      </c>
      <c r="AS78" s="678"/>
      <c r="AT78" s="573"/>
      <c r="AU78" s="574"/>
      <c r="AV78" s="574"/>
      <c r="AW78" s="475" t="e">
        <f t="shared" si="50"/>
        <v>#N/A</v>
      </c>
      <c r="AX78" s="690"/>
    </row>
    <row r="79" spans="2:50">
      <c r="B79" s="676"/>
      <c r="C79" s="309">
        <v>13</v>
      </c>
      <c r="D79" s="227"/>
      <c r="E79" s="182"/>
      <c r="F79" s="569"/>
      <c r="G79" s="570"/>
      <c r="H79" s="718"/>
      <c r="I79" s="199"/>
      <c r="J79" s="199"/>
      <c r="K79" s="200"/>
      <c r="L79" s="650"/>
      <c r="M79" s="201" t="e">
        <f>RANK(K79, K$67:$K$81)</f>
        <v>#N/A</v>
      </c>
      <c r="N79" s="668"/>
      <c r="O79" s="668"/>
      <c r="P79" s="573"/>
      <c r="Q79" s="574"/>
      <c r="R79" s="574"/>
      <c r="S79" s="339" t="e">
        <f t="shared" si="52"/>
        <v>#N/A</v>
      </c>
      <c r="T79" s="678"/>
      <c r="U79" s="573"/>
      <c r="V79" s="574"/>
      <c r="W79" s="574"/>
      <c r="X79" s="475" t="e">
        <f t="shared" si="40"/>
        <v>#N/A</v>
      </c>
      <c r="Y79" s="678"/>
      <c r="Z79" s="573"/>
      <c r="AA79" s="574"/>
      <c r="AB79" s="574"/>
      <c r="AC79" s="475" t="e">
        <f t="shared" si="42"/>
        <v>#N/A</v>
      </c>
      <c r="AD79" s="678"/>
      <c r="AE79" s="573"/>
      <c r="AF79" s="574"/>
      <c r="AG79" s="574"/>
      <c r="AH79" s="475" t="e">
        <f t="shared" si="44"/>
        <v>#N/A</v>
      </c>
      <c r="AI79" s="678"/>
      <c r="AJ79" s="573"/>
      <c r="AK79" s="574"/>
      <c r="AL79" s="574"/>
      <c r="AM79" s="475" t="e">
        <f t="shared" si="46"/>
        <v>#N/A</v>
      </c>
      <c r="AN79" s="678"/>
      <c r="AO79" s="573"/>
      <c r="AP79" s="574"/>
      <c r="AQ79" s="574"/>
      <c r="AR79" s="475" t="e">
        <f t="shared" si="48"/>
        <v>#N/A</v>
      </c>
      <c r="AS79" s="678"/>
      <c r="AT79" s="573"/>
      <c r="AU79" s="574"/>
      <c r="AV79" s="574"/>
      <c r="AW79" s="475" t="e">
        <f t="shared" si="50"/>
        <v>#N/A</v>
      </c>
      <c r="AX79" s="690"/>
    </row>
    <row r="80" spans="2:50">
      <c r="B80" s="676"/>
      <c r="C80" s="309">
        <v>14</v>
      </c>
      <c r="D80" s="227"/>
      <c r="E80" s="182"/>
      <c r="F80" s="569"/>
      <c r="G80" s="570"/>
      <c r="H80" s="718"/>
      <c r="I80" s="199"/>
      <c r="J80" s="199"/>
      <c r="K80" s="200"/>
      <c r="L80" s="650"/>
      <c r="M80" s="201" t="e">
        <f>RANK(K80, K$67:$K$81)</f>
        <v>#N/A</v>
      </c>
      <c r="N80" s="668"/>
      <c r="O80" s="668"/>
      <c r="P80" s="573"/>
      <c r="Q80" s="574"/>
      <c r="R80" s="574"/>
      <c r="S80" s="339" t="e">
        <f t="shared" si="52"/>
        <v>#N/A</v>
      </c>
      <c r="T80" s="678"/>
      <c r="U80" s="573"/>
      <c r="V80" s="574"/>
      <c r="W80" s="574"/>
      <c r="X80" s="475" t="e">
        <f t="shared" si="40"/>
        <v>#N/A</v>
      </c>
      <c r="Y80" s="678"/>
      <c r="Z80" s="573"/>
      <c r="AA80" s="574"/>
      <c r="AB80" s="574"/>
      <c r="AC80" s="475" t="e">
        <f t="shared" si="42"/>
        <v>#N/A</v>
      </c>
      <c r="AD80" s="678"/>
      <c r="AE80" s="573"/>
      <c r="AF80" s="574"/>
      <c r="AG80" s="574"/>
      <c r="AH80" s="475" t="e">
        <f t="shared" si="44"/>
        <v>#N/A</v>
      </c>
      <c r="AI80" s="678"/>
      <c r="AJ80" s="573"/>
      <c r="AK80" s="574"/>
      <c r="AL80" s="574"/>
      <c r="AM80" s="475" t="e">
        <f t="shared" si="46"/>
        <v>#N/A</v>
      </c>
      <c r="AN80" s="678"/>
      <c r="AO80" s="573"/>
      <c r="AP80" s="574"/>
      <c r="AQ80" s="574"/>
      <c r="AR80" s="475" t="e">
        <f t="shared" si="48"/>
        <v>#N/A</v>
      </c>
      <c r="AS80" s="678"/>
      <c r="AT80" s="573"/>
      <c r="AU80" s="574"/>
      <c r="AV80" s="574"/>
      <c r="AW80" s="475" t="e">
        <f t="shared" si="50"/>
        <v>#N/A</v>
      </c>
      <c r="AX80" s="690"/>
    </row>
    <row r="81" spans="2:50">
      <c r="B81" s="676"/>
      <c r="C81" s="309">
        <v>15</v>
      </c>
      <c r="D81" s="227"/>
      <c r="E81" s="182"/>
      <c r="F81" s="569"/>
      <c r="G81" s="570"/>
      <c r="H81" s="719"/>
      <c r="I81" s="199"/>
      <c r="J81" s="199"/>
      <c r="K81" s="200"/>
      <c r="L81" s="651"/>
      <c r="M81" s="201" t="e">
        <f>RANK(K81, K$67:$K$81)</f>
        <v>#N/A</v>
      </c>
      <c r="N81" s="668"/>
      <c r="O81" s="668"/>
      <c r="P81" s="573"/>
      <c r="Q81" s="574"/>
      <c r="R81" s="574"/>
      <c r="S81" s="339" t="e">
        <f t="shared" si="52"/>
        <v>#N/A</v>
      </c>
      <c r="T81" s="679"/>
      <c r="U81" s="573"/>
      <c r="V81" s="574"/>
      <c r="W81" s="574"/>
      <c r="X81" s="475" t="e">
        <f t="shared" si="40"/>
        <v>#N/A</v>
      </c>
      <c r="Y81" s="679"/>
      <c r="Z81" s="573"/>
      <c r="AA81" s="574"/>
      <c r="AB81" s="574"/>
      <c r="AC81" s="475" t="e">
        <f t="shared" si="42"/>
        <v>#N/A</v>
      </c>
      <c r="AD81" s="679"/>
      <c r="AE81" s="573"/>
      <c r="AF81" s="574"/>
      <c r="AG81" s="574"/>
      <c r="AH81" s="475" t="e">
        <f t="shared" si="44"/>
        <v>#N/A</v>
      </c>
      <c r="AI81" s="679"/>
      <c r="AJ81" s="573"/>
      <c r="AK81" s="574"/>
      <c r="AL81" s="574"/>
      <c r="AM81" s="475" t="e">
        <f t="shared" si="46"/>
        <v>#N/A</v>
      </c>
      <c r="AN81" s="679"/>
      <c r="AO81" s="573"/>
      <c r="AP81" s="574"/>
      <c r="AQ81" s="574"/>
      <c r="AR81" s="475" t="e">
        <f t="shared" si="48"/>
        <v>#N/A</v>
      </c>
      <c r="AS81" s="679"/>
      <c r="AT81" s="573"/>
      <c r="AU81" s="574"/>
      <c r="AV81" s="574"/>
      <c r="AW81" s="475" t="e">
        <f t="shared" si="50"/>
        <v>#N/A</v>
      </c>
      <c r="AX81" s="690"/>
    </row>
    <row r="82" spans="2:50" ht="15.75">
      <c r="B82" s="680" t="s">
        <v>163</v>
      </c>
      <c r="C82" s="681"/>
      <c r="D82" s="681"/>
      <c r="E82" s="681"/>
      <c r="F82" s="681"/>
      <c r="G82" s="681"/>
      <c r="H82" s="682"/>
      <c r="I82" s="208"/>
      <c r="J82" s="208"/>
      <c r="K82" s="208"/>
      <c r="L82" s="208"/>
      <c r="M82" s="207"/>
      <c r="N82" s="669" t="s">
        <v>156</v>
      </c>
      <c r="O82" s="669" t="s">
        <v>105</v>
      </c>
      <c r="P82" s="675">
        <f>P62+7</f>
        <v>46112</v>
      </c>
      <c r="Q82" s="676"/>
      <c r="R82" s="676"/>
      <c r="S82" s="676"/>
      <c r="T82" s="676"/>
      <c r="U82" s="672">
        <f>P82+1</f>
        <v>46113</v>
      </c>
      <c r="V82" s="673"/>
      <c r="W82" s="673"/>
      <c r="X82" s="673"/>
      <c r="Y82" s="674"/>
      <c r="Z82" s="672">
        <f>U82+1</f>
        <v>46114</v>
      </c>
      <c r="AA82" s="673"/>
      <c r="AB82" s="673"/>
      <c r="AC82" s="673"/>
      <c r="AD82" s="674"/>
      <c r="AE82" s="672">
        <f>Z82+1</f>
        <v>46115</v>
      </c>
      <c r="AF82" s="673"/>
      <c r="AG82" s="673"/>
      <c r="AH82" s="673"/>
      <c r="AI82" s="674"/>
      <c r="AJ82" s="672">
        <f>AE82+1</f>
        <v>46116</v>
      </c>
      <c r="AK82" s="673"/>
      <c r="AL82" s="673"/>
      <c r="AM82" s="673"/>
      <c r="AN82" s="674"/>
      <c r="AO82" s="672">
        <f>AJ82+1</f>
        <v>46117</v>
      </c>
      <c r="AP82" s="673"/>
      <c r="AQ82" s="673"/>
      <c r="AR82" s="673"/>
      <c r="AS82" s="674"/>
      <c r="AT82" s="672">
        <f>AO82+1</f>
        <v>46118</v>
      </c>
      <c r="AU82" s="673"/>
      <c r="AV82" s="673"/>
      <c r="AW82" s="673"/>
      <c r="AX82" s="674"/>
    </row>
    <row r="83" spans="2:50" ht="15.75">
      <c r="B83" s="683"/>
      <c r="C83" s="683"/>
      <c r="D83" s="683"/>
      <c r="E83" s="683"/>
      <c r="F83" s="683"/>
      <c r="G83" s="683"/>
      <c r="H83" s="683"/>
      <c r="I83" s="205"/>
      <c r="J83" s="205"/>
      <c r="K83" s="205"/>
      <c r="L83" s="205"/>
      <c r="M83" s="206"/>
      <c r="N83" s="671"/>
      <c r="O83" s="671"/>
      <c r="P83" s="675" t="s">
        <v>336</v>
      </c>
      <c r="Q83" s="676"/>
      <c r="R83" s="676"/>
      <c r="S83" s="676"/>
      <c r="T83" s="676"/>
      <c r="U83" s="675" t="s">
        <v>337</v>
      </c>
      <c r="V83" s="676"/>
      <c r="W83" s="676"/>
      <c r="X83" s="676"/>
      <c r="Y83" s="676"/>
      <c r="Z83" s="675" t="s">
        <v>338</v>
      </c>
      <c r="AA83" s="676"/>
      <c r="AB83" s="676"/>
      <c r="AC83" s="676"/>
      <c r="AD83" s="676"/>
      <c r="AE83" s="675" t="s">
        <v>339</v>
      </c>
      <c r="AF83" s="676"/>
      <c r="AG83" s="676"/>
      <c r="AH83" s="676"/>
      <c r="AI83" s="676"/>
      <c r="AJ83" s="675" t="s">
        <v>340</v>
      </c>
      <c r="AK83" s="676"/>
      <c r="AL83" s="676"/>
      <c r="AM83" s="676"/>
      <c r="AN83" s="676"/>
      <c r="AO83" s="675" t="s">
        <v>341</v>
      </c>
      <c r="AP83" s="676"/>
      <c r="AQ83" s="676"/>
      <c r="AR83" s="676"/>
      <c r="AS83" s="676"/>
      <c r="AT83" s="675" t="s">
        <v>342</v>
      </c>
      <c r="AU83" s="676"/>
      <c r="AV83" s="676"/>
      <c r="AW83" s="676"/>
      <c r="AX83" s="676"/>
    </row>
    <row r="84" spans="2:50">
      <c r="B84" s="668" t="s">
        <v>477</v>
      </c>
      <c r="C84" s="668" t="s">
        <v>478</v>
      </c>
      <c r="D84" s="668"/>
      <c r="E84" s="668" t="s">
        <v>479</v>
      </c>
      <c r="F84" s="668"/>
      <c r="G84" s="668"/>
      <c r="H84" s="684" t="s">
        <v>480</v>
      </c>
      <c r="I84" s="652" t="s">
        <v>481</v>
      </c>
      <c r="J84" s="652"/>
      <c r="K84" s="652"/>
      <c r="L84" s="653" t="s">
        <v>480</v>
      </c>
      <c r="M84" s="659" t="s">
        <v>482</v>
      </c>
      <c r="N84" s="668"/>
      <c r="O84" s="668" t="s">
        <v>483</v>
      </c>
      <c r="P84" s="665" t="s">
        <v>484</v>
      </c>
      <c r="Q84" s="666"/>
      <c r="R84" s="666"/>
      <c r="S84" s="667"/>
      <c r="T84" s="668" t="s">
        <v>480</v>
      </c>
      <c r="U84" s="665" t="s">
        <v>484</v>
      </c>
      <c r="V84" s="666"/>
      <c r="W84" s="666"/>
      <c r="X84" s="667"/>
      <c r="Y84" s="668" t="s">
        <v>480</v>
      </c>
      <c r="Z84" s="665" t="s">
        <v>484</v>
      </c>
      <c r="AA84" s="666"/>
      <c r="AB84" s="666"/>
      <c r="AC84" s="667"/>
      <c r="AD84" s="668" t="s">
        <v>480</v>
      </c>
      <c r="AE84" s="665" t="s">
        <v>484</v>
      </c>
      <c r="AF84" s="666"/>
      <c r="AG84" s="666"/>
      <c r="AH84" s="667"/>
      <c r="AI84" s="668" t="s">
        <v>480</v>
      </c>
      <c r="AJ84" s="665" t="s">
        <v>484</v>
      </c>
      <c r="AK84" s="666"/>
      <c r="AL84" s="666"/>
      <c r="AM84" s="667"/>
      <c r="AN84" s="668" t="s">
        <v>480</v>
      </c>
      <c r="AO84" s="665" t="s">
        <v>484</v>
      </c>
      <c r="AP84" s="666"/>
      <c r="AQ84" s="666"/>
      <c r="AR84" s="667"/>
      <c r="AS84" s="668" t="s">
        <v>480</v>
      </c>
      <c r="AT84" s="665" t="s">
        <v>484</v>
      </c>
      <c r="AU84" s="666"/>
      <c r="AV84" s="666"/>
      <c r="AW84" s="667"/>
      <c r="AX84" s="668" t="s">
        <v>480</v>
      </c>
    </row>
    <row r="85" spans="2:50">
      <c r="B85" s="668"/>
      <c r="C85" s="668"/>
      <c r="D85" s="668"/>
      <c r="E85" s="668" t="s">
        <v>485</v>
      </c>
      <c r="F85" s="668"/>
      <c r="G85" s="668"/>
      <c r="H85" s="685"/>
      <c r="I85" s="652" t="s">
        <v>485</v>
      </c>
      <c r="J85" s="652"/>
      <c r="K85" s="652"/>
      <c r="L85" s="654"/>
      <c r="M85" s="660"/>
      <c r="N85" s="668"/>
      <c r="O85" s="668"/>
      <c r="P85" s="665" t="s">
        <v>486</v>
      </c>
      <c r="Q85" s="666"/>
      <c r="R85" s="666"/>
      <c r="S85" s="667"/>
      <c r="T85" s="668"/>
      <c r="U85" s="665" t="s">
        <v>486</v>
      </c>
      <c r="V85" s="666"/>
      <c r="W85" s="666"/>
      <c r="X85" s="667"/>
      <c r="Y85" s="668"/>
      <c r="Z85" s="665" t="s">
        <v>486</v>
      </c>
      <c r="AA85" s="666"/>
      <c r="AB85" s="666"/>
      <c r="AC85" s="667"/>
      <c r="AD85" s="668"/>
      <c r="AE85" s="665" t="s">
        <v>486</v>
      </c>
      <c r="AF85" s="666"/>
      <c r="AG85" s="666"/>
      <c r="AH85" s="667"/>
      <c r="AI85" s="668"/>
      <c r="AJ85" s="665" t="s">
        <v>486</v>
      </c>
      <c r="AK85" s="666"/>
      <c r="AL85" s="666"/>
      <c r="AM85" s="667"/>
      <c r="AN85" s="668"/>
      <c r="AO85" s="665" t="s">
        <v>486</v>
      </c>
      <c r="AP85" s="666"/>
      <c r="AQ85" s="666"/>
      <c r="AR85" s="667"/>
      <c r="AS85" s="668"/>
      <c r="AT85" s="665" t="s">
        <v>486</v>
      </c>
      <c r="AU85" s="666"/>
      <c r="AV85" s="666"/>
      <c r="AW85" s="667"/>
      <c r="AX85" s="668"/>
    </row>
    <row r="86" spans="2:50">
      <c r="B86" s="668"/>
      <c r="C86" s="668"/>
      <c r="D86" s="668"/>
      <c r="E86" s="305" t="s">
        <v>487</v>
      </c>
      <c r="F86" s="305" t="s">
        <v>488</v>
      </c>
      <c r="G86" s="305" t="s">
        <v>489</v>
      </c>
      <c r="H86" s="686"/>
      <c r="I86" s="306" t="s">
        <v>487</v>
      </c>
      <c r="J86" s="306" t="s">
        <v>488</v>
      </c>
      <c r="K86" s="306" t="s">
        <v>489</v>
      </c>
      <c r="L86" s="655"/>
      <c r="M86" s="661"/>
      <c r="N86" s="668"/>
      <c r="O86" s="668"/>
      <c r="P86" s="305" t="s">
        <v>487</v>
      </c>
      <c r="Q86" s="305" t="s">
        <v>488</v>
      </c>
      <c r="R86" s="305" t="s">
        <v>489</v>
      </c>
      <c r="S86" s="305" t="s">
        <v>482</v>
      </c>
      <c r="T86" s="668"/>
      <c r="U86" s="305" t="s">
        <v>487</v>
      </c>
      <c r="V86" s="305" t="s">
        <v>488</v>
      </c>
      <c r="W86" s="305" t="s">
        <v>489</v>
      </c>
      <c r="X86" s="305" t="s">
        <v>482</v>
      </c>
      <c r="Y86" s="668"/>
      <c r="Z86" s="305" t="s">
        <v>487</v>
      </c>
      <c r="AA86" s="305" t="s">
        <v>488</v>
      </c>
      <c r="AB86" s="305" t="s">
        <v>489</v>
      </c>
      <c r="AC86" s="305" t="s">
        <v>482</v>
      </c>
      <c r="AD86" s="668"/>
      <c r="AE86" s="305" t="s">
        <v>487</v>
      </c>
      <c r="AF86" s="305" t="s">
        <v>488</v>
      </c>
      <c r="AG86" s="305" t="s">
        <v>489</v>
      </c>
      <c r="AH86" s="305" t="s">
        <v>482</v>
      </c>
      <c r="AI86" s="668"/>
      <c r="AJ86" s="305" t="s">
        <v>487</v>
      </c>
      <c r="AK86" s="305" t="s">
        <v>488</v>
      </c>
      <c r="AL86" s="305" t="s">
        <v>489</v>
      </c>
      <c r="AM86" s="305" t="s">
        <v>482</v>
      </c>
      <c r="AN86" s="668"/>
      <c r="AO86" s="305" t="s">
        <v>487</v>
      </c>
      <c r="AP86" s="305" t="s">
        <v>488</v>
      </c>
      <c r="AQ86" s="305" t="s">
        <v>489</v>
      </c>
      <c r="AR86" s="305" t="s">
        <v>482</v>
      </c>
      <c r="AS86" s="668"/>
      <c r="AT86" s="305" t="s">
        <v>487</v>
      </c>
      <c r="AU86" s="305" t="s">
        <v>488</v>
      </c>
      <c r="AV86" s="305" t="s">
        <v>489</v>
      </c>
      <c r="AW86" s="305" t="s">
        <v>482</v>
      </c>
      <c r="AX86" s="668"/>
    </row>
    <row r="87" spans="2:50">
      <c r="B87" s="668" t="s">
        <v>491</v>
      </c>
      <c r="C87" s="304">
        <v>1</v>
      </c>
      <c r="D87" s="227"/>
      <c r="E87" s="182"/>
      <c r="F87" s="545"/>
      <c r="G87" s="546"/>
      <c r="H87" s="71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68"/>
      <c r="O87" s="668"/>
      <c r="P87" s="573"/>
      <c r="Q87" s="574"/>
      <c r="R87" s="574"/>
      <c r="S87" s="304" t="e">
        <f>RANK(R87, R$87:R$101)</f>
        <v>#N/A</v>
      </c>
      <c r="T87" s="677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677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677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677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677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677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90" t="e">
        <f t="shared" ref="AX87" si="67">AVERAGE(AV87:AV101)</f>
        <v>#DIV/0!</v>
      </c>
    </row>
    <row r="88" spans="2:50">
      <c r="B88" s="676"/>
      <c r="C88" s="304">
        <v>2</v>
      </c>
      <c r="D88" s="227"/>
      <c r="E88" s="182"/>
      <c r="F88" s="545"/>
      <c r="G88" s="546"/>
      <c r="H88" s="718"/>
      <c r="I88" s="199" t="e">
        <f t="shared" ref="I88:K92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50"/>
      <c r="M88" s="201" t="e">
        <f>RANK(K88, K$87:$K$101)</f>
        <v>#DIV/0!</v>
      </c>
      <c r="N88" s="668"/>
      <c r="O88" s="668"/>
      <c r="P88" s="573"/>
      <c r="Q88" s="574"/>
      <c r="R88" s="574"/>
      <c r="S88" s="304" t="e">
        <f t="shared" ref="S88:S101" si="69">RANK(R88, R$87:R$101)</f>
        <v>#N/A</v>
      </c>
      <c r="T88" s="678"/>
      <c r="U88" s="573"/>
      <c r="V88" s="574"/>
      <c r="W88" s="574"/>
      <c r="X88" s="475" t="e">
        <f t="shared" si="56"/>
        <v>#N/A</v>
      </c>
      <c r="Y88" s="678"/>
      <c r="Z88" s="573"/>
      <c r="AA88" s="574"/>
      <c r="AB88" s="574"/>
      <c r="AC88" s="475" t="e">
        <f t="shared" si="58"/>
        <v>#N/A</v>
      </c>
      <c r="AD88" s="678"/>
      <c r="AE88" s="573"/>
      <c r="AF88" s="574"/>
      <c r="AG88" s="574"/>
      <c r="AH88" s="475" t="e">
        <f t="shared" si="60"/>
        <v>#N/A</v>
      </c>
      <c r="AI88" s="678"/>
      <c r="AJ88" s="573"/>
      <c r="AK88" s="574"/>
      <c r="AL88" s="574"/>
      <c r="AM88" s="475" t="e">
        <f t="shared" si="62"/>
        <v>#N/A</v>
      </c>
      <c r="AN88" s="678"/>
      <c r="AO88" s="573"/>
      <c r="AP88" s="574"/>
      <c r="AQ88" s="574"/>
      <c r="AR88" s="475" t="e">
        <f t="shared" si="64"/>
        <v>#N/A</v>
      </c>
      <c r="AS88" s="678"/>
      <c r="AT88" s="573"/>
      <c r="AU88" s="574"/>
      <c r="AV88" s="574"/>
      <c r="AW88" s="475" t="e">
        <f t="shared" si="66"/>
        <v>#N/A</v>
      </c>
      <c r="AX88" s="690"/>
    </row>
    <row r="89" spans="2:50">
      <c r="B89" s="676"/>
      <c r="C89" s="304">
        <v>3</v>
      </c>
      <c r="D89" s="227"/>
      <c r="E89" s="182"/>
      <c r="F89" s="545"/>
      <c r="G89" s="546"/>
      <c r="H89" s="718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50"/>
      <c r="M89" s="201" t="e">
        <f>RANK(K89, K$87:$K$101)</f>
        <v>#DIV/0!</v>
      </c>
      <c r="N89" s="668"/>
      <c r="O89" s="668"/>
      <c r="P89" s="573"/>
      <c r="Q89" s="574"/>
      <c r="R89" s="574"/>
      <c r="S89" s="304" t="e">
        <f t="shared" si="69"/>
        <v>#N/A</v>
      </c>
      <c r="T89" s="678"/>
      <c r="U89" s="573"/>
      <c r="V89" s="574"/>
      <c r="W89" s="574"/>
      <c r="X89" s="475" t="e">
        <f t="shared" si="56"/>
        <v>#N/A</v>
      </c>
      <c r="Y89" s="678"/>
      <c r="Z89" s="573"/>
      <c r="AA89" s="574"/>
      <c r="AB89" s="574"/>
      <c r="AC89" s="475" t="e">
        <f t="shared" si="58"/>
        <v>#N/A</v>
      </c>
      <c r="AD89" s="678"/>
      <c r="AE89" s="573"/>
      <c r="AF89" s="574"/>
      <c r="AG89" s="574"/>
      <c r="AH89" s="475" t="e">
        <f t="shared" si="60"/>
        <v>#N/A</v>
      </c>
      <c r="AI89" s="678"/>
      <c r="AJ89" s="573"/>
      <c r="AK89" s="574"/>
      <c r="AL89" s="574"/>
      <c r="AM89" s="475" t="e">
        <f t="shared" si="62"/>
        <v>#N/A</v>
      </c>
      <c r="AN89" s="678"/>
      <c r="AO89" s="573"/>
      <c r="AP89" s="574"/>
      <c r="AQ89" s="574"/>
      <c r="AR89" s="475" t="e">
        <f t="shared" si="64"/>
        <v>#N/A</v>
      </c>
      <c r="AS89" s="678"/>
      <c r="AT89" s="573"/>
      <c r="AU89" s="574"/>
      <c r="AV89" s="574"/>
      <c r="AW89" s="475" t="e">
        <f t="shared" si="66"/>
        <v>#N/A</v>
      </c>
      <c r="AX89" s="690"/>
    </row>
    <row r="90" spans="2:50">
      <c r="B90" s="676"/>
      <c r="C90" s="304">
        <v>4</v>
      </c>
      <c r="D90" s="227"/>
      <c r="E90" s="182"/>
      <c r="F90" s="545"/>
      <c r="G90" s="546"/>
      <c r="H90" s="718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50"/>
      <c r="M90" s="201" t="e">
        <f>RANK(K90, K$87:$K$101)</f>
        <v>#DIV/0!</v>
      </c>
      <c r="N90" s="668"/>
      <c r="O90" s="668"/>
      <c r="P90" s="573"/>
      <c r="Q90" s="574"/>
      <c r="R90" s="574"/>
      <c r="S90" s="304" t="e">
        <f t="shared" si="69"/>
        <v>#N/A</v>
      </c>
      <c r="T90" s="678"/>
      <c r="U90" s="573"/>
      <c r="V90" s="574"/>
      <c r="W90" s="574"/>
      <c r="X90" s="475" t="e">
        <f t="shared" si="56"/>
        <v>#N/A</v>
      </c>
      <c r="Y90" s="678"/>
      <c r="Z90" s="573"/>
      <c r="AA90" s="574"/>
      <c r="AB90" s="574"/>
      <c r="AC90" s="475" t="e">
        <f t="shared" si="58"/>
        <v>#N/A</v>
      </c>
      <c r="AD90" s="678"/>
      <c r="AE90" s="573"/>
      <c r="AF90" s="574"/>
      <c r="AG90" s="574"/>
      <c r="AH90" s="475" t="e">
        <f t="shared" si="60"/>
        <v>#N/A</v>
      </c>
      <c r="AI90" s="678"/>
      <c r="AJ90" s="573"/>
      <c r="AK90" s="574"/>
      <c r="AL90" s="574"/>
      <c r="AM90" s="475" t="e">
        <f t="shared" si="62"/>
        <v>#N/A</v>
      </c>
      <c r="AN90" s="678"/>
      <c r="AO90" s="573"/>
      <c r="AP90" s="574"/>
      <c r="AQ90" s="574"/>
      <c r="AR90" s="475" t="e">
        <f t="shared" si="64"/>
        <v>#N/A</v>
      </c>
      <c r="AS90" s="678"/>
      <c r="AT90" s="573"/>
      <c r="AU90" s="574"/>
      <c r="AV90" s="574"/>
      <c r="AW90" s="475" t="e">
        <f t="shared" si="66"/>
        <v>#N/A</v>
      </c>
      <c r="AX90" s="690"/>
    </row>
    <row r="91" spans="2:50">
      <c r="B91" s="676"/>
      <c r="C91" s="304">
        <v>5</v>
      </c>
      <c r="D91" s="227"/>
      <c r="E91" s="182"/>
      <c r="F91" s="545"/>
      <c r="G91" s="546"/>
      <c r="H91" s="718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50"/>
      <c r="M91" s="201" t="e">
        <f>RANK(K91, K$87:$K$101)</f>
        <v>#DIV/0!</v>
      </c>
      <c r="N91" s="668"/>
      <c r="O91" s="668"/>
      <c r="P91" s="573"/>
      <c r="Q91" s="574"/>
      <c r="R91" s="574"/>
      <c r="S91" s="304" t="e">
        <f t="shared" si="69"/>
        <v>#N/A</v>
      </c>
      <c r="T91" s="678"/>
      <c r="U91" s="573"/>
      <c r="V91" s="574"/>
      <c r="W91" s="574"/>
      <c r="X91" s="475" t="e">
        <f t="shared" si="56"/>
        <v>#N/A</v>
      </c>
      <c r="Y91" s="678"/>
      <c r="Z91" s="573"/>
      <c r="AA91" s="574"/>
      <c r="AB91" s="574"/>
      <c r="AC91" s="475" t="e">
        <f t="shared" si="58"/>
        <v>#N/A</v>
      </c>
      <c r="AD91" s="678"/>
      <c r="AE91" s="573"/>
      <c r="AF91" s="574"/>
      <c r="AG91" s="574"/>
      <c r="AH91" s="475" t="e">
        <f t="shared" si="60"/>
        <v>#N/A</v>
      </c>
      <c r="AI91" s="678"/>
      <c r="AJ91" s="573"/>
      <c r="AK91" s="574"/>
      <c r="AL91" s="574"/>
      <c r="AM91" s="475" t="e">
        <f t="shared" si="62"/>
        <v>#N/A</v>
      </c>
      <c r="AN91" s="678"/>
      <c r="AO91" s="573"/>
      <c r="AP91" s="574"/>
      <c r="AQ91" s="574"/>
      <c r="AR91" s="475" t="e">
        <f t="shared" si="64"/>
        <v>#N/A</v>
      </c>
      <c r="AS91" s="678"/>
      <c r="AT91" s="573"/>
      <c r="AU91" s="574"/>
      <c r="AV91" s="574"/>
      <c r="AW91" s="475" t="e">
        <f t="shared" si="66"/>
        <v>#N/A</v>
      </c>
      <c r="AX91" s="690"/>
    </row>
    <row r="92" spans="2:50">
      <c r="B92" s="676"/>
      <c r="C92" s="304">
        <v>6</v>
      </c>
      <c r="D92" s="227"/>
      <c r="E92" s="182"/>
      <c r="F92" s="545"/>
      <c r="G92" s="546"/>
      <c r="H92" s="718"/>
      <c r="I92" s="199" t="e">
        <f t="shared" si="68"/>
        <v>#DIV/0!</v>
      </c>
      <c r="J92" s="199" t="e">
        <f t="shared" si="68"/>
        <v>#DIV/0!</v>
      </c>
      <c r="K92" s="200" t="e">
        <f t="shared" si="68"/>
        <v>#DIV/0!</v>
      </c>
      <c r="L92" s="650"/>
      <c r="M92" s="201" t="e">
        <f>RANK(K92, K$87:$K$101)</f>
        <v>#DIV/0!</v>
      </c>
      <c r="N92" s="668"/>
      <c r="O92" s="668"/>
      <c r="P92" s="573"/>
      <c r="Q92" s="574"/>
      <c r="R92" s="574"/>
      <c r="S92" s="304" t="e">
        <f t="shared" si="69"/>
        <v>#N/A</v>
      </c>
      <c r="T92" s="678"/>
      <c r="U92" s="573"/>
      <c r="V92" s="574"/>
      <c r="W92" s="574"/>
      <c r="X92" s="475" t="e">
        <f t="shared" si="56"/>
        <v>#N/A</v>
      </c>
      <c r="Y92" s="678"/>
      <c r="Z92" s="573"/>
      <c r="AA92" s="574"/>
      <c r="AB92" s="574"/>
      <c r="AC92" s="475" t="e">
        <f t="shared" si="58"/>
        <v>#N/A</v>
      </c>
      <c r="AD92" s="678"/>
      <c r="AE92" s="573"/>
      <c r="AF92" s="574"/>
      <c r="AG92" s="574"/>
      <c r="AH92" s="475" t="e">
        <f t="shared" si="60"/>
        <v>#N/A</v>
      </c>
      <c r="AI92" s="678"/>
      <c r="AJ92" s="573"/>
      <c r="AK92" s="574"/>
      <c r="AL92" s="574"/>
      <c r="AM92" s="475" t="e">
        <f t="shared" si="62"/>
        <v>#N/A</v>
      </c>
      <c r="AN92" s="678"/>
      <c r="AO92" s="573"/>
      <c r="AP92" s="574"/>
      <c r="AQ92" s="574"/>
      <c r="AR92" s="475" t="e">
        <f t="shared" si="64"/>
        <v>#N/A</v>
      </c>
      <c r="AS92" s="678"/>
      <c r="AT92" s="573"/>
      <c r="AU92" s="574"/>
      <c r="AV92" s="574"/>
      <c r="AW92" s="475" t="e">
        <f t="shared" si="66"/>
        <v>#N/A</v>
      </c>
      <c r="AX92" s="690"/>
    </row>
    <row r="93" spans="2:50">
      <c r="B93" s="676"/>
      <c r="C93" s="304">
        <v>7</v>
      </c>
      <c r="D93" s="227"/>
      <c r="E93" s="182"/>
      <c r="F93" s="545"/>
      <c r="G93" s="546"/>
      <c r="H93" s="718"/>
      <c r="I93" s="446" t="e">
        <f t="shared" ref="I93" si="70">AVERAGE(P93,U93,Z93,AE93,AJ93,AO93,AT93)</f>
        <v>#DIV/0!</v>
      </c>
      <c r="J93" s="446" t="e">
        <f t="shared" ref="J93" si="71">AVERAGE(Q93,V93,AA93,AF93,AK93,AP93,AU93)</f>
        <v>#DIV/0!</v>
      </c>
      <c r="K93" s="200" t="e">
        <f t="shared" ref="K93" si="72">AVERAGE(R93,W93,AB93,AG93,AL93,AQ93,AV93)</f>
        <v>#DIV/0!</v>
      </c>
      <c r="L93" s="650"/>
      <c r="M93" s="201" t="e">
        <f>RANK(K93, K$87:$K$101)</f>
        <v>#DIV/0!</v>
      </c>
      <c r="N93" s="668"/>
      <c r="O93" s="668"/>
      <c r="P93" s="573"/>
      <c r="Q93" s="574"/>
      <c r="R93" s="574"/>
      <c r="S93" s="304" t="e">
        <f t="shared" si="69"/>
        <v>#N/A</v>
      </c>
      <c r="T93" s="678"/>
      <c r="U93" s="573"/>
      <c r="V93" s="574"/>
      <c r="W93" s="574"/>
      <c r="X93" s="475" t="e">
        <f t="shared" si="56"/>
        <v>#N/A</v>
      </c>
      <c r="Y93" s="678"/>
      <c r="Z93" s="573"/>
      <c r="AA93" s="574"/>
      <c r="AB93" s="574"/>
      <c r="AC93" s="475" t="e">
        <f t="shared" si="58"/>
        <v>#N/A</v>
      </c>
      <c r="AD93" s="678"/>
      <c r="AE93" s="573"/>
      <c r="AF93" s="574"/>
      <c r="AG93" s="574"/>
      <c r="AH93" s="475" t="e">
        <f t="shared" si="60"/>
        <v>#N/A</v>
      </c>
      <c r="AI93" s="678"/>
      <c r="AJ93" s="573"/>
      <c r="AK93" s="574"/>
      <c r="AL93" s="574"/>
      <c r="AM93" s="475" t="e">
        <f t="shared" si="62"/>
        <v>#N/A</v>
      </c>
      <c r="AN93" s="678"/>
      <c r="AO93" s="573"/>
      <c r="AP93" s="574"/>
      <c r="AQ93" s="574"/>
      <c r="AR93" s="475" t="e">
        <f t="shared" si="64"/>
        <v>#N/A</v>
      </c>
      <c r="AS93" s="678"/>
      <c r="AT93" s="573"/>
      <c r="AU93" s="574"/>
      <c r="AV93" s="574"/>
      <c r="AW93" s="475" t="e">
        <f t="shared" si="66"/>
        <v>#N/A</v>
      </c>
      <c r="AX93" s="690"/>
    </row>
    <row r="94" spans="2:50">
      <c r="B94" s="676"/>
      <c r="C94" s="304">
        <v>8</v>
      </c>
      <c r="D94" s="227"/>
      <c r="E94" s="182"/>
      <c r="F94" s="545"/>
      <c r="G94" s="546"/>
      <c r="H94" s="718"/>
      <c r="I94" s="446"/>
      <c r="J94" s="446"/>
      <c r="K94" s="200"/>
      <c r="L94" s="650"/>
      <c r="M94" s="201" t="e">
        <f>RANK(K94, K$87:$K$101)</f>
        <v>#DIV/0!</v>
      </c>
      <c r="N94" s="668"/>
      <c r="O94" s="668"/>
      <c r="P94" s="573"/>
      <c r="Q94" s="574"/>
      <c r="R94" s="574"/>
      <c r="S94" s="304" t="e">
        <f t="shared" si="69"/>
        <v>#N/A</v>
      </c>
      <c r="T94" s="678"/>
      <c r="U94" s="573"/>
      <c r="V94" s="574"/>
      <c r="W94" s="574"/>
      <c r="X94" s="475" t="e">
        <f t="shared" si="56"/>
        <v>#N/A</v>
      </c>
      <c r="Y94" s="678"/>
      <c r="Z94" s="573"/>
      <c r="AA94" s="574"/>
      <c r="AB94" s="574"/>
      <c r="AC94" s="475" t="e">
        <f t="shared" si="58"/>
        <v>#N/A</v>
      </c>
      <c r="AD94" s="678"/>
      <c r="AE94" s="573"/>
      <c r="AF94" s="574"/>
      <c r="AG94" s="574"/>
      <c r="AH94" s="475" t="e">
        <f t="shared" si="60"/>
        <v>#N/A</v>
      </c>
      <c r="AI94" s="678"/>
      <c r="AJ94" s="573"/>
      <c r="AK94" s="574"/>
      <c r="AL94" s="574"/>
      <c r="AM94" s="475" t="e">
        <f t="shared" si="62"/>
        <v>#N/A</v>
      </c>
      <c r="AN94" s="678"/>
      <c r="AO94" s="573"/>
      <c r="AP94" s="574"/>
      <c r="AQ94" s="574"/>
      <c r="AR94" s="475" t="e">
        <f t="shared" si="64"/>
        <v>#N/A</v>
      </c>
      <c r="AS94" s="678"/>
      <c r="AT94" s="573"/>
      <c r="AU94" s="574"/>
      <c r="AV94" s="574"/>
      <c r="AW94" s="475" t="e">
        <f t="shared" si="66"/>
        <v>#N/A</v>
      </c>
      <c r="AX94" s="690"/>
    </row>
    <row r="95" spans="2:50">
      <c r="B95" s="676"/>
      <c r="C95" s="304">
        <v>9</v>
      </c>
      <c r="D95" s="227"/>
      <c r="E95" s="182"/>
      <c r="F95" s="545"/>
      <c r="G95" s="546"/>
      <c r="H95" s="718"/>
      <c r="I95" s="199"/>
      <c r="J95" s="199"/>
      <c r="K95" s="200"/>
      <c r="L95" s="650"/>
      <c r="M95" s="201" t="e">
        <f>RANK(K95, K$87:$K$101)</f>
        <v>#DIV/0!</v>
      </c>
      <c r="N95" s="668"/>
      <c r="O95" s="668"/>
      <c r="P95" s="573"/>
      <c r="Q95" s="574"/>
      <c r="R95" s="574"/>
      <c r="S95" s="304" t="e">
        <f t="shared" si="69"/>
        <v>#N/A</v>
      </c>
      <c r="T95" s="678"/>
      <c r="U95" s="573"/>
      <c r="V95" s="574"/>
      <c r="W95" s="574"/>
      <c r="X95" s="475" t="e">
        <f t="shared" si="56"/>
        <v>#N/A</v>
      </c>
      <c r="Y95" s="678"/>
      <c r="Z95" s="573"/>
      <c r="AA95" s="574"/>
      <c r="AB95" s="574"/>
      <c r="AC95" s="475" t="e">
        <f t="shared" si="58"/>
        <v>#N/A</v>
      </c>
      <c r="AD95" s="678"/>
      <c r="AE95" s="573"/>
      <c r="AF95" s="574"/>
      <c r="AG95" s="574"/>
      <c r="AH95" s="475" t="e">
        <f t="shared" si="60"/>
        <v>#N/A</v>
      </c>
      <c r="AI95" s="678"/>
      <c r="AJ95" s="573"/>
      <c r="AK95" s="574"/>
      <c r="AL95" s="574"/>
      <c r="AM95" s="475" t="e">
        <f t="shared" si="62"/>
        <v>#N/A</v>
      </c>
      <c r="AN95" s="678"/>
      <c r="AO95" s="573"/>
      <c r="AP95" s="574"/>
      <c r="AQ95" s="574"/>
      <c r="AR95" s="475" t="e">
        <f t="shared" si="64"/>
        <v>#N/A</v>
      </c>
      <c r="AS95" s="678"/>
      <c r="AT95" s="573"/>
      <c r="AU95" s="574"/>
      <c r="AV95" s="574"/>
      <c r="AW95" s="475" t="e">
        <f t="shared" si="66"/>
        <v>#N/A</v>
      </c>
      <c r="AX95" s="690"/>
    </row>
    <row r="96" spans="2:50">
      <c r="B96" s="676"/>
      <c r="C96" s="304">
        <v>10</v>
      </c>
      <c r="D96" s="227"/>
      <c r="E96" s="182"/>
      <c r="F96" s="545"/>
      <c r="G96" s="546"/>
      <c r="H96" s="718"/>
      <c r="I96" s="199"/>
      <c r="J96" s="199"/>
      <c r="K96" s="200"/>
      <c r="L96" s="650"/>
      <c r="M96" s="201" t="e">
        <f>RANK(K96, K$87:$K$101)</f>
        <v>#DIV/0!</v>
      </c>
      <c r="N96" s="668"/>
      <c r="O96" s="668"/>
      <c r="P96" s="573"/>
      <c r="Q96" s="574"/>
      <c r="R96" s="574"/>
      <c r="S96" s="304" t="e">
        <f t="shared" si="69"/>
        <v>#N/A</v>
      </c>
      <c r="T96" s="678"/>
      <c r="U96" s="573"/>
      <c r="V96" s="574"/>
      <c r="W96" s="574"/>
      <c r="X96" s="475" t="e">
        <f t="shared" si="56"/>
        <v>#N/A</v>
      </c>
      <c r="Y96" s="678"/>
      <c r="Z96" s="573"/>
      <c r="AA96" s="574"/>
      <c r="AB96" s="574"/>
      <c r="AC96" s="475" t="e">
        <f t="shared" si="58"/>
        <v>#N/A</v>
      </c>
      <c r="AD96" s="678"/>
      <c r="AE96" s="573"/>
      <c r="AF96" s="574"/>
      <c r="AG96" s="574"/>
      <c r="AH96" s="475" t="e">
        <f t="shared" si="60"/>
        <v>#N/A</v>
      </c>
      <c r="AI96" s="678"/>
      <c r="AJ96" s="573"/>
      <c r="AK96" s="574"/>
      <c r="AL96" s="574"/>
      <c r="AM96" s="475" t="e">
        <f t="shared" si="62"/>
        <v>#N/A</v>
      </c>
      <c r="AN96" s="678"/>
      <c r="AO96" s="573"/>
      <c r="AP96" s="574"/>
      <c r="AQ96" s="574"/>
      <c r="AR96" s="475" t="e">
        <f t="shared" si="64"/>
        <v>#N/A</v>
      </c>
      <c r="AS96" s="678"/>
      <c r="AT96" s="573"/>
      <c r="AU96" s="574"/>
      <c r="AV96" s="574"/>
      <c r="AW96" s="475" t="e">
        <f t="shared" si="66"/>
        <v>#N/A</v>
      </c>
      <c r="AX96" s="690"/>
    </row>
    <row r="97" spans="2:50">
      <c r="B97" s="676"/>
      <c r="C97" s="304">
        <v>11</v>
      </c>
      <c r="D97" s="227"/>
      <c r="E97" s="182"/>
      <c r="F97" s="545"/>
      <c r="G97" s="546"/>
      <c r="H97" s="718"/>
      <c r="I97" s="199"/>
      <c r="J97" s="199"/>
      <c r="K97" s="200"/>
      <c r="L97" s="650"/>
      <c r="M97" s="201" t="e">
        <f>RANK(K97, K$87:$K$101)</f>
        <v>#DIV/0!</v>
      </c>
      <c r="N97" s="668"/>
      <c r="O97" s="668"/>
      <c r="P97" s="573"/>
      <c r="Q97" s="574"/>
      <c r="R97" s="574"/>
      <c r="S97" s="304" t="e">
        <f t="shared" si="69"/>
        <v>#N/A</v>
      </c>
      <c r="T97" s="678"/>
      <c r="U97" s="573"/>
      <c r="V97" s="574"/>
      <c r="W97" s="574"/>
      <c r="X97" s="475" t="e">
        <f t="shared" si="56"/>
        <v>#N/A</v>
      </c>
      <c r="Y97" s="678"/>
      <c r="Z97" s="573"/>
      <c r="AA97" s="574"/>
      <c r="AB97" s="574"/>
      <c r="AC97" s="475" t="e">
        <f t="shared" si="58"/>
        <v>#N/A</v>
      </c>
      <c r="AD97" s="678"/>
      <c r="AE97" s="573"/>
      <c r="AF97" s="574"/>
      <c r="AG97" s="574"/>
      <c r="AH97" s="475" t="e">
        <f t="shared" si="60"/>
        <v>#N/A</v>
      </c>
      <c r="AI97" s="678"/>
      <c r="AJ97" s="573"/>
      <c r="AK97" s="574"/>
      <c r="AL97" s="574"/>
      <c r="AM97" s="475" t="e">
        <f t="shared" si="62"/>
        <v>#N/A</v>
      </c>
      <c r="AN97" s="678"/>
      <c r="AO97" s="573"/>
      <c r="AP97" s="574"/>
      <c r="AQ97" s="574"/>
      <c r="AR97" s="475" t="e">
        <f t="shared" si="64"/>
        <v>#N/A</v>
      </c>
      <c r="AS97" s="678"/>
      <c r="AT97" s="573"/>
      <c r="AU97" s="574"/>
      <c r="AV97" s="574"/>
      <c r="AW97" s="475" t="e">
        <f t="shared" si="66"/>
        <v>#N/A</v>
      </c>
      <c r="AX97" s="690"/>
    </row>
    <row r="98" spans="2:50">
      <c r="B98" s="676"/>
      <c r="C98" s="304">
        <v>12</v>
      </c>
      <c r="D98" s="227"/>
      <c r="E98" s="182"/>
      <c r="F98" s="545"/>
      <c r="G98" s="546"/>
      <c r="H98" s="718"/>
      <c r="I98" s="199"/>
      <c r="J98" s="199"/>
      <c r="K98" s="200"/>
      <c r="L98" s="650"/>
      <c r="M98" s="201" t="e">
        <f>RANK(K98, K$87:$K$101)</f>
        <v>#DIV/0!</v>
      </c>
      <c r="N98" s="668"/>
      <c r="O98" s="668"/>
      <c r="P98" s="573"/>
      <c r="Q98" s="574"/>
      <c r="R98" s="574"/>
      <c r="S98" s="304" t="e">
        <f t="shared" si="69"/>
        <v>#N/A</v>
      </c>
      <c r="T98" s="678"/>
      <c r="U98" s="573"/>
      <c r="V98" s="574"/>
      <c r="W98" s="574"/>
      <c r="X98" s="475" t="e">
        <f t="shared" si="56"/>
        <v>#N/A</v>
      </c>
      <c r="Y98" s="678"/>
      <c r="Z98" s="573"/>
      <c r="AA98" s="574"/>
      <c r="AB98" s="574"/>
      <c r="AC98" s="475" t="e">
        <f t="shared" si="58"/>
        <v>#N/A</v>
      </c>
      <c r="AD98" s="678"/>
      <c r="AE98" s="573"/>
      <c r="AF98" s="574"/>
      <c r="AG98" s="574"/>
      <c r="AH98" s="475" t="e">
        <f t="shared" si="60"/>
        <v>#N/A</v>
      </c>
      <c r="AI98" s="678"/>
      <c r="AJ98" s="573"/>
      <c r="AK98" s="574"/>
      <c r="AL98" s="574"/>
      <c r="AM98" s="475" t="e">
        <f t="shared" si="62"/>
        <v>#N/A</v>
      </c>
      <c r="AN98" s="678"/>
      <c r="AO98" s="573"/>
      <c r="AP98" s="574"/>
      <c r="AQ98" s="574"/>
      <c r="AR98" s="475" t="e">
        <f t="shared" si="64"/>
        <v>#N/A</v>
      </c>
      <c r="AS98" s="678"/>
      <c r="AT98" s="573"/>
      <c r="AU98" s="574"/>
      <c r="AV98" s="574"/>
      <c r="AW98" s="475" t="e">
        <f t="shared" si="66"/>
        <v>#N/A</v>
      </c>
      <c r="AX98" s="690"/>
    </row>
    <row r="99" spans="2:50">
      <c r="B99" s="676"/>
      <c r="C99" s="304">
        <v>13</v>
      </c>
      <c r="D99" s="227"/>
      <c r="E99" s="182"/>
      <c r="F99" s="545"/>
      <c r="G99" s="546"/>
      <c r="H99" s="718"/>
      <c r="I99" s="199"/>
      <c r="J99" s="199"/>
      <c r="K99" s="200"/>
      <c r="L99" s="650"/>
      <c r="M99" s="201" t="e">
        <f>RANK(K99, K$87:$K$101)</f>
        <v>#DIV/0!</v>
      </c>
      <c r="N99" s="668"/>
      <c r="O99" s="668"/>
      <c r="P99" s="573"/>
      <c r="Q99" s="574"/>
      <c r="R99" s="574"/>
      <c r="S99" s="304" t="e">
        <f t="shared" si="69"/>
        <v>#N/A</v>
      </c>
      <c r="T99" s="678"/>
      <c r="U99" s="573"/>
      <c r="V99" s="574"/>
      <c r="W99" s="574"/>
      <c r="X99" s="475" t="e">
        <f t="shared" si="56"/>
        <v>#N/A</v>
      </c>
      <c r="Y99" s="678"/>
      <c r="Z99" s="573"/>
      <c r="AA99" s="574"/>
      <c r="AB99" s="574"/>
      <c r="AC99" s="475" t="e">
        <f t="shared" si="58"/>
        <v>#N/A</v>
      </c>
      <c r="AD99" s="678"/>
      <c r="AE99" s="573"/>
      <c r="AF99" s="574"/>
      <c r="AG99" s="574"/>
      <c r="AH99" s="475" t="e">
        <f t="shared" si="60"/>
        <v>#N/A</v>
      </c>
      <c r="AI99" s="678"/>
      <c r="AJ99" s="573"/>
      <c r="AK99" s="574"/>
      <c r="AL99" s="574"/>
      <c r="AM99" s="475" t="e">
        <f t="shared" si="62"/>
        <v>#N/A</v>
      </c>
      <c r="AN99" s="678"/>
      <c r="AO99" s="573"/>
      <c r="AP99" s="574"/>
      <c r="AQ99" s="574"/>
      <c r="AR99" s="475" t="e">
        <f t="shared" si="64"/>
        <v>#N/A</v>
      </c>
      <c r="AS99" s="678"/>
      <c r="AT99" s="573"/>
      <c r="AU99" s="574"/>
      <c r="AV99" s="574"/>
      <c r="AW99" s="475" t="e">
        <f t="shared" si="66"/>
        <v>#N/A</v>
      </c>
      <c r="AX99" s="690"/>
    </row>
    <row r="100" spans="2:50">
      <c r="B100" s="676"/>
      <c r="C100" s="304">
        <v>14</v>
      </c>
      <c r="D100" s="227"/>
      <c r="E100" s="182"/>
      <c r="F100" s="545"/>
      <c r="G100" s="546"/>
      <c r="H100" s="718"/>
      <c r="I100" s="199"/>
      <c r="J100" s="199"/>
      <c r="K100" s="200"/>
      <c r="L100" s="650"/>
      <c r="M100" s="201" t="e">
        <f>RANK(K100, K$87:$K$101)</f>
        <v>#DIV/0!</v>
      </c>
      <c r="N100" s="668"/>
      <c r="O100" s="668"/>
      <c r="P100" s="573"/>
      <c r="Q100" s="574"/>
      <c r="R100" s="574"/>
      <c r="S100" s="304" t="e">
        <f t="shared" si="69"/>
        <v>#N/A</v>
      </c>
      <c r="T100" s="678"/>
      <c r="U100" s="573"/>
      <c r="V100" s="574"/>
      <c r="W100" s="574"/>
      <c r="X100" s="475" t="e">
        <f t="shared" si="56"/>
        <v>#N/A</v>
      </c>
      <c r="Y100" s="678"/>
      <c r="Z100" s="573"/>
      <c r="AA100" s="574"/>
      <c r="AB100" s="574"/>
      <c r="AC100" s="475" t="e">
        <f t="shared" si="58"/>
        <v>#N/A</v>
      </c>
      <c r="AD100" s="678"/>
      <c r="AE100" s="573"/>
      <c r="AF100" s="574"/>
      <c r="AG100" s="574"/>
      <c r="AH100" s="475" t="e">
        <f t="shared" si="60"/>
        <v>#N/A</v>
      </c>
      <c r="AI100" s="678"/>
      <c r="AJ100" s="573"/>
      <c r="AK100" s="574"/>
      <c r="AL100" s="574"/>
      <c r="AM100" s="475" t="e">
        <f t="shared" si="62"/>
        <v>#N/A</v>
      </c>
      <c r="AN100" s="678"/>
      <c r="AO100" s="573"/>
      <c r="AP100" s="574"/>
      <c r="AQ100" s="574"/>
      <c r="AR100" s="475" t="e">
        <f t="shared" si="64"/>
        <v>#N/A</v>
      </c>
      <c r="AS100" s="678"/>
      <c r="AT100" s="573"/>
      <c r="AU100" s="574"/>
      <c r="AV100" s="574"/>
      <c r="AW100" s="475" t="e">
        <f t="shared" si="66"/>
        <v>#N/A</v>
      </c>
      <c r="AX100" s="690"/>
    </row>
    <row r="101" spans="2:50">
      <c r="B101" s="676"/>
      <c r="C101" s="304">
        <v>15</v>
      </c>
      <c r="D101" s="227"/>
      <c r="E101" s="182"/>
      <c r="F101" s="545"/>
      <c r="G101" s="546"/>
      <c r="H101" s="719"/>
      <c r="I101" s="199"/>
      <c r="J101" s="199"/>
      <c r="K101" s="200"/>
      <c r="L101" s="651"/>
      <c r="M101" s="199" t="e">
        <f>RANK(K101, K$87:$K$101)</f>
        <v>#DIV/0!</v>
      </c>
      <c r="N101" s="668"/>
      <c r="O101" s="668"/>
      <c r="P101" s="573"/>
      <c r="Q101" s="574"/>
      <c r="R101" s="574"/>
      <c r="S101" s="304" t="e">
        <f t="shared" si="69"/>
        <v>#N/A</v>
      </c>
      <c r="T101" s="679"/>
      <c r="U101" s="573"/>
      <c r="V101" s="574"/>
      <c r="W101" s="574"/>
      <c r="X101" s="475" t="e">
        <f t="shared" si="56"/>
        <v>#N/A</v>
      </c>
      <c r="Y101" s="679"/>
      <c r="Z101" s="573"/>
      <c r="AA101" s="574"/>
      <c r="AB101" s="574"/>
      <c r="AC101" s="475" t="e">
        <f t="shared" si="58"/>
        <v>#N/A</v>
      </c>
      <c r="AD101" s="679"/>
      <c r="AE101" s="573"/>
      <c r="AF101" s="574"/>
      <c r="AG101" s="574"/>
      <c r="AH101" s="475" t="e">
        <f t="shared" si="60"/>
        <v>#N/A</v>
      </c>
      <c r="AI101" s="679"/>
      <c r="AJ101" s="573"/>
      <c r="AK101" s="574"/>
      <c r="AL101" s="574"/>
      <c r="AM101" s="475" t="e">
        <f t="shared" si="62"/>
        <v>#N/A</v>
      </c>
      <c r="AN101" s="679"/>
      <c r="AO101" s="573"/>
      <c r="AP101" s="574"/>
      <c r="AQ101" s="574"/>
      <c r="AR101" s="475" t="e">
        <f t="shared" si="64"/>
        <v>#N/A</v>
      </c>
      <c r="AS101" s="679"/>
      <c r="AT101" s="573"/>
      <c r="AU101" s="574"/>
      <c r="AV101" s="574"/>
      <c r="AW101" s="475" t="e">
        <f t="shared" si="66"/>
        <v>#N/A</v>
      </c>
      <c r="AX101" s="690"/>
    </row>
    <row r="102" spans="2:50" ht="15.75">
      <c r="B102" s="680" t="s">
        <v>163</v>
      </c>
      <c r="C102" s="681"/>
      <c r="D102" s="681"/>
      <c r="E102" s="681"/>
      <c r="F102" s="681"/>
      <c r="G102" s="681"/>
      <c r="H102" s="682"/>
      <c r="I102" s="208"/>
      <c r="J102" s="208"/>
      <c r="K102" s="208"/>
      <c r="L102" s="208"/>
      <c r="M102" s="207"/>
      <c r="N102" s="669" t="s">
        <v>156</v>
      </c>
      <c r="O102" s="669" t="s">
        <v>105</v>
      </c>
      <c r="P102" s="675">
        <f>P82+7</f>
        <v>46119</v>
      </c>
      <c r="Q102" s="676"/>
      <c r="R102" s="676"/>
      <c r="S102" s="676"/>
      <c r="T102" s="676"/>
      <c r="U102" s="672">
        <f>P102+1</f>
        <v>46120</v>
      </c>
      <c r="V102" s="673"/>
      <c r="W102" s="673"/>
      <c r="X102" s="673"/>
      <c r="Y102" s="674"/>
      <c r="Z102" s="672">
        <f>U102+1</f>
        <v>46121</v>
      </c>
      <c r="AA102" s="673"/>
      <c r="AB102" s="673"/>
      <c r="AC102" s="673"/>
      <c r="AD102" s="674"/>
      <c r="AE102" s="672">
        <f>Z102+1</f>
        <v>46122</v>
      </c>
      <c r="AF102" s="673"/>
      <c r="AG102" s="673"/>
      <c r="AH102" s="673"/>
      <c r="AI102" s="674"/>
      <c r="AJ102" s="672">
        <f>AE102+1</f>
        <v>46123</v>
      </c>
      <c r="AK102" s="673"/>
      <c r="AL102" s="673"/>
      <c r="AM102" s="673"/>
      <c r="AN102" s="674"/>
      <c r="AO102" s="672">
        <f>AJ102+1</f>
        <v>46124</v>
      </c>
      <c r="AP102" s="673"/>
      <c r="AQ102" s="673"/>
      <c r="AR102" s="673"/>
      <c r="AS102" s="674"/>
      <c r="AT102" s="672">
        <f>AO102+1</f>
        <v>46125</v>
      </c>
      <c r="AU102" s="673"/>
      <c r="AV102" s="673"/>
      <c r="AW102" s="673"/>
      <c r="AX102" s="674"/>
    </row>
    <row r="103" spans="2:50" ht="15.75">
      <c r="B103" s="683"/>
      <c r="C103" s="683"/>
      <c r="D103" s="683"/>
      <c r="E103" s="683"/>
      <c r="F103" s="683"/>
      <c r="G103" s="683"/>
      <c r="H103" s="683"/>
      <c r="I103" s="205"/>
      <c r="J103" s="205"/>
      <c r="K103" s="205"/>
      <c r="L103" s="205"/>
      <c r="M103" s="206"/>
      <c r="N103" s="671"/>
      <c r="O103" s="671"/>
      <c r="P103" s="675" t="s">
        <v>158</v>
      </c>
      <c r="Q103" s="676"/>
      <c r="R103" s="676"/>
      <c r="S103" s="676"/>
      <c r="T103" s="676"/>
      <c r="U103" s="675" t="s">
        <v>114</v>
      </c>
      <c r="V103" s="676"/>
      <c r="W103" s="676"/>
      <c r="X103" s="676"/>
      <c r="Y103" s="676"/>
      <c r="Z103" s="675" t="s">
        <v>159</v>
      </c>
      <c r="AA103" s="676"/>
      <c r="AB103" s="676"/>
      <c r="AC103" s="676"/>
      <c r="AD103" s="676"/>
      <c r="AE103" s="675" t="s">
        <v>157</v>
      </c>
      <c r="AF103" s="676"/>
      <c r="AG103" s="676"/>
      <c r="AH103" s="676"/>
      <c r="AI103" s="676"/>
      <c r="AJ103" s="675" t="s">
        <v>160</v>
      </c>
      <c r="AK103" s="676"/>
      <c r="AL103" s="676"/>
      <c r="AM103" s="676"/>
      <c r="AN103" s="676"/>
      <c r="AO103" s="675" t="s">
        <v>115</v>
      </c>
      <c r="AP103" s="676"/>
      <c r="AQ103" s="676"/>
      <c r="AR103" s="676"/>
      <c r="AS103" s="676"/>
      <c r="AT103" s="675" t="s">
        <v>162</v>
      </c>
      <c r="AU103" s="676"/>
      <c r="AV103" s="676"/>
      <c r="AW103" s="676"/>
      <c r="AX103" s="676"/>
    </row>
    <row r="104" spans="2:50">
      <c r="B104" s="668" t="s">
        <v>822</v>
      </c>
      <c r="C104" s="668" t="s">
        <v>823</v>
      </c>
      <c r="D104" s="668"/>
      <c r="E104" s="668" t="s">
        <v>824</v>
      </c>
      <c r="F104" s="668"/>
      <c r="G104" s="668"/>
      <c r="H104" s="684" t="s">
        <v>825</v>
      </c>
      <c r="I104" s="668" t="s">
        <v>826</v>
      </c>
      <c r="J104" s="668"/>
      <c r="K104" s="668"/>
      <c r="L104" s="684" t="s">
        <v>825</v>
      </c>
      <c r="M104" s="669" t="s">
        <v>827</v>
      </c>
      <c r="N104" s="668"/>
      <c r="O104" s="668" t="s">
        <v>813</v>
      </c>
      <c r="P104" s="665" t="s">
        <v>814</v>
      </c>
      <c r="Q104" s="666"/>
      <c r="R104" s="666"/>
      <c r="S104" s="667"/>
      <c r="T104" s="668" t="s">
        <v>810</v>
      </c>
      <c r="U104" s="665" t="s">
        <v>814</v>
      </c>
      <c r="V104" s="666"/>
      <c r="W104" s="666"/>
      <c r="X104" s="667"/>
      <c r="Y104" s="668" t="s">
        <v>810</v>
      </c>
      <c r="Z104" s="665" t="s">
        <v>814</v>
      </c>
      <c r="AA104" s="666"/>
      <c r="AB104" s="666"/>
      <c r="AC104" s="667"/>
      <c r="AD104" s="668" t="s">
        <v>810</v>
      </c>
      <c r="AE104" s="665" t="s">
        <v>814</v>
      </c>
      <c r="AF104" s="666"/>
      <c r="AG104" s="666"/>
      <c r="AH104" s="667"/>
      <c r="AI104" s="668" t="s">
        <v>810</v>
      </c>
      <c r="AJ104" s="665" t="s">
        <v>814</v>
      </c>
      <c r="AK104" s="666"/>
      <c r="AL104" s="666"/>
      <c r="AM104" s="667"/>
      <c r="AN104" s="668" t="s">
        <v>810</v>
      </c>
      <c r="AO104" s="665" t="s">
        <v>814</v>
      </c>
      <c r="AP104" s="666"/>
      <c r="AQ104" s="666"/>
      <c r="AR104" s="667"/>
      <c r="AS104" s="668" t="s">
        <v>810</v>
      </c>
      <c r="AT104" s="665" t="s">
        <v>814</v>
      </c>
      <c r="AU104" s="666"/>
      <c r="AV104" s="666"/>
      <c r="AW104" s="667"/>
      <c r="AX104" s="668" t="s">
        <v>810</v>
      </c>
    </row>
    <row r="105" spans="2:50">
      <c r="B105" s="668"/>
      <c r="C105" s="668"/>
      <c r="D105" s="668"/>
      <c r="E105" s="668" t="s">
        <v>829</v>
      </c>
      <c r="F105" s="668"/>
      <c r="G105" s="668"/>
      <c r="H105" s="685"/>
      <c r="I105" s="668" t="s">
        <v>829</v>
      </c>
      <c r="J105" s="668"/>
      <c r="K105" s="668"/>
      <c r="L105" s="685"/>
      <c r="M105" s="670"/>
      <c r="N105" s="668"/>
      <c r="O105" s="668"/>
      <c r="P105" s="665" t="s">
        <v>816</v>
      </c>
      <c r="Q105" s="666"/>
      <c r="R105" s="666"/>
      <c r="S105" s="667"/>
      <c r="T105" s="668"/>
      <c r="U105" s="665" t="s">
        <v>816</v>
      </c>
      <c r="V105" s="666"/>
      <c r="W105" s="666"/>
      <c r="X105" s="667"/>
      <c r="Y105" s="668"/>
      <c r="Z105" s="665" t="s">
        <v>816</v>
      </c>
      <c r="AA105" s="666"/>
      <c r="AB105" s="666"/>
      <c r="AC105" s="667"/>
      <c r="AD105" s="668"/>
      <c r="AE105" s="665" t="s">
        <v>816</v>
      </c>
      <c r="AF105" s="666"/>
      <c r="AG105" s="666"/>
      <c r="AH105" s="667"/>
      <c r="AI105" s="668"/>
      <c r="AJ105" s="665" t="s">
        <v>816</v>
      </c>
      <c r="AK105" s="666"/>
      <c r="AL105" s="666"/>
      <c r="AM105" s="667"/>
      <c r="AN105" s="668"/>
      <c r="AO105" s="665" t="s">
        <v>816</v>
      </c>
      <c r="AP105" s="666"/>
      <c r="AQ105" s="666"/>
      <c r="AR105" s="667"/>
      <c r="AS105" s="668"/>
      <c r="AT105" s="665" t="s">
        <v>816</v>
      </c>
      <c r="AU105" s="666"/>
      <c r="AV105" s="666"/>
      <c r="AW105" s="667"/>
      <c r="AX105" s="668"/>
    </row>
    <row r="106" spans="2:50">
      <c r="B106" s="668"/>
      <c r="C106" s="668"/>
      <c r="D106" s="668"/>
      <c r="E106" s="488" t="s">
        <v>830</v>
      </c>
      <c r="F106" s="488" t="s">
        <v>831</v>
      </c>
      <c r="G106" s="488" t="s">
        <v>832</v>
      </c>
      <c r="H106" s="686"/>
      <c r="I106" s="488" t="s">
        <v>830</v>
      </c>
      <c r="J106" s="488" t="s">
        <v>831</v>
      </c>
      <c r="K106" s="488" t="s">
        <v>832</v>
      </c>
      <c r="L106" s="686"/>
      <c r="M106" s="671"/>
      <c r="N106" s="668"/>
      <c r="O106" s="668"/>
      <c r="P106" s="488" t="s">
        <v>817</v>
      </c>
      <c r="Q106" s="488" t="s">
        <v>818</v>
      </c>
      <c r="R106" s="488" t="s">
        <v>819</v>
      </c>
      <c r="S106" s="488" t="s">
        <v>812</v>
      </c>
      <c r="T106" s="668"/>
      <c r="U106" s="488" t="s">
        <v>817</v>
      </c>
      <c r="V106" s="488" t="s">
        <v>818</v>
      </c>
      <c r="W106" s="488" t="s">
        <v>819</v>
      </c>
      <c r="X106" s="488" t="s">
        <v>812</v>
      </c>
      <c r="Y106" s="668"/>
      <c r="Z106" s="488" t="s">
        <v>817</v>
      </c>
      <c r="AA106" s="488" t="s">
        <v>818</v>
      </c>
      <c r="AB106" s="488" t="s">
        <v>819</v>
      </c>
      <c r="AC106" s="488" t="s">
        <v>812</v>
      </c>
      <c r="AD106" s="668"/>
      <c r="AE106" s="488" t="s">
        <v>817</v>
      </c>
      <c r="AF106" s="488" t="s">
        <v>818</v>
      </c>
      <c r="AG106" s="488" t="s">
        <v>819</v>
      </c>
      <c r="AH106" s="488" t="s">
        <v>812</v>
      </c>
      <c r="AI106" s="668"/>
      <c r="AJ106" s="488" t="s">
        <v>817</v>
      </c>
      <c r="AK106" s="488" t="s">
        <v>818</v>
      </c>
      <c r="AL106" s="488" t="s">
        <v>819</v>
      </c>
      <c r="AM106" s="488" t="s">
        <v>812</v>
      </c>
      <c r="AN106" s="668"/>
      <c r="AO106" s="488" t="s">
        <v>817</v>
      </c>
      <c r="AP106" s="488" t="s">
        <v>818</v>
      </c>
      <c r="AQ106" s="488" t="s">
        <v>819</v>
      </c>
      <c r="AR106" s="488" t="s">
        <v>812</v>
      </c>
      <c r="AS106" s="668"/>
      <c r="AT106" s="488" t="s">
        <v>817</v>
      </c>
      <c r="AU106" s="488" t="s">
        <v>818</v>
      </c>
      <c r="AV106" s="488" t="s">
        <v>819</v>
      </c>
      <c r="AW106" s="488" t="s">
        <v>812</v>
      </c>
      <c r="AX106" s="668"/>
    </row>
    <row r="107" spans="2:50">
      <c r="B107" s="668" t="s">
        <v>136</v>
      </c>
      <c r="C107" s="493">
        <v>1</v>
      </c>
      <c r="D107" s="227"/>
      <c r="E107" s="182"/>
      <c r="F107" s="510"/>
      <c r="G107" s="511"/>
      <c r="H107" s="712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9" t="str">
        <f>IFERROR(AVERAGE(K107:K121),"-")</f>
        <v>-</v>
      </c>
      <c r="M107" s="494" t="e">
        <f>RANK(K107, K$67:$K$81)</f>
        <v>#DIV/0!</v>
      </c>
      <c r="N107" s="668"/>
      <c r="O107" s="668"/>
      <c r="P107" s="493"/>
      <c r="Q107" s="494"/>
      <c r="R107" s="494"/>
      <c r="S107" s="493" t="e">
        <f>RANK(R107, R$67:R$81)</f>
        <v>#N/A</v>
      </c>
      <c r="T107" s="715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715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715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715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715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715" t="e">
        <f>AVERAGE(AQ107:AQ121)</f>
        <v>#DIV/0!</v>
      </c>
      <c r="AT107" s="182"/>
      <c r="AU107" s="182"/>
      <c r="AV107" s="511"/>
      <c r="AW107" s="493" t="e">
        <f>RANK(AV107, AV$67:AV$81)</f>
        <v>#N/A</v>
      </c>
      <c r="AX107" s="715" t="e">
        <f>AVERAGE(AV107:AV121)</f>
        <v>#DIV/0!</v>
      </c>
    </row>
    <row r="108" spans="2:50">
      <c r="B108" s="701"/>
      <c r="C108" s="493">
        <v>2</v>
      </c>
      <c r="D108" s="227"/>
      <c r="E108" s="182"/>
      <c r="F108" s="510"/>
      <c r="G108" s="511"/>
      <c r="H108" s="713"/>
      <c r="I108" s="494" t="e">
        <f t="shared" ref="I108:K114" si="73">AVERAGE(P108,U108,Z108,AE108,AJ108,AO108,AT108)</f>
        <v>#DIV/0!</v>
      </c>
      <c r="J108" s="494" t="e">
        <f t="shared" si="73"/>
        <v>#DIV/0!</v>
      </c>
      <c r="K108" s="495" t="e">
        <f t="shared" si="73"/>
        <v>#DIV/0!</v>
      </c>
      <c r="L108" s="650"/>
      <c r="M108" s="494" t="e">
        <f>RANK(K108, K$67:$K$81)</f>
        <v>#DIV/0!</v>
      </c>
      <c r="N108" s="668"/>
      <c r="O108" s="668"/>
      <c r="P108" s="493"/>
      <c r="Q108" s="494"/>
      <c r="R108" s="494"/>
      <c r="S108" s="493" t="e">
        <f t="shared" ref="S108:S121" si="74">RANK(R108, R$67:R$81)</f>
        <v>#N/A</v>
      </c>
      <c r="T108" s="715"/>
      <c r="U108" s="515"/>
      <c r="V108" s="518"/>
      <c r="W108" s="518"/>
      <c r="X108" s="493" t="e">
        <f t="shared" ref="X108:X121" si="75">RANK(W108, W$67:W$81)</f>
        <v>#N/A</v>
      </c>
      <c r="Y108" s="715"/>
      <c r="Z108" s="515"/>
      <c r="AA108" s="518"/>
      <c r="AB108" s="518"/>
      <c r="AC108" s="493" t="e">
        <f t="shared" ref="AC108:AC121" si="76">RANK(AB108, AB$67:AB$81)</f>
        <v>#N/A</v>
      </c>
      <c r="AD108" s="715"/>
      <c r="AE108" s="515"/>
      <c r="AF108" s="518"/>
      <c r="AG108" s="518"/>
      <c r="AH108" s="493" t="e">
        <f t="shared" ref="AH108:AH121" si="77">RANK(AG108, AG$67:AG$81)</f>
        <v>#N/A</v>
      </c>
      <c r="AI108" s="715"/>
      <c r="AJ108" s="515"/>
      <c r="AK108" s="518"/>
      <c r="AL108" s="518"/>
      <c r="AM108" s="493" t="e">
        <f t="shared" ref="AM108:AM121" si="78">RANK(AL108, AL$67:AL$81)</f>
        <v>#N/A</v>
      </c>
      <c r="AN108" s="715"/>
      <c r="AO108" s="515"/>
      <c r="AP108" s="518"/>
      <c r="AQ108" s="518"/>
      <c r="AR108" s="493" t="e">
        <f t="shared" ref="AR108:AR121" si="79">RANK(AQ108, AQ$67:AQ$81)</f>
        <v>#N/A</v>
      </c>
      <c r="AS108" s="715"/>
      <c r="AT108" s="510"/>
      <c r="AU108" s="182"/>
      <c r="AV108" s="511"/>
      <c r="AW108" s="493" t="e">
        <f t="shared" ref="AW108:AW121" si="80">RANK(AV108, AV$67:AV$81)</f>
        <v>#N/A</v>
      </c>
      <c r="AX108" s="715"/>
    </row>
    <row r="109" spans="2:50">
      <c r="B109" s="701"/>
      <c r="C109" s="493">
        <v>3</v>
      </c>
      <c r="D109" s="227"/>
      <c r="E109" s="182"/>
      <c r="F109" s="510"/>
      <c r="G109" s="511"/>
      <c r="H109" s="713"/>
      <c r="I109" s="494" t="e">
        <f t="shared" si="73"/>
        <v>#DIV/0!</v>
      </c>
      <c r="J109" s="494" t="e">
        <f t="shared" si="73"/>
        <v>#DIV/0!</v>
      </c>
      <c r="K109" s="495" t="e">
        <f t="shared" si="73"/>
        <v>#DIV/0!</v>
      </c>
      <c r="L109" s="650"/>
      <c r="M109" s="494" t="e">
        <f>RANK(K109, K$67:$K$81)</f>
        <v>#DIV/0!</v>
      </c>
      <c r="N109" s="668"/>
      <c r="O109" s="668"/>
      <c r="P109" s="493"/>
      <c r="Q109" s="494"/>
      <c r="R109" s="494"/>
      <c r="S109" s="493" t="e">
        <f t="shared" si="74"/>
        <v>#N/A</v>
      </c>
      <c r="T109" s="715"/>
      <c r="U109" s="515"/>
      <c r="V109" s="518"/>
      <c r="W109" s="518"/>
      <c r="X109" s="493" t="e">
        <f t="shared" si="75"/>
        <v>#N/A</v>
      </c>
      <c r="Y109" s="715"/>
      <c r="Z109" s="515"/>
      <c r="AA109" s="518"/>
      <c r="AB109" s="518"/>
      <c r="AC109" s="493" t="e">
        <f t="shared" si="76"/>
        <v>#N/A</v>
      </c>
      <c r="AD109" s="715"/>
      <c r="AE109" s="515"/>
      <c r="AF109" s="518"/>
      <c r="AG109" s="518"/>
      <c r="AH109" s="493" t="e">
        <f t="shared" si="77"/>
        <v>#N/A</v>
      </c>
      <c r="AI109" s="715"/>
      <c r="AJ109" s="515"/>
      <c r="AK109" s="518"/>
      <c r="AL109" s="518"/>
      <c r="AM109" s="493" t="e">
        <f t="shared" si="78"/>
        <v>#N/A</v>
      </c>
      <c r="AN109" s="715"/>
      <c r="AO109" s="515"/>
      <c r="AP109" s="518"/>
      <c r="AQ109" s="518"/>
      <c r="AR109" s="493" t="e">
        <f t="shared" si="79"/>
        <v>#N/A</v>
      </c>
      <c r="AS109" s="715"/>
      <c r="AT109" s="510"/>
      <c r="AU109" s="182"/>
      <c r="AV109" s="511"/>
      <c r="AW109" s="493" t="e">
        <f t="shared" si="80"/>
        <v>#N/A</v>
      </c>
      <c r="AX109" s="715"/>
    </row>
    <row r="110" spans="2:50">
      <c r="B110" s="701"/>
      <c r="C110" s="493">
        <v>4</v>
      </c>
      <c r="D110" s="227"/>
      <c r="E110" s="182"/>
      <c r="F110" s="510"/>
      <c r="G110" s="511"/>
      <c r="H110" s="713"/>
      <c r="I110" s="494" t="e">
        <f t="shared" si="73"/>
        <v>#DIV/0!</v>
      </c>
      <c r="J110" s="494" t="e">
        <f t="shared" si="73"/>
        <v>#DIV/0!</v>
      </c>
      <c r="K110" s="495" t="e">
        <f t="shared" si="73"/>
        <v>#DIV/0!</v>
      </c>
      <c r="L110" s="650"/>
      <c r="M110" s="494" t="e">
        <f>RANK(K110, K$67:$K$81)</f>
        <v>#DIV/0!</v>
      </c>
      <c r="N110" s="668"/>
      <c r="O110" s="668"/>
      <c r="P110" s="493"/>
      <c r="Q110" s="494"/>
      <c r="R110" s="494"/>
      <c r="S110" s="493" t="e">
        <f t="shared" si="74"/>
        <v>#N/A</v>
      </c>
      <c r="T110" s="715"/>
      <c r="U110" s="515"/>
      <c r="V110" s="518"/>
      <c r="W110" s="518"/>
      <c r="X110" s="493" t="e">
        <f t="shared" si="75"/>
        <v>#N/A</v>
      </c>
      <c r="Y110" s="715"/>
      <c r="Z110" s="515"/>
      <c r="AA110" s="518"/>
      <c r="AB110" s="518"/>
      <c r="AC110" s="493" t="e">
        <f t="shared" si="76"/>
        <v>#N/A</v>
      </c>
      <c r="AD110" s="715"/>
      <c r="AE110" s="515"/>
      <c r="AF110" s="518"/>
      <c r="AG110" s="518"/>
      <c r="AH110" s="493" t="e">
        <f t="shared" si="77"/>
        <v>#N/A</v>
      </c>
      <c r="AI110" s="715"/>
      <c r="AJ110" s="515"/>
      <c r="AK110" s="518"/>
      <c r="AL110" s="518"/>
      <c r="AM110" s="493" t="e">
        <f t="shared" si="78"/>
        <v>#N/A</v>
      </c>
      <c r="AN110" s="715"/>
      <c r="AO110" s="515"/>
      <c r="AP110" s="518"/>
      <c r="AQ110" s="518"/>
      <c r="AR110" s="493" t="e">
        <f t="shared" si="79"/>
        <v>#N/A</v>
      </c>
      <c r="AS110" s="715"/>
      <c r="AT110" s="510"/>
      <c r="AU110" s="182"/>
      <c r="AV110" s="511"/>
      <c r="AW110" s="493" t="e">
        <f t="shared" si="80"/>
        <v>#N/A</v>
      </c>
      <c r="AX110" s="715"/>
    </row>
    <row r="111" spans="2:50">
      <c r="B111" s="701"/>
      <c r="C111" s="493">
        <v>5</v>
      </c>
      <c r="D111" s="227"/>
      <c r="E111" s="182"/>
      <c r="F111" s="510"/>
      <c r="G111" s="511"/>
      <c r="H111" s="713"/>
      <c r="I111" s="494" t="e">
        <f t="shared" si="73"/>
        <v>#DIV/0!</v>
      </c>
      <c r="J111" s="494" t="e">
        <f t="shared" si="73"/>
        <v>#DIV/0!</v>
      </c>
      <c r="K111" s="495" t="e">
        <f t="shared" si="73"/>
        <v>#DIV/0!</v>
      </c>
      <c r="L111" s="650"/>
      <c r="M111" s="494" t="e">
        <f>RANK(K111, K$67:$K$81)</f>
        <v>#DIV/0!</v>
      </c>
      <c r="N111" s="668"/>
      <c r="O111" s="668"/>
      <c r="P111" s="493"/>
      <c r="Q111" s="494"/>
      <c r="R111" s="494"/>
      <c r="S111" s="493" t="e">
        <f t="shared" si="74"/>
        <v>#N/A</v>
      </c>
      <c r="T111" s="715"/>
      <c r="U111" s="515"/>
      <c r="V111" s="518"/>
      <c r="W111" s="518"/>
      <c r="X111" s="493" t="e">
        <f t="shared" si="75"/>
        <v>#N/A</v>
      </c>
      <c r="Y111" s="715"/>
      <c r="Z111" s="515"/>
      <c r="AA111" s="518"/>
      <c r="AB111" s="518"/>
      <c r="AC111" s="493" t="e">
        <f t="shared" si="76"/>
        <v>#N/A</v>
      </c>
      <c r="AD111" s="715"/>
      <c r="AE111" s="515"/>
      <c r="AF111" s="518"/>
      <c r="AG111" s="518"/>
      <c r="AH111" s="493" t="e">
        <f t="shared" si="77"/>
        <v>#N/A</v>
      </c>
      <c r="AI111" s="715"/>
      <c r="AJ111" s="515"/>
      <c r="AK111" s="518"/>
      <c r="AL111" s="518"/>
      <c r="AM111" s="493" t="e">
        <f t="shared" si="78"/>
        <v>#N/A</v>
      </c>
      <c r="AN111" s="715"/>
      <c r="AO111" s="515"/>
      <c r="AP111" s="518"/>
      <c r="AQ111" s="518"/>
      <c r="AR111" s="493" t="e">
        <f t="shared" si="79"/>
        <v>#N/A</v>
      </c>
      <c r="AS111" s="715"/>
      <c r="AT111" s="510"/>
      <c r="AU111" s="182"/>
      <c r="AV111" s="511"/>
      <c r="AW111" s="493" t="e">
        <f t="shared" si="80"/>
        <v>#N/A</v>
      </c>
      <c r="AX111" s="715"/>
    </row>
    <row r="112" spans="2:50">
      <c r="B112" s="701"/>
      <c r="C112" s="493">
        <v>6</v>
      </c>
      <c r="D112" s="227"/>
      <c r="E112" s="182"/>
      <c r="F112" s="510"/>
      <c r="G112" s="511"/>
      <c r="H112" s="713"/>
      <c r="I112" s="494" t="e">
        <f t="shared" si="73"/>
        <v>#DIV/0!</v>
      </c>
      <c r="J112" s="494" t="e">
        <f t="shared" si="73"/>
        <v>#DIV/0!</v>
      </c>
      <c r="K112" s="495" t="e">
        <f t="shared" si="73"/>
        <v>#DIV/0!</v>
      </c>
      <c r="L112" s="650"/>
      <c r="M112" s="494" t="e">
        <f>RANK(K112, K$67:$K$81)</f>
        <v>#DIV/0!</v>
      </c>
      <c r="N112" s="668"/>
      <c r="O112" s="668"/>
      <c r="P112" s="493"/>
      <c r="Q112" s="494"/>
      <c r="R112" s="494"/>
      <c r="S112" s="493" t="e">
        <f t="shared" si="74"/>
        <v>#N/A</v>
      </c>
      <c r="T112" s="715"/>
      <c r="U112" s="515"/>
      <c r="V112" s="518"/>
      <c r="W112" s="518"/>
      <c r="X112" s="493" t="e">
        <f t="shared" si="75"/>
        <v>#N/A</v>
      </c>
      <c r="Y112" s="715"/>
      <c r="Z112" s="515"/>
      <c r="AA112" s="518"/>
      <c r="AB112" s="518"/>
      <c r="AC112" s="493" t="e">
        <f t="shared" si="76"/>
        <v>#N/A</v>
      </c>
      <c r="AD112" s="715"/>
      <c r="AE112" s="515"/>
      <c r="AF112" s="518"/>
      <c r="AG112" s="518"/>
      <c r="AH112" s="493" t="e">
        <f t="shared" si="77"/>
        <v>#N/A</v>
      </c>
      <c r="AI112" s="715"/>
      <c r="AJ112" s="515"/>
      <c r="AK112" s="518"/>
      <c r="AL112" s="518"/>
      <c r="AM112" s="493" t="e">
        <f t="shared" si="78"/>
        <v>#N/A</v>
      </c>
      <c r="AN112" s="715"/>
      <c r="AO112" s="515"/>
      <c r="AP112" s="518"/>
      <c r="AQ112" s="518"/>
      <c r="AR112" s="493" t="e">
        <f t="shared" si="79"/>
        <v>#N/A</v>
      </c>
      <c r="AS112" s="715"/>
      <c r="AT112" s="510"/>
      <c r="AU112" s="182"/>
      <c r="AV112" s="511"/>
      <c r="AW112" s="493" t="e">
        <f t="shared" si="80"/>
        <v>#N/A</v>
      </c>
      <c r="AX112" s="715"/>
    </row>
    <row r="113" spans="2:50">
      <c r="B113" s="701"/>
      <c r="C113" s="493">
        <v>7</v>
      </c>
      <c r="D113" s="227"/>
      <c r="E113" s="182"/>
      <c r="F113" s="510"/>
      <c r="G113" s="511"/>
      <c r="H113" s="713"/>
      <c r="I113" s="494" t="e">
        <f t="shared" si="73"/>
        <v>#DIV/0!</v>
      </c>
      <c r="J113" s="494" t="e">
        <f t="shared" si="73"/>
        <v>#DIV/0!</v>
      </c>
      <c r="K113" s="495" t="e">
        <f t="shared" si="73"/>
        <v>#DIV/0!</v>
      </c>
      <c r="L113" s="650"/>
      <c r="M113" s="494" t="e">
        <f>RANK(K113, K$67:$K$81)</f>
        <v>#DIV/0!</v>
      </c>
      <c r="N113" s="668"/>
      <c r="O113" s="668"/>
      <c r="P113" s="493"/>
      <c r="Q113" s="494"/>
      <c r="R113" s="494"/>
      <c r="S113" s="493" t="e">
        <f t="shared" si="74"/>
        <v>#N/A</v>
      </c>
      <c r="T113" s="715"/>
      <c r="U113" s="515"/>
      <c r="V113" s="518"/>
      <c r="W113" s="518"/>
      <c r="X113" s="493" t="e">
        <f t="shared" si="75"/>
        <v>#N/A</v>
      </c>
      <c r="Y113" s="715"/>
      <c r="Z113" s="515"/>
      <c r="AA113" s="518"/>
      <c r="AB113" s="518"/>
      <c r="AC113" s="493" t="e">
        <f t="shared" si="76"/>
        <v>#N/A</v>
      </c>
      <c r="AD113" s="715"/>
      <c r="AE113" s="515"/>
      <c r="AF113" s="518"/>
      <c r="AG113" s="518"/>
      <c r="AH113" s="493" t="e">
        <f t="shared" si="77"/>
        <v>#N/A</v>
      </c>
      <c r="AI113" s="715"/>
      <c r="AJ113" s="515"/>
      <c r="AK113" s="518"/>
      <c r="AL113" s="518"/>
      <c r="AM113" s="493" t="e">
        <f t="shared" si="78"/>
        <v>#N/A</v>
      </c>
      <c r="AN113" s="715"/>
      <c r="AO113" s="515"/>
      <c r="AP113" s="518"/>
      <c r="AQ113" s="518"/>
      <c r="AR113" s="493" t="e">
        <f t="shared" si="79"/>
        <v>#N/A</v>
      </c>
      <c r="AS113" s="715"/>
      <c r="AT113" s="510"/>
      <c r="AU113" s="182"/>
      <c r="AV113" s="511"/>
      <c r="AW113" s="493" t="e">
        <f t="shared" si="80"/>
        <v>#N/A</v>
      </c>
      <c r="AX113" s="715"/>
    </row>
    <row r="114" spans="2:50">
      <c r="B114" s="701"/>
      <c r="C114" s="493">
        <v>8</v>
      </c>
      <c r="D114" s="227"/>
      <c r="E114" s="182"/>
      <c r="F114" s="510"/>
      <c r="G114" s="511"/>
      <c r="H114" s="713"/>
      <c r="I114" s="494" t="e">
        <f t="shared" si="73"/>
        <v>#DIV/0!</v>
      </c>
      <c r="J114" s="494" t="e">
        <f t="shared" si="73"/>
        <v>#DIV/0!</v>
      </c>
      <c r="K114" s="495" t="e">
        <f t="shared" si="73"/>
        <v>#DIV/0!</v>
      </c>
      <c r="L114" s="650"/>
      <c r="M114" s="494" t="e">
        <f>RANK(K114, K$67:$K$81)</f>
        <v>#DIV/0!</v>
      </c>
      <c r="N114" s="668"/>
      <c r="O114" s="668"/>
      <c r="P114" s="493"/>
      <c r="Q114" s="494"/>
      <c r="R114" s="494"/>
      <c r="S114" s="493" t="e">
        <f t="shared" si="74"/>
        <v>#N/A</v>
      </c>
      <c r="T114" s="715"/>
      <c r="U114" s="515"/>
      <c r="V114" s="518"/>
      <c r="W114" s="518"/>
      <c r="X114" s="493" t="e">
        <f t="shared" si="75"/>
        <v>#N/A</v>
      </c>
      <c r="Y114" s="715"/>
      <c r="Z114" s="515"/>
      <c r="AA114" s="518"/>
      <c r="AB114" s="518"/>
      <c r="AC114" s="493" t="e">
        <f t="shared" si="76"/>
        <v>#N/A</v>
      </c>
      <c r="AD114" s="715"/>
      <c r="AE114" s="515"/>
      <c r="AF114" s="518"/>
      <c r="AG114" s="518"/>
      <c r="AH114" s="493" t="e">
        <f t="shared" si="77"/>
        <v>#N/A</v>
      </c>
      <c r="AI114" s="715"/>
      <c r="AJ114" s="515"/>
      <c r="AK114" s="518"/>
      <c r="AL114" s="518"/>
      <c r="AM114" s="493" t="e">
        <f t="shared" si="78"/>
        <v>#N/A</v>
      </c>
      <c r="AN114" s="715"/>
      <c r="AO114" s="515"/>
      <c r="AP114" s="518"/>
      <c r="AQ114" s="518"/>
      <c r="AR114" s="493" t="e">
        <f t="shared" si="79"/>
        <v>#N/A</v>
      </c>
      <c r="AS114" s="715"/>
      <c r="AT114" s="510"/>
      <c r="AU114" s="182"/>
      <c r="AV114" s="511"/>
      <c r="AW114" s="493" t="e">
        <f t="shared" si="80"/>
        <v>#N/A</v>
      </c>
      <c r="AX114" s="715"/>
    </row>
    <row r="115" spans="2:50">
      <c r="B115" s="701"/>
      <c r="C115" s="493">
        <v>9</v>
      </c>
      <c r="D115" s="227"/>
      <c r="E115" s="182"/>
      <c r="F115" s="510"/>
      <c r="G115" s="511"/>
      <c r="H115" s="713"/>
      <c r="I115" s="494"/>
      <c r="J115" s="494"/>
      <c r="K115" s="495"/>
      <c r="L115" s="650"/>
      <c r="M115" s="494" t="e">
        <f>RANK(K115, K$67:$K$81)</f>
        <v>#N/A</v>
      </c>
      <c r="N115" s="668"/>
      <c r="O115" s="668"/>
      <c r="P115" s="493"/>
      <c r="Q115" s="494"/>
      <c r="R115" s="494"/>
      <c r="S115" s="493" t="e">
        <f t="shared" si="74"/>
        <v>#N/A</v>
      </c>
      <c r="T115" s="715"/>
      <c r="U115" s="515"/>
      <c r="V115" s="518"/>
      <c r="W115" s="518"/>
      <c r="X115" s="493" t="e">
        <f t="shared" si="75"/>
        <v>#N/A</v>
      </c>
      <c r="Y115" s="715"/>
      <c r="Z115" s="515"/>
      <c r="AA115" s="518"/>
      <c r="AB115" s="518"/>
      <c r="AC115" s="493" t="e">
        <f t="shared" si="76"/>
        <v>#N/A</v>
      </c>
      <c r="AD115" s="715"/>
      <c r="AE115" s="515"/>
      <c r="AF115" s="518"/>
      <c r="AG115" s="518"/>
      <c r="AH115" s="493" t="e">
        <f t="shared" si="77"/>
        <v>#N/A</v>
      </c>
      <c r="AI115" s="715"/>
      <c r="AJ115" s="515"/>
      <c r="AK115" s="518"/>
      <c r="AL115" s="518"/>
      <c r="AM115" s="493" t="e">
        <f t="shared" si="78"/>
        <v>#N/A</v>
      </c>
      <c r="AN115" s="715"/>
      <c r="AO115" s="515"/>
      <c r="AP115" s="518"/>
      <c r="AQ115" s="518"/>
      <c r="AR115" s="493" t="e">
        <f t="shared" si="79"/>
        <v>#N/A</v>
      </c>
      <c r="AS115" s="715"/>
      <c r="AT115" s="510"/>
      <c r="AU115" s="182"/>
      <c r="AV115" s="511"/>
      <c r="AW115" s="493" t="e">
        <f t="shared" si="80"/>
        <v>#N/A</v>
      </c>
      <c r="AX115" s="715"/>
    </row>
    <row r="116" spans="2:50">
      <c r="B116" s="701"/>
      <c r="C116" s="493">
        <v>10</v>
      </c>
      <c r="D116" s="227"/>
      <c r="E116" s="182"/>
      <c r="F116" s="510"/>
      <c r="G116" s="511"/>
      <c r="H116" s="713"/>
      <c r="I116" s="494"/>
      <c r="J116" s="494"/>
      <c r="K116" s="495"/>
      <c r="L116" s="650"/>
      <c r="M116" s="494" t="e">
        <f>RANK(K116, K$67:$K$81)</f>
        <v>#N/A</v>
      </c>
      <c r="N116" s="668"/>
      <c r="O116" s="668"/>
      <c r="P116" s="493"/>
      <c r="Q116" s="494"/>
      <c r="R116" s="494"/>
      <c r="S116" s="493" t="e">
        <f t="shared" si="74"/>
        <v>#N/A</v>
      </c>
      <c r="T116" s="715"/>
      <c r="U116" s="515"/>
      <c r="V116" s="518"/>
      <c r="W116" s="518"/>
      <c r="X116" s="493" t="e">
        <f t="shared" si="75"/>
        <v>#N/A</v>
      </c>
      <c r="Y116" s="715"/>
      <c r="Z116" s="515"/>
      <c r="AA116" s="518"/>
      <c r="AB116" s="518"/>
      <c r="AC116" s="493" t="e">
        <f t="shared" si="76"/>
        <v>#N/A</v>
      </c>
      <c r="AD116" s="715"/>
      <c r="AE116" s="515"/>
      <c r="AF116" s="518"/>
      <c r="AG116" s="518"/>
      <c r="AH116" s="493" t="e">
        <f t="shared" si="77"/>
        <v>#N/A</v>
      </c>
      <c r="AI116" s="715"/>
      <c r="AJ116" s="515"/>
      <c r="AK116" s="518"/>
      <c r="AL116" s="518"/>
      <c r="AM116" s="493" t="e">
        <f t="shared" si="78"/>
        <v>#N/A</v>
      </c>
      <c r="AN116" s="715"/>
      <c r="AO116" s="515"/>
      <c r="AP116" s="518"/>
      <c r="AQ116" s="518"/>
      <c r="AR116" s="493" t="e">
        <f t="shared" si="79"/>
        <v>#N/A</v>
      </c>
      <c r="AS116" s="715"/>
      <c r="AT116" s="510"/>
      <c r="AU116" s="182"/>
      <c r="AV116" s="511"/>
      <c r="AW116" s="493" t="e">
        <f t="shared" si="80"/>
        <v>#N/A</v>
      </c>
      <c r="AX116" s="715"/>
    </row>
    <row r="117" spans="2:50">
      <c r="B117" s="701"/>
      <c r="C117" s="493">
        <v>11</v>
      </c>
      <c r="D117" s="227"/>
      <c r="E117" s="182"/>
      <c r="F117" s="510"/>
      <c r="G117" s="511"/>
      <c r="H117" s="713"/>
      <c r="I117" s="493"/>
      <c r="J117" s="493"/>
      <c r="K117" s="493"/>
      <c r="L117" s="650"/>
      <c r="M117" s="494" t="e">
        <f>RANK(K117, K$67:$K$81)</f>
        <v>#N/A</v>
      </c>
      <c r="N117" s="668"/>
      <c r="O117" s="668"/>
      <c r="P117" s="493"/>
      <c r="Q117" s="494"/>
      <c r="R117" s="494"/>
      <c r="S117" s="493" t="e">
        <f t="shared" si="74"/>
        <v>#N/A</v>
      </c>
      <c r="T117" s="715"/>
      <c r="U117" s="515"/>
      <c r="V117" s="518"/>
      <c r="W117" s="518"/>
      <c r="X117" s="493" t="e">
        <f t="shared" si="75"/>
        <v>#N/A</v>
      </c>
      <c r="Y117" s="715"/>
      <c r="Z117" s="515"/>
      <c r="AA117" s="518"/>
      <c r="AB117" s="518"/>
      <c r="AC117" s="493" t="e">
        <f t="shared" si="76"/>
        <v>#N/A</v>
      </c>
      <c r="AD117" s="715"/>
      <c r="AE117" s="515"/>
      <c r="AF117" s="518"/>
      <c r="AG117" s="518"/>
      <c r="AH117" s="493" t="e">
        <f t="shared" si="77"/>
        <v>#N/A</v>
      </c>
      <c r="AI117" s="715"/>
      <c r="AJ117" s="515"/>
      <c r="AK117" s="518"/>
      <c r="AL117" s="518"/>
      <c r="AM117" s="493" t="e">
        <f t="shared" si="78"/>
        <v>#N/A</v>
      </c>
      <c r="AN117" s="715"/>
      <c r="AO117" s="515"/>
      <c r="AP117" s="518"/>
      <c r="AQ117" s="518"/>
      <c r="AR117" s="493" t="e">
        <f t="shared" si="79"/>
        <v>#N/A</v>
      </c>
      <c r="AS117" s="715"/>
      <c r="AT117" s="510"/>
      <c r="AU117" s="182"/>
      <c r="AV117" s="511"/>
      <c r="AW117" s="493" t="e">
        <f t="shared" si="80"/>
        <v>#N/A</v>
      </c>
      <c r="AX117" s="715"/>
    </row>
    <row r="118" spans="2:50">
      <c r="B118" s="701"/>
      <c r="C118" s="493">
        <v>12</v>
      </c>
      <c r="D118" s="227"/>
      <c r="E118" s="182"/>
      <c r="F118" s="510"/>
      <c r="G118" s="511"/>
      <c r="H118" s="713"/>
      <c r="I118" s="493"/>
      <c r="J118" s="493"/>
      <c r="K118" s="493"/>
      <c r="L118" s="650"/>
      <c r="M118" s="494" t="e">
        <f>RANK(K118, K$67:$K$81)</f>
        <v>#N/A</v>
      </c>
      <c r="N118" s="668"/>
      <c r="O118" s="668"/>
      <c r="P118" s="493"/>
      <c r="Q118" s="494"/>
      <c r="R118" s="494"/>
      <c r="S118" s="493" t="e">
        <f t="shared" si="74"/>
        <v>#N/A</v>
      </c>
      <c r="T118" s="715"/>
      <c r="U118" s="515"/>
      <c r="V118" s="518"/>
      <c r="W118" s="518"/>
      <c r="X118" s="493" t="e">
        <f t="shared" si="75"/>
        <v>#N/A</v>
      </c>
      <c r="Y118" s="715"/>
      <c r="Z118" s="515"/>
      <c r="AA118" s="518"/>
      <c r="AB118" s="518"/>
      <c r="AC118" s="493" t="e">
        <f t="shared" si="76"/>
        <v>#N/A</v>
      </c>
      <c r="AD118" s="715"/>
      <c r="AE118" s="515"/>
      <c r="AF118" s="518"/>
      <c r="AG118" s="518"/>
      <c r="AH118" s="493" t="e">
        <f t="shared" si="77"/>
        <v>#N/A</v>
      </c>
      <c r="AI118" s="715"/>
      <c r="AJ118" s="515"/>
      <c r="AK118" s="518"/>
      <c r="AL118" s="518"/>
      <c r="AM118" s="493" t="e">
        <f t="shared" si="78"/>
        <v>#N/A</v>
      </c>
      <c r="AN118" s="715"/>
      <c r="AO118" s="515"/>
      <c r="AP118" s="518"/>
      <c r="AQ118" s="518"/>
      <c r="AR118" s="493" t="e">
        <f t="shared" si="79"/>
        <v>#N/A</v>
      </c>
      <c r="AS118" s="715"/>
      <c r="AT118" s="510"/>
      <c r="AU118" s="182"/>
      <c r="AV118" s="511"/>
      <c r="AW118" s="493" t="e">
        <f t="shared" si="80"/>
        <v>#N/A</v>
      </c>
      <c r="AX118" s="715"/>
    </row>
    <row r="119" spans="2:50">
      <c r="B119" s="701"/>
      <c r="C119" s="493">
        <v>13</v>
      </c>
      <c r="D119" s="227"/>
      <c r="E119" s="182"/>
      <c r="F119" s="510"/>
      <c r="G119" s="511"/>
      <c r="H119" s="713"/>
      <c r="I119" s="493"/>
      <c r="J119" s="493"/>
      <c r="K119" s="493"/>
      <c r="L119" s="650"/>
      <c r="M119" s="494" t="e">
        <f>RANK(K119, K$67:$K$81)</f>
        <v>#N/A</v>
      </c>
      <c r="N119" s="668"/>
      <c r="O119" s="668"/>
      <c r="P119" s="493"/>
      <c r="Q119" s="494"/>
      <c r="R119" s="494"/>
      <c r="S119" s="493" t="e">
        <f t="shared" si="74"/>
        <v>#N/A</v>
      </c>
      <c r="T119" s="715"/>
      <c r="U119" s="515"/>
      <c r="V119" s="518"/>
      <c r="W119" s="518"/>
      <c r="X119" s="493" t="e">
        <f t="shared" si="75"/>
        <v>#N/A</v>
      </c>
      <c r="Y119" s="715"/>
      <c r="Z119" s="515"/>
      <c r="AA119" s="518"/>
      <c r="AB119" s="518"/>
      <c r="AC119" s="493" t="e">
        <f t="shared" si="76"/>
        <v>#N/A</v>
      </c>
      <c r="AD119" s="715"/>
      <c r="AE119" s="515"/>
      <c r="AF119" s="518"/>
      <c r="AG119" s="518"/>
      <c r="AH119" s="493" t="e">
        <f t="shared" si="77"/>
        <v>#N/A</v>
      </c>
      <c r="AI119" s="715"/>
      <c r="AJ119" s="515"/>
      <c r="AK119" s="518"/>
      <c r="AL119" s="518"/>
      <c r="AM119" s="493" t="e">
        <f t="shared" si="78"/>
        <v>#N/A</v>
      </c>
      <c r="AN119" s="715"/>
      <c r="AO119" s="515"/>
      <c r="AP119" s="518"/>
      <c r="AQ119" s="518"/>
      <c r="AR119" s="493" t="e">
        <f t="shared" si="79"/>
        <v>#N/A</v>
      </c>
      <c r="AS119" s="715"/>
      <c r="AT119" s="510"/>
      <c r="AU119" s="182"/>
      <c r="AV119" s="511"/>
      <c r="AW119" s="493" t="e">
        <f t="shared" si="80"/>
        <v>#N/A</v>
      </c>
      <c r="AX119" s="715"/>
    </row>
    <row r="120" spans="2:50">
      <c r="B120" s="701"/>
      <c r="C120" s="493">
        <v>14</v>
      </c>
      <c r="D120" s="227"/>
      <c r="E120" s="182"/>
      <c r="F120" s="510"/>
      <c r="G120" s="511"/>
      <c r="H120" s="713"/>
      <c r="I120" s="493"/>
      <c r="J120" s="493"/>
      <c r="K120" s="493"/>
      <c r="L120" s="650"/>
      <c r="M120" s="494" t="e">
        <f>RANK(K120, K$67:$K$81)</f>
        <v>#N/A</v>
      </c>
      <c r="N120" s="668"/>
      <c r="O120" s="668"/>
      <c r="P120" s="493"/>
      <c r="Q120" s="494"/>
      <c r="R120" s="494"/>
      <c r="S120" s="493" t="e">
        <f t="shared" si="74"/>
        <v>#N/A</v>
      </c>
      <c r="T120" s="715"/>
      <c r="U120" s="515"/>
      <c r="V120" s="518"/>
      <c r="W120" s="518"/>
      <c r="X120" s="493" t="e">
        <f t="shared" si="75"/>
        <v>#N/A</v>
      </c>
      <c r="Y120" s="715"/>
      <c r="Z120" s="515"/>
      <c r="AA120" s="518"/>
      <c r="AB120" s="518"/>
      <c r="AC120" s="493" t="e">
        <f t="shared" si="76"/>
        <v>#N/A</v>
      </c>
      <c r="AD120" s="715"/>
      <c r="AE120" s="515"/>
      <c r="AF120" s="518"/>
      <c r="AG120" s="518"/>
      <c r="AH120" s="493" t="e">
        <f t="shared" si="77"/>
        <v>#N/A</v>
      </c>
      <c r="AI120" s="715"/>
      <c r="AJ120" s="515"/>
      <c r="AK120" s="518"/>
      <c r="AL120" s="518"/>
      <c r="AM120" s="493" t="e">
        <f t="shared" si="78"/>
        <v>#N/A</v>
      </c>
      <c r="AN120" s="715"/>
      <c r="AO120" s="515"/>
      <c r="AP120" s="518"/>
      <c r="AQ120" s="518"/>
      <c r="AR120" s="493" t="e">
        <f t="shared" si="79"/>
        <v>#N/A</v>
      </c>
      <c r="AS120" s="715"/>
      <c r="AT120" s="510"/>
      <c r="AU120" s="182"/>
      <c r="AV120" s="511"/>
      <c r="AW120" s="493" t="e">
        <f t="shared" si="80"/>
        <v>#N/A</v>
      </c>
      <c r="AX120" s="715"/>
    </row>
    <row r="121" spans="2:50">
      <c r="B121" s="701"/>
      <c r="C121" s="493">
        <v>15</v>
      </c>
      <c r="D121" s="227"/>
      <c r="E121" s="182"/>
      <c r="F121" s="510"/>
      <c r="G121" s="511"/>
      <c r="H121" s="723"/>
      <c r="I121" s="493"/>
      <c r="J121" s="493"/>
      <c r="K121" s="493"/>
      <c r="L121" s="651"/>
      <c r="M121" s="494" t="e">
        <f>RANK(K121, K$47:$K$61)</f>
        <v>#N/A</v>
      </c>
      <c r="N121" s="668"/>
      <c r="O121" s="668"/>
      <c r="P121" s="493"/>
      <c r="Q121" s="494"/>
      <c r="R121" s="494"/>
      <c r="S121" s="493" t="e">
        <f t="shared" si="74"/>
        <v>#N/A</v>
      </c>
      <c r="T121" s="715"/>
      <c r="U121" s="515"/>
      <c r="V121" s="518"/>
      <c r="W121" s="518"/>
      <c r="X121" s="493" t="e">
        <f t="shared" si="75"/>
        <v>#N/A</v>
      </c>
      <c r="Y121" s="715"/>
      <c r="Z121" s="515"/>
      <c r="AA121" s="518"/>
      <c r="AB121" s="518"/>
      <c r="AC121" s="493" t="e">
        <f t="shared" si="76"/>
        <v>#N/A</v>
      </c>
      <c r="AD121" s="715"/>
      <c r="AE121" s="515"/>
      <c r="AF121" s="518"/>
      <c r="AG121" s="518"/>
      <c r="AH121" s="493" t="e">
        <f t="shared" si="77"/>
        <v>#N/A</v>
      </c>
      <c r="AI121" s="715"/>
      <c r="AJ121" s="515"/>
      <c r="AK121" s="518"/>
      <c r="AL121" s="518"/>
      <c r="AM121" s="493" t="e">
        <f t="shared" si="78"/>
        <v>#N/A</v>
      </c>
      <c r="AN121" s="715"/>
      <c r="AO121" s="515"/>
      <c r="AP121" s="518"/>
      <c r="AQ121" s="518"/>
      <c r="AR121" s="493" t="e">
        <f t="shared" si="79"/>
        <v>#N/A</v>
      </c>
      <c r="AS121" s="715"/>
      <c r="AT121" s="510"/>
      <c r="AU121" s="182"/>
      <c r="AV121" s="511"/>
      <c r="AW121" s="493" t="e">
        <f t="shared" si="80"/>
        <v>#N/A</v>
      </c>
      <c r="AX121" s="715"/>
    </row>
    <row r="123" spans="2:50" ht="15.75">
      <c r="B123" s="707" t="s">
        <v>660</v>
      </c>
      <c r="C123" s="708"/>
      <c r="D123" s="708"/>
      <c r="E123" s="708"/>
      <c r="F123" s="708"/>
      <c r="G123" s="708"/>
      <c r="H123" s="709"/>
      <c r="I123" s="347"/>
      <c r="J123" s="347"/>
      <c r="K123" s="347"/>
      <c r="L123" s="347"/>
      <c r="M123" s="348"/>
    </row>
    <row r="124" spans="2:50" ht="15.75">
      <c r="B124" s="710"/>
      <c r="C124" s="710"/>
      <c r="D124" s="710"/>
      <c r="E124" s="710"/>
      <c r="F124" s="710"/>
      <c r="G124" s="710"/>
      <c r="H124" s="710"/>
      <c r="I124" s="349"/>
      <c r="J124" s="349"/>
      <c r="K124" s="349"/>
      <c r="L124" s="349"/>
      <c r="M124" s="350"/>
    </row>
    <row r="125" spans="2:50">
      <c r="B125" s="668" t="s">
        <v>661</v>
      </c>
      <c r="C125" s="668" t="s">
        <v>662</v>
      </c>
      <c r="D125" s="668"/>
      <c r="E125" s="668" t="s">
        <v>663</v>
      </c>
      <c r="F125" s="668"/>
      <c r="G125" s="668"/>
      <c r="H125" s="684" t="s">
        <v>664</v>
      </c>
      <c r="I125" s="711" t="s">
        <v>665</v>
      </c>
      <c r="J125" s="711"/>
      <c r="K125" s="711"/>
      <c r="L125" s="727" t="s">
        <v>664</v>
      </c>
      <c r="M125" s="730" t="s">
        <v>666</v>
      </c>
    </row>
    <row r="126" spans="2:50">
      <c r="B126" s="668"/>
      <c r="C126" s="668"/>
      <c r="D126" s="668"/>
      <c r="E126" s="668" t="s">
        <v>667</v>
      </c>
      <c r="F126" s="668"/>
      <c r="G126" s="668"/>
      <c r="H126" s="685"/>
      <c r="I126" s="711" t="s">
        <v>667</v>
      </c>
      <c r="J126" s="711"/>
      <c r="K126" s="711"/>
      <c r="L126" s="728"/>
      <c r="M126" s="731"/>
    </row>
    <row r="127" spans="2:50">
      <c r="B127" s="668"/>
      <c r="C127" s="668"/>
      <c r="D127" s="668"/>
      <c r="E127" s="344" t="s">
        <v>668</v>
      </c>
      <c r="F127" s="344" t="s">
        <v>669</v>
      </c>
      <c r="G127" s="344" t="s">
        <v>670</v>
      </c>
      <c r="H127" s="686"/>
      <c r="I127" s="351" t="s">
        <v>668</v>
      </c>
      <c r="J127" s="351" t="s">
        <v>669</v>
      </c>
      <c r="K127" s="351" t="s">
        <v>670</v>
      </c>
      <c r="L127" s="729"/>
      <c r="M127" s="732"/>
    </row>
    <row r="128" spans="2:50">
      <c r="B128" s="668" t="s">
        <v>678</v>
      </c>
      <c r="C128" s="343">
        <v>1</v>
      </c>
      <c r="D128" s="227"/>
      <c r="E128" s="182"/>
      <c r="F128" s="343"/>
      <c r="G128" s="346"/>
      <c r="H128" s="717" t="e">
        <f>AVERAGE(G128:G142)</f>
        <v>#DIV/0!</v>
      </c>
      <c r="I128" s="199" t="e">
        <f t="shared" ref="I128:J133" si="81">AVERAGEIF($D$7:$D$121,$D128,I$7:I$121)</f>
        <v>#DIV/0!</v>
      </c>
      <c r="J128" s="199" t="e">
        <f t="shared" si="81"/>
        <v>#DIV/0!</v>
      </c>
      <c r="K128" s="199" t="e">
        <f t="shared" ref="K128:K133" si="82">AVERAGEIF($D$7:$D$121,$D128,K$7:K$121)</f>
        <v>#DIV/0!</v>
      </c>
      <c r="L128" s="724" t="e">
        <f>AVERAGE(K128:K142)</f>
        <v>#DIV/0!</v>
      </c>
      <c r="M128" s="199" t="e">
        <f>RANK(K128, K$128:$K$142)</f>
        <v>#DIV/0!</v>
      </c>
    </row>
    <row r="129" spans="2:13">
      <c r="B129" s="676"/>
      <c r="C129" s="343">
        <v>2</v>
      </c>
      <c r="D129" s="227"/>
      <c r="E129" s="182"/>
      <c r="F129" s="343"/>
      <c r="G129" s="346"/>
      <c r="H129" s="718"/>
      <c r="I129" s="199" t="e">
        <f t="shared" si="81"/>
        <v>#DIV/0!</v>
      </c>
      <c r="J129" s="199" t="e">
        <f t="shared" si="81"/>
        <v>#DIV/0!</v>
      </c>
      <c r="K129" s="199" t="e">
        <f t="shared" si="82"/>
        <v>#DIV/0!</v>
      </c>
      <c r="L129" s="725"/>
      <c r="M129" s="199" t="e">
        <f>RANK(K129, K$128:$K$142)</f>
        <v>#DIV/0!</v>
      </c>
    </row>
    <row r="130" spans="2:13">
      <c r="B130" s="676"/>
      <c r="C130" s="343">
        <v>3</v>
      </c>
      <c r="D130" s="227"/>
      <c r="E130" s="182"/>
      <c r="F130" s="343"/>
      <c r="G130" s="346"/>
      <c r="H130" s="718"/>
      <c r="I130" s="199" t="e">
        <f t="shared" si="81"/>
        <v>#DIV/0!</v>
      </c>
      <c r="J130" s="199" t="e">
        <f t="shared" si="81"/>
        <v>#DIV/0!</v>
      </c>
      <c r="K130" s="199" t="e">
        <f t="shared" si="82"/>
        <v>#DIV/0!</v>
      </c>
      <c r="L130" s="725"/>
      <c r="M130" s="199" t="e">
        <f>RANK(K130, K$128:$K$142)</f>
        <v>#DIV/0!</v>
      </c>
    </row>
    <row r="131" spans="2:13">
      <c r="B131" s="676"/>
      <c r="C131" s="343">
        <v>4</v>
      </c>
      <c r="D131" s="227"/>
      <c r="E131" s="182"/>
      <c r="F131" s="343"/>
      <c r="G131" s="346"/>
      <c r="H131" s="718"/>
      <c r="I131" s="199" t="e">
        <f t="shared" si="81"/>
        <v>#DIV/0!</v>
      </c>
      <c r="J131" s="199" t="e">
        <f t="shared" si="81"/>
        <v>#DIV/0!</v>
      </c>
      <c r="K131" s="199" t="e">
        <f t="shared" si="82"/>
        <v>#DIV/0!</v>
      </c>
      <c r="L131" s="725"/>
      <c r="M131" s="199" t="e">
        <f>RANK(K131, K$128:$K$142)</f>
        <v>#DIV/0!</v>
      </c>
    </row>
    <row r="132" spans="2:13">
      <c r="B132" s="676"/>
      <c r="C132" s="343">
        <v>5</v>
      </c>
      <c r="D132" s="227"/>
      <c r="E132" s="182"/>
      <c r="F132" s="343"/>
      <c r="G132" s="346"/>
      <c r="H132" s="718"/>
      <c r="I132" s="199" t="e">
        <f t="shared" si="81"/>
        <v>#DIV/0!</v>
      </c>
      <c r="J132" s="199" t="e">
        <f t="shared" si="81"/>
        <v>#DIV/0!</v>
      </c>
      <c r="K132" s="199" t="e">
        <f t="shared" si="82"/>
        <v>#DIV/0!</v>
      </c>
      <c r="L132" s="725"/>
      <c r="M132" s="199" t="e">
        <f>RANK(K132, K$128:$K$142)</f>
        <v>#DIV/0!</v>
      </c>
    </row>
    <row r="133" spans="2:13">
      <c r="B133" s="676"/>
      <c r="C133" s="343">
        <v>6</v>
      </c>
      <c r="D133" s="352"/>
      <c r="E133" s="182"/>
      <c r="F133" s="343"/>
      <c r="G133" s="346"/>
      <c r="H133" s="718"/>
      <c r="I133" s="199" t="e">
        <f t="shared" si="81"/>
        <v>#DIV/0!</v>
      </c>
      <c r="J133" s="199" t="e">
        <f t="shared" si="81"/>
        <v>#DIV/0!</v>
      </c>
      <c r="K133" s="199" t="e">
        <f t="shared" si="82"/>
        <v>#DIV/0!</v>
      </c>
      <c r="L133" s="725"/>
      <c r="M133" s="199" t="e">
        <f>RANK(K133, K$128:$K$142)</f>
        <v>#DIV/0!</v>
      </c>
    </row>
    <row r="134" spans="2:13">
      <c r="B134" s="676"/>
      <c r="C134" s="343">
        <v>7</v>
      </c>
      <c r="D134" s="227"/>
      <c r="E134" s="182"/>
      <c r="F134" s="343"/>
      <c r="G134" s="346"/>
      <c r="H134" s="718"/>
      <c r="I134" s="199"/>
      <c r="J134" s="199"/>
      <c r="K134" s="199"/>
      <c r="L134" s="725"/>
      <c r="M134" s="199" t="e">
        <f>RANK(K134, K$128:$K$142)</f>
        <v>#DIV/0!</v>
      </c>
    </row>
    <row r="135" spans="2:13">
      <c r="B135" s="676"/>
      <c r="C135" s="343">
        <v>8</v>
      </c>
      <c r="D135" s="227"/>
      <c r="E135" s="182"/>
      <c r="F135" s="343"/>
      <c r="G135" s="346"/>
      <c r="H135" s="718"/>
      <c r="I135" s="199"/>
      <c r="J135" s="199"/>
      <c r="K135" s="199"/>
      <c r="L135" s="725"/>
      <c r="M135" s="199" t="e">
        <f>RANK(K135, K$128:$K$142)</f>
        <v>#DIV/0!</v>
      </c>
    </row>
    <row r="136" spans="2:13">
      <c r="B136" s="676"/>
      <c r="C136" s="343">
        <v>9</v>
      </c>
      <c r="D136" s="227"/>
      <c r="E136" s="343"/>
      <c r="F136" s="343"/>
      <c r="G136" s="343"/>
      <c r="H136" s="718"/>
      <c r="I136" s="199"/>
      <c r="J136" s="199"/>
      <c r="K136" s="199"/>
      <c r="L136" s="725"/>
      <c r="M136" s="199" t="e">
        <f>RANK(K136, K$128:$K$142)</f>
        <v>#DIV/0!</v>
      </c>
    </row>
    <row r="137" spans="2:13">
      <c r="B137" s="676"/>
      <c r="C137" s="343">
        <v>10</v>
      </c>
      <c r="D137" s="227"/>
      <c r="E137" s="343"/>
      <c r="F137" s="343"/>
      <c r="G137" s="343"/>
      <c r="H137" s="718"/>
      <c r="I137" s="199"/>
      <c r="J137" s="199"/>
      <c r="K137" s="199"/>
      <c r="L137" s="725"/>
      <c r="M137" s="199" t="e">
        <f>RANK(K137, K$128:$K$142)</f>
        <v>#DIV/0!</v>
      </c>
    </row>
    <row r="138" spans="2:13">
      <c r="B138" s="676"/>
      <c r="C138" s="343">
        <v>11</v>
      </c>
      <c r="D138" s="227"/>
      <c r="E138" s="343"/>
      <c r="F138" s="343"/>
      <c r="G138" s="343"/>
      <c r="H138" s="718"/>
      <c r="I138" s="199"/>
      <c r="J138" s="199"/>
      <c r="K138" s="199"/>
      <c r="L138" s="725"/>
      <c r="M138" s="199" t="e">
        <f>RANK(K138, K$128:$K$142)</f>
        <v>#DIV/0!</v>
      </c>
    </row>
    <row r="139" spans="2:13">
      <c r="B139" s="676"/>
      <c r="C139" s="343">
        <v>12</v>
      </c>
      <c r="D139" s="227"/>
      <c r="E139" s="343"/>
      <c r="F139" s="343"/>
      <c r="G139" s="343"/>
      <c r="H139" s="718"/>
      <c r="I139" s="199"/>
      <c r="J139" s="199"/>
      <c r="K139" s="199"/>
      <c r="L139" s="725"/>
      <c r="M139" s="199" t="e">
        <f>RANK(K139, K$128:$K$142)</f>
        <v>#DIV/0!</v>
      </c>
    </row>
    <row r="140" spans="2:13">
      <c r="B140" s="676"/>
      <c r="C140" s="343">
        <v>13</v>
      </c>
      <c r="D140" s="227"/>
      <c r="E140" s="343"/>
      <c r="F140" s="343"/>
      <c r="G140" s="343"/>
      <c r="H140" s="718"/>
      <c r="I140" s="199"/>
      <c r="J140" s="199"/>
      <c r="K140" s="199"/>
      <c r="L140" s="725"/>
      <c r="M140" s="199" t="e">
        <f>RANK(K140, K$128:$K$142)</f>
        <v>#DIV/0!</v>
      </c>
    </row>
    <row r="141" spans="2:13">
      <c r="B141" s="676"/>
      <c r="C141" s="343">
        <v>14</v>
      </c>
      <c r="D141" s="227"/>
      <c r="E141" s="343"/>
      <c r="F141" s="343"/>
      <c r="G141" s="343"/>
      <c r="H141" s="718"/>
      <c r="I141" s="199"/>
      <c r="J141" s="199"/>
      <c r="K141" s="199"/>
      <c r="L141" s="725"/>
      <c r="M141" s="199" t="e">
        <f>RANK(K141, K$128:$K$142)</f>
        <v>#DIV/0!</v>
      </c>
    </row>
    <row r="142" spans="2:13">
      <c r="B142" s="676"/>
      <c r="C142" s="343">
        <v>15</v>
      </c>
      <c r="D142" s="227"/>
      <c r="E142" s="343"/>
      <c r="F142" s="343"/>
      <c r="G142" s="343"/>
      <c r="H142" s="719"/>
      <c r="I142" s="199"/>
      <c r="J142" s="199"/>
      <c r="K142" s="199"/>
      <c r="L142" s="726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120"/>
    </row>
    <row r="2" spans="1:13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13" ht="15.75" customHeight="1">
      <c r="A3" s="756" t="s">
        <v>205</v>
      </c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152"/>
    </row>
    <row r="4" spans="1:13" s="121" customFormat="1" ht="15.75" customHeight="1">
      <c r="A4" s="757"/>
      <c r="B4" s="757"/>
      <c r="C4" s="757"/>
      <c r="D4" s="757"/>
      <c r="E4" s="757"/>
      <c r="F4" s="757"/>
      <c r="G4" s="757"/>
      <c r="H4" s="757"/>
      <c r="I4" s="757"/>
      <c r="J4" s="757"/>
      <c r="K4" s="757"/>
      <c r="L4" s="757"/>
      <c r="M4" s="131"/>
    </row>
    <row r="5" spans="1:13" s="154" customFormat="1" ht="16.350000000000001" customHeight="1">
      <c r="A5" s="742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42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43" t="s">
        <v>187</v>
      </c>
      <c r="B7" s="743"/>
      <c r="C7" s="489" t="s">
        <v>436</v>
      </c>
      <c r="D7" s="743" t="s">
        <v>12</v>
      </c>
      <c r="E7" s="745"/>
      <c r="F7" s="745"/>
      <c r="G7" s="489" t="s">
        <v>46</v>
      </c>
      <c r="H7" s="489" t="s">
        <v>752</v>
      </c>
      <c r="I7" s="489" t="s">
        <v>433</v>
      </c>
      <c r="J7" s="223" t="s">
        <v>434</v>
      </c>
      <c r="K7" s="743" t="s">
        <v>435</v>
      </c>
      <c r="L7" s="745"/>
      <c r="M7" s="153"/>
    </row>
    <row r="8" spans="1:13" ht="15.75" customHeight="1">
      <c r="A8" s="742">
        <v>1</v>
      </c>
      <c r="B8" s="743" t="s">
        <v>150</v>
      </c>
      <c r="C8" s="490">
        <v>1</v>
      </c>
      <c r="D8" s="525" t="s">
        <v>360</v>
      </c>
      <c r="E8" s="482"/>
      <c r="F8" s="483"/>
      <c r="G8" s="526">
        <v>3</v>
      </c>
      <c r="H8" s="526">
        <v>3255.0312993100206</v>
      </c>
      <c r="I8" s="526">
        <v>1085.0104331033403</v>
      </c>
      <c r="J8" s="241" t="s">
        <v>1032</v>
      </c>
      <c r="K8" s="744"/>
      <c r="L8" s="745"/>
      <c r="M8" s="131"/>
    </row>
    <row r="9" spans="1:13" ht="15.75" customHeight="1">
      <c r="A9" s="742"/>
      <c r="B9" s="743"/>
      <c r="C9" s="490">
        <v>2</v>
      </c>
      <c r="D9" s="525" t="s">
        <v>358</v>
      </c>
      <c r="E9" s="482"/>
      <c r="F9" s="483"/>
      <c r="G9" s="526">
        <v>3</v>
      </c>
      <c r="H9" s="526">
        <v>3236.5570814682915</v>
      </c>
      <c r="I9" s="526">
        <v>1078.8523604894303</v>
      </c>
      <c r="J9" s="242" t="s">
        <v>1033</v>
      </c>
      <c r="K9" s="746" t="s">
        <v>1034</v>
      </c>
      <c r="L9" s="745"/>
      <c r="M9" s="131"/>
    </row>
    <row r="10" spans="1:13" ht="15.75" customHeight="1">
      <c r="A10" s="742"/>
      <c r="B10" s="743"/>
      <c r="C10" s="490">
        <v>3</v>
      </c>
      <c r="D10" s="525" t="s">
        <v>362</v>
      </c>
      <c r="E10" s="482"/>
      <c r="F10" s="483"/>
      <c r="G10" s="526">
        <v>3</v>
      </c>
      <c r="H10" s="526">
        <v>3218.1658844047374</v>
      </c>
      <c r="I10" s="526">
        <v>1072.7219614682456</v>
      </c>
      <c r="J10" s="241" t="s">
        <v>1032</v>
      </c>
      <c r="K10" s="744"/>
      <c r="L10" s="745"/>
      <c r="M10" s="131"/>
    </row>
    <row r="11" spans="1:13" ht="15.75" customHeight="1">
      <c r="A11" s="742"/>
      <c r="B11" s="743"/>
      <c r="C11" s="490">
        <v>4</v>
      </c>
      <c r="D11" s="525" t="s">
        <v>363</v>
      </c>
      <c r="E11" s="482"/>
      <c r="F11" s="483"/>
      <c r="G11" s="526">
        <v>3</v>
      </c>
      <c r="H11" s="526">
        <v>3203.4062004078287</v>
      </c>
      <c r="I11" s="526">
        <v>1067.8020668026095</v>
      </c>
      <c r="J11" s="243" t="s">
        <v>1035</v>
      </c>
      <c r="K11" s="744" t="s">
        <v>1034</v>
      </c>
      <c r="L11" s="745"/>
      <c r="M11" s="131"/>
    </row>
    <row r="12" spans="1:13" ht="15.75" customHeight="1">
      <c r="A12" s="742"/>
      <c r="B12" s="743"/>
      <c r="C12" s="490">
        <v>5</v>
      </c>
      <c r="D12" s="544" t="s">
        <v>359</v>
      </c>
      <c r="E12" s="482"/>
      <c r="F12" s="483"/>
      <c r="G12" s="526">
        <v>3</v>
      </c>
      <c r="H12" s="526">
        <v>3143.8100240096037</v>
      </c>
      <c r="I12" s="526">
        <v>1047.9366746698679</v>
      </c>
      <c r="J12" s="241" t="s">
        <v>1032</v>
      </c>
      <c r="K12" s="744"/>
      <c r="L12" s="745"/>
      <c r="M12" s="131"/>
    </row>
    <row r="13" spans="1:13" ht="15.75" customHeight="1">
      <c r="A13" s="742"/>
      <c r="B13" s="743"/>
      <c r="C13" s="165" t="s">
        <v>437</v>
      </c>
      <c r="D13" s="525" t="s">
        <v>1031</v>
      </c>
      <c r="E13" s="482"/>
      <c r="F13" s="483"/>
      <c r="G13" s="526">
        <v>12</v>
      </c>
      <c r="H13" s="526">
        <v>1322.4657534246564</v>
      </c>
      <c r="I13" s="526">
        <v>110.2054794520547</v>
      </c>
      <c r="J13" s="241" t="s">
        <v>1032</v>
      </c>
      <c r="K13" s="740" t="s">
        <v>1036</v>
      </c>
      <c r="L13" s="741"/>
      <c r="M13" s="131"/>
    </row>
    <row r="14" spans="1:13" ht="15.75" customHeight="1">
      <c r="A14" s="742"/>
      <c r="B14" s="743"/>
      <c r="C14" s="165" t="s">
        <v>438</v>
      </c>
      <c r="D14" s="525" t="s">
        <v>958</v>
      </c>
      <c r="E14" s="482"/>
      <c r="F14" s="483"/>
      <c r="G14" s="526">
        <v>12</v>
      </c>
      <c r="H14" s="526">
        <v>1375.4430379746843</v>
      </c>
      <c r="I14" s="526">
        <v>114.620253164557</v>
      </c>
      <c r="J14" s="241" t="s">
        <v>1032</v>
      </c>
      <c r="K14" s="744"/>
      <c r="L14" s="745"/>
      <c r="M14" s="131"/>
    </row>
    <row r="15" spans="1:13" ht="15.75" customHeight="1">
      <c r="A15" s="742"/>
      <c r="B15" s="743"/>
      <c r="C15" s="165" t="s">
        <v>492</v>
      </c>
      <c r="D15" s="525" t="s">
        <v>759</v>
      </c>
      <c r="E15" s="482"/>
      <c r="F15" s="483"/>
      <c r="G15" s="526">
        <v>9.7142857142857135</v>
      </c>
      <c r="H15" s="526">
        <v>1513.1894105894105</v>
      </c>
      <c r="I15" s="526">
        <v>156.49146853146854</v>
      </c>
      <c r="J15" s="241" t="s">
        <v>1032</v>
      </c>
      <c r="K15" s="744"/>
      <c r="L15" s="745"/>
      <c r="M15" s="131"/>
    </row>
    <row r="16" spans="1:13" ht="15.75" customHeight="1">
      <c r="A16" s="742"/>
      <c r="B16" s="743"/>
      <c r="C16" s="165" t="s">
        <v>440</v>
      </c>
      <c r="D16" s="525" t="s">
        <v>805</v>
      </c>
      <c r="E16" s="482"/>
      <c r="F16" s="483"/>
      <c r="G16" s="526">
        <v>4</v>
      </c>
      <c r="H16" s="526">
        <v>2178.3428571428635</v>
      </c>
      <c r="I16" s="526">
        <v>544.58571428571588</v>
      </c>
      <c r="J16" s="241" t="s">
        <v>1032</v>
      </c>
      <c r="K16" s="744"/>
      <c r="L16" s="745"/>
      <c r="M16" s="152"/>
    </row>
    <row r="17" spans="1:13" ht="15.75" customHeight="1">
      <c r="A17" s="742"/>
      <c r="B17" s="743"/>
      <c r="C17" s="165" t="s">
        <v>493</v>
      </c>
      <c r="D17" s="544" t="s">
        <v>920</v>
      </c>
      <c r="E17" s="482"/>
      <c r="F17" s="483"/>
      <c r="G17" s="526">
        <v>4</v>
      </c>
      <c r="H17" s="526">
        <v>2222.7142857142876</v>
      </c>
      <c r="I17" s="526">
        <v>555.6785714285719</v>
      </c>
      <c r="J17" s="241" t="s">
        <v>1032</v>
      </c>
      <c r="K17" s="744"/>
      <c r="L17" s="745"/>
      <c r="M17" s="152"/>
    </row>
    <row r="18" spans="1:13" s="162" customFormat="1" ht="15.75" customHeight="1">
      <c r="A18" s="738" t="s">
        <v>187</v>
      </c>
      <c r="B18" s="738"/>
      <c r="C18" s="491" t="s">
        <v>436</v>
      </c>
      <c r="D18" s="738" t="s">
        <v>12</v>
      </c>
      <c r="E18" s="739"/>
      <c r="F18" s="739"/>
      <c r="G18" s="593" t="s">
        <v>1037</v>
      </c>
      <c r="H18" s="593" t="s">
        <v>1038</v>
      </c>
      <c r="I18" s="593" t="s">
        <v>1039</v>
      </c>
      <c r="J18" s="223" t="s">
        <v>1040</v>
      </c>
      <c r="K18" s="738" t="s">
        <v>1041</v>
      </c>
      <c r="L18" s="739"/>
      <c r="M18" s="155"/>
    </row>
    <row r="19" spans="1:13" ht="15.75" customHeight="1">
      <c r="A19" s="742">
        <v>2</v>
      </c>
      <c r="B19" s="743" t="s">
        <v>151</v>
      </c>
      <c r="C19" s="490">
        <v>1</v>
      </c>
      <c r="D19" s="481" t="s">
        <v>693</v>
      </c>
      <c r="E19" s="482"/>
      <c r="F19" s="483"/>
      <c r="G19" s="526">
        <v>5</v>
      </c>
      <c r="H19" s="526">
        <v>1520.8196853953984</v>
      </c>
      <c r="I19" s="526">
        <v>304.16393707907963</v>
      </c>
      <c r="J19" s="241" t="s">
        <v>1032</v>
      </c>
      <c r="K19" s="749"/>
      <c r="L19" s="748"/>
      <c r="M19" s="152"/>
    </row>
    <row r="20" spans="1:13" ht="15.75" customHeight="1">
      <c r="A20" s="742"/>
      <c r="B20" s="743"/>
      <c r="C20" s="490">
        <v>2</v>
      </c>
      <c r="D20" s="481" t="s">
        <v>754</v>
      </c>
      <c r="E20" s="482"/>
      <c r="F20" s="483"/>
      <c r="G20" s="526">
        <v>6</v>
      </c>
      <c r="H20" s="526">
        <v>1538.2960289378912</v>
      </c>
      <c r="I20" s="526">
        <v>256.38267148964849</v>
      </c>
      <c r="J20" s="241" t="s">
        <v>1032</v>
      </c>
      <c r="K20" s="747"/>
      <c r="L20" s="748"/>
      <c r="M20" s="152"/>
    </row>
    <row r="21" spans="1:13" ht="15.75" customHeight="1">
      <c r="A21" s="742"/>
      <c r="B21" s="743"/>
      <c r="C21" s="490">
        <v>3</v>
      </c>
      <c r="D21" s="527" t="s">
        <v>922</v>
      </c>
      <c r="E21" s="482"/>
      <c r="F21" s="483"/>
      <c r="G21" s="526">
        <v>10</v>
      </c>
      <c r="H21" s="526">
        <v>1542.6857142857154</v>
      </c>
      <c r="I21" s="526">
        <v>154.26857142857153</v>
      </c>
      <c r="J21" s="242" t="s">
        <v>1033</v>
      </c>
      <c r="K21" s="750" t="s">
        <v>1042</v>
      </c>
      <c r="L21" s="751"/>
      <c r="M21" s="152"/>
    </row>
    <row r="22" spans="1:13" ht="15.75" customHeight="1">
      <c r="A22" s="742"/>
      <c r="B22" s="743"/>
      <c r="C22" s="490">
        <v>4</v>
      </c>
      <c r="D22" s="481" t="s">
        <v>366</v>
      </c>
      <c r="E22" s="482"/>
      <c r="F22" s="483"/>
      <c r="G22" s="526">
        <v>12.142857142857142</v>
      </c>
      <c r="H22" s="526">
        <v>1812.0272108843558</v>
      </c>
      <c r="I22" s="526">
        <v>149.37833594976468</v>
      </c>
      <c r="J22" s="243" t="s">
        <v>1035</v>
      </c>
      <c r="K22" s="752"/>
      <c r="L22" s="753"/>
      <c r="M22" s="152"/>
    </row>
    <row r="23" spans="1:13" ht="15.75" customHeight="1">
      <c r="A23" s="742"/>
      <c r="B23" s="743"/>
      <c r="C23" s="490">
        <v>5</v>
      </c>
      <c r="D23" s="527" t="s">
        <v>923</v>
      </c>
      <c r="E23" s="482"/>
      <c r="F23" s="483"/>
      <c r="G23" s="526">
        <v>12.142857142857142</v>
      </c>
      <c r="H23" s="526">
        <v>1712.9013605442185</v>
      </c>
      <c r="I23" s="526">
        <v>141.20331850688999</v>
      </c>
      <c r="J23" s="243" t="s">
        <v>1035</v>
      </c>
      <c r="K23" s="754"/>
      <c r="L23" s="755"/>
      <c r="M23" s="152"/>
    </row>
    <row r="24" spans="1:13" ht="15.75" customHeight="1">
      <c r="A24" s="742"/>
      <c r="B24" s="743"/>
      <c r="C24" s="165" t="s">
        <v>437</v>
      </c>
      <c r="D24" s="481" t="s">
        <v>924</v>
      </c>
      <c r="E24" s="482"/>
      <c r="F24" s="483"/>
      <c r="G24" s="526">
        <v>13</v>
      </c>
      <c r="H24" s="526">
        <v>1179.9944341372914</v>
      </c>
      <c r="I24" s="526">
        <v>90.768802625945483</v>
      </c>
      <c r="J24" s="241" t="s">
        <v>1032</v>
      </c>
      <c r="K24" s="747"/>
      <c r="L24" s="748"/>
      <c r="M24" s="152"/>
    </row>
    <row r="25" spans="1:13" ht="15.75" customHeight="1">
      <c r="A25" s="742"/>
      <c r="B25" s="743"/>
      <c r="C25" s="165" t="s">
        <v>438</v>
      </c>
      <c r="D25" s="481" t="s">
        <v>959</v>
      </c>
      <c r="E25" s="482"/>
      <c r="F25" s="483"/>
      <c r="G25" s="526">
        <v>13</v>
      </c>
      <c r="H25" s="526">
        <v>1197.8016562384987</v>
      </c>
      <c r="I25" s="526">
        <v>92.138588941422981</v>
      </c>
      <c r="J25" s="241" t="s">
        <v>1032</v>
      </c>
      <c r="K25" s="747"/>
      <c r="L25" s="748"/>
      <c r="M25" s="152"/>
    </row>
    <row r="26" spans="1:13" ht="15.75" customHeight="1">
      <c r="A26" s="742"/>
      <c r="B26" s="743"/>
      <c r="C26" s="165" t="s">
        <v>492</v>
      </c>
      <c r="E26" s="482"/>
      <c r="F26" s="483"/>
      <c r="G26" s="592"/>
      <c r="H26" s="592"/>
      <c r="I26" s="592"/>
      <c r="J26" s="592"/>
      <c r="K26" s="747"/>
      <c r="L26" s="748"/>
      <c r="M26" s="152"/>
    </row>
    <row r="27" spans="1:13" ht="15.75" customHeight="1">
      <c r="A27" s="742"/>
      <c r="B27" s="743"/>
      <c r="C27" s="165" t="s">
        <v>440</v>
      </c>
      <c r="D27" s="481"/>
      <c r="E27" s="482"/>
      <c r="F27" s="483"/>
      <c r="G27" s="592"/>
      <c r="H27" s="592"/>
      <c r="I27" s="592"/>
      <c r="J27" s="592"/>
      <c r="K27" s="747"/>
      <c r="L27" s="748"/>
      <c r="M27" s="152"/>
    </row>
    <row r="28" spans="1:13" ht="15.75" customHeight="1">
      <c r="A28" s="742"/>
      <c r="B28" s="743"/>
      <c r="C28" s="165" t="s">
        <v>493</v>
      </c>
      <c r="D28" s="481"/>
      <c r="E28" s="482"/>
      <c r="F28" s="483"/>
      <c r="G28" s="592"/>
      <c r="H28" s="592"/>
      <c r="I28" s="592"/>
      <c r="J28" s="592"/>
      <c r="K28" s="747"/>
      <c r="L28" s="74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A1:L2"/>
    <mergeCell ref="A5:A6"/>
    <mergeCell ref="A7:B7"/>
    <mergeCell ref="D7:F7"/>
    <mergeCell ref="K7:L7"/>
    <mergeCell ref="A3:L4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3"/>
    <mergeCell ref="A18:B18"/>
    <mergeCell ref="D18:F18"/>
    <mergeCell ref="K18:L18"/>
    <mergeCell ref="K13:L13"/>
    <mergeCell ref="A8:A17"/>
    <mergeCell ref="B8:B17"/>
    <mergeCell ref="K17:L17"/>
    <mergeCell ref="K14:L14"/>
    <mergeCell ref="K8:L8"/>
    <mergeCell ref="K9:L9"/>
    <mergeCell ref="K10:L10"/>
    <mergeCell ref="K11:L11"/>
    <mergeCell ref="K12:L12"/>
    <mergeCell ref="K15:L15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120"/>
    </row>
    <row r="2" spans="1:13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13" ht="15.75" customHeight="1">
      <c r="A3" s="756" t="s">
        <v>205</v>
      </c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152"/>
    </row>
    <row r="4" spans="1:13" s="121" customFormat="1" ht="15.75" customHeight="1">
      <c r="A4" s="757"/>
      <c r="B4" s="757"/>
      <c r="C4" s="757"/>
      <c r="D4" s="757"/>
      <c r="E4" s="757"/>
      <c r="F4" s="757"/>
      <c r="G4" s="757"/>
      <c r="H4" s="757"/>
      <c r="I4" s="757"/>
      <c r="J4" s="757"/>
      <c r="K4" s="757"/>
      <c r="L4" s="757"/>
      <c r="M4" s="131"/>
    </row>
    <row r="5" spans="1:13" s="154" customFormat="1" ht="16.350000000000001" customHeight="1">
      <c r="A5" s="742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42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43" t="s">
        <v>187</v>
      </c>
      <c r="B7" s="743"/>
      <c r="C7" s="489" t="s">
        <v>436</v>
      </c>
      <c r="D7" s="743" t="s">
        <v>12</v>
      </c>
      <c r="E7" s="745"/>
      <c r="F7" s="745"/>
      <c r="G7" s="537" t="s">
        <v>881</v>
      </c>
      <c r="H7" s="537" t="s">
        <v>882</v>
      </c>
      <c r="I7" s="537" t="s">
        <v>883</v>
      </c>
      <c r="J7" s="223" t="s">
        <v>884</v>
      </c>
      <c r="K7" s="743" t="s">
        <v>885</v>
      </c>
      <c r="L7" s="745"/>
      <c r="M7" s="153"/>
    </row>
    <row r="8" spans="1:13" ht="15.75" customHeight="1">
      <c r="A8" s="742">
        <v>3</v>
      </c>
      <c r="B8" s="743" t="s">
        <v>152</v>
      </c>
      <c r="C8" s="490">
        <v>1</v>
      </c>
      <c r="D8" s="481" t="s">
        <v>387</v>
      </c>
      <c r="E8" s="482"/>
      <c r="F8" s="483"/>
      <c r="G8" s="526">
        <v>5</v>
      </c>
      <c r="H8" s="526">
        <v>2178.5365836161759</v>
      </c>
      <c r="I8" s="526">
        <v>435.70731672323529</v>
      </c>
      <c r="J8" s="242" t="s">
        <v>1033</v>
      </c>
      <c r="K8" s="761" t="s">
        <v>1043</v>
      </c>
      <c r="L8" s="762"/>
      <c r="M8" s="131"/>
    </row>
    <row r="9" spans="1:13" ht="15.75" customHeight="1">
      <c r="A9" s="742"/>
      <c r="B9" s="743"/>
      <c r="C9" s="490">
        <v>2</v>
      </c>
      <c r="D9" s="481" t="s">
        <v>500</v>
      </c>
      <c r="E9" s="482"/>
      <c r="F9" s="483"/>
      <c r="G9" s="526">
        <v>5</v>
      </c>
      <c r="H9" s="526">
        <v>2165.4073215421136</v>
      </c>
      <c r="I9" s="526">
        <v>433.08146430842271</v>
      </c>
      <c r="J9" s="242" t="s">
        <v>1033</v>
      </c>
      <c r="K9" s="763"/>
      <c r="L9" s="764"/>
      <c r="M9" s="131"/>
    </row>
    <row r="10" spans="1:13" ht="15.75" customHeight="1">
      <c r="A10" s="742"/>
      <c r="B10" s="743"/>
      <c r="C10" s="490">
        <v>3</v>
      </c>
      <c r="D10" s="481" t="s">
        <v>907</v>
      </c>
      <c r="E10" s="482"/>
      <c r="F10" s="483"/>
      <c r="G10" s="526">
        <v>5</v>
      </c>
      <c r="H10" s="526">
        <v>2003.2309804890435</v>
      </c>
      <c r="I10" s="526">
        <v>400.64619609780874</v>
      </c>
      <c r="J10" s="243" t="s">
        <v>1035</v>
      </c>
      <c r="K10" s="765"/>
      <c r="L10" s="766"/>
      <c r="M10" s="131"/>
    </row>
    <row r="11" spans="1:13" ht="15.75" customHeight="1">
      <c r="A11" s="742"/>
      <c r="B11" s="743"/>
      <c r="C11" s="490">
        <v>4</v>
      </c>
      <c r="D11" s="481" t="s">
        <v>869</v>
      </c>
      <c r="E11" s="482"/>
      <c r="F11" s="483"/>
      <c r="G11" s="526">
        <v>5</v>
      </c>
      <c r="H11" s="526">
        <v>1793.6564625850347</v>
      </c>
      <c r="I11" s="526">
        <v>358.73129251700703</v>
      </c>
      <c r="J11" s="241" t="s">
        <v>1032</v>
      </c>
      <c r="K11" s="758"/>
      <c r="L11" s="739"/>
      <c r="M11" s="131"/>
    </row>
    <row r="12" spans="1:13" ht="15.75" customHeight="1">
      <c r="A12" s="742"/>
      <c r="B12" s="743"/>
      <c r="C12" s="490">
        <v>5</v>
      </c>
      <c r="D12" s="481" t="s">
        <v>391</v>
      </c>
      <c r="E12" s="482"/>
      <c r="F12" s="483"/>
      <c r="G12" s="526">
        <v>10</v>
      </c>
      <c r="H12" s="526">
        <v>2226.9797241457077</v>
      </c>
      <c r="I12" s="526">
        <v>222.69797241457076</v>
      </c>
      <c r="J12" s="241" t="s">
        <v>1032</v>
      </c>
      <c r="K12" s="758"/>
      <c r="L12" s="739"/>
      <c r="M12" s="131"/>
    </row>
    <row r="13" spans="1:13" ht="15.75" customHeight="1">
      <c r="A13" s="742"/>
      <c r="B13" s="743"/>
      <c r="C13" s="165" t="s">
        <v>437</v>
      </c>
      <c r="D13" s="481" t="s">
        <v>386</v>
      </c>
      <c r="E13" s="482"/>
      <c r="F13" s="483"/>
      <c r="G13" s="526">
        <v>18.571428571428573</v>
      </c>
      <c r="H13" s="526">
        <v>1225.8780652743912</v>
      </c>
      <c r="I13" s="526">
        <v>66.052631562689683</v>
      </c>
      <c r="J13" s="241" t="s">
        <v>1032</v>
      </c>
      <c r="K13" s="758"/>
      <c r="L13" s="739"/>
      <c r="M13" s="131"/>
    </row>
    <row r="14" spans="1:13" ht="15.75" customHeight="1">
      <c r="A14" s="742"/>
      <c r="B14" s="743"/>
      <c r="C14" s="165" t="s">
        <v>438</v>
      </c>
      <c r="D14" s="481" t="s">
        <v>389</v>
      </c>
      <c r="E14" s="482"/>
      <c r="F14" s="483"/>
      <c r="G14" s="526">
        <v>12</v>
      </c>
      <c r="H14" s="526">
        <v>1890.5186143484018</v>
      </c>
      <c r="I14" s="526">
        <v>157.54321786236682</v>
      </c>
      <c r="J14" s="241" t="s">
        <v>1032</v>
      </c>
      <c r="K14" s="758"/>
      <c r="L14" s="739"/>
      <c r="M14" s="131"/>
    </row>
    <row r="15" spans="1:13" ht="15.75" customHeight="1">
      <c r="A15" s="742"/>
      <c r="B15" s="743"/>
      <c r="C15" s="165" t="s">
        <v>492</v>
      </c>
      <c r="D15" s="481" t="s">
        <v>798</v>
      </c>
      <c r="E15" s="482"/>
      <c r="F15" s="483"/>
      <c r="G15" s="526">
        <v>12</v>
      </c>
      <c r="H15" s="526">
        <v>1902.0922955667161</v>
      </c>
      <c r="I15" s="526">
        <v>158.50769129722633</v>
      </c>
      <c r="J15" s="241" t="s">
        <v>1032</v>
      </c>
      <c r="K15" s="759"/>
      <c r="L15" s="760"/>
      <c r="M15" s="131"/>
    </row>
    <row r="16" spans="1:13" ht="15.75" customHeight="1">
      <c r="A16" s="742"/>
      <c r="B16" s="743"/>
      <c r="C16" s="165" t="s">
        <v>440</v>
      </c>
      <c r="D16" s="481" t="s">
        <v>390</v>
      </c>
      <c r="E16" s="482"/>
      <c r="F16" s="483"/>
      <c r="G16" s="526">
        <v>13</v>
      </c>
      <c r="H16" s="526">
        <v>2197.0764936456189</v>
      </c>
      <c r="I16" s="526">
        <v>169.0058841265861</v>
      </c>
      <c r="J16" s="241" t="s">
        <v>1032</v>
      </c>
      <c r="K16" s="758"/>
      <c r="L16" s="739"/>
      <c r="M16" s="152"/>
    </row>
    <row r="17" spans="1:13" ht="15.75" customHeight="1">
      <c r="A17" s="742"/>
      <c r="B17" s="743"/>
      <c r="C17" s="165" t="s">
        <v>493</v>
      </c>
      <c r="D17" s="481" t="s">
        <v>925</v>
      </c>
      <c r="E17" s="482"/>
      <c r="F17" s="483"/>
      <c r="G17" s="526">
        <v>13</v>
      </c>
      <c r="H17" s="526">
        <v>2211.872898534682</v>
      </c>
      <c r="I17" s="526">
        <v>170.14406911805244</v>
      </c>
      <c r="J17" s="241" t="s">
        <v>1032</v>
      </c>
      <c r="K17" s="758"/>
      <c r="L17" s="739"/>
      <c r="M17" s="152"/>
    </row>
    <row r="18" spans="1:13" s="162" customFormat="1" ht="15.75" customHeight="1">
      <c r="A18" s="738" t="s">
        <v>187</v>
      </c>
      <c r="B18" s="738"/>
      <c r="C18" s="491" t="s">
        <v>436</v>
      </c>
      <c r="D18" s="738" t="s">
        <v>12</v>
      </c>
      <c r="E18" s="739"/>
      <c r="F18" s="739"/>
      <c r="G18" s="593" t="s">
        <v>1037</v>
      </c>
      <c r="H18" s="593" t="s">
        <v>1038</v>
      </c>
      <c r="I18" s="593" t="s">
        <v>1039</v>
      </c>
      <c r="J18" s="223" t="s">
        <v>1040</v>
      </c>
      <c r="K18" s="738" t="s">
        <v>1041</v>
      </c>
      <c r="L18" s="739"/>
      <c r="M18" s="155"/>
    </row>
    <row r="19" spans="1:13" ht="15.75" customHeight="1">
      <c r="A19" s="742">
        <v>4</v>
      </c>
      <c r="B19" s="743" t="s">
        <v>153</v>
      </c>
      <c r="C19" s="490">
        <v>1</v>
      </c>
      <c r="D19" s="527" t="s">
        <v>1044</v>
      </c>
      <c r="E19" s="482"/>
      <c r="F19" s="483"/>
      <c r="G19" s="526">
        <v>13</v>
      </c>
      <c r="H19" s="526">
        <v>1577.8505494505494</v>
      </c>
      <c r="I19" s="526">
        <v>121.37311918850379</v>
      </c>
      <c r="J19" s="241" t="s">
        <v>1032</v>
      </c>
      <c r="K19" s="749"/>
      <c r="L19" s="748"/>
      <c r="M19" s="152"/>
    </row>
    <row r="20" spans="1:13" ht="15.75" customHeight="1">
      <c r="A20" s="742"/>
      <c r="B20" s="743"/>
      <c r="C20" s="490">
        <v>2</v>
      </c>
      <c r="D20" s="527" t="s">
        <v>870</v>
      </c>
      <c r="E20" s="482"/>
      <c r="F20" s="483"/>
      <c r="G20" s="526">
        <v>13</v>
      </c>
      <c r="H20" s="526">
        <v>1337.4285714285732</v>
      </c>
      <c r="I20" s="526">
        <v>102.87912087912102</v>
      </c>
      <c r="J20" s="241" t="s">
        <v>1032</v>
      </c>
      <c r="K20" s="747"/>
      <c r="L20" s="748"/>
      <c r="M20" s="152"/>
    </row>
    <row r="21" spans="1:13" ht="15.75" customHeight="1">
      <c r="A21" s="742"/>
      <c r="B21" s="743"/>
      <c r="C21" s="490">
        <v>3</v>
      </c>
      <c r="D21" s="481"/>
      <c r="E21" s="482"/>
      <c r="F21" s="483"/>
      <c r="G21" s="592"/>
      <c r="H21" s="592"/>
      <c r="I21" s="592"/>
      <c r="J21" s="592"/>
      <c r="K21" s="747"/>
      <c r="L21" s="748"/>
      <c r="M21" s="152"/>
    </row>
    <row r="22" spans="1:13" ht="15.75" customHeight="1">
      <c r="A22" s="742"/>
      <c r="B22" s="743"/>
      <c r="C22" s="490">
        <v>4</v>
      </c>
      <c r="D22" s="481"/>
      <c r="E22" s="482"/>
      <c r="F22" s="483"/>
      <c r="G22" s="592"/>
      <c r="H22" s="592"/>
      <c r="I22" s="592"/>
      <c r="J22" s="592"/>
      <c r="K22" s="747"/>
      <c r="L22" s="748"/>
      <c r="M22" s="152"/>
    </row>
    <row r="23" spans="1:13" ht="15.75" customHeight="1">
      <c r="A23" s="742"/>
      <c r="B23" s="743"/>
      <c r="C23" s="490">
        <v>5</v>
      </c>
      <c r="D23" s="481"/>
      <c r="E23" s="482"/>
      <c r="F23" s="483"/>
      <c r="G23" s="592"/>
      <c r="H23" s="592"/>
      <c r="I23" s="592"/>
      <c r="J23" s="592"/>
      <c r="K23" s="747"/>
      <c r="L23" s="748"/>
      <c r="M23" s="152"/>
    </row>
    <row r="24" spans="1:13" ht="15.75" customHeight="1">
      <c r="A24" s="742"/>
      <c r="B24" s="743"/>
      <c r="C24" s="165" t="s">
        <v>437</v>
      </c>
      <c r="D24" s="527"/>
      <c r="E24" s="482"/>
      <c r="F24" s="483"/>
      <c r="G24" s="568"/>
      <c r="H24" s="568"/>
      <c r="I24" s="568"/>
      <c r="J24" s="568"/>
      <c r="K24" s="749"/>
      <c r="L24" s="748"/>
      <c r="M24" s="152"/>
    </row>
    <row r="25" spans="1:13" ht="15.75" customHeight="1">
      <c r="A25" s="742"/>
      <c r="B25" s="743"/>
      <c r="C25" s="165" t="s">
        <v>438</v>
      </c>
      <c r="D25" s="481"/>
      <c r="E25" s="482"/>
      <c r="F25" s="483"/>
      <c r="G25" s="568"/>
      <c r="H25" s="568"/>
      <c r="I25" s="568"/>
      <c r="J25" s="568"/>
      <c r="K25" s="747"/>
      <c r="L25" s="748"/>
      <c r="M25" s="152"/>
    </row>
    <row r="26" spans="1:13" ht="15.75" customHeight="1">
      <c r="A26" s="742"/>
      <c r="B26" s="743"/>
      <c r="C26" s="165" t="s">
        <v>492</v>
      </c>
      <c r="D26" s="481"/>
      <c r="E26" s="482"/>
      <c r="F26" s="483"/>
      <c r="G26" s="568"/>
      <c r="H26" s="568"/>
      <c r="I26" s="568"/>
      <c r="J26" s="568"/>
      <c r="K26" s="747"/>
      <c r="L26" s="748"/>
      <c r="M26" s="152"/>
    </row>
    <row r="27" spans="1:13" ht="15.75" customHeight="1">
      <c r="A27" s="742"/>
      <c r="B27" s="743"/>
      <c r="C27" s="165" t="s">
        <v>440</v>
      </c>
      <c r="D27" s="481"/>
      <c r="E27" s="482"/>
      <c r="F27" s="483"/>
      <c r="G27" s="568"/>
      <c r="H27" s="568"/>
      <c r="I27" s="568"/>
      <c r="J27" s="568"/>
      <c r="K27" s="747"/>
      <c r="L27" s="748"/>
      <c r="M27" s="152"/>
    </row>
    <row r="28" spans="1:13" ht="15.75" customHeight="1">
      <c r="A28" s="742"/>
      <c r="B28" s="743"/>
      <c r="C28" s="165" t="s">
        <v>493</v>
      </c>
      <c r="D28" s="481"/>
      <c r="E28" s="482"/>
      <c r="F28" s="483"/>
      <c r="G28" s="568"/>
      <c r="H28" s="568"/>
      <c r="I28" s="568"/>
      <c r="J28" s="568"/>
      <c r="K28" s="747"/>
      <c r="L28" s="74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A1:L2"/>
    <mergeCell ref="K11:L11"/>
    <mergeCell ref="K12:L12"/>
    <mergeCell ref="A3:L4"/>
    <mergeCell ref="K8:L10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14:L14"/>
    <mergeCell ref="K26:L26"/>
    <mergeCell ref="B19:B28"/>
    <mergeCell ref="K13:L13"/>
    <mergeCell ref="K28:L28"/>
    <mergeCell ref="K21:L21"/>
    <mergeCell ref="K22:L22"/>
    <mergeCell ref="K23:L23"/>
    <mergeCell ref="K27:L27"/>
    <mergeCell ref="K24:L24"/>
    <mergeCell ref="K15:L15"/>
    <mergeCell ref="K16:L16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120"/>
    </row>
    <row r="2" spans="1:18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18" ht="15.75" customHeight="1">
      <c r="A3" s="756" t="s">
        <v>205</v>
      </c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152"/>
    </row>
    <row r="4" spans="1:18" s="121" customFormat="1" ht="15.75" customHeight="1">
      <c r="A4" s="757"/>
      <c r="B4" s="757"/>
      <c r="C4" s="757"/>
      <c r="D4" s="757"/>
      <c r="E4" s="757"/>
      <c r="F4" s="757"/>
      <c r="G4" s="757"/>
      <c r="H4" s="757"/>
      <c r="I4" s="757"/>
      <c r="J4" s="757"/>
      <c r="K4" s="757"/>
      <c r="L4" s="757"/>
      <c r="M4" s="131"/>
    </row>
    <row r="5" spans="1:18" s="154" customFormat="1" ht="16.350000000000001" customHeight="1">
      <c r="A5" s="742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42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43" t="s">
        <v>833</v>
      </c>
      <c r="B7" s="743"/>
      <c r="C7" s="489" t="s">
        <v>834</v>
      </c>
      <c r="D7" s="743" t="s">
        <v>12</v>
      </c>
      <c r="E7" s="745"/>
      <c r="F7" s="745"/>
      <c r="G7" s="537" t="s">
        <v>881</v>
      </c>
      <c r="H7" s="537" t="s">
        <v>882</v>
      </c>
      <c r="I7" s="537" t="s">
        <v>883</v>
      </c>
      <c r="J7" s="223" t="s">
        <v>884</v>
      </c>
      <c r="K7" s="743" t="s">
        <v>885</v>
      </c>
      <c r="L7" s="745"/>
      <c r="M7" s="153"/>
    </row>
    <row r="8" spans="1:18" ht="15.75" customHeight="1">
      <c r="A8" s="742">
        <v>5</v>
      </c>
      <c r="B8" s="743" t="s">
        <v>133</v>
      </c>
      <c r="C8" s="490">
        <v>1</v>
      </c>
      <c r="D8" s="481" t="s">
        <v>367</v>
      </c>
      <c r="E8" s="482"/>
      <c r="F8" s="483"/>
      <c r="G8" s="526">
        <v>7</v>
      </c>
      <c r="H8" s="526">
        <v>1492.1432046150705</v>
      </c>
      <c r="I8" s="526">
        <v>213.16331494501011</v>
      </c>
      <c r="J8" s="241" t="s">
        <v>1032</v>
      </c>
      <c r="K8" s="744"/>
      <c r="L8" s="745"/>
      <c r="M8" s="131"/>
      <c r="P8" s="253"/>
      <c r="Q8" s="253"/>
      <c r="R8" s="253"/>
    </row>
    <row r="9" spans="1:18" ht="15.75" customHeight="1">
      <c r="A9" s="742"/>
      <c r="B9" s="743"/>
      <c r="C9" s="490">
        <v>2</v>
      </c>
      <c r="D9" s="481" t="s">
        <v>382</v>
      </c>
      <c r="E9" s="482"/>
      <c r="F9" s="483"/>
      <c r="G9" s="526">
        <v>7</v>
      </c>
      <c r="H9" s="526">
        <v>1479.731505102041</v>
      </c>
      <c r="I9" s="526">
        <v>211.39021501457731</v>
      </c>
      <c r="J9" s="241" t="s">
        <v>1032</v>
      </c>
      <c r="K9" s="767"/>
      <c r="L9" s="745"/>
      <c r="M9" s="131"/>
      <c r="P9" s="253"/>
      <c r="Q9" s="253"/>
      <c r="R9" s="253"/>
    </row>
    <row r="10" spans="1:18" ht="15.75" customHeight="1">
      <c r="A10" s="742"/>
      <c r="B10" s="743"/>
      <c r="C10" s="490">
        <v>3</v>
      </c>
      <c r="D10" s="481" t="s">
        <v>936</v>
      </c>
      <c r="E10" s="482"/>
      <c r="F10" s="483"/>
      <c r="G10" s="526">
        <v>15</v>
      </c>
      <c r="H10" s="526">
        <v>1351.7461062857892</v>
      </c>
      <c r="I10" s="526">
        <v>90.116407085719288</v>
      </c>
      <c r="J10" s="241" t="s">
        <v>939</v>
      </c>
      <c r="K10" s="767"/>
      <c r="L10" s="745"/>
      <c r="M10" s="131"/>
      <c r="P10" s="253"/>
      <c r="Q10" s="253"/>
      <c r="R10" s="253"/>
    </row>
    <row r="11" spans="1:18" ht="15.75" customHeight="1">
      <c r="A11" s="742"/>
      <c r="B11" s="743"/>
      <c r="C11" s="490">
        <v>4</v>
      </c>
      <c r="D11" s="481" t="s">
        <v>371</v>
      </c>
      <c r="E11" s="482"/>
      <c r="F11" s="483"/>
      <c r="G11" s="526">
        <v>15</v>
      </c>
      <c r="H11" s="526">
        <v>1335.7694919033834</v>
      </c>
      <c r="I11" s="526">
        <v>89.05129946022555</v>
      </c>
      <c r="J11" s="241" t="s">
        <v>939</v>
      </c>
      <c r="K11" s="767"/>
      <c r="L11" s="745"/>
      <c r="M11" s="131"/>
      <c r="P11" s="253"/>
      <c r="Q11" s="253"/>
      <c r="R11" s="253"/>
    </row>
    <row r="12" spans="1:18" ht="15.75" customHeight="1">
      <c r="A12" s="742"/>
      <c r="B12" s="743"/>
      <c r="C12" s="490">
        <v>5</v>
      </c>
      <c r="D12" s="481" t="s">
        <v>353</v>
      </c>
      <c r="E12" s="482"/>
      <c r="F12" s="483"/>
      <c r="G12" s="526">
        <v>16</v>
      </c>
      <c r="H12" s="526">
        <v>1403.661246240144</v>
      </c>
      <c r="I12" s="526">
        <v>87.728827890009001</v>
      </c>
      <c r="J12" s="241" t="s">
        <v>939</v>
      </c>
      <c r="K12" s="767"/>
      <c r="L12" s="745"/>
      <c r="M12" s="131"/>
      <c r="P12" s="253"/>
      <c r="Q12" s="253"/>
      <c r="R12" s="253"/>
    </row>
    <row r="13" spans="1:18" ht="15.75" customHeight="1">
      <c r="A13" s="742"/>
      <c r="B13" s="743"/>
      <c r="C13" s="165" t="s">
        <v>835</v>
      </c>
      <c r="D13" s="481" t="s">
        <v>789</v>
      </c>
      <c r="E13" s="482"/>
      <c r="F13" s="483"/>
      <c r="G13" s="526">
        <v>19.714285714285715</v>
      </c>
      <c r="H13" s="526">
        <v>1170.3917541063367</v>
      </c>
      <c r="I13" s="526">
        <v>59.385306690279258</v>
      </c>
      <c r="J13" s="241" t="s">
        <v>939</v>
      </c>
      <c r="K13" s="768"/>
      <c r="L13" s="745"/>
      <c r="M13" s="131"/>
      <c r="P13" s="253"/>
      <c r="Q13" s="253"/>
      <c r="R13" s="253"/>
    </row>
    <row r="14" spans="1:18" ht="15.75" customHeight="1">
      <c r="A14" s="742"/>
      <c r="B14" s="743"/>
      <c r="C14" s="165" t="s">
        <v>836</v>
      </c>
      <c r="D14" s="481" t="s">
        <v>801</v>
      </c>
      <c r="E14" s="482"/>
      <c r="F14" s="483"/>
      <c r="G14" s="526">
        <v>19.571428571428573</v>
      </c>
      <c r="H14" s="526">
        <v>1166.1156137958894</v>
      </c>
      <c r="I14" s="526">
        <v>59.635470901538028</v>
      </c>
      <c r="J14" s="241" t="s">
        <v>939</v>
      </c>
      <c r="K14" s="768"/>
      <c r="L14" s="745"/>
      <c r="M14" s="131"/>
      <c r="P14" s="253"/>
      <c r="Q14" s="253"/>
      <c r="R14" s="253"/>
    </row>
    <row r="15" spans="1:18" ht="15.75" customHeight="1">
      <c r="A15" s="742"/>
      <c r="B15" s="743"/>
      <c r="C15" s="165" t="s">
        <v>837</v>
      </c>
      <c r="D15" s="481" t="s">
        <v>937</v>
      </c>
      <c r="E15" s="482"/>
      <c r="F15" s="483"/>
      <c r="G15" s="526">
        <v>19</v>
      </c>
      <c r="H15" s="526">
        <v>1192.7425784473651</v>
      </c>
      <c r="I15" s="526">
        <v>62.775925181440279</v>
      </c>
      <c r="J15" s="241" t="s">
        <v>939</v>
      </c>
      <c r="K15" s="768"/>
      <c r="L15" s="745"/>
      <c r="M15" s="131"/>
      <c r="P15" s="253"/>
      <c r="Q15" s="253"/>
      <c r="R15" s="253"/>
    </row>
    <row r="16" spans="1:18" ht="15.75" customHeight="1">
      <c r="A16" s="742"/>
      <c r="B16" s="743"/>
      <c r="C16" s="165" t="s">
        <v>838</v>
      </c>
      <c r="D16" s="527" t="s">
        <v>872</v>
      </c>
      <c r="E16" s="482"/>
      <c r="F16" s="483"/>
      <c r="G16" s="526">
        <v>21</v>
      </c>
      <c r="H16" s="526">
        <v>1318.4644617993731</v>
      </c>
      <c r="I16" s="526">
        <v>62.784021990446334</v>
      </c>
      <c r="J16" s="241" t="s">
        <v>939</v>
      </c>
      <c r="K16" s="768"/>
      <c r="L16" s="745"/>
      <c r="M16" s="152"/>
      <c r="P16" s="253"/>
      <c r="Q16" s="253"/>
      <c r="R16" s="253"/>
    </row>
    <row r="17" spans="1:18" ht="15.75" customHeight="1">
      <c r="A17" s="742"/>
      <c r="B17" s="743"/>
      <c r="C17" s="165" t="s">
        <v>839</v>
      </c>
      <c r="D17" s="527" t="s">
        <v>928</v>
      </c>
      <c r="E17" s="482"/>
      <c r="F17" s="483"/>
      <c r="G17" s="526">
        <v>17</v>
      </c>
      <c r="H17" s="526">
        <v>1119.4949985967137</v>
      </c>
      <c r="I17" s="526">
        <v>65.852646976277271</v>
      </c>
      <c r="J17" s="242" t="s">
        <v>961</v>
      </c>
      <c r="K17" s="746" t="s">
        <v>947</v>
      </c>
      <c r="L17" s="745"/>
      <c r="M17" s="152"/>
      <c r="P17" s="253"/>
      <c r="Q17" s="253"/>
      <c r="R17" s="253"/>
    </row>
    <row r="18" spans="1:18" s="162" customFormat="1" ht="15.75" customHeight="1">
      <c r="A18" s="738" t="s">
        <v>833</v>
      </c>
      <c r="B18" s="738"/>
      <c r="C18" s="491" t="s">
        <v>834</v>
      </c>
      <c r="D18" s="738" t="s">
        <v>12</v>
      </c>
      <c r="E18" s="739"/>
      <c r="F18" s="739"/>
      <c r="G18" s="593" t="s">
        <v>46</v>
      </c>
      <c r="H18" s="593" t="s">
        <v>432</v>
      </c>
      <c r="I18" s="593" t="s">
        <v>433</v>
      </c>
      <c r="J18" s="223" t="s">
        <v>434</v>
      </c>
      <c r="K18" s="738" t="s">
        <v>51</v>
      </c>
      <c r="L18" s="739"/>
      <c r="M18" s="155"/>
    </row>
    <row r="19" spans="1:18" ht="15.75" customHeight="1">
      <c r="A19" s="742">
        <v>6</v>
      </c>
      <c r="B19" s="743" t="s">
        <v>131</v>
      </c>
      <c r="C19" s="490">
        <v>1</v>
      </c>
      <c r="D19" s="481" t="s">
        <v>762</v>
      </c>
      <c r="E19" s="482"/>
      <c r="F19" s="483"/>
      <c r="G19" s="526">
        <v>16.142857142857142</v>
      </c>
      <c r="H19" s="526">
        <v>1355.3270519413495</v>
      </c>
      <c r="I19" s="526">
        <v>83.982388987169131</v>
      </c>
      <c r="J19" s="241" t="s">
        <v>939</v>
      </c>
      <c r="K19" s="767"/>
      <c r="L19" s="745"/>
      <c r="M19" s="152"/>
      <c r="P19" s="253"/>
      <c r="Q19" s="253"/>
      <c r="R19" s="253"/>
    </row>
    <row r="20" spans="1:18" ht="15.75" customHeight="1">
      <c r="A20" s="742"/>
      <c r="B20" s="743"/>
      <c r="C20" s="490">
        <v>2</v>
      </c>
      <c r="D20" s="481" t="s">
        <v>374</v>
      </c>
      <c r="E20" s="482"/>
      <c r="F20" s="483"/>
      <c r="G20" s="526">
        <v>17</v>
      </c>
      <c r="H20" s="526">
        <v>1356.3503508004057</v>
      </c>
      <c r="I20" s="526">
        <v>79.785314752965064</v>
      </c>
      <c r="J20" s="241" t="s">
        <v>939</v>
      </c>
      <c r="K20" s="767"/>
      <c r="L20" s="745"/>
      <c r="M20" s="152"/>
      <c r="P20" s="253"/>
      <c r="Q20" s="253"/>
      <c r="R20" s="253"/>
    </row>
    <row r="21" spans="1:18" ht="15.75" customHeight="1">
      <c r="A21" s="742"/>
      <c r="B21" s="743"/>
      <c r="C21" s="490">
        <v>3</v>
      </c>
      <c r="D21" s="481" t="s">
        <v>375</v>
      </c>
      <c r="E21" s="482"/>
      <c r="F21" s="483"/>
      <c r="G21" s="526">
        <v>17</v>
      </c>
      <c r="H21" s="526">
        <v>1282.7880064324952</v>
      </c>
      <c r="I21" s="526">
        <v>75.458118025440896</v>
      </c>
      <c r="J21" s="242" t="s">
        <v>961</v>
      </c>
      <c r="K21" s="769" t="s">
        <v>947</v>
      </c>
      <c r="L21" s="770"/>
      <c r="M21" s="152"/>
      <c r="P21" s="253"/>
      <c r="Q21" s="253"/>
      <c r="R21" s="253"/>
    </row>
    <row r="22" spans="1:18" ht="15.75" customHeight="1">
      <c r="A22" s="742"/>
      <c r="B22" s="743"/>
      <c r="C22" s="490">
        <v>4</v>
      </c>
      <c r="D22" s="481" t="s">
        <v>372</v>
      </c>
      <c r="E22" s="482"/>
      <c r="F22" s="483"/>
      <c r="G22" s="526">
        <v>18</v>
      </c>
      <c r="H22" s="526">
        <v>1351.614244345428</v>
      </c>
      <c r="I22" s="526">
        <v>75.089680241412665</v>
      </c>
      <c r="J22" s="243" t="s">
        <v>962</v>
      </c>
      <c r="K22" s="771"/>
      <c r="L22" s="772"/>
      <c r="M22" s="152"/>
      <c r="P22" s="253"/>
      <c r="Q22" s="253"/>
      <c r="R22" s="253"/>
    </row>
    <row r="23" spans="1:18" ht="15.75" customHeight="1">
      <c r="A23" s="742"/>
      <c r="B23" s="743"/>
      <c r="C23" s="490">
        <v>5</v>
      </c>
      <c r="D23" s="481" t="s">
        <v>695</v>
      </c>
      <c r="E23" s="482"/>
      <c r="F23" s="483"/>
      <c r="G23" s="526">
        <v>18</v>
      </c>
      <c r="H23" s="526">
        <v>1299.7256659849306</v>
      </c>
      <c r="I23" s="526">
        <v>72.206981443607248</v>
      </c>
      <c r="J23" s="241" t="s">
        <v>939</v>
      </c>
      <c r="K23" s="767"/>
      <c r="L23" s="745"/>
      <c r="M23" s="152"/>
      <c r="P23" s="253"/>
      <c r="Q23" s="253"/>
      <c r="R23" s="253"/>
    </row>
    <row r="24" spans="1:18" ht="15.75" customHeight="1">
      <c r="A24" s="742"/>
      <c r="B24" s="743"/>
      <c r="C24" s="165" t="s">
        <v>835</v>
      </c>
      <c r="D24" s="527" t="s">
        <v>376</v>
      </c>
      <c r="E24" s="482"/>
      <c r="F24" s="483"/>
      <c r="G24" s="526">
        <v>21</v>
      </c>
      <c r="H24" s="526">
        <v>1301.0613089601732</v>
      </c>
      <c r="I24" s="526">
        <v>61.955300426674917</v>
      </c>
      <c r="J24" s="241" t="s">
        <v>939</v>
      </c>
      <c r="K24" s="767"/>
      <c r="L24" s="745"/>
      <c r="M24" s="152"/>
      <c r="P24" s="253"/>
      <c r="Q24" s="253"/>
      <c r="R24" s="253"/>
    </row>
    <row r="25" spans="1:18" ht="15.75" customHeight="1">
      <c r="A25" s="742"/>
      <c r="B25" s="743"/>
      <c r="C25" s="165" t="s">
        <v>836</v>
      </c>
      <c r="D25" s="481" t="s">
        <v>902</v>
      </c>
      <c r="E25" s="482"/>
      <c r="F25" s="483"/>
      <c r="G25" s="526">
        <v>19</v>
      </c>
      <c r="H25" s="526">
        <v>1326.5046640144703</v>
      </c>
      <c r="I25" s="526">
        <v>69.816034948130024</v>
      </c>
      <c r="J25" s="243" t="s">
        <v>962</v>
      </c>
      <c r="K25" s="768" t="s">
        <v>947</v>
      </c>
      <c r="L25" s="745"/>
      <c r="M25" s="152"/>
      <c r="P25" s="253"/>
      <c r="Q25" s="253"/>
      <c r="R25" s="253"/>
    </row>
    <row r="26" spans="1:18" ht="15.75" customHeight="1">
      <c r="A26" s="742"/>
      <c r="B26" s="743"/>
      <c r="C26" s="165" t="s">
        <v>837</v>
      </c>
      <c r="D26" s="481" t="s">
        <v>373</v>
      </c>
      <c r="E26" s="482"/>
      <c r="F26" s="483"/>
      <c r="G26" s="526">
        <v>18</v>
      </c>
      <c r="H26" s="526">
        <v>1276.1500994730402</v>
      </c>
      <c r="I26" s="526">
        <v>70.897227748502232</v>
      </c>
      <c r="J26" s="242" t="s">
        <v>961</v>
      </c>
      <c r="K26" s="768" t="s">
        <v>947</v>
      </c>
      <c r="L26" s="745"/>
      <c r="M26" s="152"/>
      <c r="P26" s="253"/>
      <c r="Q26" s="253"/>
      <c r="R26" s="253"/>
    </row>
    <row r="27" spans="1:18" ht="15.75" customHeight="1">
      <c r="A27" s="742"/>
      <c r="B27" s="743"/>
      <c r="C27" s="165" t="s">
        <v>838</v>
      </c>
      <c r="D27" s="481" t="s">
        <v>377</v>
      </c>
      <c r="E27" s="482"/>
      <c r="F27" s="483"/>
      <c r="G27" s="526">
        <v>19</v>
      </c>
      <c r="H27" s="526">
        <v>1354.857975757463</v>
      </c>
      <c r="I27" s="526">
        <v>71.308314513550684</v>
      </c>
      <c r="J27" s="241" t="s">
        <v>939</v>
      </c>
      <c r="K27" s="767"/>
      <c r="L27" s="745"/>
      <c r="M27" s="152"/>
      <c r="P27" s="253"/>
      <c r="Q27" s="253"/>
      <c r="R27" s="253"/>
    </row>
    <row r="28" spans="1:18" ht="15.75" customHeight="1">
      <c r="A28" s="742"/>
      <c r="B28" s="743"/>
      <c r="C28" s="165" t="s">
        <v>839</v>
      </c>
      <c r="D28" s="481" t="s">
        <v>692</v>
      </c>
      <c r="E28" s="482"/>
      <c r="F28" s="483"/>
      <c r="G28" s="526">
        <v>18</v>
      </c>
      <c r="H28" s="526">
        <v>1286.327237281723</v>
      </c>
      <c r="I28" s="526">
        <v>71.462624293429059</v>
      </c>
      <c r="J28" s="243" t="s">
        <v>962</v>
      </c>
      <c r="K28" s="768" t="s">
        <v>947</v>
      </c>
      <c r="L28" s="745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A19:A28"/>
    <mergeCell ref="B19:B28"/>
    <mergeCell ref="K24:L24"/>
    <mergeCell ref="K25:L25"/>
    <mergeCell ref="K26:L26"/>
    <mergeCell ref="K21:L22"/>
    <mergeCell ref="K23:L23"/>
    <mergeCell ref="K27:L27"/>
    <mergeCell ref="K28:L28"/>
    <mergeCell ref="K19:L19"/>
    <mergeCell ref="K20:L20"/>
    <mergeCell ref="A8:A17"/>
    <mergeCell ref="B8:B17"/>
    <mergeCell ref="A18:B18"/>
    <mergeCell ref="D18:F18"/>
    <mergeCell ref="K8:L8"/>
    <mergeCell ref="K9:L9"/>
    <mergeCell ref="K18:L18"/>
    <mergeCell ref="K17:L17"/>
    <mergeCell ref="K13:L13"/>
    <mergeCell ref="K14:L14"/>
    <mergeCell ref="K10:L10"/>
    <mergeCell ref="K11:L11"/>
    <mergeCell ref="K12:L12"/>
    <mergeCell ref="K15:L15"/>
    <mergeCell ref="K16:L16"/>
    <mergeCell ref="A1:L2"/>
    <mergeCell ref="A3:L4"/>
    <mergeCell ref="A5:A6"/>
    <mergeCell ref="A7:B7"/>
    <mergeCell ref="D7:F7"/>
    <mergeCell ref="K7:L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120"/>
    </row>
    <row r="2" spans="1:13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13" ht="15.75" customHeight="1">
      <c r="A3" s="756" t="s">
        <v>205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152"/>
    </row>
    <row r="4" spans="1:13" s="121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131"/>
    </row>
    <row r="5" spans="1:13" s="154" customFormat="1" ht="16.350000000000001" customHeight="1">
      <c r="A5" s="77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76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77" t="s">
        <v>833</v>
      </c>
      <c r="B7" s="778"/>
      <c r="C7" s="489" t="s">
        <v>834</v>
      </c>
      <c r="D7" s="777" t="s">
        <v>12</v>
      </c>
      <c r="E7" s="779"/>
      <c r="F7" s="778"/>
      <c r="G7" s="537" t="s">
        <v>46</v>
      </c>
      <c r="H7" s="537" t="s">
        <v>886</v>
      </c>
      <c r="I7" s="537" t="s">
        <v>887</v>
      </c>
      <c r="J7" s="223" t="s">
        <v>888</v>
      </c>
      <c r="K7" s="777" t="s">
        <v>51</v>
      </c>
      <c r="L7" s="778"/>
      <c r="M7" s="153"/>
    </row>
    <row r="8" spans="1:13" ht="15.75" customHeight="1">
      <c r="A8" s="775">
        <v>7</v>
      </c>
      <c r="B8" s="781" t="s">
        <v>135</v>
      </c>
      <c r="C8" s="490">
        <v>1</v>
      </c>
      <c r="D8" s="481" t="s">
        <v>756</v>
      </c>
      <c r="E8" s="482"/>
      <c r="F8" s="483"/>
      <c r="G8" s="526">
        <v>13.857142857142858</v>
      </c>
      <c r="H8" s="526">
        <v>1257.9562542720435</v>
      </c>
      <c r="I8" s="526">
        <v>90.86443631556412</v>
      </c>
      <c r="J8" s="241" t="s">
        <v>1032</v>
      </c>
      <c r="K8" s="740"/>
      <c r="L8" s="741"/>
      <c r="M8" s="131"/>
    </row>
    <row r="9" spans="1:13" ht="15.75" customHeight="1">
      <c r="A9" s="780"/>
      <c r="B9" s="782"/>
      <c r="C9" s="490">
        <v>2</v>
      </c>
      <c r="D9" s="527" t="s">
        <v>799</v>
      </c>
      <c r="E9" s="482"/>
      <c r="F9" s="483"/>
      <c r="G9" s="526">
        <v>17</v>
      </c>
      <c r="H9" s="526">
        <v>1450.9100879265932</v>
      </c>
      <c r="I9" s="526">
        <v>85.347652230976081</v>
      </c>
      <c r="J9" s="241" t="s">
        <v>1032</v>
      </c>
      <c r="K9" s="773"/>
      <c r="L9" s="774"/>
      <c r="M9" s="131"/>
    </row>
    <row r="10" spans="1:13" ht="15.75" customHeight="1">
      <c r="A10" s="780"/>
      <c r="B10" s="782"/>
      <c r="C10" s="490">
        <v>3</v>
      </c>
      <c r="D10" s="481" t="s">
        <v>940</v>
      </c>
      <c r="E10" s="482"/>
      <c r="F10" s="483"/>
      <c r="G10" s="526">
        <v>16</v>
      </c>
      <c r="H10" s="526">
        <v>1341.2671945915988</v>
      </c>
      <c r="I10" s="526">
        <v>83.829199661974926</v>
      </c>
      <c r="J10" s="241" t="s">
        <v>1032</v>
      </c>
      <c r="K10" s="773"/>
      <c r="L10" s="774"/>
      <c r="M10" s="131"/>
    </row>
    <row r="11" spans="1:13" ht="15.75" customHeight="1">
      <c r="A11" s="780"/>
      <c r="B11" s="782"/>
      <c r="C11" s="490">
        <v>4</v>
      </c>
      <c r="D11" s="481"/>
      <c r="E11" s="482"/>
      <c r="F11" s="483"/>
      <c r="G11" s="526"/>
      <c r="H11" s="526"/>
      <c r="I11" s="526"/>
      <c r="J11" s="241"/>
      <c r="K11" s="773"/>
      <c r="L11" s="774"/>
      <c r="M11" s="131"/>
    </row>
    <row r="12" spans="1:13" ht="15.75" customHeight="1">
      <c r="A12" s="780"/>
      <c r="B12" s="782"/>
      <c r="C12" s="490">
        <v>5</v>
      </c>
      <c r="D12" s="481"/>
      <c r="E12" s="482"/>
      <c r="F12" s="483"/>
      <c r="G12" s="526"/>
      <c r="H12" s="526"/>
      <c r="I12" s="526"/>
      <c r="J12" s="241"/>
      <c r="K12" s="773"/>
      <c r="L12" s="774"/>
      <c r="M12" s="131"/>
    </row>
    <row r="13" spans="1:13" ht="15.75" customHeight="1">
      <c r="A13" s="780"/>
      <c r="B13" s="782"/>
      <c r="C13" s="165" t="s">
        <v>835</v>
      </c>
      <c r="D13" s="527"/>
      <c r="E13" s="482"/>
      <c r="F13" s="483"/>
      <c r="G13" s="526"/>
      <c r="H13" s="526"/>
      <c r="I13" s="526"/>
      <c r="J13" s="241"/>
      <c r="K13" s="773"/>
      <c r="L13" s="774"/>
      <c r="M13" s="131"/>
    </row>
    <row r="14" spans="1:13" ht="15.75" customHeight="1">
      <c r="A14" s="780"/>
      <c r="B14" s="782"/>
      <c r="C14" s="165" t="s">
        <v>836</v>
      </c>
      <c r="D14" s="481"/>
      <c r="E14" s="482"/>
      <c r="F14" s="483"/>
      <c r="G14" s="526"/>
      <c r="H14" s="526"/>
      <c r="I14" s="526"/>
      <c r="J14" s="241"/>
      <c r="K14" s="784"/>
      <c r="L14" s="774"/>
      <c r="M14" s="131"/>
    </row>
    <row r="15" spans="1:13" ht="15.75" customHeight="1">
      <c r="A15" s="780"/>
      <c r="B15" s="782"/>
      <c r="C15" s="165" t="s">
        <v>837</v>
      </c>
      <c r="D15" s="481"/>
      <c r="E15" s="482"/>
      <c r="F15" s="483"/>
      <c r="G15" s="526"/>
      <c r="H15" s="526"/>
      <c r="I15" s="526"/>
      <c r="J15" s="241"/>
      <c r="K15" s="784"/>
      <c r="L15" s="774"/>
      <c r="M15" s="131"/>
    </row>
    <row r="16" spans="1:13" ht="15.75" customHeight="1">
      <c r="A16" s="780"/>
      <c r="B16" s="782"/>
      <c r="C16" s="165" t="s">
        <v>838</v>
      </c>
      <c r="D16" s="481"/>
      <c r="E16" s="482"/>
      <c r="F16" s="483"/>
      <c r="G16" s="526"/>
      <c r="H16" s="526"/>
      <c r="I16" s="526"/>
      <c r="J16" s="241"/>
      <c r="K16" s="784"/>
      <c r="L16" s="774"/>
      <c r="M16" s="152"/>
    </row>
    <row r="17" spans="1:13" ht="15.75" customHeight="1">
      <c r="A17" s="776"/>
      <c r="B17" s="783"/>
      <c r="C17" s="165" t="s">
        <v>839</v>
      </c>
      <c r="D17" s="481"/>
      <c r="E17" s="482"/>
      <c r="F17" s="483"/>
      <c r="G17" s="592"/>
      <c r="H17" s="592"/>
      <c r="I17" s="592"/>
      <c r="J17" s="592"/>
      <c r="K17" s="784"/>
      <c r="L17" s="774"/>
      <c r="M17" s="152"/>
    </row>
    <row r="18" spans="1:13" s="162" customFormat="1" ht="15.75" customHeight="1">
      <c r="A18" s="785" t="s">
        <v>833</v>
      </c>
      <c r="B18" s="786"/>
      <c r="C18" s="491" t="s">
        <v>834</v>
      </c>
      <c r="D18" s="785" t="s">
        <v>12</v>
      </c>
      <c r="E18" s="787"/>
      <c r="F18" s="786"/>
      <c r="G18" s="593" t="s">
        <v>1037</v>
      </c>
      <c r="H18" s="593" t="s">
        <v>1038</v>
      </c>
      <c r="I18" s="593" t="s">
        <v>1039</v>
      </c>
      <c r="J18" s="223" t="s">
        <v>1040</v>
      </c>
      <c r="K18" s="785" t="s">
        <v>1041</v>
      </c>
      <c r="L18" s="786"/>
      <c r="M18" s="155"/>
    </row>
    <row r="19" spans="1:13" ht="15.75" customHeight="1">
      <c r="A19" s="775">
        <v>8</v>
      </c>
      <c r="B19" s="781" t="s">
        <v>136</v>
      </c>
      <c r="C19" s="490">
        <v>1</v>
      </c>
      <c r="D19" s="481" t="s">
        <v>380</v>
      </c>
      <c r="E19" s="482"/>
      <c r="F19" s="483"/>
      <c r="G19" s="526">
        <v>19.857142857142858</v>
      </c>
      <c r="H19" s="526">
        <v>2643.111347572752</v>
      </c>
      <c r="I19" s="526">
        <v>133.17242403641109</v>
      </c>
      <c r="J19" s="242" t="s">
        <v>1033</v>
      </c>
      <c r="K19" s="761" t="s">
        <v>1034</v>
      </c>
      <c r="L19" s="762"/>
      <c r="M19" s="152"/>
    </row>
    <row r="20" spans="1:13" ht="15.75" customHeight="1">
      <c r="A20" s="780"/>
      <c r="B20" s="782"/>
      <c r="C20" s="490">
        <v>2</v>
      </c>
      <c r="D20" s="481" t="s">
        <v>379</v>
      </c>
      <c r="E20" s="482"/>
      <c r="F20" s="483"/>
      <c r="G20" s="526">
        <v>19</v>
      </c>
      <c r="H20" s="526">
        <v>2512.6359254626518</v>
      </c>
      <c r="I20" s="526">
        <v>132.24399607698166</v>
      </c>
      <c r="J20" s="243" t="s">
        <v>1035</v>
      </c>
      <c r="K20" s="765"/>
      <c r="L20" s="766"/>
      <c r="M20" s="152"/>
    </row>
    <row r="21" spans="1:13" ht="15.75" customHeight="1">
      <c r="A21" s="780"/>
      <c r="B21" s="782"/>
      <c r="C21" s="490">
        <v>3</v>
      </c>
      <c r="D21" s="527" t="s">
        <v>381</v>
      </c>
      <c r="E21" s="482"/>
      <c r="F21" s="483"/>
      <c r="G21" s="526">
        <v>20</v>
      </c>
      <c r="H21" s="526">
        <v>2522.1859490527422</v>
      </c>
      <c r="I21" s="526">
        <v>126.10929745263714</v>
      </c>
      <c r="J21" s="241" t="s">
        <v>1032</v>
      </c>
      <c r="K21" s="790"/>
      <c r="L21" s="791"/>
      <c r="M21" s="152"/>
    </row>
    <row r="22" spans="1:13" ht="15.75" customHeight="1">
      <c r="A22" s="780"/>
      <c r="B22" s="782"/>
      <c r="C22" s="490">
        <v>4</v>
      </c>
      <c r="D22" s="481" t="s">
        <v>763</v>
      </c>
      <c r="E22" s="482"/>
      <c r="F22" s="483"/>
      <c r="G22" s="526">
        <v>18</v>
      </c>
      <c r="H22" s="526">
        <v>2198.375006451327</v>
      </c>
      <c r="I22" s="526">
        <v>122.13194480285146</v>
      </c>
      <c r="J22" s="241" t="s">
        <v>1032</v>
      </c>
      <c r="K22" s="790"/>
      <c r="L22" s="791"/>
      <c r="M22" s="152"/>
    </row>
    <row r="23" spans="1:13" ht="15.75" customHeight="1">
      <c r="A23" s="780"/>
      <c r="B23" s="782"/>
      <c r="C23" s="490">
        <v>5</v>
      </c>
      <c r="D23" s="481" t="s">
        <v>378</v>
      </c>
      <c r="E23" s="482"/>
      <c r="F23" s="483"/>
      <c r="G23" s="526">
        <v>20</v>
      </c>
      <c r="H23" s="526">
        <v>2262.658236969658</v>
      </c>
      <c r="I23" s="526">
        <v>113.13291184848289</v>
      </c>
      <c r="J23" s="241" t="s">
        <v>1032</v>
      </c>
      <c r="K23" s="790"/>
      <c r="L23" s="791"/>
      <c r="M23" s="152"/>
    </row>
    <row r="24" spans="1:13" ht="15.75" customHeight="1">
      <c r="A24" s="780"/>
      <c r="B24" s="782"/>
      <c r="C24" s="165" t="s">
        <v>835</v>
      </c>
      <c r="D24" s="481"/>
      <c r="E24" s="482"/>
      <c r="F24" s="483"/>
      <c r="G24" s="592"/>
      <c r="H24" s="592"/>
      <c r="I24" s="592"/>
      <c r="J24" s="592"/>
      <c r="K24" s="790"/>
      <c r="L24" s="791"/>
      <c r="M24" s="152"/>
    </row>
    <row r="25" spans="1:13" ht="15.75" customHeight="1">
      <c r="A25" s="780"/>
      <c r="B25" s="782"/>
      <c r="C25" s="165" t="s">
        <v>836</v>
      </c>
      <c r="D25" s="481"/>
      <c r="E25" s="482"/>
      <c r="F25" s="483"/>
      <c r="G25" s="592"/>
      <c r="H25" s="592"/>
      <c r="I25" s="592"/>
      <c r="J25" s="592"/>
      <c r="K25" s="788"/>
      <c r="L25" s="789"/>
      <c r="M25" s="152"/>
    </row>
    <row r="26" spans="1:13" ht="15.75" customHeight="1">
      <c r="A26" s="780"/>
      <c r="B26" s="782"/>
      <c r="C26" s="165" t="s">
        <v>837</v>
      </c>
      <c r="D26" s="481"/>
      <c r="E26" s="482"/>
      <c r="F26" s="483"/>
      <c r="G26" s="592"/>
      <c r="H26" s="592"/>
      <c r="I26" s="592"/>
      <c r="J26" s="592"/>
      <c r="K26" s="788"/>
      <c r="L26" s="789"/>
      <c r="M26" s="152"/>
    </row>
    <row r="27" spans="1:13" ht="15.75" customHeight="1">
      <c r="A27" s="780"/>
      <c r="B27" s="782"/>
      <c r="C27" s="165" t="s">
        <v>838</v>
      </c>
      <c r="D27" s="481"/>
      <c r="E27" s="482"/>
      <c r="F27" s="483"/>
      <c r="G27" s="592"/>
      <c r="H27" s="592"/>
      <c r="I27" s="592"/>
      <c r="J27" s="592"/>
      <c r="K27" s="788"/>
      <c r="L27" s="789"/>
      <c r="M27" s="152"/>
    </row>
    <row r="28" spans="1:13" ht="15.75" customHeight="1">
      <c r="A28" s="776"/>
      <c r="B28" s="783"/>
      <c r="C28" s="165" t="s">
        <v>839</v>
      </c>
      <c r="D28" s="481"/>
      <c r="E28" s="482"/>
      <c r="F28" s="483"/>
      <c r="G28" s="592"/>
      <c r="H28" s="592"/>
      <c r="I28" s="592"/>
      <c r="J28" s="592"/>
      <c r="K28" s="788"/>
      <c r="L28" s="78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21:L21"/>
    <mergeCell ref="K19:L20"/>
    <mergeCell ref="K11:L11"/>
    <mergeCell ref="K12:L12"/>
    <mergeCell ref="A18:B18"/>
    <mergeCell ref="D18:F18"/>
    <mergeCell ref="K18:L18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S37" sqref="S37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120"/>
    </row>
    <row r="2" spans="1:13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13" ht="15.75" customHeight="1">
      <c r="A3" s="756" t="s">
        <v>205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152"/>
    </row>
    <row r="4" spans="1:13" s="121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131"/>
    </row>
    <row r="5" spans="1:13" s="154" customFormat="1" ht="16.350000000000001" customHeight="1">
      <c r="A5" s="77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76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77" t="s">
        <v>833</v>
      </c>
      <c r="B7" s="778"/>
      <c r="C7" s="489" t="s">
        <v>834</v>
      </c>
      <c r="D7" s="777" t="s">
        <v>12</v>
      </c>
      <c r="E7" s="779"/>
      <c r="F7" s="778"/>
      <c r="G7" s="537" t="s">
        <v>881</v>
      </c>
      <c r="H7" s="537" t="s">
        <v>882</v>
      </c>
      <c r="I7" s="537" t="s">
        <v>883</v>
      </c>
      <c r="J7" s="223" t="s">
        <v>884</v>
      </c>
      <c r="K7" s="777" t="s">
        <v>885</v>
      </c>
      <c r="L7" s="778"/>
      <c r="M7" s="153"/>
    </row>
    <row r="8" spans="1:13" ht="15.75" customHeight="1">
      <c r="A8" s="775">
        <v>9</v>
      </c>
      <c r="B8" s="781" t="s">
        <v>137</v>
      </c>
      <c r="C8" s="490">
        <v>1</v>
      </c>
      <c r="D8" s="481" t="s">
        <v>946</v>
      </c>
      <c r="E8" s="482"/>
      <c r="F8" s="483"/>
      <c r="G8" s="526">
        <v>6</v>
      </c>
      <c r="H8" s="526">
        <v>1530.2085985964859</v>
      </c>
      <c r="I8" s="526">
        <v>255.03476643274766</v>
      </c>
      <c r="J8" s="241" t="s">
        <v>1032</v>
      </c>
      <c r="K8" s="759"/>
      <c r="L8" s="741"/>
      <c r="M8" s="131"/>
    </row>
    <row r="9" spans="1:13" ht="15.75" customHeight="1">
      <c r="A9" s="780"/>
      <c r="B9" s="782"/>
      <c r="C9" s="490">
        <v>2</v>
      </c>
      <c r="D9" s="481" t="s">
        <v>384</v>
      </c>
      <c r="E9" s="482"/>
      <c r="F9" s="483"/>
      <c r="G9" s="526">
        <v>7</v>
      </c>
      <c r="H9" s="526">
        <v>1491.4584032616069</v>
      </c>
      <c r="I9" s="526">
        <v>213.06548618022956</v>
      </c>
      <c r="J9" s="242" t="s">
        <v>1033</v>
      </c>
      <c r="K9" s="769" t="s">
        <v>1045</v>
      </c>
      <c r="L9" s="770"/>
      <c r="M9" s="131"/>
    </row>
    <row r="10" spans="1:13" ht="15.75" customHeight="1">
      <c r="A10" s="780"/>
      <c r="B10" s="782"/>
      <c r="C10" s="490">
        <v>3</v>
      </c>
      <c r="D10" s="481" t="s">
        <v>457</v>
      </c>
      <c r="E10" s="482"/>
      <c r="F10" s="483"/>
      <c r="G10" s="526">
        <v>7</v>
      </c>
      <c r="H10" s="526">
        <v>1491.354042102342</v>
      </c>
      <c r="I10" s="526">
        <v>213.05057744319174</v>
      </c>
      <c r="J10" s="241" t="s">
        <v>1032</v>
      </c>
      <c r="K10" s="792"/>
      <c r="L10" s="793"/>
      <c r="M10" s="131"/>
    </row>
    <row r="11" spans="1:13" ht="15.75" customHeight="1">
      <c r="A11" s="780"/>
      <c r="B11" s="782"/>
      <c r="C11" s="490">
        <v>4</v>
      </c>
      <c r="D11" s="527" t="s">
        <v>903</v>
      </c>
      <c r="E11" s="482"/>
      <c r="F11" s="483"/>
      <c r="G11" s="526">
        <v>7</v>
      </c>
      <c r="H11" s="526">
        <v>1489.7524416471174</v>
      </c>
      <c r="I11" s="526">
        <v>212.82177737815965</v>
      </c>
      <c r="J11" s="241" t="s">
        <v>1032</v>
      </c>
      <c r="K11" s="792"/>
      <c r="L11" s="793"/>
      <c r="M11" s="131"/>
    </row>
    <row r="12" spans="1:13" ht="15.75" customHeight="1">
      <c r="A12" s="780"/>
      <c r="B12" s="782"/>
      <c r="C12" s="490">
        <v>5</v>
      </c>
      <c r="D12" s="481" t="s">
        <v>383</v>
      </c>
      <c r="E12" s="482"/>
      <c r="F12" s="483"/>
      <c r="G12" s="592">
        <v>7</v>
      </c>
      <c r="H12" s="526">
        <v>1485.8248746326426</v>
      </c>
      <c r="I12" s="526">
        <v>212.2606963760918</v>
      </c>
      <c r="J12" s="243" t="s">
        <v>1035</v>
      </c>
      <c r="K12" s="771"/>
      <c r="L12" s="772"/>
      <c r="M12" s="131"/>
    </row>
    <row r="13" spans="1:13" ht="15.75" customHeight="1">
      <c r="A13" s="780"/>
      <c r="B13" s="782"/>
      <c r="C13" s="165" t="s">
        <v>835</v>
      </c>
      <c r="D13" s="481" t="s">
        <v>349</v>
      </c>
      <c r="E13" s="482"/>
      <c r="F13" s="483"/>
      <c r="G13" s="526">
        <v>19.571428571428573</v>
      </c>
      <c r="H13" s="526">
        <v>1371.7857621326377</v>
      </c>
      <c r="I13" s="526">
        <v>70.139814021963119</v>
      </c>
      <c r="J13" s="241" t="s">
        <v>1032</v>
      </c>
      <c r="K13" s="740"/>
      <c r="L13" s="741"/>
      <c r="M13" s="131"/>
    </row>
    <row r="14" spans="1:13" ht="15.75" customHeight="1">
      <c r="A14" s="780"/>
      <c r="B14" s="782"/>
      <c r="C14" s="165" t="s">
        <v>836</v>
      </c>
      <c r="D14" s="481" t="s">
        <v>385</v>
      </c>
      <c r="E14" s="482"/>
      <c r="F14" s="483"/>
      <c r="G14" s="526">
        <v>16</v>
      </c>
      <c r="H14" s="526">
        <v>1419.4195708370441</v>
      </c>
      <c r="I14" s="526">
        <v>88.713723177315259</v>
      </c>
      <c r="J14" s="241" t="s">
        <v>1032</v>
      </c>
      <c r="K14" s="784"/>
      <c r="L14" s="774"/>
      <c r="M14" s="131"/>
    </row>
    <row r="15" spans="1:13" ht="15.75" customHeight="1">
      <c r="A15" s="780"/>
      <c r="B15" s="782"/>
      <c r="C15" s="165" t="s">
        <v>837</v>
      </c>
      <c r="D15" s="481"/>
      <c r="E15" s="482"/>
      <c r="F15" s="483"/>
      <c r="G15" s="526"/>
      <c r="H15" s="526"/>
      <c r="I15" s="526"/>
      <c r="J15" s="241"/>
      <c r="K15" s="784"/>
      <c r="L15" s="774"/>
      <c r="M15" s="131"/>
    </row>
    <row r="16" spans="1:13" ht="15.75" customHeight="1">
      <c r="A16" s="780"/>
      <c r="B16" s="782"/>
      <c r="C16" s="165" t="s">
        <v>838</v>
      </c>
      <c r="D16" s="481"/>
      <c r="E16" s="482"/>
      <c r="F16" s="483"/>
      <c r="G16" s="526"/>
      <c r="H16" s="526"/>
      <c r="I16" s="526"/>
      <c r="J16" s="242"/>
      <c r="K16" s="784"/>
      <c r="L16" s="774"/>
      <c r="M16" s="152"/>
    </row>
    <row r="17" spans="1:13" ht="15.75" customHeight="1">
      <c r="A17" s="776"/>
      <c r="B17" s="783"/>
      <c r="C17" s="165" t="s">
        <v>839</v>
      </c>
      <c r="D17" s="481"/>
      <c r="E17" s="482"/>
      <c r="F17" s="483"/>
      <c r="G17" s="592"/>
      <c r="H17" s="592"/>
      <c r="I17" s="592"/>
      <c r="J17" s="592"/>
      <c r="K17" s="784"/>
      <c r="L17" s="774"/>
      <c r="M17" s="152"/>
    </row>
    <row r="18" spans="1:13" s="162" customFormat="1" ht="15.75" customHeight="1">
      <c r="A18" s="785" t="s">
        <v>187</v>
      </c>
      <c r="B18" s="786"/>
      <c r="C18" s="287" t="s">
        <v>436</v>
      </c>
      <c r="D18" s="785" t="s">
        <v>12</v>
      </c>
      <c r="E18" s="787"/>
      <c r="F18" s="786"/>
      <c r="G18" s="593" t="s">
        <v>1037</v>
      </c>
      <c r="H18" s="593" t="s">
        <v>1038</v>
      </c>
      <c r="I18" s="593" t="s">
        <v>1039</v>
      </c>
      <c r="J18" s="223" t="s">
        <v>1040</v>
      </c>
      <c r="K18" s="785" t="s">
        <v>1041</v>
      </c>
      <c r="L18" s="786"/>
      <c r="M18" s="155"/>
    </row>
    <row r="19" spans="1:13" ht="15.75" customHeight="1">
      <c r="A19" s="775"/>
      <c r="B19" s="781"/>
      <c r="C19" s="286">
        <v>1</v>
      </c>
      <c r="D19" s="481"/>
      <c r="E19" s="482"/>
      <c r="F19" s="483"/>
      <c r="G19" s="592"/>
      <c r="H19" s="592"/>
      <c r="I19" s="592"/>
      <c r="J19" s="592"/>
      <c r="K19" s="794"/>
      <c r="L19" s="795"/>
      <c r="M19" s="152"/>
    </row>
    <row r="20" spans="1:13" ht="15.75" customHeight="1">
      <c r="A20" s="780"/>
      <c r="B20" s="782"/>
      <c r="C20" s="286">
        <v>2</v>
      </c>
      <c r="D20" s="481"/>
      <c r="E20" s="482"/>
      <c r="F20" s="483"/>
      <c r="G20" s="592"/>
      <c r="H20" s="592"/>
      <c r="I20" s="592"/>
      <c r="J20" s="592"/>
      <c r="K20" s="796"/>
      <c r="L20" s="797"/>
      <c r="M20" s="152"/>
    </row>
    <row r="21" spans="1:13" ht="15.75" customHeight="1">
      <c r="A21" s="780"/>
      <c r="B21" s="782"/>
      <c r="C21" s="286">
        <v>3</v>
      </c>
      <c r="D21" s="481"/>
      <c r="E21" s="482"/>
      <c r="F21" s="483"/>
      <c r="G21" s="592"/>
      <c r="H21" s="592"/>
      <c r="I21" s="592"/>
      <c r="J21" s="592"/>
      <c r="K21" s="796"/>
      <c r="L21" s="797"/>
      <c r="M21" s="152"/>
    </row>
    <row r="22" spans="1:13" ht="15.75" customHeight="1">
      <c r="A22" s="780"/>
      <c r="B22" s="782"/>
      <c r="C22" s="286">
        <v>4</v>
      </c>
      <c r="D22" s="796"/>
      <c r="E22" s="798"/>
      <c r="F22" s="797"/>
      <c r="G22" s="285"/>
      <c r="H22" s="285"/>
      <c r="I22" s="285"/>
      <c r="J22" s="285"/>
      <c r="K22" s="796"/>
      <c r="L22" s="797"/>
      <c r="M22" s="152"/>
    </row>
    <row r="23" spans="1:13" ht="15.75" customHeight="1">
      <c r="A23" s="780"/>
      <c r="B23" s="782"/>
      <c r="C23" s="286">
        <v>5</v>
      </c>
      <c r="D23" s="796"/>
      <c r="E23" s="798"/>
      <c r="F23" s="797"/>
      <c r="G23" s="285"/>
      <c r="H23" s="285"/>
      <c r="I23" s="285"/>
      <c r="J23" s="285"/>
      <c r="K23" s="796"/>
      <c r="L23" s="797"/>
      <c r="M23" s="152"/>
    </row>
    <row r="24" spans="1:13" ht="15.75" customHeight="1">
      <c r="A24" s="780"/>
      <c r="B24" s="782"/>
      <c r="C24" s="165" t="s">
        <v>437</v>
      </c>
      <c r="D24" s="794"/>
      <c r="E24" s="799"/>
      <c r="F24" s="795"/>
      <c r="G24" s="285"/>
      <c r="H24" s="285"/>
      <c r="I24" s="285"/>
      <c r="J24" s="285"/>
      <c r="K24" s="794"/>
      <c r="L24" s="795"/>
      <c r="M24" s="152"/>
    </row>
    <row r="25" spans="1:13" ht="15.75" customHeight="1">
      <c r="A25" s="780"/>
      <c r="B25" s="782"/>
      <c r="C25" s="165" t="s">
        <v>438</v>
      </c>
      <c r="D25" s="796"/>
      <c r="E25" s="798"/>
      <c r="F25" s="797"/>
      <c r="G25" s="285"/>
      <c r="H25" s="285"/>
      <c r="I25" s="285"/>
      <c r="J25" s="285"/>
      <c r="K25" s="796"/>
      <c r="L25" s="797"/>
      <c r="M25" s="152"/>
    </row>
    <row r="26" spans="1:13" ht="15.75" customHeight="1">
      <c r="A26" s="780"/>
      <c r="B26" s="782"/>
      <c r="C26" s="165" t="s">
        <v>439</v>
      </c>
      <c r="D26" s="796"/>
      <c r="E26" s="798"/>
      <c r="F26" s="797"/>
      <c r="G26" s="285"/>
      <c r="H26" s="285"/>
      <c r="I26" s="285"/>
      <c r="J26" s="285"/>
      <c r="K26" s="796"/>
      <c r="L26" s="797"/>
      <c r="M26" s="152"/>
    </row>
    <row r="27" spans="1:13" ht="15.75" customHeight="1">
      <c r="A27" s="780"/>
      <c r="B27" s="782"/>
      <c r="C27" s="165" t="s">
        <v>440</v>
      </c>
      <c r="D27" s="796"/>
      <c r="E27" s="798"/>
      <c r="F27" s="797"/>
      <c r="G27" s="285"/>
      <c r="H27" s="285"/>
      <c r="I27" s="285"/>
      <c r="J27" s="285"/>
      <c r="K27" s="796"/>
      <c r="L27" s="797"/>
      <c r="M27" s="152"/>
    </row>
    <row r="28" spans="1:13" ht="15.75" customHeight="1">
      <c r="A28" s="776"/>
      <c r="B28" s="783"/>
      <c r="C28" s="165" t="s">
        <v>441</v>
      </c>
      <c r="D28" s="796"/>
      <c r="E28" s="798"/>
      <c r="F28" s="797"/>
      <c r="G28" s="285"/>
      <c r="H28" s="285"/>
      <c r="I28" s="285"/>
      <c r="J28" s="285"/>
      <c r="K28" s="796"/>
      <c r="L28" s="79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7">
    <mergeCell ref="K25:L25"/>
    <mergeCell ref="K22:L22"/>
    <mergeCell ref="D23:F23"/>
    <mergeCell ref="K24:L24"/>
    <mergeCell ref="K23:L23"/>
    <mergeCell ref="D24:F24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K8:L8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9:L12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02" t="s">
        <v>236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</row>
    <row r="2" spans="1:14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</row>
    <row r="3" spans="1:14" ht="15.75" customHeight="1">
      <c r="A3" s="803" t="s">
        <v>237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14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804" t="s">
        <v>239</v>
      </c>
      <c r="B6" s="805" t="s">
        <v>10</v>
      </c>
      <c r="C6" s="805"/>
      <c r="D6" s="806"/>
      <c r="E6" s="804" t="s">
        <v>239</v>
      </c>
      <c r="F6" s="808">
        <v>1</v>
      </c>
      <c r="G6" s="808"/>
      <c r="H6" s="808">
        <v>2</v>
      </c>
      <c r="I6" s="808"/>
      <c r="J6" s="808">
        <v>3</v>
      </c>
      <c r="K6" s="808"/>
      <c r="L6" s="808">
        <v>4</v>
      </c>
      <c r="M6" s="808"/>
    </row>
    <row r="7" spans="1:14" ht="31.35" customHeight="1">
      <c r="A7" s="804"/>
      <c r="B7" s="805"/>
      <c r="C7" s="805"/>
      <c r="D7" s="807"/>
      <c r="E7" s="804"/>
      <c r="F7" s="800" t="s">
        <v>250</v>
      </c>
      <c r="G7" s="800"/>
      <c r="H7" s="800" t="s">
        <v>240</v>
      </c>
      <c r="I7" s="800"/>
      <c r="J7" s="800" t="s">
        <v>241</v>
      </c>
      <c r="K7" s="800"/>
      <c r="L7" s="800" t="s">
        <v>242</v>
      </c>
      <c r="M7" s="800"/>
    </row>
    <row r="8" spans="1:14" ht="15.75" customHeight="1">
      <c r="A8" s="804"/>
      <c r="B8" s="216" t="s">
        <v>11</v>
      </c>
      <c r="C8" s="216" t="s">
        <v>243</v>
      </c>
      <c r="D8" s="807"/>
      <c r="E8" s="804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07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07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07"/>
      <c r="E11" s="804" t="s">
        <v>239</v>
      </c>
      <c r="F11" s="808">
        <v>5</v>
      </c>
      <c r="G11" s="808"/>
      <c r="H11" s="808">
        <v>6</v>
      </c>
      <c r="I11" s="808"/>
      <c r="J11" s="808">
        <v>7</v>
      </c>
      <c r="K11" s="808"/>
      <c r="L11" s="809">
        <v>8</v>
      </c>
      <c r="M11" s="809"/>
    </row>
    <row r="12" spans="1:14" ht="31.35" customHeight="1">
      <c r="D12" s="807"/>
      <c r="E12" s="804"/>
      <c r="F12" s="800" t="s">
        <v>246</v>
      </c>
      <c r="G12" s="800"/>
      <c r="H12" s="800" t="s">
        <v>247</v>
      </c>
      <c r="I12" s="800"/>
      <c r="J12" s="800" t="s">
        <v>248</v>
      </c>
      <c r="K12" s="800"/>
      <c r="L12" s="801" t="s">
        <v>249</v>
      </c>
      <c r="M12" s="801"/>
    </row>
    <row r="13" spans="1:14" ht="15.75" customHeight="1">
      <c r="D13" s="807"/>
      <c r="E13" s="804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07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07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431"/>
  <sheetViews>
    <sheetView topLeftCell="A419" zoomScale="110" zoomScaleNormal="110" zoomScaleSheetLayoutView="115" workbookViewId="0">
      <selection activeCell="H430" sqref="H430:H431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02" t="s">
        <v>236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</row>
    <row r="2" spans="1:14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</row>
    <row r="3" spans="1:14" ht="15.75" customHeight="1">
      <c r="A3" s="803" t="s">
        <v>399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14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804" t="s">
        <v>239</v>
      </c>
      <c r="B6" s="805" t="s">
        <v>10</v>
      </c>
      <c r="C6" s="805"/>
      <c r="D6" s="806"/>
      <c r="E6" s="804" t="s">
        <v>239</v>
      </c>
      <c r="F6" s="808">
        <v>1</v>
      </c>
      <c r="G6" s="808"/>
      <c r="H6" s="808">
        <v>2</v>
      </c>
      <c r="I6" s="808"/>
      <c r="J6" s="808">
        <v>3</v>
      </c>
      <c r="K6" s="808"/>
      <c r="L6" s="808">
        <v>4</v>
      </c>
      <c r="M6" s="808"/>
    </row>
    <row r="7" spans="1:14" ht="31.35" customHeight="1">
      <c r="A7" s="804"/>
      <c r="B7" s="805"/>
      <c r="C7" s="805"/>
      <c r="D7" s="807"/>
      <c r="E7" s="804"/>
      <c r="F7" s="800" t="s">
        <v>250</v>
      </c>
      <c r="G7" s="800"/>
      <c r="H7" s="800" t="s">
        <v>240</v>
      </c>
      <c r="I7" s="800"/>
      <c r="J7" s="800" t="s">
        <v>241</v>
      </c>
      <c r="K7" s="800"/>
      <c r="L7" s="800" t="s">
        <v>694</v>
      </c>
      <c r="M7" s="800"/>
    </row>
    <row r="8" spans="1:14" ht="15.75" customHeight="1">
      <c r="A8" s="804"/>
      <c r="B8" s="217" t="s">
        <v>11</v>
      </c>
      <c r="C8" s="217" t="s">
        <v>243</v>
      </c>
      <c r="D8" s="807"/>
      <c r="E8" s="804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07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07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07"/>
      <c r="E11" s="804" t="s">
        <v>239</v>
      </c>
      <c r="F11" s="808">
        <v>5</v>
      </c>
      <c r="G11" s="808"/>
      <c r="H11" s="808">
        <v>6</v>
      </c>
      <c r="I11" s="808"/>
      <c r="J11" s="808">
        <v>7</v>
      </c>
      <c r="K11" s="808"/>
      <c r="L11" s="809">
        <v>8</v>
      </c>
      <c r="M11" s="809"/>
    </row>
    <row r="12" spans="1:14" ht="31.35" customHeight="1">
      <c r="D12" s="807"/>
      <c r="E12" s="804"/>
      <c r="F12" s="800" t="s">
        <v>246</v>
      </c>
      <c r="G12" s="800"/>
      <c r="H12" s="800" t="s">
        <v>247</v>
      </c>
      <c r="I12" s="800"/>
      <c r="J12" s="800" t="s">
        <v>189</v>
      </c>
      <c r="K12" s="800"/>
      <c r="L12" s="801" t="s">
        <v>249</v>
      </c>
      <c r="M12" s="801"/>
    </row>
    <row r="13" spans="1:14" ht="15.75" customHeight="1">
      <c r="D13" s="807"/>
      <c r="E13" s="804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07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07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10" t="s">
        <v>400</v>
      </c>
      <c r="B16" s="811"/>
      <c r="C16" s="811"/>
      <c r="D16" s="811"/>
      <c r="E16" s="811"/>
      <c r="F16" s="811"/>
      <c r="G16" s="811"/>
      <c r="H16" s="811"/>
      <c r="I16" s="811"/>
      <c r="J16" s="811"/>
      <c r="K16" s="811"/>
      <c r="L16" s="811"/>
      <c r="M16" s="812"/>
    </row>
    <row r="17" spans="1:13" ht="15.75" customHeight="1">
      <c r="A17" s="813"/>
      <c r="B17" s="803"/>
      <c r="C17" s="803"/>
      <c r="D17" s="803"/>
      <c r="E17" s="803"/>
      <c r="F17" s="803"/>
      <c r="G17" s="803"/>
      <c r="H17" s="803"/>
      <c r="I17" s="803"/>
      <c r="J17" s="803"/>
      <c r="K17" s="803"/>
      <c r="L17" s="803"/>
      <c r="M17" s="814"/>
    </row>
    <row r="18" spans="1:13" ht="15.75" customHeight="1">
      <c r="A18" s="266" t="s">
        <v>401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15" t="s">
        <v>402</v>
      </c>
      <c r="B19" s="805" t="s">
        <v>10</v>
      </c>
      <c r="C19" s="805"/>
      <c r="D19" s="806"/>
      <c r="E19" s="804" t="s">
        <v>402</v>
      </c>
      <c r="F19" s="808">
        <v>1</v>
      </c>
      <c r="G19" s="808"/>
      <c r="H19" s="808">
        <v>2</v>
      </c>
      <c r="I19" s="808"/>
      <c r="J19" s="808">
        <v>3</v>
      </c>
      <c r="K19" s="808"/>
      <c r="L19" s="808">
        <v>4</v>
      </c>
      <c r="M19" s="817"/>
    </row>
    <row r="20" spans="1:13" ht="15.75" customHeight="1">
      <c r="A20" s="815"/>
      <c r="B20" s="805"/>
      <c r="C20" s="805"/>
      <c r="D20" s="807"/>
      <c r="E20" s="804"/>
      <c r="F20" s="800" t="s">
        <v>403</v>
      </c>
      <c r="G20" s="800"/>
      <c r="H20" s="800" t="s">
        <v>404</v>
      </c>
      <c r="I20" s="800"/>
      <c r="J20" s="800" t="s">
        <v>405</v>
      </c>
      <c r="K20" s="800"/>
      <c r="L20" s="800" t="s">
        <v>694</v>
      </c>
      <c r="M20" s="818"/>
    </row>
    <row r="21" spans="1:13" ht="15.75" customHeight="1">
      <c r="A21" s="815"/>
      <c r="B21" s="265" t="s">
        <v>11</v>
      </c>
      <c r="C21" s="265" t="s">
        <v>406</v>
      </c>
      <c r="D21" s="807"/>
      <c r="E21" s="804"/>
      <c r="F21" s="265" t="s">
        <v>11</v>
      </c>
      <c r="G21" s="265" t="s">
        <v>406</v>
      </c>
      <c r="H21" s="265" t="s">
        <v>11</v>
      </c>
      <c r="I21" s="265" t="s">
        <v>406</v>
      </c>
      <c r="J21" s="265" t="s">
        <v>11</v>
      </c>
      <c r="K21" s="265" t="s">
        <v>406</v>
      </c>
      <c r="L21" s="265" t="s">
        <v>11</v>
      </c>
      <c r="M21" s="268" t="s">
        <v>406</v>
      </c>
    </row>
    <row r="22" spans="1:13" ht="15.75" customHeight="1">
      <c r="A22" s="269" t="s">
        <v>407</v>
      </c>
      <c r="B22" s="270">
        <v>11676.691000000003</v>
      </c>
      <c r="C22" s="191">
        <f>B22/$B$18</f>
        <v>2.4063949520630024E-4</v>
      </c>
      <c r="D22" s="807"/>
      <c r="E22" s="189" t="s">
        <v>408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409</v>
      </c>
      <c r="B23" s="274">
        <v>18680.446015247508</v>
      </c>
      <c r="C23" s="191">
        <f>B23/$B$18</f>
        <v>3.8497662559861369E-4</v>
      </c>
      <c r="D23" s="807"/>
      <c r="E23" s="195" t="s">
        <v>409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07"/>
      <c r="E24" s="804" t="s">
        <v>410</v>
      </c>
      <c r="F24" s="808">
        <v>5</v>
      </c>
      <c r="G24" s="808"/>
      <c r="H24" s="808">
        <v>6</v>
      </c>
      <c r="I24" s="808"/>
      <c r="J24" s="808">
        <v>7</v>
      </c>
      <c r="K24" s="808"/>
      <c r="L24" s="809">
        <v>8</v>
      </c>
      <c r="M24" s="827"/>
    </row>
    <row r="25" spans="1:13" ht="15.75" customHeight="1">
      <c r="A25" s="275"/>
      <c r="B25" s="185"/>
      <c r="C25" s="185"/>
      <c r="D25" s="807"/>
      <c r="E25" s="804"/>
      <c r="F25" s="800" t="s">
        <v>411</v>
      </c>
      <c r="G25" s="800"/>
      <c r="H25" s="800" t="s">
        <v>412</v>
      </c>
      <c r="I25" s="800"/>
      <c r="J25" s="800" t="s">
        <v>413</v>
      </c>
      <c r="K25" s="800"/>
      <c r="L25" s="801" t="s">
        <v>414</v>
      </c>
      <c r="M25" s="828"/>
    </row>
    <row r="26" spans="1:13" ht="15.75" customHeight="1">
      <c r="A26" s="275"/>
      <c r="B26" s="185"/>
      <c r="C26" s="185"/>
      <c r="D26" s="807"/>
      <c r="E26" s="804"/>
      <c r="F26" s="265" t="s">
        <v>11</v>
      </c>
      <c r="G26" s="265" t="s">
        <v>415</v>
      </c>
      <c r="H26" s="265" t="s">
        <v>11</v>
      </c>
      <c r="I26" s="265" t="s">
        <v>415</v>
      </c>
      <c r="J26" s="265" t="s">
        <v>11</v>
      </c>
      <c r="K26" s="265" t="s">
        <v>415</v>
      </c>
      <c r="L26" s="265" t="s">
        <v>11</v>
      </c>
      <c r="M26" s="268" t="s">
        <v>415</v>
      </c>
    </row>
    <row r="27" spans="1:13" ht="15.75" customHeight="1">
      <c r="A27" s="276"/>
      <c r="B27" s="277"/>
      <c r="C27" s="277"/>
      <c r="D27" s="807"/>
      <c r="E27" s="189" t="s">
        <v>408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16"/>
      <c r="E28" s="280" t="s">
        <v>409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10" t="s">
        <v>442</v>
      </c>
      <c r="B29" s="811"/>
      <c r="C29" s="811"/>
      <c r="D29" s="811"/>
      <c r="E29" s="811"/>
      <c r="F29" s="811"/>
      <c r="G29" s="811"/>
      <c r="H29" s="811"/>
      <c r="I29" s="811"/>
      <c r="J29" s="811"/>
      <c r="K29" s="811"/>
      <c r="L29" s="811"/>
      <c r="M29" s="812"/>
    </row>
    <row r="30" spans="1:13" ht="15.75" customHeight="1">
      <c r="A30" s="813"/>
      <c r="B30" s="803"/>
      <c r="C30" s="803"/>
      <c r="D30" s="803"/>
      <c r="E30" s="803"/>
      <c r="F30" s="803"/>
      <c r="G30" s="803"/>
      <c r="H30" s="803"/>
      <c r="I30" s="803"/>
      <c r="J30" s="803"/>
      <c r="K30" s="803"/>
      <c r="L30" s="803"/>
      <c r="M30" s="814"/>
    </row>
    <row r="31" spans="1:13" ht="15.75" customHeight="1">
      <c r="A31" s="266" t="s">
        <v>443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15" t="s">
        <v>444</v>
      </c>
      <c r="B32" s="805" t="s">
        <v>10</v>
      </c>
      <c r="C32" s="805"/>
      <c r="D32" s="806"/>
      <c r="E32" s="804" t="s">
        <v>444</v>
      </c>
      <c r="F32" s="808">
        <v>1</v>
      </c>
      <c r="G32" s="808"/>
      <c r="H32" s="808">
        <v>2</v>
      </c>
      <c r="I32" s="808"/>
      <c r="J32" s="808">
        <v>3</v>
      </c>
      <c r="K32" s="808"/>
      <c r="L32" s="808">
        <v>4</v>
      </c>
      <c r="M32" s="817"/>
    </row>
    <row r="33" spans="1:13" ht="15.75" customHeight="1">
      <c r="A33" s="815"/>
      <c r="B33" s="805"/>
      <c r="C33" s="805"/>
      <c r="D33" s="807"/>
      <c r="E33" s="804"/>
      <c r="F33" s="800" t="s">
        <v>445</v>
      </c>
      <c r="G33" s="800"/>
      <c r="H33" s="800" t="s">
        <v>446</v>
      </c>
      <c r="I33" s="800"/>
      <c r="J33" s="800" t="s">
        <v>447</v>
      </c>
      <c r="K33" s="800"/>
      <c r="L33" s="800" t="s">
        <v>694</v>
      </c>
      <c r="M33" s="818"/>
    </row>
    <row r="34" spans="1:13" ht="15.75" customHeight="1">
      <c r="A34" s="815"/>
      <c r="B34" s="300" t="s">
        <v>11</v>
      </c>
      <c r="C34" s="300" t="s">
        <v>448</v>
      </c>
      <c r="D34" s="807"/>
      <c r="E34" s="804"/>
      <c r="F34" s="300" t="s">
        <v>11</v>
      </c>
      <c r="G34" s="300" t="s">
        <v>448</v>
      </c>
      <c r="H34" s="300" t="s">
        <v>11</v>
      </c>
      <c r="I34" s="300" t="s">
        <v>448</v>
      </c>
      <c r="J34" s="300" t="s">
        <v>11</v>
      </c>
      <c r="K34" s="300" t="s">
        <v>448</v>
      </c>
      <c r="L34" s="300" t="s">
        <v>11</v>
      </c>
      <c r="M34" s="268" t="s">
        <v>448</v>
      </c>
    </row>
    <row r="35" spans="1:13" ht="15.75" customHeight="1">
      <c r="A35" s="269" t="s">
        <v>449</v>
      </c>
      <c r="B35" s="270">
        <v>9800.9250000000029</v>
      </c>
      <c r="C35" s="191">
        <f>B35/$B$5</f>
        <v>1.2917542219835663E-4</v>
      </c>
      <c r="D35" s="807"/>
      <c r="E35" s="189" t="s">
        <v>449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450</v>
      </c>
      <c r="B36" s="274">
        <v>15896.425820000022</v>
      </c>
      <c r="C36" s="191">
        <f>B36/$B$5</f>
        <v>2.0951364455328042E-4</v>
      </c>
      <c r="D36" s="807"/>
      <c r="E36" s="195" t="s">
        <v>450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07"/>
      <c r="E37" s="804" t="s">
        <v>444</v>
      </c>
      <c r="F37" s="808">
        <v>5</v>
      </c>
      <c r="G37" s="808"/>
      <c r="H37" s="808">
        <v>6</v>
      </c>
      <c r="I37" s="808"/>
      <c r="J37" s="808">
        <v>7</v>
      </c>
      <c r="K37" s="808"/>
      <c r="L37" s="809">
        <v>8</v>
      </c>
      <c r="M37" s="827"/>
    </row>
    <row r="38" spans="1:13" ht="15.75" customHeight="1">
      <c r="A38" s="275"/>
      <c r="B38" s="185"/>
      <c r="C38" s="185"/>
      <c r="D38" s="807"/>
      <c r="E38" s="804"/>
      <c r="F38" s="800" t="s">
        <v>451</v>
      </c>
      <c r="G38" s="800"/>
      <c r="H38" s="800" t="s">
        <v>452</v>
      </c>
      <c r="I38" s="800"/>
      <c r="J38" s="800" t="s">
        <v>453</v>
      </c>
      <c r="K38" s="800"/>
      <c r="L38" s="801" t="s">
        <v>454</v>
      </c>
      <c r="M38" s="828"/>
    </row>
    <row r="39" spans="1:13" ht="15.75" customHeight="1">
      <c r="A39" s="275"/>
      <c r="B39" s="185"/>
      <c r="C39" s="185"/>
      <c r="D39" s="807"/>
      <c r="E39" s="804"/>
      <c r="F39" s="300" t="s">
        <v>11</v>
      </c>
      <c r="G39" s="300" t="s">
        <v>448</v>
      </c>
      <c r="H39" s="300" t="s">
        <v>11</v>
      </c>
      <c r="I39" s="300" t="s">
        <v>448</v>
      </c>
      <c r="J39" s="300" t="s">
        <v>11</v>
      </c>
      <c r="K39" s="300" t="s">
        <v>448</v>
      </c>
      <c r="L39" s="300" t="s">
        <v>11</v>
      </c>
      <c r="M39" s="268" t="s">
        <v>448</v>
      </c>
    </row>
    <row r="40" spans="1:13" ht="15.75" customHeight="1">
      <c r="A40" s="276"/>
      <c r="B40" s="277"/>
      <c r="C40" s="277"/>
      <c r="D40" s="807"/>
      <c r="E40" s="189" t="s">
        <v>449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16"/>
      <c r="E41" s="280" t="s">
        <v>450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10" t="s">
        <v>556</v>
      </c>
      <c r="B42" s="811"/>
      <c r="C42" s="811"/>
      <c r="D42" s="811"/>
      <c r="E42" s="811"/>
      <c r="F42" s="811"/>
      <c r="G42" s="811"/>
      <c r="H42" s="811"/>
      <c r="I42" s="811"/>
      <c r="J42" s="811"/>
      <c r="K42" s="811"/>
      <c r="L42" s="811"/>
      <c r="M42" s="812"/>
    </row>
    <row r="43" spans="1:13" ht="15.75" customHeight="1">
      <c r="A43" s="813"/>
      <c r="B43" s="803"/>
      <c r="C43" s="803"/>
      <c r="D43" s="803"/>
      <c r="E43" s="803"/>
      <c r="F43" s="803"/>
      <c r="G43" s="803"/>
      <c r="H43" s="803"/>
      <c r="I43" s="803"/>
      <c r="J43" s="803"/>
      <c r="K43" s="803"/>
      <c r="L43" s="803"/>
      <c r="M43" s="814"/>
    </row>
    <row r="44" spans="1:13" ht="15.75" customHeight="1">
      <c r="A44" s="266" t="s">
        <v>557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15" t="s">
        <v>558</v>
      </c>
      <c r="B45" s="805" t="s">
        <v>10</v>
      </c>
      <c r="C45" s="805"/>
      <c r="D45" s="806"/>
      <c r="E45" s="804" t="s">
        <v>558</v>
      </c>
      <c r="F45" s="808">
        <v>1</v>
      </c>
      <c r="G45" s="808"/>
      <c r="H45" s="808">
        <v>2</v>
      </c>
      <c r="I45" s="808"/>
      <c r="J45" s="808">
        <v>3</v>
      </c>
      <c r="K45" s="808"/>
      <c r="L45" s="808">
        <v>4</v>
      </c>
      <c r="M45" s="817"/>
    </row>
    <row r="46" spans="1:13" ht="15.75" customHeight="1">
      <c r="A46" s="815"/>
      <c r="B46" s="805"/>
      <c r="C46" s="805"/>
      <c r="D46" s="807"/>
      <c r="E46" s="804"/>
      <c r="F46" s="800" t="s">
        <v>559</v>
      </c>
      <c r="G46" s="800"/>
      <c r="H46" s="800" t="s">
        <v>560</v>
      </c>
      <c r="I46" s="800"/>
      <c r="J46" s="800" t="s">
        <v>561</v>
      </c>
      <c r="K46" s="800"/>
      <c r="L46" s="800" t="s">
        <v>694</v>
      </c>
      <c r="M46" s="818"/>
    </row>
    <row r="47" spans="1:13" ht="15.75" customHeight="1">
      <c r="A47" s="815"/>
      <c r="B47" s="323" t="s">
        <v>11</v>
      </c>
      <c r="C47" s="323" t="s">
        <v>562</v>
      </c>
      <c r="D47" s="807"/>
      <c r="E47" s="804"/>
      <c r="F47" s="323" t="s">
        <v>11</v>
      </c>
      <c r="G47" s="323" t="s">
        <v>562</v>
      </c>
      <c r="H47" s="323" t="s">
        <v>11</v>
      </c>
      <c r="I47" s="323" t="s">
        <v>562</v>
      </c>
      <c r="J47" s="323" t="s">
        <v>11</v>
      </c>
      <c r="K47" s="323" t="s">
        <v>562</v>
      </c>
      <c r="L47" s="323" t="s">
        <v>11</v>
      </c>
      <c r="M47" s="268" t="s">
        <v>562</v>
      </c>
    </row>
    <row r="48" spans="1:13" ht="15.75" customHeight="1">
      <c r="A48" s="269" t="s">
        <v>563</v>
      </c>
      <c r="B48" s="270">
        <v>9587.904999999997</v>
      </c>
      <c r="C48" s="191">
        <v>2.07137759662814E-4</v>
      </c>
      <c r="D48" s="807"/>
      <c r="E48" s="189" t="s">
        <v>563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564</v>
      </c>
      <c r="B49" s="274">
        <v>14733.35162000003</v>
      </c>
      <c r="C49" s="191">
        <v>3.1830034265997612E-4</v>
      </c>
      <c r="D49" s="807"/>
      <c r="E49" s="195" t="s">
        <v>564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07"/>
      <c r="E50" s="804" t="s">
        <v>558</v>
      </c>
      <c r="F50" s="808">
        <v>5</v>
      </c>
      <c r="G50" s="808"/>
      <c r="H50" s="808">
        <v>6</v>
      </c>
      <c r="I50" s="808"/>
      <c r="J50" s="808">
        <v>7</v>
      </c>
      <c r="K50" s="808"/>
      <c r="L50" s="809">
        <v>8</v>
      </c>
      <c r="M50" s="827"/>
    </row>
    <row r="51" spans="1:13" ht="15.75" customHeight="1">
      <c r="A51" s="275"/>
      <c r="B51" s="185"/>
      <c r="C51" s="185"/>
      <c r="D51" s="807"/>
      <c r="E51" s="804"/>
      <c r="F51" s="800" t="s">
        <v>565</v>
      </c>
      <c r="G51" s="800"/>
      <c r="H51" s="800" t="s">
        <v>566</v>
      </c>
      <c r="I51" s="800"/>
      <c r="J51" s="800" t="s">
        <v>567</v>
      </c>
      <c r="K51" s="800"/>
      <c r="L51" s="801" t="s">
        <v>568</v>
      </c>
      <c r="M51" s="828"/>
    </row>
    <row r="52" spans="1:13" ht="15.75" customHeight="1">
      <c r="A52" s="275"/>
      <c r="B52" s="185"/>
      <c r="C52" s="185"/>
      <c r="D52" s="807"/>
      <c r="E52" s="804"/>
      <c r="F52" s="323" t="s">
        <v>11</v>
      </c>
      <c r="G52" s="323" t="s">
        <v>562</v>
      </c>
      <c r="H52" s="323" t="s">
        <v>11</v>
      </c>
      <c r="I52" s="323" t="s">
        <v>562</v>
      </c>
      <c r="J52" s="323" t="s">
        <v>11</v>
      </c>
      <c r="K52" s="323" t="s">
        <v>562</v>
      </c>
      <c r="L52" s="323" t="s">
        <v>11</v>
      </c>
      <c r="M52" s="268" t="s">
        <v>562</v>
      </c>
    </row>
    <row r="53" spans="1:13" ht="15.75" customHeight="1">
      <c r="A53" s="276"/>
      <c r="B53" s="277"/>
      <c r="C53" s="277"/>
      <c r="D53" s="807"/>
      <c r="E53" s="189" t="s">
        <v>563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16"/>
      <c r="E54" s="280" t="s">
        <v>564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10" t="s">
        <v>569</v>
      </c>
      <c r="B55" s="811"/>
      <c r="C55" s="811"/>
      <c r="D55" s="811"/>
      <c r="E55" s="811"/>
      <c r="F55" s="811"/>
      <c r="G55" s="811"/>
      <c r="H55" s="811"/>
      <c r="I55" s="811"/>
      <c r="J55" s="811"/>
      <c r="K55" s="811"/>
      <c r="L55" s="811"/>
      <c r="M55" s="812"/>
    </row>
    <row r="56" spans="1:13" ht="15.75" customHeight="1">
      <c r="A56" s="813"/>
      <c r="B56" s="803"/>
      <c r="C56" s="803"/>
      <c r="D56" s="803"/>
      <c r="E56" s="803"/>
      <c r="F56" s="803"/>
      <c r="G56" s="803"/>
      <c r="H56" s="803"/>
      <c r="I56" s="803"/>
      <c r="J56" s="803"/>
      <c r="K56" s="803"/>
      <c r="L56" s="803"/>
      <c r="M56" s="814"/>
    </row>
    <row r="57" spans="1:13" ht="15.75" customHeight="1">
      <c r="A57" s="266" t="s">
        <v>557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15" t="s">
        <v>558</v>
      </c>
      <c r="B58" s="805" t="s">
        <v>10</v>
      </c>
      <c r="C58" s="805"/>
      <c r="D58" s="806"/>
      <c r="E58" s="804" t="s">
        <v>571</v>
      </c>
      <c r="F58" s="808">
        <v>1</v>
      </c>
      <c r="G58" s="808"/>
      <c r="H58" s="808">
        <v>2</v>
      </c>
      <c r="I58" s="808"/>
      <c r="J58" s="808">
        <v>3</v>
      </c>
      <c r="K58" s="808"/>
      <c r="L58" s="808">
        <v>4</v>
      </c>
      <c r="M58" s="817"/>
    </row>
    <row r="59" spans="1:13" ht="15.75" customHeight="1">
      <c r="A59" s="815"/>
      <c r="B59" s="805"/>
      <c r="C59" s="805"/>
      <c r="D59" s="807"/>
      <c r="E59" s="804"/>
      <c r="F59" s="800" t="s">
        <v>572</v>
      </c>
      <c r="G59" s="800"/>
      <c r="H59" s="800" t="s">
        <v>573</v>
      </c>
      <c r="I59" s="800"/>
      <c r="J59" s="800" t="s">
        <v>574</v>
      </c>
      <c r="K59" s="800"/>
      <c r="L59" s="800" t="s">
        <v>694</v>
      </c>
      <c r="M59" s="818"/>
    </row>
    <row r="60" spans="1:13" ht="15.75" customHeight="1">
      <c r="A60" s="815"/>
      <c r="B60" s="323" t="s">
        <v>11</v>
      </c>
      <c r="C60" s="323" t="s">
        <v>562</v>
      </c>
      <c r="D60" s="807"/>
      <c r="E60" s="804"/>
      <c r="F60" s="324" t="s">
        <v>11</v>
      </c>
      <c r="G60" s="324" t="s">
        <v>575</v>
      </c>
      <c r="H60" s="324" t="s">
        <v>11</v>
      </c>
      <c r="I60" s="324" t="s">
        <v>575</v>
      </c>
      <c r="J60" s="324" t="s">
        <v>11</v>
      </c>
      <c r="K60" s="324" t="s">
        <v>575</v>
      </c>
      <c r="L60" s="324" t="s">
        <v>11</v>
      </c>
      <c r="M60" s="268" t="s">
        <v>575</v>
      </c>
    </row>
    <row r="61" spans="1:13" ht="15.75" customHeight="1">
      <c r="A61" s="269" t="s">
        <v>563</v>
      </c>
      <c r="B61" s="270">
        <v>10199.575000000004</v>
      </c>
      <c r="C61" s="191">
        <f>B61/$B$57</f>
        <v>2.1089652644116832E-4</v>
      </c>
      <c r="D61" s="807"/>
      <c r="E61" s="189" t="s">
        <v>576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564</v>
      </c>
      <c r="B62" s="274">
        <v>38331.075293114794</v>
      </c>
      <c r="C62" s="191">
        <f>B62/$B$57</f>
        <v>7.9257132126316966E-4</v>
      </c>
      <c r="D62" s="807"/>
      <c r="E62" s="195" t="s">
        <v>577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07"/>
      <c r="E63" s="804" t="s">
        <v>571</v>
      </c>
      <c r="F63" s="819">
        <v>5</v>
      </c>
      <c r="G63" s="820"/>
      <c r="H63" s="819">
        <v>6</v>
      </c>
      <c r="I63" s="820"/>
      <c r="J63" s="819">
        <v>7</v>
      </c>
      <c r="K63" s="820"/>
      <c r="L63" s="821">
        <v>8</v>
      </c>
      <c r="M63" s="822"/>
    </row>
    <row r="64" spans="1:13" ht="15.75" customHeight="1">
      <c r="A64" s="275"/>
      <c r="B64" s="185"/>
      <c r="C64" s="185"/>
      <c r="D64" s="807"/>
      <c r="E64" s="804"/>
      <c r="F64" s="823" t="s">
        <v>578</v>
      </c>
      <c r="G64" s="824"/>
      <c r="H64" s="823" t="s">
        <v>579</v>
      </c>
      <c r="I64" s="824"/>
      <c r="J64" s="823" t="s">
        <v>580</v>
      </c>
      <c r="K64" s="824"/>
      <c r="L64" s="825" t="s">
        <v>581</v>
      </c>
      <c r="M64" s="826"/>
    </row>
    <row r="65" spans="1:13" ht="15.75" customHeight="1">
      <c r="A65" s="275"/>
      <c r="B65" s="185"/>
      <c r="C65" s="185"/>
      <c r="D65" s="807"/>
      <c r="E65" s="804"/>
      <c r="F65" s="324" t="s">
        <v>11</v>
      </c>
      <c r="G65" s="324" t="s">
        <v>575</v>
      </c>
      <c r="H65" s="324" t="s">
        <v>11</v>
      </c>
      <c r="I65" s="324" t="s">
        <v>575</v>
      </c>
      <c r="J65" s="324" t="s">
        <v>11</v>
      </c>
      <c r="K65" s="324" t="s">
        <v>575</v>
      </c>
      <c r="L65" s="324" t="s">
        <v>11</v>
      </c>
      <c r="M65" s="268" t="s">
        <v>575</v>
      </c>
    </row>
    <row r="66" spans="1:13" ht="15.75" customHeight="1">
      <c r="A66" s="276"/>
      <c r="B66" s="277"/>
      <c r="C66" s="277"/>
      <c r="D66" s="807"/>
      <c r="E66" s="189" t="s">
        <v>576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16"/>
      <c r="E67" s="280" t="s">
        <v>577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10" t="s">
        <v>591</v>
      </c>
      <c r="B68" s="811"/>
      <c r="C68" s="811"/>
      <c r="D68" s="811"/>
      <c r="E68" s="811"/>
      <c r="F68" s="811"/>
      <c r="G68" s="811"/>
      <c r="H68" s="811"/>
      <c r="I68" s="811"/>
      <c r="J68" s="811"/>
      <c r="K68" s="811"/>
      <c r="L68" s="811"/>
      <c r="M68" s="812"/>
    </row>
    <row r="69" spans="1:13" ht="15.75" customHeight="1">
      <c r="A69" s="813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14"/>
    </row>
    <row r="70" spans="1:13" ht="15.75" customHeight="1">
      <c r="A70" s="266" t="s">
        <v>592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15" t="s">
        <v>593</v>
      </c>
      <c r="B71" s="805" t="s">
        <v>10</v>
      </c>
      <c r="C71" s="805"/>
      <c r="D71" s="806"/>
      <c r="E71" s="804" t="s">
        <v>593</v>
      </c>
      <c r="F71" s="808">
        <v>1</v>
      </c>
      <c r="G71" s="808"/>
      <c r="H71" s="808">
        <v>2</v>
      </c>
      <c r="I71" s="808"/>
      <c r="J71" s="808">
        <v>3</v>
      </c>
      <c r="K71" s="808"/>
      <c r="L71" s="808">
        <v>4</v>
      </c>
      <c r="M71" s="817"/>
    </row>
    <row r="72" spans="1:13" ht="15.75" customHeight="1">
      <c r="A72" s="815"/>
      <c r="B72" s="805"/>
      <c r="C72" s="805"/>
      <c r="D72" s="807"/>
      <c r="E72" s="804"/>
      <c r="F72" s="800" t="s">
        <v>594</v>
      </c>
      <c r="G72" s="800"/>
      <c r="H72" s="800" t="s">
        <v>595</v>
      </c>
      <c r="I72" s="800"/>
      <c r="J72" s="800" t="s">
        <v>596</v>
      </c>
      <c r="K72" s="800"/>
      <c r="L72" s="800" t="s">
        <v>694</v>
      </c>
      <c r="M72" s="818"/>
    </row>
    <row r="73" spans="1:13" ht="15.75" customHeight="1">
      <c r="A73" s="815"/>
      <c r="B73" s="328" t="s">
        <v>11</v>
      </c>
      <c r="C73" s="328" t="s">
        <v>597</v>
      </c>
      <c r="D73" s="807"/>
      <c r="E73" s="804"/>
      <c r="F73" s="328" t="s">
        <v>11</v>
      </c>
      <c r="G73" s="328" t="s">
        <v>597</v>
      </c>
      <c r="H73" s="328" t="s">
        <v>11</v>
      </c>
      <c r="I73" s="328" t="s">
        <v>597</v>
      </c>
      <c r="J73" s="328" t="s">
        <v>11</v>
      </c>
      <c r="K73" s="328" t="s">
        <v>597</v>
      </c>
      <c r="L73" s="328" t="s">
        <v>11</v>
      </c>
      <c r="M73" s="268" t="s">
        <v>597</v>
      </c>
    </row>
    <row r="74" spans="1:13" ht="15.75" customHeight="1">
      <c r="A74" s="269" t="s">
        <v>598</v>
      </c>
      <c r="B74" s="270">
        <v>11260.655999999997</v>
      </c>
      <c r="C74" s="191">
        <f>B74/$B$70</f>
        <v>2.2311538027008538E-4</v>
      </c>
      <c r="D74" s="807"/>
      <c r="E74" s="189" t="s">
        <v>598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599</v>
      </c>
      <c r="B75" s="274">
        <v>30667.696349999991</v>
      </c>
      <c r="C75" s="191">
        <f>B75/$B$70</f>
        <v>6.0764086329764084E-4</v>
      </c>
      <c r="D75" s="807"/>
      <c r="E75" s="195" t="s">
        <v>599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07"/>
      <c r="E76" s="804" t="s">
        <v>593</v>
      </c>
      <c r="F76" s="819">
        <v>5</v>
      </c>
      <c r="G76" s="820"/>
      <c r="H76" s="819">
        <v>6</v>
      </c>
      <c r="I76" s="820"/>
      <c r="J76" s="819">
        <v>7</v>
      </c>
      <c r="K76" s="820"/>
      <c r="L76" s="821">
        <v>8</v>
      </c>
      <c r="M76" s="822"/>
    </row>
    <row r="77" spans="1:13" ht="15.75" customHeight="1">
      <c r="A77" s="275"/>
      <c r="B77" s="185"/>
      <c r="C77" s="185"/>
      <c r="D77" s="807"/>
      <c r="E77" s="804"/>
      <c r="F77" s="823" t="s">
        <v>600</v>
      </c>
      <c r="G77" s="824"/>
      <c r="H77" s="823" t="s">
        <v>601</v>
      </c>
      <c r="I77" s="824"/>
      <c r="J77" s="823" t="s">
        <v>602</v>
      </c>
      <c r="K77" s="824"/>
      <c r="L77" s="825" t="s">
        <v>603</v>
      </c>
      <c r="M77" s="826"/>
    </row>
    <row r="78" spans="1:13" ht="15.75" customHeight="1">
      <c r="A78" s="275"/>
      <c r="B78" s="185"/>
      <c r="C78" s="185"/>
      <c r="D78" s="807"/>
      <c r="E78" s="804"/>
      <c r="F78" s="328" t="s">
        <v>11</v>
      </c>
      <c r="G78" s="328" t="s">
        <v>597</v>
      </c>
      <c r="H78" s="328" t="s">
        <v>11</v>
      </c>
      <c r="I78" s="328" t="s">
        <v>597</v>
      </c>
      <c r="J78" s="328" t="s">
        <v>11</v>
      </c>
      <c r="K78" s="328" t="s">
        <v>597</v>
      </c>
      <c r="L78" s="328" t="s">
        <v>11</v>
      </c>
      <c r="M78" s="268" t="s">
        <v>597</v>
      </c>
    </row>
    <row r="79" spans="1:13" ht="15.75" customHeight="1">
      <c r="A79" s="276"/>
      <c r="B79" s="277"/>
      <c r="C79" s="277"/>
      <c r="D79" s="807"/>
      <c r="E79" s="189" t="s">
        <v>598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16"/>
      <c r="E80" s="280" t="s">
        <v>599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10" t="s">
        <v>633</v>
      </c>
      <c r="B81" s="811"/>
      <c r="C81" s="811"/>
      <c r="D81" s="811"/>
      <c r="E81" s="811"/>
      <c r="F81" s="811"/>
      <c r="G81" s="811"/>
      <c r="H81" s="811"/>
      <c r="I81" s="811"/>
      <c r="J81" s="811"/>
      <c r="K81" s="811"/>
      <c r="L81" s="811"/>
      <c r="M81" s="812"/>
    </row>
    <row r="82" spans="1:13" ht="15.75" customHeight="1">
      <c r="A82" s="813"/>
      <c r="B82" s="803"/>
      <c r="C82" s="803"/>
      <c r="D82" s="803"/>
      <c r="E82" s="803"/>
      <c r="F82" s="803"/>
      <c r="G82" s="803"/>
      <c r="H82" s="803"/>
      <c r="I82" s="803"/>
      <c r="J82" s="803"/>
      <c r="K82" s="803"/>
      <c r="L82" s="803"/>
      <c r="M82" s="814"/>
    </row>
    <row r="83" spans="1:13" ht="15.75" customHeight="1">
      <c r="A83" s="266" t="s">
        <v>634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15" t="s">
        <v>635</v>
      </c>
      <c r="B84" s="805" t="s">
        <v>10</v>
      </c>
      <c r="C84" s="805"/>
      <c r="D84" s="806"/>
      <c r="E84" s="804" t="s">
        <v>635</v>
      </c>
      <c r="F84" s="808">
        <v>1</v>
      </c>
      <c r="G84" s="808"/>
      <c r="H84" s="808">
        <v>2</v>
      </c>
      <c r="I84" s="808"/>
      <c r="J84" s="808">
        <v>3</v>
      </c>
      <c r="K84" s="808"/>
      <c r="L84" s="808">
        <v>4</v>
      </c>
      <c r="M84" s="817"/>
    </row>
    <row r="85" spans="1:13" ht="15.75" customHeight="1">
      <c r="A85" s="815"/>
      <c r="B85" s="805"/>
      <c r="C85" s="805"/>
      <c r="D85" s="807"/>
      <c r="E85" s="804"/>
      <c r="F85" s="800" t="s">
        <v>636</v>
      </c>
      <c r="G85" s="800"/>
      <c r="H85" s="800" t="s">
        <v>637</v>
      </c>
      <c r="I85" s="800"/>
      <c r="J85" s="800" t="s">
        <v>638</v>
      </c>
      <c r="K85" s="800"/>
      <c r="L85" s="800" t="s">
        <v>694</v>
      </c>
      <c r="M85" s="818"/>
    </row>
    <row r="86" spans="1:13" ht="15.75" customHeight="1">
      <c r="A86" s="815"/>
      <c r="B86" s="337" t="s">
        <v>11</v>
      </c>
      <c r="C86" s="337" t="s">
        <v>639</v>
      </c>
      <c r="D86" s="807"/>
      <c r="E86" s="804"/>
      <c r="F86" s="337" t="s">
        <v>11</v>
      </c>
      <c r="G86" s="337" t="s">
        <v>639</v>
      </c>
      <c r="H86" s="337" t="s">
        <v>11</v>
      </c>
      <c r="I86" s="337" t="s">
        <v>639</v>
      </c>
      <c r="J86" s="337" t="s">
        <v>11</v>
      </c>
      <c r="K86" s="337" t="s">
        <v>639</v>
      </c>
      <c r="L86" s="337" t="s">
        <v>11</v>
      </c>
      <c r="M86" s="268" t="s">
        <v>639</v>
      </c>
    </row>
    <row r="87" spans="1:13" ht="15.75" customHeight="1">
      <c r="A87" s="269" t="s">
        <v>640</v>
      </c>
      <c r="B87" s="270">
        <v>11250.800999999999</v>
      </c>
      <c r="C87" s="191">
        <f>B87/$B$83</f>
        <v>2.1321314577521793E-4</v>
      </c>
      <c r="D87" s="807"/>
      <c r="E87" s="189" t="s">
        <v>640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641</v>
      </c>
      <c r="B88" s="274">
        <v>29022.845779999985</v>
      </c>
      <c r="C88" s="191">
        <f>B88/$B$83</f>
        <v>5.5000992801337487E-4</v>
      </c>
      <c r="D88" s="807"/>
      <c r="E88" s="195" t="s">
        <v>641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07"/>
      <c r="E89" s="804" t="s">
        <v>635</v>
      </c>
      <c r="F89" s="819">
        <v>5</v>
      </c>
      <c r="G89" s="820"/>
      <c r="H89" s="819">
        <v>6</v>
      </c>
      <c r="I89" s="820"/>
      <c r="J89" s="819">
        <v>7</v>
      </c>
      <c r="K89" s="820"/>
      <c r="L89" s="821">
        <v>8</v>
      </c>
      <c r="M89" s="822"/>
    </row>
    <row r="90" spans="1:13" ht="15.75" customHeight="1">
      <c r="A90" s="275"/>
      <c r="B90" s="185"/>
      <c r="C90" s="185"/>
      <c r="D90" s="807"/>
      <c r="E90" s="804"/>
      <c r="F90" s="823" t="s">
        <v>642</v>
      </c>
      <c r="G90" s="824"/>
      <c r="H90" s="823" t="s">
        <v>643</v>
      </c>
      <c r="I90" s="824"/>
      <c r="J90" s="823" t="s">
        <v>644</v>
      </c>
      <c r="K90" s="824"/>
      <c r="L90" s="825" t="s">
        <v>645</v>
      </c>
      <c r="M90" s="826"/>
    </row>
    <row r="91" spans="1:13" ht="15.75" customHeight="1">
      <c r="A91" s="275"/>
      <c r="B91" s="185"/>
      <c r="C91" s="185"/>
      <c r="D91" s="807"/>
      <c r="E91" s="804"/>
      <c r="F91" s="337" t="s">
        <v>11</v>
      </c>
      <c r="G91" s="337" t="s">
        <v>639</v>
      </c>
      <c r="H91" s="337" t="s">
        <v>11</v>
      </c>
      <c r="I91" s="337" t="s">
        <v>639</v>
      </c>
      <c r="J91" s="337" t="s">
        <v>11</v>
      </c>
      <c r="K91" s="337" t="s">
        <v>639</v>
      </c>
      <c r="L91" s="337" t="s">
        <v>11</v>
      </c>
      <c r="M91" s="268" t="s">
        <v>639</v>
      </c>
    </row>
    <row r="92" spans="1:13" ht="15.75" customHeight="1">
      <c r="A92" s="276"/>
      <c r="B92" s="277"/>
      <c r="C92" s="277"/>
      <c r="D92" s="807"/>
      <c r="E92" s="189" t="s">
        <v>640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16"/>
      <c r="E93" s="280" t="s">
        <v>641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10" t="s">
        <v>647</v>
      </c>
      <c r="B94" s="811"/>
      <c r="C94" s="811"/>
      <c r="D94" s="811"/>
      <c r="E94" s="811"/>
      <c r="F94" s="811"/>
      <c r="G94" s="811"/>
      <c r="H94" s="811"/>
      <c r="I94" s="811"/>
      <c r="J94" s="811"/>
      <c r="K94" s="811"/>
      <c r="L94" s="811"/>
      <c r="M94" s="812"/>
    </row>
    <row r="95" spans="1:13" ht="15.75" customHeight="1">
      <c r="A95" s="813"/>
      <c r="B95" s="803"/>
      <c r="C95" s="803"/>
      <c r="D95" s="803"/>
      <c r="E95" s="803"/>
      <c r="F95" s="803"/>
      <c r="G95" s="803"/>
      <c r="H95" s="803"/>
      <c r="I95" s="803"/>
      <c r="J95" s="803"/>
      <c r="K95" s="803"/>
      <c r="L95" s="803"/>
      <c r="M95" s="814"/>
    </row>
    <row r="96" spans="1:13" ht="15.75" customHeight="1">
      <c r="A96" s="266" t="s">
        <v>648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15" t="s">
        <v>649</v>
      </c>
      <c r="B97" s="805" t="s">
        <v>10</v>
      </c>
      <c r="C97" s="805"/>
      <c r="D97" s="806"/>
      <c r="E97" s="804" t="s">
        <v>649</v>
      </c>
      <c r="F97" s="808">
        <v>1</v>
      </c>
      <c r="G97" s="808"/>
      <c r="H97" s="808">
        <v>2</v>
      </c>
      <c r="I97" s="808"/>
      <c r="J97" s="808">
        <v>3</v>
      </c>
      <c r="K97" s="808"/>
      <c r="L97" s="808">
        <v>4</v>
      </c>
      <c r="M97" s="817"/>
    </row>
    <row r="98" spans="1:13" ht="15.75" customHeight="1">
      <c r="A98" s="815"/>
      <c r="B98" s="805"/>
      <c r="C98" s="805"/>
      <c r="D98" s="807"/>
      <c r="E98" s="804"/>
      <c r="F98" s="800" t="s">
        <v>650</v>
      </c>
      <c r="G98" s="800"/>
      <c r="H98" s="800" t="s">
        <v>651</v>
      </c>
      <c r="I98" s="800"/>
      <c r="J98" s="800" t="s">
        <v>652</v>
      </c>
      <c r="K98" s="800"/>
      <c r="L98" s="800" t="s">
        <v>694</v>
      </c>
      <c r="M98" s="818"/>
    </row>
    <row r="99" spans="1:13" ht="15.75" customHeight="1">
      <c r="A99" s="815"/>
      <c r="B99" s="341" t="s">
        <v>11</v>
      </c>
      <c r="C99" s="341" t="s">
        <v>653</v>
      </c>
      <c r="D99" s="807"/>
      <c r="E99" s="804"/>
      <c r="F99" s="341" t="s">
        <v>11</v>
      </c>
      <c r="G99" s="341" t="s">
        <v>653</v>
      </c>
      <c r="H99" s="341" t="s">
        <v>11</v>
      </c>
      <c r="I99" s="341" t="s">
        <v>653</v>
      </c>
      <c r="J99" s="341" t="s">
        <v>11</v>
      </c>
      <c r="K99" s="341" t="s">
        <v>653</v>
      </c>
      <c r="L99" s="341" t="s">
        <v>11</v>
      </c>
      <c r="M99" s="268" t="s">
        <v>653</v>
      </c>
    </row>
    <row r="100" spans="1:13" ht="15.75" customHeight="1">
      <c r="A100" s="269" t="s">
        <v>654</v>
      </c>
      <c r="B100" s="270">
        <v>10039.797000000002</v>
      </c>
      <c r="C100" s="191">
        <f>B100/B96</f>
        <v>2.1051606898080092E-4</v>
      </c>
      <c r="D100" s="807"/>
      <c r="E100" s="189" t="s">
        <v>654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655</v>
      </c>
      <c r="B101" s="274">
        <v>24074.689549999996</v>
      </c>
      <c r="C101" s="191">
        <f>B101/B96</f>
        <v>5.0480194031803278E-4</v>
      </c>
      <c r="D101" s="807"/>
      <c r="E101" s="195" t="s">
        <v>655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07"/>
      <c r="E102" s="804" t="s">
        <v>649</v>
      </c>
      <c r="F102" s="819">
        <v>5</v>
      </c>
      <c r="G102" s="820"/>
      <c r="H102" s="819">
        <v>6</v>
      </c>
      <c r="I102" s="820"/>
      <c r="J102" s="819">
        <v>7</v>
      </c>
      <c r="K102" s="820"/>
      <c r="L102" s="821">
        <v>8</v>
      </c>
      <c r="M102" s="822"/>
    </row>
    <row r="103" spans="1:13" ht="15.75" customHeight="1">
      <c r="A103" s="275"/>
      <c r="B103" s="185"/>
      <c r="C103" s="185"/>
      <c r="D103" s="807"/>
      <c r="E103" s="804"/>
      <c r="F103" s="823" t="s">
        <v>656</v>
      </c>
      <c r="G103" s="824"/>
      <c r="H103" s="823" t="s">
        <v>657</v>
      </c>
      <c r="I103" s="824"/>
      <c r="J103" s="823" t="s">
        <v>658</v>
      </c>
      <c r="K103" s="824"/>
      <c r="L103" s="825" t="s">
        <v>659</v>
      </c>
      <c r="M103" s="826"/>
    </row>
    <row r="104" spans="1:13" ht="15.75" customHeight="1">
      <c r="A104" s="275"/>
      <c r="B104" s="185"/>
      <c r="C104" s="185"/>
      <c r="D104" s="807"/>
      <c r="E104" s="804"/>
      <c r="F104" s="341" t="s">
        <v>11</v>
      </c>
      <c r="G104" s="341" t="s">
        <v>653</v>
      </c>
      <c r="H104" s="341" t="s">
        <v>11</v>
      </c>
      <c r="I104" s="341" t="s">
        <v>653</v>
      </c>
      <c r="J104" s="341" t="s">
        <v>11</v>
      </c>
      <c r="K104" s="341" t="s">
        <v>653</v>
      </c>
      <c r="L104" s="341" t="s">
        <v>11</v>
      </c>
      <c r="M104" s="268" t="s">
        <v>653</v>
      </c>
    </row>
    <row r="105" spans="1:13" ht="15.75" customHeight="1">
      <c r="A105" s="276"/>
      <c r="B105" s="277"/>
      <c r="C105" s="277"/>
      <c r="D105" s="807"/>
      <c r="E105" s="189" t="s">
        <v>654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16"/>
      <c r="E106" s="280" t="s">
        <v>655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10" t="s">
        <v>679</v>
      </c>
      <c r="B107" s="811"/>
      <c r="C107" s="811"/>
      <c r="D107" s="811"/>
      <c r="E107" s="811"/>
      <c r="F107" s="811"/>
      <c r="G107" s="811"/>
      <c r="H107" s="811"/>
      <c r="I107" s="811"/>
      <c r="J107" s="811"/>
      <c r="K107" s="811"/>
      <c r="L107" s="811"/>
      <c r="M107" s="812"/>
    </row>
    <row r="108" spans="1:13" ht="15.75" customHeight="1">
      <c r="A108" s="813"/>
      <c r="B108" s="803"/>
      <c r="C108" s="803"/>
      <c r="D108" s="803"/>
      <c r="E108" s="803"/>
      <c r="F108" s="803"/>
      <c r="G108" s="803"/>
      <c r="H108" s="803"/>
      <c r="I108" s="803"/>
      <c r="J108" s="803"/>
      <c r="K108" s="803"/>
      <c r="L108" s="803"/>
      <c r="M108" s="814"/>
    </row>
    <row r="109" spans="1:13" ht="15.75" customHeight="1">
      <c r="A109" s="266" t="s">
        <v>680</v>
      </c>
      <c r="B109" s="354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15" t="s">
        <v>681</v>
      </c>
      <c r="B110" s="805" t="s">
        <v>10</v>
      </c>
      <c r="C110" s="805"/>
      <c r="D110" s="806"/>
      <c r="E110" s="804" t="s">
        <v>681</v>
      </c>
      <c r="F110" s="808">
        <v>1</v>
      </c>
      <c r="G110" s="808"/>
      <c r="H110" s="808">
        <v>2</v>
      </c>
      <c r="I110" s="808"/>
      <c r="J110" s="808">
        <v>3</v>
      </c>
      <c r="K110" s="808"/>
      <c r="L110" s="808">
        <v>4</v>
      </c>
      <c r="M110" s="817"/>
    </row>
    <row r="111" spans="1:13" ht="15.75" customHeight="1">
      <c r="A111" s="815"/>
      <c r="B111" s="805"/>
      <c r="C111" s="805"/>
      <c r="D111" s="807"/>
      <c r="E111" s="804"/>
      <c r="F111" s="800" t="s">
        <v>682</v>
      </c>
      <c r="G111" s="800"/>
      <c r="H111" s="800" t="s">
        <v>683</v>
      </c>
      <c r="I111" s="800"/>
      <c r="J111" s="800" t="s">
        <v>684</v>
      </c>
      <c r="K111" s="800"/>
      <c r="L111" s="800" t="s">
        <v>694</v>
      </c>
      <c r="M111" s="818"/>
    </row>
    <row r="112" spans="1:13" ht="15.75" customHeight="1">
      <c r="A112" s="815"/>
      <c r="B112" s="353" t="s">
        <v>11</v>
      </c>
      <c r="C112" s="353" t="s">
        <v>685</v>
      </c>
      <c r="D112" s="807"/>
      <c r="E112" s="804"/>
      <c r="F112" s="353" t="s">
        <v>11</v>
      </c>
      <c r="G112" s="353" t="s">
        <v>685</v>
      </c>
      <c r="H112" s="353" t="s">
        <v>11</v>
      </c>
      <c r="I112" s="353" t="s">
        <v>685</v>
      </c>
      <c r="J112" s="353" t="s">
        <v>11</v>
      </c>
      <c r="K112" s="353" t="s">
        <v>685</v>
      </c>
      <c r="L112" s="353" t="s">
        <v>11</v>
      </c>
      <c r="M112" s="268" t="s">
        <v>685</v>
      </c>
    </row>
    <row r="113" spans="1:13" ht="15.75" customHeight="1">
      <c r="A113" s="269" t="s">
        <v>686</v>
      </c>
      <c r="B113" s="270">
        <v>10637.800000000001</v>
      </c>
      <c r="C113" s="191">
        <f>B113/B109</f>
        <v>2.1088164597190544E-4</v>
      </c>
      <c r="D113" s="807"/>
      <c r="E113" s="189" t="s">
        <v>686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687</v>
      </c>
      <c r="B114" s="274">
        <v>22192.718089999984</v>
      </c>
      <c r="C114" s="191">
        <f>B114/B109</f>
        <v>4.3994405980650865E-4</v>
      </c>
      <c r="D114" s="807"/>
      <c r="E114" s="195" t="s">
        <v>687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07"/>
      <c r="E115" s="804" t="s">
        <v>681</v>
      </c>
      <c r="F115" s="819">
        <v>5</v>
      </c>
      <c r="G115" s="820"/>
      <c r="H115" s="819">
        <v>6</v>
      </c>
      <c r="I115" s="820"/>
      <c r="J115" s="819">
        <v>7</v>
      </c>
      <c r="K115" s="820"/>
      <c r="L115" s="821">
        <v>8</v>
      </c>
      <c r="M115" s="822"/>
    </row>
    <row r="116" spans="1:13" ht="15.75" customHeight="1">
      <c r="A116" s="275"/>
      <c r="B116" s="185"/>
      <c r="C116" s="185"/>
      <c r="D116" s="807"/>
      <c r="E116" s="804"/>
      <c r="F116" s="823" t="s">
        <v>688</v>
      </c>
      <c r="G116" s="824"/>
      <c r="H116" s="823" t="s">
        <v>689</v>
      </c>
      <c r="I116" s="824"/>
      <c r="J116" s="823" t="s">
        <v>690</v>
      </c>
      <c r="K116" s="824"/>
      <c r="L116" s="825" t="s">
        <v>691</v>
      </c>
      <c r="M116" s="826"/>
    </row>
    <row r="117" spans="1:13" ht="15.75" customHeight="1">
      <c r="A117" s="275"/>
      <c r="B117" s="185"/>
      <c r="C117" s="185"/>
      <c r="D117" s="807"/>
      <c r="E117" s="804"/>
      <c r="F117" s="353" t="s">
        <v>11</v>
      </c>
      <c r="G117" s="353" t="s">
        <v>685</v>
      </c>
      <c r="H117" s="353" t="s">
        <v>11</v>
      </c>
      <c r="I117" s="353" t="s">
        <v>685</v>
      </c>
      <c r="J117" s="353" t="s">
        <v>11</v>
      </c>
      <c r="K117" s="353" t="s">
        <v>685</v>
      </c>
      <c r="L117" s="353" t="s">
        <v>11</v>
      </c>
      <c r="M117" s="268" t="s">
        <v>685</v>
      </c>
    </row>
    <row r="118" spans="1:13" ht="15.75" customHeight="1">
      <c r="A118" s="276"/>
      <c r="B118" s="277"/>
      <c r="C118" s="277"/>
      <c r="D118" s="807"/>
      <c r="E118" s="189" t="s">
        <v>686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16"/>
      <c r="E119" s="280" t="s">
        <v>687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10" t="s">
        <v>696</v>
      </c>
      <c r="B120" s="811"/>
      <c r="C120" s="811"/>
      <c r="D120" s="811"/>
      <c r="E120" s="811"/>
      <c r="F120" s="811"/>
      <c r="G120" s="811"/>
      <c r="H120" s="811"/>
      <c r="I120" s="811"/>
      <c r="J120" s="811"/>
      <c r="K120" s="811"/>
      <c r="L120" s="811"/>
      <c r="M120" s="812"/>
    </row>
    <row r="121" spans="1:13" ht="15.75" customHeight="1">
      <c r="A121" s="813"/>
      <c r="B121" s="803"/>
      <c r="C121" s="803"/>
      <c r="D121" s="803"/>
      <c r="E121" s="803"/>
      <c r="F121" s="803"/>
      <c r="G121" s="803"/>
      <c r="H121" s="803"/>
      <c r="I121" s="803"/>
      <c r="J121" s="803"/>
      <c r="K121" s="803"/>
      <c r="L121" s="803"/>
      <c r="M121" s="814"/>
    </row>
    <row r="122" spans="1:13" ht="15.75" customHeight="1">
      <c r="A122" s="266" t="s">
        <v>680</v>
      </c>
      <c r="B122" s="354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15" t="s">
        <v>681</v>
      </c>
      <c r="B123" s="805" t="s">
        <v>10</v>
      </c>
      <c r="C123" s="805"/>
      <c r="D123" s="806"/>
      <c r="E123" s="804" t="s">
        <v>681</v>
      </c>
      <c r="F123" s="808">
        <v>1</v>
      </c>
      <c r="G123" s="808"/>
      <c r="H123" s="808">
        <v>2</v>
      </c>
      <c r="I123" s="808"/>
      <c r="J123" s="808">
        <v>3</v>
      </c>
      <c r="K123" s="808"/>
      <c r="L123" s="808">
        <v>4</v>
      </c>
      <c r="M123" s="817"/>
    </row>
    <row r="124" spans="1:13" ht="15.75" customHeight="1">
      <c r="A124" s="815"/>
      <c r="B124" s="805"/>
      <c r="C124" s="805"/>
      <c r="D124" s="807"/>
      <c r="E124" s="804"/>
      <c r="F124" s="800" t="s">
        <v>321</v>
      </c>
      <c r="G124" s="800"/>
      <c r="H124" s="800" t="s">
        <v>240</v>
      </c>
      <c r="I124" s="800"/>
      <c r="J124" s="800" t="s">
        <v>684</v>
      </c>
      <c r="K124" s="800"/>
      <c r="L124" s="800" t="s">
        <v>694</v>
      </c>
      <c r="M124" s="818"/>
    </row>
    <row r="125" spans="1:13" ht="15.75" customHeight="1">
      <c r="A125" s="815"/>
      <c r="B125" s="368" t="s">
        <v>11</v>
      </c>
      <c r="C125" s="368" t="s">
        <v>685</v>
      </c>
      <c r="D125" s="807"/>
      <c r="E125" s="804"/>
      <c r="F125" s="368" t="s">
        <v>11</v>
      </c>
      <c r="G125" s="368" t="s">
        <v>685</v>
      </c>
      <c r="H125" s="368" t="s">
        <v>11</v>
      </c>
      <c r="I125" s="368" t="s">
        <v>685</v>
      </c>
      <c r="J125" s="368" t="s">
        <v>11</v>
      </c>
      <c r="K125" s="368" t="s">
        <v>685</v>
      </c>
      <c r="L125" s="368" t="s">
        <v>11</v>
      </c>
      <c r="M125" s="268" t="s">
        <v>685</v>
      </c>
    </row>
    <row r="126" spans="1:13" ht="15.75" customHeight="1">
      <c r="A126" s="269" t="s">
        <v>407</v>
      </c>
      <c r="B126" s="270">
        <v>125923.71199999998</v>
      </c>
      <c r="C126" s="191">
        <f>B126/B122</f>
        <v>2.4741358453088231E-3</v>
      </c>
      <c r="D126" s="807"/>
      <c r="E126" s="189" t="s">
        <v>407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687</v>
      </c>
      <c r="B127" s="274">
        <v>119028.51714747345</v>
      </c>
      <c r="C127" s="191">
        <f>B127/B122</f>
        <v>2.3386597822697606E-3</v>
      </c>
      <c r="D127" s="807"/>
      <c r="E127" s="195" t="s">
        <v>687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07"/>
      <c r="E128" s="804" t="s">
        <v>681</v>
      </c>
      <c r="F128" s="819">
        <v>5</v>
      </c>
      <c r="G128" s="820"/>
      <c r="H128" s="819">
        <v>6</v>
      </c>
      <c r="I128" s="820"/>
      <c r="J128" s="819">
        <v>7</v>
      </c>
      <c r="K128" s="820"/>
      <c r="L128" s="821">
        <v>8</v>
      </c>
      <c r="M128" s="822"/>
    </row>
    <row r="129" spans="1:13" ht="15.75" customHeight="1">
      <c r="A129" s="275"/>
      <c r="B129" s="185"/>
      <c r="C129" s="185"/>
      <c r="D129" s="807"/>
      <c r="E129" s="804"/>
      <c r="F129" s="823" t="s">
        <v>688</v>
      </c>
      <c r="G129" s="824"/>
      <c r="H129" s="823" t="s">
        <v>412</v>
      </c>
      <c r="I129" s="824"/>
      <c r="J129" s="823" t="s">
        <v>248</v>
      </c>
      <c r="K129" s="824"/>
      <c r="L129" s="825" t="s">
        <v>691</v>
      </c>
      <c r="M129" s="826"/>
    </row>
    <row r="130" spans="1:13" ht="15.75" customHeight="1">
      <c r="A130" s="275"/>
      <c r="B130" s="185"/>
      <c r="C130" s="185"/>
      <c r="D130" s="807"/>
      <c r="E130" s="804"/>
      <c r="F130" s="368" t="s">
        <v>11</v>
      </c>
      <c r="G130" s="368" t="s">
        <v>685</v>
      </c>
      <c r="H130" s="368" t="s">
        <v>11</v>
      </c>
      <c r="I130" s="368" t="s">
        <v>685</v>
      </c>
      <c r="J130" s="368" t="s">
        <v>11</v>
      </c>
      <c r="K130" s="368" t="s">
        <v>685</v>
      </c>
      <c r="L130" s="368" t="s">
        <v>11</v>
      </c>
      <c r="M130" s="268" t="s">
        <v>685</v>
      </c>
    </row>
    <row r="131" spans="1:13" ht="15.75" customHeight="1">
      <c r="A131" s="276"/>
      <c r="B131" s="277"/>
      <c r="C131" s="277"/>
      <c r="D131" s="807"/>
      <c r="E131" s="189" t="s">
        <v>407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16"/>
      <c r="E132" s="280" t="s">
        <v>687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10" t="s">
        <v>753</v>
      </c>
      <c r="B133" s="811"/>
      <c r="C133" s="811"/>
      <c r="D133" s="811"/>
      <c r="E133" s="811"/>
      <c r="F133" s="811"/>
      <c r="G133" s="811"/>
      <c r="H133" s="811"/>
      <c r="I133" s="811"/>
      <c r="J133" s="811"/>
      <c r="K133" s="811"/>
      <c r="L133" s="811"/>
      <c r="M133" s="812"/>
    </row>
    <row r="134" spans="1:13" ht="15.75" customHeight="1">
      <c r="A134" s="813"/>
      <c r="B134" s="803"/>
      <c r="C134" s="803"/>
      <c r="D134" s="803"/>
      <c r="E134" s="803"/>
      <c r="F134" s="803"/>
      <c r="G134" s="803"/>
      <c r="H134" s="803"/>
      <c r="I134" s="803"/>
      <c r="J134" s="803"/>
      <c r="K134" s="803"/>
      <c r="L134" s="803"/>
      <c r="M134" s="814"/>
    </row>
    <row r="135" spans="1:13" ht="15.75" customHeight="1">
      <c r="A135" s="266" t="s">
        <v>238</v>
      </c>
      <c r="B135" s="354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15" t="s">
        <v>197</v>
      </c>
      <c r="B136" s="805" t="s">
        <v>10</v>
      </c>
      <c r="C136" s="805"/>
      <c r="D136" s="806"/>
      <c r="E136" s="804" t="s">
        <v>197</v>
      </c>
      <c r="F136" s="808">
        <v>1</v>
      </c>
      <c r="G136" s="808"/>
      <c r="H136" s="808">
        <v>2</v>
      </c>
      <c r="I136" s="808"/>
      <c r="J136" s="808">
        <v>3</v>
      </c>
      <c r="K136" s="808"/>
      <c r="L136" s="808">
        <v>4</v>
      </c>
      <c r="M136" s="817"/>
    </row>
    <row r="137" spans="1:13" ht="15.75" customHeight="1">
      <c r="A137" s="815"/>
      <c r="B137" s="805"/>
      <c r="C137" s="805"/>
      <c r="D137" s="807"/>
      <c r="E137" s="804"/>
      <c r="F137" s="800" t="s">
        <v>250</v>
      </c>
      <c r="G137" s="800"/>
      <c r="H137" s="800" t="s">
        <v>240</v>
      </c>
      <c r="I137" s="800"/>
      <c r="J137" s="800" t="s">
        <v>164</v>
      </c>
      <c r="K137" s="800"/>
      <c r="L137" s="800" t="s">
        <v>694</v>
      </c>
      <c r="M137" s="818"/>
    </row>
    <row r="138" spans="1:13" ht="15.75" customHeight="1">
      <c r="A138" s="815"/>
      <c r="B138" s="426" t="s">
        <v>11</v>
      </c>
      <c r="C138" s="426" t="s">
        <v>41</v>
      </c>
      <c r="D138" s="807"/>
      <c r="E138" s="804"/>
      <c r="F138" s="426" t="s">
        <v>11</v>
      </c>
      <c r="G138" s="426" t="s">
        <v>41</v>
      </c>
      <c r="H138" s="426" t="s">
        <v>11</v>
      </c>
      <c r="I138" s="426" t="s">
        <v>41</v>
      </c>
      <c r="J138" s="426" t="s">
        <v>11</v>
      </c>
      <c r="K138" s="426" t="s">
        <v>41</v>
      </c>
      <c r="L138" s="426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07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07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07"/>
      <c r="E141" s="804" t="s">
        <v>197</v>
      </c>
      <c r="F141" s="819">
        <v>5</v>
      </c>
      <c r="G141" s="820"/>
      <c r="H141" s="819">
        <v>6</v>
      </c>
      <c r="I141" s="820"/>
      <c r="J141" s="819">
        <v>7</v>
      </c>
      <c r="K141" s="820"/>
      <c r="L141" s="821">
        <v>8</v>
      </c>
      <c r="M141" s="822"/>
    </row>
    <row r="142" spans="1:13" ht="15.75" customHeight="1">
      <c r="A142" s="275"/>
      <c r="B142" s="185"/>
      <c r="C142" s="185"/>
      <c r="D142" s="807"/>
      <c r="E142" s="804"/>
      <c r="F142" s="823" t="s">
        <v>188</v>
      </c>
      <c r="G142" s="824"/>
      <c r="H142" s="823" t="s">
        <v>165</v>
      </c>
      <c r="I142" s="824"/>
      <c r="J142" s="823" t="s">
        <v>189</v>
      </c>
      <c r="K142" s="824"/>
      <c r="L142" s="825" t="s">
        <v>249</v>
      </c>
      <c r="M142" s="826"/>
    </row>
    <row r="143" spans="1:13" ht="15.75" customHeight="1">
      <c r="A143" s="275"/>
      <c r="B143" s="185"/>
      <c r="C143" s="185"/>
      <c r="D143" s="807"/>
      <c r="E143" s="804"/>
      <c r="F143" s="426" t="s">
        <v>11</v>
      </c>
      <c r="G143" s="426" t="s">
        <v>41</v>
      </c>
      <c r="H143" s="426" t="s">
        <v>11</v>
      </c>
      <c r="I143" s="426" t="s">
        <v>41</v>
      </c>
      <c r="J143" s="426" t="s">
        <v>11</v>
      </c>
      <c r="K143" s="426" t="s">
        <v>41</v>
      </c>
      <c r="L143" s="426" t="s">
        <v>11</v>
      </c>
      <c r="M143" s="268" t="s">
        <v>41</v>
      </c>
    </row>
    <row r="144" spans="1:13" ht="15.75" customHeight="1">
      <c r="A144" s="276"/>
      <c r="B144" s="277"/>
      <c r="C144" s="277"/>
      <c r="D144" s="807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16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10" t="s">
        <v>755</v>
      </c>
      <c r="B146" s="811"/>
      <c r="C146" s="811"/>
      <c r="D146" s="811"/>
      <c r="E146" s="811"/>
      <c r="F146" s="811"/>
      <c r="G146" s="811"/>
      <c r="H146" s="811"/>
      <c r="I146" s="811"/>
      <c r="J146" s="811"/>
      <c r="K146" s="811"/>
      <c r="L146" s="811"/>
      <c r="M146" s="812"/>
    </row>
    <row r="147" spans="1:13" ht="15.75" customHeight="1">
      <c r="A147" s="813"/>
      <c r="B147" s="803"/>
      <c r="C147" s="803"/>
      <c r="D147" s="803"/>
      <c r="E147" s="803"/>
      <c r="F147" s="803"/>
      <c r="G147" s="803"/>
      <c r="H147" s="803"/>
      <c r="I147" s="803"/>
      <c r="J147" s="803"/>
      <c r="K147" s="803"/>
      <c r="L147" s="803"/>
      <c r="M147" s="814"/>
    </row>
    <row r="148" spans="1:13" ht="15.75" customHeight="1">
      <c r="A148" s="266" t="s">
        <v>238</v>
      </c>
      <c r="B148" s="354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15" t="s">
        <v>197</v>
      </c>
      <c r="B149" s="805" t="s">
        <v>10</v>
      </c>
      <c r="C149" s="805"/>
      <c r="D149" s="806"/>
      <c r="E149" s="804" t="s">
        <v>197</v>
      </c>
      <c r="F149" s="808">
        <v>1</v>
      </c>
      <c r="G149" s="808"/>
      <c r="H149" s="808">
        <v>2</v>
      </c>
      <c r="I149" s="808"/>
      <c r="J149" s="808">
        <v>3</v>
      </c>
      <c r="K149" s="808"/>
      <c r="L149" s="808">
        <v>4</v>
      </c>
      <c r="M149" s="817"/>
    </row>
    <row r="150" spans="1:13" ht="15.75" customHeight="1">
      <c r="A150" s="815"/>
      <c r="B150" s="805"/>
      <c r="C150" s="805"/>
      <c r="D150" s="807"/>
      <c r="E150" s="804"/>
      <c r="F150" s="800" t="s">
        <v>250</v>
      </c>
      <c r="G150" s="800"/>
      <c r="H150" s="800" t="s">
        <v>240</v>
      </c>
      <c r="I150" s="800"/>
      <c r="J150" s="800" t="s">
        <v>164</v>
      </c>
      <c r="K150" s="800"/>
      <c r="L150" s="800" t="s">
        <v>694</v>
      </c>
      <c r="M150" s="818"/>
    </row>
    <row r="151" spans="1:13" ht="15.75" customHeight="1">
      <c r="A151" s="815"/>
      <c r="B151" s="429" t="s">
        <v>11</v>
      </c>
      <c r="C151" s="429" t="s">
        <v>41</v>
      </c>
      <c r="D151" s="807"/>
      <c r="E151" s="804"/>
      <c r="F151" s="429" t="s">
        <v>11</v>
      </c>
      <c r="G151" s="429" t="s">
        <v>41</v>
      </c>
      <c r="H151" s="429" t="s">
        <v>11</v>
      </c>
      <c r="I151" s="429" t="s">
        <v>41</v>
      </c>
      <c r="J151" s="429" t="s">
        <v>11</v>
      </c>
      <c r="K151" s="429" t="s">
        <v>41</v>
      </c>
      <c r="L151" s="429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07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07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07"/>
      <c r="E154" s="804" t="s">
        <v>197</v>
      </c>
      <c r="F154" s="819">
        <v>5</v>
      </c>
      <c r="G154" s="820"/>
      <c r="H154" s="819">
        <v>6</v>
      </c>
      <c r="I154" s="820"/>
      <c r="J154" s="819">
        <v>7</v>
      </c>
      <c r="K154" s="820"/>
      <c r="L154" s="821">
        <v>8</v>
      </c>
      <c r="M154" s="822"/>
    </row>
    <row r="155" spans="1:13" ht="15.75" customHeight="1">
      <c r="A155" s="275"/>
      <c r="B155" s="185"/>
      <c r="C155" s="185"/>
      <c r="D155" s="807"/>
      <c r="E155" s="804"/>
      <c r="F155" s="823" t="s">
        <v>188</v>
      </c>
      <c r="G155" s="824"/>
      <c r="H155" s="823" t="s">
        <v>165</v>
      </c>
      <c r="I155" s="824"/>
      <c r="J155" s="823" t="s">
        <v>189</v>
      </c>
      <c r="K155" s="824"/>
      <c r="L155" s="825" t="s">
        <v>249</v>
      </c>
      <c r="M155" s="826"/>
    </row>
    <row r="156" spans="1:13" ht="15.75" customHeight="1">
      <c r="A156" s="275"/>
      <c r="B156" s="185"/>
      <c r="C156" s="185"/>
      <c r="D156" s="807"/>
      <c r="E156" s="804"/>
      <c r="F156" s="429" t="s">
        <v>11</v>
      </c>
      <c r="G156" s="429" t="s">
        <v>41</v>
      </c>
      <c r="H156" s="429" t="s">
        <v>11</v>
      </c>
      <c r="I156" s="429" t="s">
        <v>41</v>
      </c>
      <c r="J156" s="429" t="s">
        <v>11</v>
      </c>
      <c r="K156" s="429" t="s">
        <v>41</v>
      </c>
      <c r="L156" s="429" t="s">
        <v>11</v>
      </c>
      <c r="M156" s="268" t="s">
        <v>41</v>
      </c>
    </row>
    <row r="157" spans="1:13" ht="15.75" customHeight="1">
      <c r="A157" s="276"/>
      <c r="B157" s="277"/>
      <c r="C157" s="277"/>
      <c r="D157" s="807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16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10" t="s">
        <v>757</v>
      </c>
      <c r="B159" s="811"/>
      <c r="C159" s="811"/>
      <c r="D159" s="811"/>
      <c r="E159" s="811"/>
      <c r="F159" s="811"/>
      <c r="G159" s="811"/>
      <c r="H159" s="811"/>
      <c r="I159" s="811"/>
      <c r="J159" s="811"/>
      <c r="K159" s="811"/>
      <c r="L159" s="811"/>
      <c r="M159" s="812"/>
    </row>
    <row r="160" spans="1:13" ht="15.75" customHeight="1">
      <c r="A160" s="813"/>
      <c r="B160" s="803"/>
      <c r="C160" s="803"/>
      <c r="D160" s="803"/>
      <c r="E160" s="803"/>
      <c r="F160" s="803"/>
      <c r="G160" s="803"/>
      <c r="H160" s="803"/>
      <c r="I160" s="803"/>
      <c r="J160" s="803"/>
      <c r="K160" s="803"/>
      <c r="L160" s="803"/>
      <c r="M160" s="814"/>
    </row>
    <row r="161" spans="1:13" ht="15.75" customHeight="1">
      <c r="A161" s="266" t="s">
        <v>238</v>
      </c>
      <c r="B161" s="354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15" t="s">
        <v>197</v>
      </c>
      <c r="B162" s="805" t="s">
        <v>10</v>
      </c>
      <c r="C162" s="805"/>
      <c r="D162" s="806"/>
      <c r="E162" s="804" t="s">
        <v>197</v>
      </c>
      <c r="F162" s="808">
        <v>1</v>
      </c>
      <c r="G162" s="808"/>
      <c r="H162" s="808">
        <v>2</v>
      </c>
      <c r="I162" s="808"/>
      <c r="J162" s="808">
        <v>3</v>
      </c>
      <c r="K162" s="808"/>
      <c r="L162" s="808">
        <v>4</v>
      </c>
      <c r="M162" s="817"/>
    </row>
    <row r="163" spans="1:13" ht="15.75" customHeight="1">
      <c r="A163" s="815"/>
      <c r="B163" s="805"/>
      <c r="C163" s="805"/>
      <c r="D163" s="807"/>
      <c r="E163" s="804"/>
      <c r="F163" s="800" t="s">
        <v>250</v>
      </c>
      <c r="G163" s="800"/>
      <c r="H163" s="800" t="s">
        <v>240</v>
      </c>
      <c r="I163" s="800"/>
      <c r="J163" s="800" t="s">
        <v>164</v>
      </c>
      <c r="K163" s="800"/>
      <c r="L163" s="800" t="s">
        <v>694</v>
      </c>
      <c r="M163" s="818"/>
    </row>
    <row r="164" spans="1:13" ht="15.75" customHeight="1">
      <c r="A164" s="815"/>
      <c r="B164" s="444" t="s">
        <v>11</v>
      </c>
      <c r="C164" s="444" t="s">
        <v>41</v>
      </c>
      <c r="D164" s="807"/>
      <c r="E164" s="804"/>
      <c r="F164" s="444" t="s">
        <v>11</v>
      </c>
      <c r="G164" s="444" t="s">
        <v>41</v>
      </c>
      <c r="H164" s="444" t="s">
        <v>11</v>
      </c>
      <c r="I164" s="444" t="s">
        <v>41</v>
      </c>
      <c r="J164" s="444" t="s">
        <v>11</v>
      </c>
      <c r="K164" s="444" t="s">
        <v>41</v>
      </c>
      <c r="L164" s="444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07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07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07"/>
      <c r="E167" s="804" t="s">
        <v>197</v>
      </c>
      <c r="F167" s="819">
        <v>5</v>
      </c>
      <c r="G167" s="820"/>
      <c r="H167" s="819">
        <v>6</v>
      </c>
      <c r="I167" s="820"/>
      <c r="J167" s="819">
        <v>7</v>
      </c>
      <c r="K167" s="820"/>
      <c r="L167" s="821">
        <v>8</v>
      </c>
      <c r="M167" s="822"/>
    </row>
    <row r="168" spans="1:13" ht="15.75" customHeight="1">
      <c r="A168" s="275"/>
      <c r="B168" s="185"/>
      <c r="C168" s="185"/>
      <c r="D168" s="807"/>
      <c r="E168" s="804"/>
      <c r="F168" s="823" t="s">
        <v>188</v>
      </c>
      <c r="G168" s="824"/>
      <c r="H168" s="823" t="s">
        <v>165</v>
      </c>
      <c r="I168" s="824"/>
      <c r="J168" s="823" t="s">
        <v>189</v>
      </c>
      <c r="K168" s="824"/>
      <c r="L168" s="825" t="s">
        <v>249</v>
      </c>
      <c r="M168" s="826"/>
    </row>
    <row r="169" spans="1:13" ht="15.75" customHeight="1">
      <c r="A169" s="275"/>
      <c r="B169" s="185"/>
      <c r="C169" s="185"/>
      <c r="D169" s="807"/>
      <c r="E169" s="804"/>
      <c r="F169" s="444" t="s">
        <v>11</v>
      </c>
      <c r="G169" s="444" t="s">
        <v>41</v>
      </c>
      <c r="H169" s="444" t="s">
        <v>11</v>
      </c>
      <c r="I169" s="444" t="s">
        <v>41</v>
      </c>
      <c r="J169" s="444" t="s">
        <v>11</v>
      </c>
      <c r="K169" s="444" t="s">
        <v>41</v>
      </c>
      <c r="L169" s="444" t="s">
        <v>11</v>
      </c>
      <c r="M169" s="268" t="s">
        <v>41</v>
      </c>
    </row>
    <row r="170" spans="1:13" ht="15.75" customHeight="1">
      <c r="A170" s="276"/>
      <c r="B170" s="277"/>
      <c r="C170" s="277"/>
      <c r="D170" s="807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16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10" t="s">
        <v>784</v>
      </c>
      <c r="B172" s="811"/>
      <c r="C172" s="811"/>
      <c r="D172" s="811"/>
      <c r="E172" s="811"/>
      <c r="F172" s="811"/>
      <c r="G172" s="811"/>
      <c r="H172" s="811"/>
      <c r="I172" s="811"/>
      <c r="J172" s="811"/>
      <c r="K172" s="811"/>
      <c r="L172" s="811"/>
      <c r="M172" s="812"/>
    </row>
    <row r="173" spans="1:13" ht="15.75" customHeight="1">
      <c r="A173" s="813"/>
      <c r="B173" s="803"/>
      <c r="C173" s="803"/>
      <c r="D173" s="803"/>
      <c r="E173" s="803"/>
      <c r="F173" s="803"/>
      <c r="G173" s="803"/>
      <c r="H173" s="803"/>
      <c r="I173" s="803"/>
      <c r="J173" s="803"/>
      <c r="K173" s="803"/>
      <c r="L173" s="803"/>
      <c r="M173" s="814"/>
    </row>
    <row r="174" spans="1:13" ht="15.75" customHeight="1">
      <c r="A174" s="266" t="s">
        <v>238</v>
      </c>
      <c r="B174" s="354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15" t="s">
        <v>197</v>
      </c>
      <c r="B175" s="805" t="s">
        <v>10</v>
      </c>
      <c r="C175" s="805"/>
      <c r="D175" s="806"/>
      <c r="E175" s="804" t="s">
        <v>197</v>
      </c>
      <c r="F175" s="808">
        <v>1</v>
      </c>
      <c r="G175" s="808"/>
      <c r="H175" s="808">
        <v>2</v>
      </c>
      <c r="I175" s="808"/>
      <c r="J175" s="808">
        <v>3</v>
      </c>
      <c r="K175" s="808"/>
      <c r="L175" s="808">
        <v>4</v>
      </c>
      <c r="M175" s="817"/>
    </row>
    <row r="176" spans="1:13" ht="15.75" customHeight="1">
      <c r="A176" s="815"/>
      <c r="B176" s="805"/>
      <c r="C176" s="805"/>
      <c r="D176" s="807"/>
      <c r="E176" s="804"/>
      <c r="F176" s="800" t="s">
        <v>250</v>
      </c>
      <c r="G176" s="800"/>
      <c r="H176" s="800" t="s">
        <v>240</v>
      </c>
      <c r="I176" s="800"/>
      <c r="J176" s="800" t="s">
        <v>164</v>
      </c>
      <c r="K176" s="800"/>
      <c r="L176" s="800" t="s">
        <v>694</v>
      </c>
      <c r="M176" s="818"/>
    </row>
    <row r="177" spans="1:13" ht="15.75" customHeight="1">
      <c r="A177" s="815"/>
      <c r="B177" s="453" t="s">
        <v>11</v>
      </c>
      <c r="C177" s="453" t="s">
        <v>41</v>
      </c>
      <c r="D177" s="807"/>
      <c r="E177" s="804"/>
      <c r="F177" s="453" t="s">
        <v>11</v>
      </c>
      <c r="G177" s="453" t="s">
        <v>41</v>
      </c>
      <c r="H177" s="453" t="s">
        <v>11</v>
      </c>
      <c r="I177" s="453" t="s">
        <v>41</v>
      </c>
      <c r="J177" s="453" t="s">
        <v>11</v>
      </c>
      <c r="K177" s="453" t="s">
        <v>41</v>
      </c>
      <c r="L177" s="453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07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07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07"/>
      <c r="E180" s="804" t="s">
        <v>197</v>
      </c>
      <c r="F180" s="819">
        <v>5</v>
      </c>
      <c r="G180" s="820"/>
      <c r="H180" s="819">
        <v>6</v>
      </c>
      <c r="I180" s="820"/>
      <c r="J180" s="819">
        <v>7</v>
      </c>
      <c r="K180" s="820"/>
      <c r="L180" s="821">
        <v>8</v>
      </c>
      <c r="M180" s="822"/>
    </row>
    <row r="181" spans="1:13" ht="15.75" customHeight="1">
      <c r="A181" s="275"/>
      <c r="B181" s="185"/>
      <c r="C181" s="185"/>
      <c r="D181" s="807"/>
      <c r="E181" s="804"/>
      <c r="F181" s="823" t="s">
        <v>188</v>
      </c>
      <c r="G181" s="824"/>
      <c r="H181" s="823" t="s">
        <v>165</v>
      </c>
      <c r="I181" s="824"/>
      <c r="J181" s="823" t="s">
        <v>189</v>
      </c>
      <c r="K181" s="824"/>
      <c r="L181" s="825" t="s">
        <v>249</v>
      </c>
      <c r="M181" s="826"/>
    </row>
    <row r="182" spans="1:13" ht="15.75" customHeight="1">
      <c r="A182" s="275"/>
      <c r="B182" s="185"/>
      <c r="C182" s="185"/>
      <c r="D182" s="807"/>
      <c r="E182" s="804"/>
      <c r="F182" s="453" t="s">
        <v>11</v>
      </c>
      <c r="G182" s="453" t="s">
        <v>41</v>
      </c>
      <c r="H182" s="453" t="s">
        <v>11</v>
      </c>
      <c r="I182" s="453" t="s">
        <v>41</v>
      </c>
      <c r="J182" s="453" t="s">
        <v>11</v>
      </c>
      <c r="K182" s="453" t="s">
        <v>41</v>
      </c>
      <c r="L182" s="453" t="s">
        <v>11</v>
      </c>
      <c r="M182" s="268" t="s">
        <v>41</v>
      </c>
    </row>
    <row r="183" spans="1:13" ht="15.75" customHeight="1">
      <c r="A183" s="276"/>
      <c r="B183" s="277"/>
      <c r="C183" s="277"/>
      <c r="D183" s="807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16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10" t="s">
        <v>787</v>
      </c>
      <c r="B185" s="811"/>
      <c r="C185" s="811"/>
      <c r="D185" s="811"/>
      <c r="E185" s="811"/>
      <c r="F185" s="811"/>
      <c r="G185" s="811"/>
      <c r="H185" s="811"/>
      <c r="I185" s="811"/>
      <c r="J185" s="811"/>
      <c r="K185" s="811"/>
      <c r="L185" s="811"/>
      <c r="M185" s="812"/>
    </row>
    <row r="186" spans="1:13" ht="15.75" customHeight="1">
      <c r="A186" s="813"/>
      <c r="B186" s="803"/>
      <c r="C186" s="803"/>
      <c r="D186" s="803"/>
      <c r="E186" s="803"/>
      <c r="F186" s="803"/>
      <c r="G186" s="803"/>
      <c r="H186" s="803"/>
      <c r="I186" s="803"/>
      <c r="J186" s="803"/>
      <c r="K186" s="803"/>
      <c r="L186" s="803"/>
      <c r="M186" s="814"/>
    </row>
    <row r="187" spans="1:13" ht="15.75" customHeight="1">
      <c r="A187" s="266" t="s">
        <v>238</v>
      </c>
      <c r="B187" s="354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15" t="s">
        <v>197</v>
      </c>
      <c r="B188" s="805" t="s">
        <v>10</v>
      </c>
      <c r="C188" s="805"/>
      <c r="D188" s="806"/>
      <c r="E188" s="804" t="s">
        <v>197</v>
      </c>
      <c r="F188" s="808">
        <v>1</v>
      </c>
      <c r="G188" s="808"/>
      <c r="H188" s="808">
        <v>2</v>
      </c>
      <c r="I188" s="808"/>
      <c r="J188" s="808">
        <v>3</v>
      </c>
      <c r="K188" s="808"/>
      <c r="L188" s="808">
        <v>4</v>
      </c>
      <c r="M188" s="817"/>
    </row>
    <row r="189" spans="1:13" ht="15.75" customHeight="1">
      <c r="A189" s="815"/>
      <c r="B189" s="805"/>
      <c r="C189" s="805"/>
      <c r="D189" s="807"/>
      <c r="E189" s="804"/>
      <c r="F189" s="800" t="s">
        <v>250</v>
      </c>
      <c r="G189" s="800"/>
      <c r="H189" s="800" t="s">
        <v>240</v>
      </c>
      <c r="I189" s="800"/>
      <c r="J189" s="800" t="s">
        <v>164</v>
      </c>
      <c r="K189" s="800"/>
      <c r="L189" s="800" t="s">
        <v>694</v>
      </c>
      <c r="M189" s="818"/>
    </row>
    <row r="190" spans="1:13" ht="15.75" customHeight="1">
      <c r="A190" s="815"/>
      <c r="B190" s="459" t="s">
        <v>11</v>
      </c>
      <c r="C190" s="459" t="s">
        <v>41</v>
      </c>
      <c r="D190" s="807"/>
      <c r="E190" s="804"/>
      <c r="F190" s="459" t="s">
        <v>11</v>
      </c>
      <c r="G190" s="459" t="s">
        <v>41</v>
      </c>
      <c r="H190" s="459" t="s">
        <v>11</v>
      </c>
      <c r="I190" s="459" t="s">
        <v>41</v>
      </c>
      <c r="J190" s="459" t="s">
        <v>11</v>
      </c>
      <c r="K190" s="459" t="s">
        <v>41</v>
      </c>
      <c r="L190" s="459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07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07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07"/>
      <c r="E193" s="804" t="s">
        <v>197</v>
      </c>
      <c r="F193" s="819">
        <v>5</v>
      </c>
      <c r="G193" s="820"/>
      <c r="H193" s="819">
        <v>6</v>
      </c>
      <c r="I193" s="820"/>
      <c r="J193" s="819">
        <v>7</v>
      </c>
      <c r="K193" s="820"/>
      <c r="L193" s="821">
        <v>8</v>
      </c>
      <c r="M193" s="822"/>
    </row>
    <row r="194" spans="1:13" ht="15.75" customHeight="1">
      <c r="A194" s="275"/>
      <c r="B194" s="185"/>
      <c r="C194" s="185"/>
      <c r="D194" s="807"/>
      <c r="E194" s="804"/>
      <c r="F194" s="823" t="s">
        <v>188</v>
      </c>
      <c r="G194" s="824"/>
      <c r="H194" s="823" t="s">
        <v>165</v>
      </c>
      <c r="I194" s="824"/>
      <c r="J194" s="823" t="s">
        <v>189</v>
      </c>
      <c r="K194" s="824"/>
      <c r="L194" s="825" t="s">
        <v>249</v>
      </c>
      <c r="M194" s="826"/>
    </row>
    <row r="195" spans="1:13" ht="15.75" customHeight="1">
      <c r="A195" s="275"/>
      <c r="B195" s="185"/>
      <c r="C195" s="185"/>
      <c r="D195" s="807"/>
      <c r="E195" s="804"/>
      <c r="F195" s="459" t="s">
        <v>11</v>
      </c>
      <c r="G195" s="459" t="s">
        <v>41</v>
      </c>
      <c r="H195" s="459" t="s">
        <v>11</v>
      </c>
      <c r="I195" s="459" t="s">
        <v>41</v>
      </c>
      <c r="J195" s="459" t="s">
        <v>11</v>
      </c>
      <c r="K195" s="459" t="s">
        <v>41</v>
      </c>
      <c r="L195" s="459" t="s">
        <v>11</v>
      </c>
      <c r="M195" s="268" t="s">
        <v>41</v>
      </c>
    </row>
    <row r="196" spans="1:13" ht="15.75" customHeight="1">
      <c r="A196" s="276"/>
      <c r="B196" s="277"/>
      <c r="C196" s="277"/>
      <c r="D196" s="807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16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10" t="s">
        <v>790</v>
      </c>
      <c r="B198" s="811"/>
      <c r="C198" s="811"/>
      <c r="D198" s="811"/>
      <c r="E198" s="811"/>
      <c r="F198" s="811"/>
      <c r="G198" s="811"/>
      <c r="H198" s="811"/>
      <c r="I198" s="811"/>
      <c r="J198" s="811"/>
      <c r="K198" s="811"/>
      <c r="L198" s="811"/>
      <c r="M198" s="812"/>
    </row>
    <row r="199" spans="1:13" ht="15.75" customHeight="1">
      <c r="A199" s="813"/>
      <c r="B199" s="803"/>
      <c r="C199" s="803"/>
      <c r="D199" s="803"/>
      <c r="E199" s="803"/>
      <c r="F199" s="803"/>
      <c r="G199" s="803"/>
      <c r="H199" s="803"/>
      <c r="I199" s="803"/>
      <c r="J199" s="803"/>
      <c r="K199" s="803"/>
      <c r="L199" s="803"/>
      <c r="M199" s="814"/>
    </row>
    <row r="200" spans="1:13" ht="15.75" customHeight="1">
      <c r="A200" s="266" t="s">
        <v>238</v>
      </c>
      <c r="B200" s="354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15" t="s">
        <v>197</v>
      </c>
      <c r="B201" s="805" t="s">
        <v>10</v>
      </c>
      <c r="C201" s="805"/>
      <c r="D201" s="806"/>
      <c r="E201" s="804" t="s">
        <v>197</v>
      </c>
      <c r="F201" s="808">
        <v>1</v>
      </c>
      <c r="G201" s="808"/>
      <c r="H201" s="808">
        <v>2</v>
      </c>
      <c r="I201" s="808"/>
      <c r="J201" s="808">
        <v>3</v>
      </c>
      <c r="K201" s="808"/>
      <c r="L201" s="808">
        <v>4</v>
      </c>
      <c r="M201" s="817"/>
    </row>
    <row r="202" spans="1:13" ht="15.75" customHeight="1">
      <c r="A202" s="815"/>
      <c r="B202" s="805"/>
      <c r="C202" s="805"/>
      <c r="D202" s="807"/>
      <c r="E202" s="804"/>
      <c r="F202" s="800" t="s">
        <v>250</v>
      </c>
      <c r="G202" s="800"/>
      <c r="H202" s="800" t="s">
        <v>240</v>
      </c>
      <c r="I202" s="800"/>
      <c r="J202" s="800" t="s">
        <v>164</v>
      </c>
      <c r="K202" s="800"/>
      <c r="L202" s="800" t="s">
        <v>694</v>
      </c>
      <c r="M202" s="818"/>
    </row>
    <row r="203" spans="1:13" ht="15.75" customHeight="1">
      <c r="A203" s="815"/>
      <c r="B203" s="465" t="s">
        <v>11</v>
      </c>
      <c r="C203" s="465" t="s">
        <v>41</v>
      </c>
      <c r="D203" s="807"/>
      <c r="E203" s="804"/>
      <c r="F203" s="465" t="s">
        <v>11</v>
      </c>
      <c r="G203" s="465" t="s">
        <v>41</v>
      </c>
      <c r="H203" s="465" t="s">
        <v>11</v>
      </c>
      <c r="I203" s="465" t="s">
        <v>41</v>
      </c>
      <c r="J203" s="465" t="s">
        <v>11</v>
      </c>
      <c r="K203" s="465" t="s">
        <v>41</v>
      </c>
      <c r="L203" s="465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07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07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07"/>
      <c r="E206" s="804" t="s">
        <v>197</v>
      </c>
      <c r="F206" s="819">
        <v>5</v>
      </c>
      <c r="G206" s="820"/>
      <c r="H206" s="819">
        <v>6</v>
      </c>
      <c r="I206" s="820"/>
      <c r="J206" s="819">
        <v>7</v>
      </c>
      <c r="K206" s="820"/>
      <c r="L206" s="821">
        <v>8</v>
      </c>
      <c r="M206" s="822"/>
    </row>
    <row r="207" spans="1:13" ht="15.75" customHeight="1">
      <c r="A207" s="275"/>
      <c r="B207" s="185"/>
      <c r="C207" s="185"/>
      <c r="D207" s="807"/>
      <c r="E207" s="804"/>
      <c r="F207" s="823" t="s">
        <v>188</v>
      </c>
      <c r="G207" s="824"/>
      <c r="H207" s="823" t="s">
        <v>165</v>
      </c>
      <c r="I207" s="824"/>
      <c r="J207" s="823" t="s">
        <v>189</v>
      </c>
      <c r="K207" s="824"/>
      <c r="L207" s="825" t="s">
        <v>249</v>
      </c>
      <c r="M207" s="826"/>
    </row>
    <row r="208" spans="1:13" ht="15.75" customHeight="1">
      <c r="A208" s="275"/>
      <c r="B208" s="185"/>
      <c r="C208" s="185"/>
      <c r="D208" s="807"/>
      <c r="E208" s="804"/>
      <c r="F208" s="465" t="s">
        <v>11</v>
      </c>
      <c r="G208" s="465" t="s">
        <v>41</v>
      </c>
      <c r="H208" s="465" t="s">
        <v>11</v>
      </c>
      <c r="I208" s="465" t="s">
        <v>41</v>
      </c>
      <c r="J208" s="465" t="s">
        <v>11</v>
      </c>
      <c r="K208" s="465" t="s">
        <v>41</v>
      </c>
      <c r="L208" s="465" t="s">
        <v>11</v>
      </c>
      <c r="M208" s="268" t="s">
        <v>41</v>
      </c>
    </row>
    <row r="209" spans="1:13" ht="15.75" customHeight="1">
      <c r="A209" s="276"/>
      <c r="B209" s="277"/>
      <c r="C209" s="277"/>
      <c r="D209" s="807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16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10" t="s">
        <v>791</v>
      </c>
      <c r="B211" s="811"/>
      <c r="C211" s="811"/>
      <c r="D211" s="811"/>
      <c r="E211" s="811"/>
      <c r="F211" s="811"/>
      <c r="G211" s="811"/>
      <c r="H211" s="811"/>
      <c r="I211" s="811"/>
      <c r="J211" s="811"/>
      <c r="K211" s="811"/>
      <c r="L211" s="811"/>
      <c r="M211" s="812"/>
    </row>
    <row r="212" spans="1:13" ht="15.75" customHeight="1">
      <c r="A212" s="813"/>
      <c r="B212" s="803"/>
      <c r="C212" s="803"/>
      <c r="D212" s="803"/>
      <c r="E212" s="803"/>
      <c r="F212" s="803"/>
      <c r="G212" s="803"/>
      <c r="H212" s="803"/>
      <c r="I212" s="803"/>
      <c r="J212" s="803"/>
      <c r="K212" s="803"/>
      <c r="L212" s="803"/>
      <c r="M212" s="814"/>
    </row>
    <row r="213" spans="1:13" ht="15.75" customHeight="1">
      <c r="A213" s="266" t="s">
        <v>238</v>
      </c>
      <c r="B213" s="354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15" t="s">
        <v>197</v>
      </c>
      <c r="B214" s="805" t="s">
        <v>10</v>
      </c>
      <c r="C214" s="805"/>
      <c r="D214" s="806"/>
      <c r="E214" s="804" t="s">
        <v>197</v>
      </c>
      <c r="F214" s="808">
        <v>1</v>
      </c>
      <c r="G214" s="808"/>
      <c r="H214" s="808">
        <v>2</v>
      </c>
      <c r="I214" s="808"/>
      <c r="J214" s="808">
        <v>3</v>
      </c>
      <c r="K214" s="808"/>
      <c r="L214" s="808">
        <v>4</v>
      </c>
      <c r="M214" s="817"/>
    </row>
    <row r="215" spans="1:13" ht="15.75" customHeight="1">
      <c r="A215" s="815"/>
      <c r="B215" s="805"/>
      <c r="C215" s="805"/>
      <c r="D215" s="807"/>
      <c r="E215" s="804"/>
      <c r="F215" s="800" t="s">
        <v>250</v>
      </c>
      <c r="G215" s="800"/>
      <c r="H215" s="800" t="s">
        <v>240</v>
      </c>
      <c r="I215" s="800"/>
      <c r="J215" s="800" t="s">
        <v>164</v>
      </c>
      <c r="K215" s="800"/>
      <c r="L215" s="800" t="s">
        <v>694</v>
      </c>
      <c r="M215" s="818"/>
    </row>
    <row r="216" spans="1:13" ht="15.75" customHeight="1">
      <c r="A216" s="815"/>
      <c r="B216" s="468" t="s">
        <v>11</v>
      </c>
      <c r="C216" s="468" t="s">
        <v>41</v>
      </c>
      <c r="D216" s="807"/>
      <c r="E216" s="804"/>
      <c r="F216" s="468" t="s">
        <v>11</v>
      </c>
      <c r="G216" s="468" t="s">
        <v>41</v>
      </c>
      <c r="H216" s="468" t="s">
        <v>11</v>
      </c>
      <c r="I216" s="468" t="s">
        <v>41</v>
      </c>
      <c r="J216" s="468" t="s">
        <v>11</v>
      </c>
      <c r="K216" s="468" t="s">
        <v>41</v>
      </c>
      <c r="L216" s="468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07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07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07"/>
      <c r="E219" s="804" t="s">
        <v>197</v>
      </c>
      <c r="F219" s="819">
        <v>5</v>
      </c>
      <c r="G219" s="820"/>
      <c r="H219" s="819">
        <v>6</v>
      </c>
      <c r="I219" s="820"/>
      <c r="J219" s="819">
        <v>7</v>
      </c>
      <c r="K219" s="820"/>
      <c r="L219" s="821">
        <v>8</v>
      </c>
      <c r="M219" s="822"/>
    </row>
    <row r="220" spans="1:13" ht="15.75" customHeight="1">
      <c r="A220" s="275"/>
      <c r="B220" s="185"/>
      <c r="C220" s="185"/>
      <c r="D220" s="807"/>
      <c r="E220" s="804"/>
      <c r="F220" s="823" t="s">
        <v>188</v>
      </c>
      <c r="G220" s="824"/>
      <c r="H220" s="823" t="s">
        <v>165</v>
      </c>
      <c r="I220" s="824"/>
      <c r="J220" s="823" t="s">
        <v>189</v>
      </c>
      <c r="K220" s="824"/>
      <c r="L220" s="825" t="s">
        <v>249</v>
      </c>
      <c r="M220" s="826"/>
    </row>
    <row r="221" spans="1:13" ht="15.75" customHeight="1">
      <c r="A221" s="275"/>
      <c r="B221" s="185"/>
      <c r="C221" s="185"/>
      <c r="D221" s="807"/>
      <c r="E221" s="804"/>
      <c r="F221" s="468" t="s">
        <v>11</v>
      </c>
      <c r="G221" s="468" t="s">
        <v>41</v>
      </c>
      <c r="H221" s="468" t="s">
        <v>11</v>
      </c>
      <c r="I221" s="468" t="s">
        <v>41</v>
      </c>
      <c r="J221" s="468" t="s">
        <v>11</v>
      </c>
      <c r="K221" s="468" t="s">
        <v>41</v>
      </c>
      <c r="L221" s="468" t="s">
        <v>11</v>
      </c>
      <c r="M221" s="268" t="s">
        <v>41</v>
      </c>
    </row>
    <row r="222" spans="1:13" ht="15.75" customHeight="1">
      <c r="A222" s="276"/>
      <c r="B222" s="277"/>
      <c r="C222" s="277"/>
      <c r="D222" s="807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16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10" t="s">
        <v>793</v>
      </c>
      <c r="B224" s="811"/>
      <c r="C224" s="811"/>
      <c r="D224" s="811"/>
      <c r="E224" s="811"/>
      <c r="F224" s="811"/>
      <c r="G224" s="811"/>
      <c r="H224" s="811"/>
      <c r="I224" s="811"/>
      <c r="J224" s="811"/>
      <c r="K224" s="811"/>
      <c r="L224" s="811"/>
      <c r="M224" s="812"/>
    </row>
    <row r="225" spans="1:13" ht="15.75" customHeight="1">
      <c r="A225" s="813"/>
      <c r="B225" s="803"/>
      <c r="C225" s="803"/>
      <c r="D225" s="803"/>
      <c r="E225" s="803"/>
      <c r="F225" s="803"/>
      <c r="G225" s="803"/>
      <c r="H225" s="803"/>
      <c r="I225" s="803"/>
      <c r="J225" s="803"/>
      <c r="K225" s="803"/>
      <c r="L225" s="803"/>
      <c r="M225" s="814"/>
    </row>
    <row r="226" spans="1:13" ht="15.75" customHeight="1">
      <c r="A226" s="266" t="s">
        <v>238</v>
      </c>
      <c r="B226" s="354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15" t="s">
        <v>197</v>
      </c>
      <c r="B227" s="805" t="s">
        <v>10</v>
      </c>
      <c r="C227" s="805"/>
      <c r="D227" s="806"/>
      <c r="E227" s="804" t="s">
        <v>197</v>
      </c>
      <c r="F227" s="808">
        <v>1</v>
      </c>
      <c r="G227" s="808"/>
      <c r="H227" s="808">
        <v>2</v>
      </c>
      <c r="I227" s="808"/>
      <c r="J227" s="808">
        <v>3</v>
      </c>
      <c r="K227" s="808"/>
      <c r="L227" s="808">
        <v>4</v>
      </c>
      <c r="M227" s="817"/>
    </row>
    <row r="228" spans="1:13" ht="15.75" customHeight="1">
      <c r="A228" s="815"/>
      <c r="B228" s="805"/>
      <c r="C228" s="805"/>
      <c r="D228" s="807"/>
      <c r="E228" s="804"/>
      <c r="F228" s="800" t="s">
        <v>250</v>
      </c>
      <c r="G228" s="800"/>
      <c r="H228" s="800" t="s">
        <v>240</v>
      </c>
      <c r="I228" s="800"/>
      <c r="J228" s="800" t="s">
        <v>164</v>
      </c>
      <c r="K228" s="800"/>
      <c r="L228" s="800" t="s">
        <v>694</v>
      </c>
      <c r="M228" s="818"/>
    </row>
    <row r="229" spans="1:13" ht="15.75" customHeight="1">
      <c r="A229" s="815"/>
      <c r="B229" s="478" t="s">
        <v>11</v>
      </c>
      <c r="C229" s="478" t="s">
        <v>41</v>
      </c>
      <c r="D229" s="807"/>
      <c r="E229" s="804"/>
      <c r="F229" s="478" t="s">
        <v>11</v>
      </c>
      <c r="G229" s="478" t="s">
        <v>41</v>
      </c>
      <c r="H229" s="478" t="s">
        <v>11</v>
      </c>
      <c r="I229" s="478" t="s">
        <v>41</v>
      </c>
      <c r="J229" s="478" t="s">
        <v>11</v>
      </c>
      <c r="K229" s="478" t="s">
        <v>41</v>
      </c>
      <c r="L229" s="478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07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07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07"/>
      <c r="E232" s="804" t="s">
        <v>197</v>
      </c>
      <c r="F232" s="819">
        <v>5</v>
      </c>
      <c r="G232" s="820"/>
      <c r="H232" s="819">
        <v>6</v>
      </c>
      <c r="I232" s="820"/>
      <c r="J232" s="819">
        <v>7</v>
      </c>
      <c r="K232" s="820"/>
      <c r="L232" s="821">
        <v>8</v>
      </c>
      <c r="M232" s="822"/>
    </row>
    <row r="233" spans="1:13" ht="15.75" customHeight="1">
      <c r="A233" s="275"/>
      <c r="B233" s="185"/>
      <c r="C233" s="185"/>
      <c r="D233" s="807"/>
      <c r="E233" s="804"/>
      <c r="F233" s="823" t="s">
        <v>188</v>
      </c>
      <c r="G233" s="824"/>
      <c r="H233" s="823" t="s">
        <v>165</v>
      </c>
      <c r="I233" s="824"/>
      <c r="J233" s="823" t="s">
        <v>189</v>
      </c>
      <c r="K233" s="824"/>
      <c r="L233" s="825" t="s">
        <v>249</v>
      </c>
      <c r="M233" s="826"/>
    </row>
    <row r="234" spans="1:13" ht="15.75" customHeight="1">
      <c r="A234" s="275"/>
      <c r="B234" s="185"/>
      <c r="C234" s="185"/>
      <c r="D234" s="807"/>
      <c r="E234" s="804"/>
      <c r="F234" s="478" t="s">
        <v>11</v>
      </c>
      <c r="G234" s="478" t="s">
        <v>41</v>
      </c>
      <c r="H234" s="478" t="s">
        <v>11</v>
      </c>
      <c r="I234" s="478" t="s">
        <v>41</v>
      </c>
      <c r="J234" s="478" t="s">
        <v>11</v>
      </c>
      <c r="K234" s="478" t="s">
        <v>41</v>
      </c>
      <c r="L234" s="478" t="s">
        <v>11</v>
      </c>
      <c r="M234" s="268" t="s">
        <v>41</v>
      </c>
    </row>
    <row r="235" spans="1:13" ht="15.75" customHeight="1">
      <c r="A235" s="276"/>
      <c r="B235" s="277"/>
      <c r="C235" s="277"/>
      <c r="D235" s="807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16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10" t="s">
        <v>800</v>
      </c>
      <c r="B237" s="811"/>
      <c r="C237" s="811"/>
      <c r="D237" s="811"/>
      <c r="E237" s="811"/>
      <c r="F237" s="811"/>
      <c r="G237" s="811"/>
      <c r="H237" s="811"/>
      <c r="I237" s="811"/>
      <c r="J237" s="811"/>
      <c r="K237" s="811"/>
      <c r="L237" s="811"/>
      <c r="M237" s="812"/>
    </row>
    <row r="238" spans="1:13" ht="15.75" customHeight="1">
      <c r="A238" s="813"/>
      <c r="B238" s="803"/>
      <c r="C238" s="803"/>
      <c r="D238" s="803"/>
      <c r="E238" s="803"/>
      <c r="F238" s="803"/>
      <c r="G238" s="803"/>
      <c r="H238" s="803"/>
      <c r="I238" s="803"/>
      <c r="J238" s="803"/>
      <c r="K238" s="803"/>
      <c r="L238" s="803"/>
      <c r="M238" s="814"/>
    </row>
    <row r="239" spans="1:13" ht="15.75" customHeight="1">
      <c r="A239" s="266" t="s">
        <v>238</v>
      </c>
      <c r="B239" s="354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15" t="s">
        <v>197</v>
      </c>
      <c r="B240" s="805" t="s">
        <v>10</v>
      </c>
      <c r="C240" s="805"/>
      <c r="D240" s="806"/>
      <c r="E240" s="804" t="s">
        <v>197</v>
      </c>
      <c r="F240" s="808">
        <v>1</v>
      </c>
      <c r="G240" s="808"/>
      <c r="H240" s="808">
        <v>2</v>
      </c>
      <c r="I240" s="808"/>
      <c r="J240" s="808">
        <v>3</v>
      </c>
      <c r="K240" s="808"/>
      <c r="L240" s="808">
        <v>4</v>
      </c>
      <c r="M240" s="817"/>
    </row>
    <row r="241" spans="1:13" ht="15.75" customHeight="1">
      <c r="A241" s="815"/>
      <c r="B241" s="805"/>
      <c r="C241" s="805"/>
      <c r="D241" s="807"/>
      <c r="E241" s="804"/>
      <c r="F241" s="800" t="s">
        <v>250</v>
      </c>
      <c r="G241" s="800"/>
      <c r="H241" s="800" t="s">
        <v>240</v>
      </c>
      <c r="I241" s="800"/>
      <c r="J241" s="800" t="s">
        <v>164</v>
      </c>
      <c r="K241" s="800"/>
      <c r="L241" s="800" t="s">
        <v>694</v>
      </c>
      <c r="M241" s="818"/>
    </row>
    <row r="242" spans="1:13" ht="15.75" customHeight="1">
      <c r="A242" s="815"/>
      <c r="B242" s="480" t="s">
        <v>11</v>
      </c>
      <c r="C242" s="480" t="s">
        <v>41</v>
      </c>
      <c r="D242" s="807"/>
      <c r="E242" s="804"/>
      <c r="F242" s="480" t="s">
        <v>11</v>
      </c>
      <c r="G242" s="480" t="s">
        <v>41</v>
      </c>
      <c r="H242" s="480" t="s">
        <v>11</v>
      </c>
      <c r="I242" s="480" t="s">
        <v>41</v>
      </c>
      <c r="J242" s="480" t="s">
        <v>11</v>
      </c>
      <c r="K242" s="480" t="s">
        <v>41</v>
      </c>
      <c r="L242" s="480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07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07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07"/>
      <c r="E245" s="804" t="s">
        <v>197</v>
      </c>
      <c r="F245" s="819">
        <v>5</v>
      </c>
      <c r="G245" s="820"/>
      <c r="H245" s="819">
        <v>6</v>
      </c>
      <c r="I245" s="820"/>
      <c r="J245" s="819">
        <v>7</v>
      </c>
      <c r="K245" s="820"/>
      <c r="L245" s="821">
        <v>8</v>
      </c>
      <c r="M245" s="822"/>
    </row>
    <row r="246" spans="1:13" ht="15.75" customHeight="1">
      <c r="A246" s="275"/>
      <c r="B246" s="185"/>
      <c r="C246" s="185"/>
      <c r="D246" s="807"/>
      <c r="E246" s="804"/>
      <c r="F246" s="823" t="s">
        <v>188</v>
      </c>
      <c r="G246" s="824"/>
      <c r="H246" s="823" t="s">
        <v>165</v>
      </c>
      <c r="I246" s="824"/>
      <c r="J246" s="823" t="s">
        <v>189</v>
      </c>
      <c r="K246" s="824"/>
      <c r="L246" s="825" t="s">
        <v>249</v>
      </c>
      <c r="M246" s="826"/>
    </row>
    <row r="247" spans="1:13" ht="15.75" customHeight="1">
      <c r="A247" s="275"/>
      <c r="B247" s="185"/>
      <c r="C247" s="185"/>
      <c r="D247" s="807"/>
      <c r="E247" s="804"/>
      <c r="F247" s="480" t="s">
        <v>11</v>
      </c>
      <c r="G247" s="480" t="s">
        <v>41</v>
      </c>
      <c r="H247" s="480" t="s">
        <v>11</v>
      </c>
      <c r="I247" s="480" t="s">
        <v>41</v>
      </c>
      <c r="J247" s="480" t="s">
        <v>11</v>
      </c>
      <c r="K247" s="480" t="s">
        <v>41</v>
      </c>
      <c r="L247" s="480" t="s">
        <v>11</v>
      </c>
      <c r="M247" s="268" t="s">
        <v>41</v>
      </c>
    </row>
    <row r="248" spans="1:13" ht="15.75" customHeight="1">
      <c r="A248" s="276"/>
      <c r="B248" s="277"/>
      <c r="C248" s="277"/>
      <c r="D248" s="807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16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10" t="s">
        <v>803</v>
      </c>
      <c r="B250" s="811"/>
      <c r="C250" s="811"/>
      <c r="D250" s="811"/>
      <c r="E250" s="811"/>
      <c r="F250" s="811"/>
      <c r="G250" s="811"/>
      <c r="H250" s="811"/>
      <c r="I250" s="811"/>
      <c r="J250" s="811"/>
      <c r="K250" s="811"/>
      <c r="L250" s="811"/>
      <c r="M250" s="812"/>
    </row>
    <row r="251" spans="1:13" ht="15.75" customHeight="1">
      <c r="A251" s="813"/>
      <c r="B251" s="803"/>
      <c r="C251" s="803"/>
      <c r="D251" s="803"/>
      <c r="E251" s="803"/>
      <c r="F251" s="803"/>
      <c r="G251" s="803"/>
      <c r="H251" s="803"/>
      <c r="I251" s="803"/>
      <c r="J251" s="803"/>
      <c r="K251" s="803"/>
      <c r="L251" s="803"/>
      <c r="M251" s="814"/>
    </row>
    <row r="252" spans="1:13" ht="15.75" customHeight="1">
      <c r="A252" s="266" t="s">
        <v>238</v>
      </c>
      <c r="B252" s="354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15" t="s">
        <v>197</v>
      </c>
      <c r="B253" s="805" t="s">
        <v>10</v>
      </c>
      <c r="C253" s="805"/>
      <c r="D253" s="806"/>
      <c r="E253" s="804" t="s">
        <v>197</v>
      </c>
      <c r="F253" s="808">
        <v>1</v>
      </c>
      <c r="G253" s="808"/>
      <c r="H253" s="808">
        <v>2</v>
      </c>
      <c r="I253" s="808"/>
      <c r="J253" s="808">
        <v>3</v>
      </c>
      <c r="K253" s="808"/>
      <c r="L253" s="808">
        <v>4</v>
      </c>
      <c r="M253" s="817"/>
    </row>
    <row r="254" spans="1:13" ht="15.75" customHeight="1">
      <c r="A254" s="815"/>
      <c r="B254" s="805"/>
      <c r="C254" s="805"/>
      <c r="D254" s="807"/>
      <c r="E254" s="804"/>
      <c r="F254" s="800" t="s">
        <v>250</v>
      </c>
      <c r="G254" s="800"/>
      <c r="H254" s="800" t="s">
        <v>240</v>
      </c>
      <c r="I254" s="800"/>
      <c r="J254" s="800" t="s">
        <v>164</v>
      </c>
      <c r="K254" s="800"/>
      <c r="L254" s="800" t="s">
        <v>694</v>
      </c>
      <c r="M254" s="818"/>
    </row>
    <row r="255" spans="1:13" ht="15.75" customHeight="1">
      <c r="A255" s="815"/>
      <c r="B255" s="485" t="s">
        <v>11</v>
      </c>
      <c r="C255" s="485" t="s">
        <v>41</v>
      </c>
      <c r="D255" s="807"/>
      <c r="E255" s="804"/>
      <c r="F255" s="485" t="s">
        <v>11</v>
      </c>
      <c r="G255" s="485" t="s">
        <v>41</v>
      </c>
      <c r="H255" s="485" t="s">
        <v>11</v>
      </c>
      <c r="I255" s="485" t="s">
        <v>41</v>
      </c>
      <c r="J255" s="485" t="s">
        <v>11</v>
      </c>
      <c r="K255" s="485" t="s">
        <v>41</v>
      </c>
      <c r="L255" s="485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07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07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07"/>
      <c r="E258" s="804" t="s">
        <v>197</v>
      </c>
      <c r="F258" s="819">
        <v>5</v>
      </c>
      <c r="G258" s="820"/>
      <c r="H258" s="819">
        <v>6</v>
      </c>
      <c r="I258" s="820"/>
      <c r="J258" s="819">
        <v>7</v>
      </c>
      <c r="K258" s="820"/>
      <c r="L258" s="821">
        <v>8</v>
      </c>
      <c r="M258" s="822"/>
    </row>
    <row r="259" spans="1:13" ht="15.75" customHeight="1">
      <c r="A259" s="275"/>
      <c r="B259" s="185"/>
      <c r="C259" s="185"/>
      <c r="D259" s="807"/>
      <c r="E259" s="804"/>
      <c r="F259" s="823" t="s">
        <v>188</v>
      </c>
      <c r="G259" s="824"/>
      <c r="H259" s="823" t="s">
        <v>165</v>
      </c>
      <c r="I259" s="824"/>
      <c r="J259" s="823" t="s">
        <v>189</v>
      </c>
      <c r="K259" s="824"/>
      <c r="L259" s="825" t="s">
        <v>249</v>
      </c>
      <c r="M259" s="826"/>
    </row>
    <row r="260" spans="1:13" ht="15.75" customHeight="1">
      <c r="A260" s="275"/>
      <c r="B260" s="185"/>
      <c r="C260" s="185"/>
      <c r="D260" s="807"/>
      <c r="E260" s="804"/>
      <c r="F260" s="485" t="s">
        <v>11</v>
      </c>
      <c r="G260" s="485" t="s">
        <v>41</v>
      </c>
      <c r="H260" s="485" t="s">
        <v>11</v>
      </c>
      <c r="I260" s="485" t="s">
        <v>41</v>
      </c>
      <c r="J260" s="485" t="s">
        <v>11</v>
      </c>
      <c r="K260" s="485" t="s">
        <v>41</v>
      </c>
      <c r="L260" s="485" t="s">
        <v>11</v>
      </c>
      <c r="M260" s="268" t="s">
        <v>41</v>
      </c>
    </row>
    <row r="261" spans="1:13" ht="15.75" customHeight="1">
      <c r="A261" s="276"/>
      <c r="B261" s="277"/>
      <c r="C261" s="277"/>
      <c r="D261" s="807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16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10" t="s">
        <v>806</v>
      </c>
      <c r="B263" s="811"/>
      <c r="C263" s="811"/>
      <c r="D263" s="811"/>
      <c r="E263" s="811"/>
      <c r="F263" s="811"/>
      <c r="G263" s="811"/>
      <c r="H263" s="811"/>
      <c r="I263" s="811"/>
      <c r="J263" s="811"/>
      <c r="K263" s="811"/>
      <c r="L263" s="811"/>
      <c r="M263" s="812"/>
    </row>
    <row r="264" spans="1:13" ht="15.75" customHeight="1">
      <c r="A264" s="813"/>
      <c r="B264" s="803"/>
      <c r="C264" s="803"/>
      <c r="D264" s="803"/>
      <c r="E264" s="803"/>
      <c r="F264" s="803"/>
      <c r="G264" s="803"/>
      <c r="H264" s="803"/>
      <c r="I264" s="803"/>
      <c r="J264" s="803"/>
      <c r="K264" s="803"/>
      <c r="L264" s="803"/>
      <c r="M264" s="814"/>
    </row>
    <row r="265" spans="1:13" ht="15.75" customHeight="1">
      <c r="A265" s="266" t="s">
        <v>238</v>
      </c>
      <c r="B265" s="354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15" t="s">
        <v>197</v>
      </c>
      <c r="B266" s="805" t="s">
        <v>10</v>
      </c>
      <c r="C266" s="805"/>
      <c r="D266" s="806"/>
      <c r="E266" s="804" t="s">
        <v>197</v>
      </c>
      <c r="F266" s="808">
        <v>1</v>
      </c>
      <c r="G266" s="808"/>
      <c r="H266" s="808">
        <v>2</v>
      </c>
      <c r="I266" s="808"/>
      <c r="J266" s="808">
        <v>3</v>
      </c>
      <c r="K266" s="808"/>
      <c r="L266" s="808">
        <v>4</v>
      </c>
      <c r="M266" s="817"/>
    </row>
    <row r="267" spans="1:13" ht="15.75" customHeight="1">
      <c r="A267" s="815"/>
      <c r="B267" s="805"/>
      <c r="C267" s="805"/>
      <c r="D267" s="807"/>
      <c r="E267" s="804"/>
      <c r="F267" s="800" t="s">
        <v>250</v>
      </c>
      <c r="G267" s="800"/>
      <c r="H267" s="800" t="s">
        <v>240</v>
      </c>
      <c r="I267" s="800"/>
      <c r="J267" s="800" t="s">
        <v>164</v>
      </c>
      <c r="K267" s="800"/>
      <c r="L267" s="800" t="s">
        <v>694</v>
      </c>
      <c r="M267" s="818"/>
    </row>
    <row r="268" spans="1:13" ht="15.75" customHeight="1">
      <c r="A268" s="815"/>
      <c r="B268" s="487" t="s">
        <v>11</v>
      </c>
      <c r="C268" s="487" t="s">
        <v>41</v>
      </c>
      <c r="D268" s="807"/>
      <c r="E268" s="804"/>
      <c r="F268" s="487" t="s">
        <v>11</v>
      </c>
      <c r="G268" s="487" t="s">
        <v>41</v>
      </c>
      <c r="H268" s="487" t="s">
        <v>11</v>
      </c>
      <c r="I268" s="487" t="s">
        <v>41</v>
      </c>
      <c r="J268" s="487" t="s">
        <v>11</v>
      </c>
      <c r="K268" s="487" t="s">
        <v>41</v>
      </c>
      <c r="L268" s="487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07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07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07"/>
      <c r="E271" s="804" t="s">
        <v>197</v>
      </c>
      <c r="F271" s="819">
        <v>5</v>
      </c>
      <c r="G271" s="820"/>
      <c r="H271" s="819">
        <v>6</v>
      </c>
      <c r="I271" s="820"/>
      <c r="J271" s="819">
        <v>7</v>
      </c>
      <c r="K271" s="820"/>
      <c r="L271" s="821">
        <v>8</v>
      </c>
      <c r="M271" s="822"/>
    </row>
    <row r="272" spans="1:13" ht="15.75" customHeight="1">
      <c r="A272" s="275"/>
      <c r="B272" s="185"/>
      <c r="C272" s="185"/>
      <c r="D272" s="807"/>
      <c r="E272" s="804"/>
      <c r="F272" s="823" t="s">
        <v>188</v>
      </c>
      <c r="G272" s="824"/>
      <c r="H272" s="823" t="s">
        <v>165</v>
      </c>
      <c r="I272" s="824"/>
      <c r="J272" s="823" t="s">
        <v>189</v>
      </c>
      <c r="K272" s="824"/>
      <c r="L272" s="825" t="s">
        <v>249</v>
      </c>
      <c r="M272" s="826"/>
    </row>
    <row r="273" spans="1:13" ht="15.75" customHeight="1">
      <c r="A273" s="275"/>
      <c r="B273" s="185"/>
      <c r="C273" s="185"/>
      <c r="D273" s="807"/>
      <c r="E273" s="804"/>
      <c r="F273" s="487" t="s">
        <v>11</v>
      </c>
      <c r="G273" s="487" t="s">
        <v>41</v>
      </c>
      <c r="H273" s="487" t="s">
        <v>11</v>
      </c>
      <c r="I273" s="487" t="s">
        <v>41</v>
      </c>
      <c r="J273" s="487" t="s">
        <v>11</v>
      </c>
      <c r="K273" s="487" t="s">
        <v>41</v>
      </c>
      <c r="L273" s="487" t="s">
        <v>11</v>
      </c>
      <c r="M273" s="268" t="s">
        <v>41</v>
      </c>
    </row>
    <row r="274" spans="1:13" ht="15.75" customHeight="1">
      <c r="A274" s="276"/>
      <c r="B274" s="277"/>
      <c r="C274" s="277"/>
      <c r="D274" s="807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16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10" t="s">
        <v>840</v>
      </c>
      <c r="B276" s="811"/>
      <c r="C276" s="811"/>
      <c r="D276" s="811"/>
      <c r="E276" s="811"/>
      <c r="F276" s="811"/>
      <c r="G276" s="811"/>
      <c r="H276" s="811"/>
      <c r="I276" s="811"/>
      <c r="J276" s="811"/>
      <c r="K276" s="811"/>
      <c r="L276" s="811"/>
      <c r="M276" s="812"/>
    </row>
    <row r="277" spans="1:13" ht="15.75" customHeight="1">
      <c r="A277" s="813"/>
      <c r="B277" s="803"/>
      <c r="C277" s="803"/>
      <c r="D277" s="803"/>
      <c r="E277" s="803"/>
      <c r="F277" s="803"/>
      <c r="G277" s="803"/>
      <c r="H277" s="803"/>
      <c r="I277" s="803"/>
      <c r="J277" s="803"/>
      <c r="K277" s="803"/>
      <c r="L277" s="803"/>
      <c r="M277" s="814"/>
    </row>
    <row r="278" spans="1:13" ht="15.75" customHeight="1">
      <c r="A278" s="266" t="s">
        <v>238</v>
      </c>
      <c r="B278" s="354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15" t="s">
        <v>197</v>
      </c>
      <c r="B279" s="805" t="s">
        <v>10</v>
      </c>
      <c r="C279" s="805"/>
      <c r="D279" s="806"/>
      <c r="E279" s="804" t="s">
        <v>197</v>
      </c>
      <c r="F279" s="808">
        <v>1</v>
      </c>
      <c r="G279" s="808"/>
      <c r="H279" s="808">
        <v>2</v>
      </c>
      <c r="I279" s="808"/>
      <c r="J279" s="808">
        <v>3</v>
      </c>
      <c r="K279" s="808"/>
      <c r="L279" s="808">
        <v>4</v>
      </c>
      <c r="M279" s="817"/>
    </row>
    <row r="280" spans="1:13" ht="15.75" customHeight="1">
      <c r="A280" s="815"/>
      <c r="B280" s="805"/>
      <c r="C280" s="805"/>
      <c r="D280" s="807"/>
      <c r="E280" s="804"/>
      <c r="F280" s="800" t="s">
        <v>250</v>
      </c>
      <c r="G280" s="800"/>
      <c r="H280" s="800" t="s">
        <v>240</v>
      </c>
      <c r="I280" s="800"/>
      <c r="J280" s="800" t="s">
        <v>164</v>
      </c>
      <c r="K280" s="800"/>
      <c r="L280" s="800" t="s">
        <v>694</v>
      </c>
      <c r="M280" s="818"/>
    </row>
    <row r="281" spans="1:13" ht="15.75" customHeight="1">
      <c r="A281" s="815"/>
      <c r="B281" s="499" t="s">
        <v>11</v>
      </c>
      <c r="C281" s="499" t="s">
        <v>41</v>
      </c>
      <c r="D281" s="807"/>
      <c r="E281" s="804"/>
      <c r="F281" s="499" t="s">
        <v>11</v>
      </c>
      <c r="G281" s="499" t="s">
        <v>41</v>
      </c>
      <c r="H281" s="499" t="s">
        <v>11</v>
      </c>
      <c r="I281" s="499" t="s">
        <v>41</v>
      </c>
      <c r="J281" s="499" t="s">
        <v>11</v>
      </c>
      <c r="K281" s="499" t="s">
        <v>41</v>
      </c>
      <c r="L281" s="499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07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07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07"/>
      <c r="E284" s="804" t="s">
        <v>197</v>
      </c>
      <c r="F284" s="819">
        <v>5</v>
      </c>
      <c r="G284" s="820"/>
      <c r="H284" s="819">
        <v>6</v>
      </c>
      <c r="I284" s="820"/>
      <c r="J284" s="819">
        <v>7</v>
      </c>
      <c r="K284" s="820"/>
      <c r="L284" s="821">
        <v>8</v>
      </c>
      <c r="M284" s="822"/>
    </row>
    <row r="285" spans="1:13" ht="15.75" customHeight="1">
      <c r="A285" s="275"/>
      <c r="B285" s="185"/>
      <c r="C285" s="185"/>
      <c r="D285" s="807"/>
      <c r="E285" s="804"/>
      <c r="F285" s="823" t="s">
        <v>188</v>
      </c>
      <c r="G285" s="824"/>
      <c r="H285" s="823" t="s">
        <v>165</v>
      </c>
      <c r="I285" s="824"/>
      <c r="J285" s="823" t="s">
        <v>189</v>
      </c>
      <c r="K285" s="824"/>
      <c r="L285" s="825" t="s">
        <v>249</v>
      </c>
      <c r="M285" s="826"/>
    </row>
    <row r="286" spans="1:13" ht="15.75" customHeight="1">
      <c r="A286" s="275"/>
      <c r="B286" s="185"/>
      <c r="C286" s="185"/>
      <c r="D286" s="807"/>
      <c r="E286" s="804"/>
      <c r="F286" s="499" t="s">
        <v>11</v>
      </c>
      <c r="G286" s="499" t="s">
        <v>41</v>
      </c>
      <c r="H286" s="499" t="s">
        <v>11</v>
      </c>
      <c r="I286" s="499" t="s">
        <v>41</v>
      </c>
      <c r="J286" s="499" t="s">
        <v>11</v>
      </c>
      <c r="K286" s="499" t="s">
        <v>41</v>
      </c>
      <c r="L286" s="499" t="s">
        <v>11</v>
      </c>
      <c r="M286" s="268" t="s">
        <v>41</v>
      </c>
    </row>
    <row r="287" spans="1:13" ht="15.75" customHeight="1">
      <c r="A287" s="276"/>
      <c r="B287" s="277"/>
      <c r="C287" s="277"/>
      <c r="D287" s="807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16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10" t="s">
        <v>878</v>
      </c>
      <c r="B289" s="811"/>
      <c r="C289" s="811"/>
      <c r="D289" s="811"/>
      <c r="E289" s="811"/>
      <c r="F289" s="811"/>
      <c r="G289" s="811"/>
      <c r="H289" s="811"/>
      <c r="I289" s="811"/>
      <c r="J289" s="811"/>
      <c r="K289" s="811"/>
      <c r="L289" s="811"/>
      <c r="M289" s="812"/>
    </row>
    <row r="290" spans="1:13" ht="15.75" customHeight="1">
      <c r="A290" s="813"/>
      <c r="B290" s="803"/>
      <c r="C290" s="803"/>
      <c r="D290" s="803"/>
      <c r="E290" s="803"/>
      <c r="F290" s="803"/>
      <c r="G290" s="803"/>
      <c r="H290" s="803"/>
      <c r="I290" s="803"/>
      <c r="J290" s="803"/>
      <c r="K290" s="803"/>
      <c r="L290" s="803"/>
      <c r="M290" s="814"/>
    </row>
    <row r="291" spans="1:13" ht="15.75" customHeight="1">
      <c r="A291" s="266" t="s">
        <v>238</v>
      </c>
      <c r="B291" s="354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15" t="s">
        <v>197</v>
      </c>
      <c r="B292" s="805" t="s">
        <v>10</v>
      </c>
      <c r="C292" s="805"/>
      <c r="D292" s="806"/>
      <c r="E292" s="804" t="s">
        <v>197</v>
      </c>
      <c r="F292" s="808">
        <v>1</v>
      </c>
      <c r="G292" s="808"/>
      <c r="H292" s="808">
        <v>2</v>
      </c>
      <c r="I292" s="808"/>
      <c r="J292" s="808">
        <v>3</v>
      </c>
      <c r="K292" s="808"/>
      <c r="L292" s="808">
        <v>4</v>
      </c>
      <c r="M292" s="817"/>
    </row>
    <row r="293" spans="1:13" ht="15.75" customHeight="1">
      <c r="A293" s="815"/>
      <c r="B293" s="805"/>
      <c r="C293" s="805"/>
      <c r="D293" s="807"/>
      <c r="E293" s="804"/>
      <c r="F293" s="800" t="s">
        <v>250</v>
      </c>
      <c r="G293" s="800"/>
      <c r="H293" s="800" t="s">
        <v>240</v>
      </c>
      <c r="I293" s="800"/>
      <c r="J293" s="800" t="s">
        <v>164</v>
      </c>
      <c r="K293" s="800"/>
      <c r="L293" s="800" t="s">
        <v>694</v>
      </c>
      <c r="M293" s="818"/>
    </row>
    <row r="294" spans="1:13" ht="15.75" customHeight="1">
      <c r="A294" s="815"/>
      <c r="B294" s="528" t="s">
        <v>11</v>
      </c>
      <c r="C294" s="528" t="s">
        <v>41</v>
      </c>
      <c r="D294" s="807"/>
      <c r="E294" s="804"/>
      <c r="F294" s="528" t="s">
        <v>11</v>
      </c>
      <c r="G294" s="528" t="s">
        <v>41</v>
      </c>
      <c r="H294" s="528" t="s">
        <v>11</v>
      </c>
      <c r="I294" s="528" t="s">
        <v>41</v>
      </c>
      <c r="J294" s="528" t="s">
        <v>11</v>
      </c>
      <c r="K294" s="528" t="s">
        <v>41</v>
      </c>
      <c r="L294" s="528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07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07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07"/>
      <c r="E297" s="804" t="s">
        <v>197</v>
      </c>
      <c r="F297" s="819">
        <v>5</v>
      </c>
      <c r="G297" s="820"/>
      <c r="H297" s="819">
        <v>6</v>
      </c>
      <c r="I297" s="820"/>
      <c r="J297" s="819">
        <v>7</v>
      </c>
      <c r="K297" s="820"/>
      <c r="L297" s="821">
        <v>8</v>
      </c>
      <c r="M297" s="822"/>
    </row>
    <row r="298" spans="1:13" ht="15.75" customHeight="1">
      <c r="A298" s="275"/>
      <c r="B298" s="185"/>
      <c r="C298" s="185"/>
      <c r="D298" s="807"/>
      <c r="E298" s="804"/>
      <c r="F298" s="823" t="s">
        <v>188</v>
      </c>
      <c r="G298" s="824"/>
      <c r="H298" s="823" t="s">
        <v>165</v>
      </c>
      <c r="I298" s="824"/>
      <c r="J298" s="823" t="s">
        <v>189</v>
      </c>
      <c r="K298" s="824"/>
      <c r="L298" s="825" t="s">
        <v>249</v>
      </c>
      <c r="M298" s="826"/>
    </row>
    <row r="299" spans="1:13" ht="15.75" customHeight="1">
      <c r="A299" s="275"/>
      <c r="B299" s="185"/>
      <c r="C299" s="185"/>
      <c r="D299" s="807"/>
      <c r="E299" s="804"/>
      <c r="F299" s="528" t="s">
        <v>11</v>
      </c>
      <c r="G299" s="528" t="s">
        <v>41</v>
      </c>
      <c r="H299" s="528" t="s">
        <v>11</v>
      </c>
      <c r="I299" s="528" t="s">
        <v>41</v>
      </c>
      <c r="J299" s="528" t="s">
        <v>11</v>
      </c>
      <c r="K299" s="528" t="s">
        <v>41</v>
      </c>
      <c r="L299" s="528" t="s">
        <v>11</v>
      </c>
      <c r="M299" s="268" t="s">
        <v>41</v>
      </c>
    </row>
    <row r="300" spans="1:13" ht="15.75" customHeight="1">
      <c r="A300" s="276"/>
      <c r="B300" s="277"/>
      <c r="C300" s="277"/>
      <c r="D300" s="807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16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10" t="s">
        <v>877</v>
      </c>
      <c r="B302" s="811"/>
      <c r="C302" s="811"/>
      <c r="D302" s="811"/>
      <c r="E302" s="811"/>
      <c r="F302" s="811"/>
      <c r="G302" s="811"/>
      <c r="H302" s="811"/>
      <c r="I302" s="811"/>
      <c r="J302" s="811"/>
      <c r="K302" s="811"/>
      <c r="L302" s="811"/>
      <c r="M302" s="812"/>
    </row>
    <row r="303" spans="1:13" ht="15.75" customHeight="1">
      <c r="A303" s="813"/>
      <c r="B303" s="803"/>
      <c r="C303" s="803"/>
      <c r="D303" s="803"/>
      <c r="E303" s="803"/>
      <c r="F303" s="803"/>
      <c r="G303" s="803"/>
      <c r="H303" s="803"/>
      <c r="I303" s="803"/>
      <c r="J303" s="803"/>
      <c r="K303" s="803"/>
      <c r="L303" s="803"/>
      <c r="M303" s="814"/>
    </row>
    <row r="304" spans="1:13" ht="15.75" customHeight="1">
      <c r="A304" s="266" t="s">
        <v>238</v>
      </c>
      <c r="B304" s="354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15" t="s">
        <v>197</v>
      </c>
      <c r="B305" s="805" t="s">
        <v>10</v>
      </c>
      <c r="C305" s="805"/>
      <c r="D305" s="806"/>
      <c r="E305" s="804" t="s">
        <v>197</v>
      </c>
      <c r="F305" s="808">
        <v>1</v>
      </c>
      <c r="G305" s="808"/>
      <c r="H305" s="808">
        <v>2</v>
      </c>
      <c r="I305" s="808"/>
      <c r="J305" s="808">
        <v>3</v>
      </c>
      <c r="K305" s="808"/>
      <c r="L305" s="808">
        <v>4</v>
      </c>
      <c r="M305" s="817"/>
    </row>
    <row r="306" spans="1:13" ht="15.75" customHeight="1">
      <c r="A306" s="815"/>
      <c r="B306" s="805"/>
      <c r="C306" s="805"/>
      <c r="D306" s="807"/>
      <c r="E306" s="804"/>
      <c r="F306" s="800" t="s">
        <v>250</v>
      </c>
      <c r="G306" s="800"/>
      <c r="H306" s="800" t="s">
        <v>240</v>
      </c>
      <c r="I306" s="800"/>
      <c r="J306" s="800" t="s">
        <v>164</v>
      </c>
      <c r="K306" s="800"/>
      <c r="L306" s="800" t="s">
        <v>694</v>
      </c>
      <c r="M306" s="818"/>
    </row>
    <row r="307" spans="1:13" ht="15.75" customHeight="1">
      <c r="A307" s="815"/>
      <c r="B307" s="531" t="s">
        <v>11</v>
      </c>
      <c r="C307" s="531" t="s">
        <v>41</v>
      </c>
      <c r="D307" s="807"/>
      <c r="E307" s="804"/>
      <c r="F307" s="531" t="s">
        <v>11</v>
      </c>
      <c r="G307" s="531" t="s">
        <v>41</v>
      </c>
      <c r="H307" s="531" t="s">
        <v>11</v>
      </c>
      <c r="I307" s="531" t="s">
        <v>41</v>
      </c>
      <c r="J307" s="531" t="s">
        <v>11</v>
      </c>
      <c r="K307" s="531" t="s">
        <v>41</v>
      </c>
      <c r="L307" s="531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07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07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07"/>
      <c r="E310" s="804" t="s">
        <v>197</v>
      </c>
      <c r="F310" s="819">
        <v>5</v>
      </c>
      <c r="G310" s="820"/>
      <c r="H310" s="819">
        <v>6</v>
      </c>
      <c r="I310" s="820"/>
      <c r="J310" s="819">
        <v>7</v>
      </c>
      <c r="K310" s="820"/>
      <c r="L310" s="821">
        <v>8</v>
      </c>
      <c r="M310" s="822"/>
    </row>
    <row r="311" spans="1:13" ht="15.75" customHeight="1">
      <c r="A311" s="275"/>
      <c r="B311" s="185"/>
      <c r="C311" s="185"/>
      <c r="D311" s="807"/>
      <c r="E311" s="804"/>
      <c r="F311" s="823" t="s">
        <v>188</v>
      </c>
      <c r="G311" s="824"/>
      <c r="H311" s="823" t="s">
        <v>165</v>
      </c>
      <c r="I311" s="824"/>
      <c r="J311" s="823" t="s">
        <v>189</v>
      </c>
      <c r="K311" s="824"/>
      <c r="L311" s="825" t="s">
        <v>249</v>
      </c>
      <c r="M311" s="826"/>
    </row>
    <row r="312" spans="1:13" ht="15.75" customHeight="1">
      <c r="A312" s="275"/>
      <c r="B312" s="185"/>
      <c r="C312" s="185"/>
      <c r="D312" s="807"/>
      <c r="E312" s="804"/>
      <c r="F312" s="531" t="s">
        <v>11</v>
      </c>
      <c r="G312" s="531" t="s">
        <v>41</v>
      </c>
      <c r="H312" s="531" t="s">
        <v>11</v>
      </c>
      <c r="I312" s="531" t="s">
        <v>41</v>
      </c>
      <c r="J312" s="531" t="s">
        <v>11</v>
      </c>
      <c r="K312" s="531" t="s">
        <v>41</v>
      </c>
      <c r="L312" s="531" t="s">
        <v>11</v>
      </c>
      <c r="M312" s="268" t="s">
        <v>41</v>
      </c>
    </row>
    <row r="313" spans="1:13" ht="15.75" customHeight="1">
      <c r="A313" s="276"/>
      <c r="B313" s="277"/>
      <c r="C313" s="277"/>
      <c r="D313" s="807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16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10" t="s">
        <v>896</v>
      </c>
      <c r="B315" s="811"/>
      <c r="C315" s="811"/>
      <c r="D315" s="811"/>
      <c r="E315" s="811"/>
      <c r="F315" s="811"/>
      <c r="G315" s="811"/>
      <c r="H315" s="811"/>
      <c r="I315" s="811"/>
      <c r="J315" s="811"/>
      <c r="K315" s="811"/>
      <c r="L315" s="811"/>
      <c r="M315" s="812"/>
    </row>
    <row r="316" spans="1:13" ht="15.75" customHeight="1">
      <c r="A316" s="813"/>
      <c r="B316" s="803"/>
      <c r="C316" s="803"/>
      <c r="D316" s="803"/>
      <c r="E316" s="803"/>
      <c r="F316" s="803"/>
      <c r="G316" s="803"/>
      <c r="H316" s="803"/>
      <c r="I316" s="803"/>
      <c r="J316" s="803"/>
      <c r="K316" s="803"/>
      <c r="L316" s="803"/>
      <c r="M316" s="814"/>
    </row>
    <row r="317" spans="1:13" ht="15.75" customHeight="1">
      <c r="A317" s="266" t="s">
        <v>238</v>
      </c>
      <c r="B317" s="354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15" t="s">
        <v>197</v>
      </c>
      <c r="B318" s="805" t="s">
        <v>10</v>
      </c>
      <c r="C318" s="805"/>
      <c r="D318" s="806"/>
      <c r="E318" s="804" t="s">
        <v>197</v>
      </c>
      <c r="F318" s="808">
        <v>1</v>
      </c>
      <c r="G318" s="808"/>
      <c r="H318" s="808">
        <v>2</v>
      </c>
      <c r="I318" s="808"/>
      <c r="J318" s="808">
        <v>3</v>
      </c>
      <c r="K318" s="808"/>
      <c r="L318" s="808">
        <v>4</v>
      </c>
      <c r="M318" s="817"/>
    </row>
    <row r="319" spans="1:13" ht="15.75" customHeight="1">
      <c r="A319" s="815"/>
      <c r="B319" s="805"/>
      <c r="C319" s="805"/>
      <c r="D319" s="807"/>
      <c r="E319" s="804"/>
      <c r="F319" s="800" t="s">
        <v>250</v>
      </c>
      <c r="G319" s="800"/>
      <c r="H319" s="800" t="s">
        <v>240</v>
      </c>
      <c r="I319" s="800"/>
      <c r="J319" s="800" t="s">
        <v>164</v>
      </c>
      <c r="K319" s="800"/>
      <c r="L319" s="800" t="s">
        <v>694</v>
      </c>
      <c r="M319" s="818"/>
    </row>
    <row r="320" spans="1:13" ht="15.75" customHeight="1">
      <c r="A320" s="815"/>
      <c r="B320" s="540" t="s">
        <v>11</v>
      </c>
      <c r="C320" s="540" t="s">
        <v>41</v>
      </c>
      <c r="D320" s="807"/>
      <c r="E320" s="804"/>
      <c r="F320" s="540" t="s">
        <v>11</v>
      </c>
      <c r="G320" s="540" t="s">
        <v>41</v>
      </c>
      <c r="H320" s="540" t="s">
        <v>11</v>
      </c>
      <c r="I320" s="540" t="s">
        <v>41</v>
      </c>
      <c r="J320" s="540" t="s">
        <v>11</v>
      </c>
      <c r="K320" s="540" t="s">
        <v>41</v>
      </c>
      <c r="L320" s="540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07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07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07"/>
      <c r="E323" s="804" t="s">
        <v>197</v>
      </c>
      <c r="F323" s="819">
        <v>5</v>
      </c>
      <c r="G323" s="820"/>
      <c r="H323" s="819">
        <v>6</v>
      </c>
      <c r="I323" s="820"/>
      <c r="J323" s="819">
        <v>7</v>
      </c>
      <c r="K323" s="820"/>
      <c r="L323" s="821">
        <v>8</v>
      </c>
      <c r="M323" s="822"/>
    </row>
    <row r="324" spans="1:13" ht="15.75" customHeight="1">
      <c r="A324" s="275"/>
      <c r="B324" s="185"/>
      <c r="C324" s="185"/>
      <c r="D324" s="807"/>
      <c r="E324" s="804"/>
      <c r="F324" s="823" t="s">
        <v>188</v>
      </c>
      <c r="G324" s="824"/>
      <c r="H324" s="823" t="s">
        <v>165</v>
      </c>
      <c r="I324" s="824"/>
      <c r="J324" s="823" t="s">
        <v>189</v>
      </c>
      <c r="K324" s="824"/>
      <c r="L324" s="825" t="s">
        <v>249</v>
      </c>
      <c r="M324" s="826"/>
    </row>
    <row r="325" spans="1:13" ht="15.75" customHeight="1">
      <c r="A325" s="275"/>
      <c r="B325" s="185"/>
      <c r="C325" s="185"/>
      <c r="D325" s="807"/>
      <c r="E325" s="804"/>
      <c r="F325" s="540" t="s">
        <v>11</v>
      </c>
      <c r="G325" s="540" t="s">
        <v>41</v>
      </c>
      <c r="H325" s="540" t="s">
        <v>11</v>
      </c>
      <c r="I325" s="540" t="s">
        <v>41</v>
      </c>
      <c r="J325" s="540" t="s">
        <v>11</v>
      </c>
      <c r="K325" s="540" t="s">
        <v>41</v>
      </c>
      <c r="L325" s="540" t="s">
        <v>11</v>
      </c>
      <c r="M325" s="268" t="s">
        <v>41</v>
      </c>
    </row>
    <row r="326" spans="1:13" ht="15.75" customHeight="1">
      <c r="A326" s="276"/>
      <c r="B326" s="277"/>
      <c r="C326" s="277"/>
      <c r="D326" s="807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16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10" t="s">
        <v>899</v>
      </c>
      <c r="B328" s="811"/>
      <c r="C328" s="811"/>
      <c r="D328" s="811"/>
      <c r="E328" s="811"/>
      <c r="F328" s="811"/>
      <c r="G328" s="811"/>
      <c r="H328" s="811"/>
      <c r="I328" s="811"/>
      <c r="J328" s="811"/>
      <c r="K328" s="811"/>
      <c r="L328" s="811"/>
      <c r="M328" s="812"/>
    </row>
    <row r="329" spans="1:13" ht="15.75" customHeight="1">
      <c r="A329" s="813"/>
      <c r="B329" s="803"/>
      <c r="C329" s="803"/>
      <c r="D329" s="803"/>
      <c r="E329" s="803"/>
      <c r="F329" s="803"/>
      <c r="G329" s="803"/>
      <c r="H329" s="803"/>
      <c r="I329" s="803"/>
      <c r="J329" s="803"/>
      <c r="K329" s="803"/>
      <c r="L329" s="803"/>
      <c r="M329" s="814"/>
    </row>
    <row r="330" spans="1:13" ht="15.75" customHeight="1">
      <c r="A330" s="266" t="s">
        <v>238</v>
      </c>
      <c r="B330" s="354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15" t="s">
        <v>197</v>
      </c>
      <c r="B331" s="805" t="s">
        <v>10</v>
      </c>
      <c r="C331" s="805"/>
      <c r="D331" s="806"/>
      <c r="E331" s="804" t="s">
        <v>197</v>
      </c>
      <c r="F331" s="808">
        <v>1</v>
      </c>
      <c r="G331" s="808"/>
      <c r="H331" s="808">
        <v>2</v>
      </c>
      <c r="I331" s="808"/>
      <c r="J331" s="808">
        <v>3</v>
      </c>
      <c r="K331" s="808"/>
      <c r="L331" s="808">
        <v>4</v>
      </c>
      <c r="M331" s="817"/>
    </row>
    <row r="332" spans="1:13" ht="15.75" customHeight="1">
      <c r="A332" s="815"/>
      <c r="B332" s="805"/>
      <c r="C332" s="805"/>
      <c r="D332" s="807"/>
      <c r="E332" s="804"/>
      <c r="F332" s="800" t="s">
        <v>250</v>
      </c>
      <c r="G332" s="800"/>
      <c r="H332" s="800" t="s">
        <v>240</v>
      </c>
      <c r="I332" s="800"/>
      <c r="J332" s="800" t="s">
        <v>164</v>
      </c>
      <c r="K332" s="800"/>
      <c r="L332" s="800" t="s">
        <v>694</v>
      </c>
      <c r="M332" s="818"/>
    </row>
    <row r="333" spans="1:13" ht="15.75" customHeight="1">
      <c r="A333" s="815"/>
      <c r="B333" s="543" t="s">
        <v>11</v>
      </c>
      <c r="C333" s="543" t="s">
        <v>41</v>
      </c>
      <c r="D333" s="807"/>
      <c r="E333" s="804"/>
      <c r="F333" s="543" t="s">
        <v>11</v>
      </c>
      <c r="G333" s="543" t="s">
        <v>41</v>
      </c>
      <c r="H333" s="543" t="s">
        <v>11</v>
      </c>
      <c r="I333" s="543" t="s">
        <v>41</v>
      </c>
      <c r="J333" s="543" t="s">
        <v>11</v>
      </c>
      <c r="K333" s="543" t="s">
        <v>41</v>
      </c>
      <c r="L333" s="543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07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07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07"/>
      <c r="E336" s="804" t="s">
        <v>197</v>
      </c>
      <c r="F336" s="819">
        <v>5</v>
      </c>
      <c r="G336" s="820"/>
      <c r="H336" s="819">
        <v>6</v>
      </c>
      <c r="I336" s="820"/>
      <c r="J336" s="819">
        <v>7</v>
      </c>
      <c r="K336" s="820"/>
      <c r="L336" s="821">
        <v>8</v>
      </c>
      <c r="M336" s="822"/>
    </row>
    <row r="337" spans="1:13" ht="15.75" customHeight="1">
      <c r="A337" s="275"/>
      <c r="B337" s="185"/>
      <c r="C337" s="185"/>
      <c r="D337" s="807"/>
      <c r="E337" s="804"/>
      <c r="F337" s="823" t="s">
        <v>188</v>
      </c>
      <c r="G337" s="824"/>
      <c r="H337" s="823" t="s">
        <v>165</v>
      </c>
      <c r="I337" s="824"/>
      <c r="J337" s="823" t="s">
        <v>189</v>
      </c>
      <c r="K337" s="824"/>
      <c r="L337" s="825" t="s">
        <v>249</v>
      </c>
      <c r="M337" s="826"/>
    </row>
    <row r="338" spans="1:13" ht="15.75" customHeight="1">
      <c r="A338" s="275"/>
      <c r="B338" s="185"/>
      <c r="C338" s="185"/>
      <c r="D338" s="807"/>
      <c r="E338" s="804"/>
      <c r="F338" s="543" t="s">
        <v>11</v>
      </c>
      <c r="G338" s="543" t="s">
        <v>41</v>
      </c>
      <c r="H338" s="543" t="s">
        <v>11</v>
      </c>
      <c r="I338" s="543" t="s">
        <v>41</v>
      </c>
      <c r="J338" s="543" t="s">
        <v>11</v>
      </c>
      <c r="K338" s="543" t="s">
        <v>41</v>
      </c>
      <c r="L338" s="543" t="s">
        <v>11</v>
      </c>
      <c r="M338" s="268" t="s">
        <v>41</v>
      </c>
    </row>
    <row r="339" spans="1:13" ht="15.75" customHeight="1">
      <c r="A339" s="276"/>
      <c r="B339" s="277"/>
      <c r="C339" s="277"/>
      <c r="D339" s="807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16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10" t="s">
        <v>904</v>
      </c>
      <c r="B341" s="811"/>
      <c r="C341" s="811"/>
      <c r="D341" s="811"/>
      <c r="E341" s="811"/>
      <c r="F341" s="811"/>
      <c r="G341" s="811"/>
      <c r="H341" s="811"/>
      <c r="I341" s="811"/>
      <c r="J341" s="811"/>
      <c r="K341" s="811"/>
      <c r="L341" s="811"/>
      <c r="M341" s="812"/>
    </row>
    <row r="342" spans="1:13" ht="15.75" customHeight="1">
      <c r="A342" s="813"/>
      <c r="B342" s="803"/>
      <c r="C342" s="803"/>
      <c r="D342" s="803"/>
      <c r="E342" s="803"/>
      <c r="F342" s="803"/>
      <c r="G342" s="803"/>
      <c r="H342" s="803"/>
      <c r="I342" s="803"/>
      <c r="J342" s="803"/>
      <c r="K342" s="803"/>
      <c r="L342" s="803"/>
      <c r="M342" s="814"/>
    </row>
    <row r="343" spans="1:13" ht="15.75" customHeight="1">
      <c r="A343" s="266" t="s">
        <v>238</v>
      </c>
      <c r="B343" s="354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15" t="s">
        <v>197</v>
      </c>
      <c r="B344" s="805" t="s">
        <v>10</v>
      </c>
      <c r="C344" s="805"/>
      <c r="D344" s="806"/>
      <c r="E344" s="804" t="s">
        <v>197</v>
      </c>
      <c r="F344" s="808">
        <v>1</v>
      </c>
      <c r="G344" s="808"/>
      <c r="H344" s="808">
        <v>2</v>
      </c>
      <c r="I344" s="808"/>
      <c r="J344" s="808">
        <v>3</v>
      </c>
      <c r="K344" s="808"/>
      <c r="L344" s="808">
        <v>4</v>
      </c>
      <c r="M344" s="817"/>
    </row>
    <row r="345" spans="1:13" ht="15.75" customHeight="1">
      <c r="A345" s="815"/>
      <c r="B345" s="805"/>
      <c r="C345" s="805"/>
      <c r="D345" s="807"/>
      <c r="E345" s="804"/>
      <c r="F345" s="800" t="s">
        <v>250</v>
      </c>
      <c r="G345" s="800"/>
      <c r="H345" s="800" t="s">
        <v>240</v>
      </c>
      <c r="I345" s="800"/>
      <c r="J345" s="800" t="s">
        <v>164</v>
      </c>
      <c r="K345" s="800"/>
      <c r="L345" s="800" t="s">
        <v>694</v>
      </c>
      <c r="M345" s="818"/>
    </row>
    <row r="346" spans="1:13" ht="15.75" customHeight="1">
      <c r="A346" s="815"/>
      <c r="B346" s="560" t="s">
        <v>11</v>
      </c>
      <c r="C346" s="560" t="s">
        <v>41</v>
      </c>
      <c r="D346" s="807"/>
      <c r="E346" s="804"/>
      <c r="F346" s="560" t="s">
        <v>11</v>
      </c>
      <c r="G346" s="560" t="s">
        <v>41</v>
      </c>
      <c r="H346" s="560" t="s">
        <v>11</v>
      </c>
      <c r="I346" s="560" t="s">
        <v>41</v>
      </c>
      <c r="J346" s="560" t="s">
        <v>11</v>
      </c>
      <c r="K346" s="560" t="s">
        <v>41</v>
      </c>
      <c r="L346" s="560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07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07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07"/>
      <c r="E349" s="804" t="s">
        <v>197</v>
      </c>
      <c r="F349" s="819">
        <v>5</v>
      </c>
      <c r="G349" s="820"/>
      <c r="H349" s="819">
        <v>6</v>
      </c>
      <c r="I349" s="820"/>
      <c r="J349" s="819">
        <v>7</v>
      </c>
      <c r="K349" s="820"/>
      <c r="L349" s="821">
        <v>8</v>
      </c>
      <c r="M349" s="822"/>
    </row>
    <row r="350" spans="1:13" ht="15.75" customHeight="1">
      <c r="A350" s="275"/>
      <c r="B350" s="185"/>
      <c r="C350" s="185"/>
      <c r="D350" s="807"/>
      <c r="E350" s="804"/>
      <c r="F350" s="823" t="s">
        <v>188</v>
      </c>
      <c r="G350" s="824"/>
      <c r="H350" s="823" t="s">
        <v>165</v>
      </c>
      <c r="I350" s="824"/>
      <c r="J350" s="823" t="s">
        <v>189</v>
      </c>
      <c r="K350" s="824"/>
      <c r="L350" s="825" t="s">
        <v>249</v>
      </c>
      <c r="M350" s="826"/>
    </row>
    <row r="351" spans="1:13" ht="15.75" customHeight="1">
      <c r="A351" s="275"/>
      <c r="B351" s="185"/>
      <c r="C351" s="185"/>
      <c r="D351" s="807"/>
      <c r="E351" s="804"/>
      <c r="F351" s="560" t="s">
        <v>11</v>
      </c>
      <c r="G351" s="560" t="s">
        <v>41</v>
      </c>
      <c r="H351" s="560" t="s">
        <v>11</v>
      </c>
      <c r="I351" s="560" t="s">
        <v>41</v>
      </c>
      <c r="J351" s="560" t="s">
        <v>11</v>
      </c>
      <c r="K351" s="560" t="s">
        <v>41</v>
      </c>
      <c r="L351" s="560" t="s">
        <v>11</v>
      </c>
      <c r="M351" s="268" t="s">
        <v>41</v>
      </c>
    </row>
    <row r="352" spans="1:13" ht="15.75" customHeight="1">
      <c r="A352" s="276"/>
      <c r="B352" s="277"/>
      <c r="C352" s="277"/>
      <c r="D352" s="807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16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10" t="s">
        <v>905</v>
      </c>
      <c r="B354" s="811"/>
      <c r="C354" s="811"/>
      <c r="D354" s="811"/>
      <c r="E354" s="811"/>
      <c r="F354" s="811"/>
      <c r="G354" s="811"/>
      <c r="H354" s="811"/>
      <c r="I354" s="811"/>
      <c r="J354" s="811"/>
      <c r="K354" s="811"/>
      <c r="L354" s="811"/>
      <c r="M354" s="812"/>
    </row>
    <row r="355" spans="1:13" ht="15.75" customHeight="1">
      <c r="A355" s="813"/>
      <c r="B355" s="803"/>
      <c r="C355" s="803"/>
      <c r="D355" s="803"/>
      <c r="E355" s="803"/>
      <c r="F355" s="803"/>
      <c r="G355" s="803"/>
      <c r="H355" s="803"/>
      <c r="I355" s="803"/>
      <c r="J355" s="803"/>
      <c r="K355" s="803"/>
      <c r="L355" s="803"/>
      <c r="M355" s="814"/>
    </row>
    <row r="356" spans="1:13" ht="15.75" customHeight="1">
      <c r="A356" s="266" t="s">
        <v>238</v>
      </c>
      <c r="B356" s="354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15" t="s">
        <v>197</v>
      </c>
      <c r="B357" s="805" t="s">
        <v>10</v>
      </c>
      <c r="C357" s="805"/>
      <c r="D357" s="806"/>
      <c r="E357" s="804" t="s">
        <v>197</v>
      </c>
      <c r="F357" s="808">
        <v>1</v>
      </c>
      <c r="G357" s="808"/>
      <c r="H357" s="808">
        <v>2</v>
      </c>
      <c r="I357" s="808"/>
      <c r="J357" s="808">
        <v>3</v>
      </c>
      <c r="K357" s="808"/>
      <c r="L357" s="808">
        <v>4</v>
      </c>
      <c r="M357" s="817"/>
    </row>
    <row r="358" spans="1:13" ht="15.75" customHeight="1">
      <c r="A358" s="815"/>
      <c r="B358" s="805"/>
      <c r="C358" s="805"/>
      <c r="D358" s="807"/>
      <c r="E358" s="804"/>
      <c r="F358" s="800" t="s">
        <v>250</v>
      </c>
      <c r="G358" s="800"/>
      <c r="H358" s="800" t="s">
        <v>240</v>
      </c>
      <c r="I358" s="800"/>
      <c r="J358" s="800" t="s">
        <v>164</v>
      </c>
      <c r="K358" s="800"/>
      <c r="L358" s="800" t="s">
        <v>694</v>
      </c>
      <c r="M358" s="818"/>
    </row>
    <row r="359" spans="1:13" ht="15.75" customHeight="1">
      <c r="A359" s="815"/>
      <c r="B359" s="562" t="s">
        <v>11</v>
      </c>
      <c r="C359" s="562" t="s">
        <v>41</v>
      </c>
      <c r="D359" s="807"/>
      <c r="E359" s="804"/>
      <c r="F359" s="562" t="s">
        <v>11</v>
      </c>
      <c r="G359" s="562" t="s">
        <v>41</v>
      </c>
      <c r="H359" s="562" t="s">
        <v>11</v>
      </c>
      <c r="I359" s="562" t="s">
        <v>41</v>
      </c>
      <c r="J359" s="562" t="s">
        <v>11</v>
      </c>
      <c r="K359" s="562" t="s">
        <v>41</v>
      </c>
      <c r="L359" s="562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807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f>IFERROR(H360/B360,"")</f>
        <v>1.8087079981069568E-2</v>
      </c>
      <c r="J360" s="271">
        <v>1384.5540000000001</v>
      </c>
      <c r="K360" s="193">
        <f>IFERROR(J360/B360,"")</f>
        <v>1.2134353473208183E-2</v>
      </c>
      <c r="L360" s="271">
        <v>8151.3090000000002</v>
      </c>
      <c r="M360" s="272">
        <f>IFERROR(L360/B360,"")</f>
        <v>7.1438791607509072E-2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807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f>IFERROR(L361/B361,"")</f>
        <v>0.17020330213656668</v>
      </c>
    </row>
    <row r="362" spans="1:13" ht="15.75" customHeight="1">
      <c r="A362" s="275"/>
      <c r="B362" s="185"/>
      <c r="C362" s="185"/>
      <c r="D362" s="807"/>
      <c r="E362" s="804" t="s">
        <v>197</v>
      </c>
      <c r="F362" s="819">
        <v>5</v>
      </c>
      <c r="G362" s="820"/>
      <c r="H362" s="819">
        <v>6</v>
      </c>
      <c r="I362" s="820"/>
      <c r="J362" s="819">
        <v>7</v>
      </c>
      <c r="K362" s="820"/>
      <c r="L362" s="821">
        <v>8</v>
      </c>
      <c r="M362" s="822"/>
    </row>
    <row r="363" spans="1:13" ht="15.75" customHeight="1">
      <c r="A363" s="275"/>
      <c r="B363" s="185"/>
      <c r="C363" s="185"/>
      <c r="D363" s="807"/>
      <c r="E363" s="804"/>
      <c r="F363" s="823" t="s">
        <v>188</v>
      </c>
      <c r="G363" s="824"/>
      <c r="H363" s="823" t="s">
        <v>165</v>
      </c>
      <c r="I363" s="824"/>
      <c r="J363" s="823" t="s">
        <v>189</v>
      </c>
      <c r="K363" s="824"/>
      <c r="L363" s="825" t="s">
        <v>249</v>
      </c>
      <c r="M363" s="826"/>
    </row>
    <row r="364" spans="1:13" ht="15.75" customHeight="1">
      <c r="A364" s="275"/>
      <c r="B364" s="185"/>
      <c r="C364" s="185"/>
      <c r="D364" s="807"/>
      <c r="E364" s="804"/>
      <c r="F364" s="562" t="s">
        <v>11</v>
      </c>
      <c r="G364" s="562" t="s">
        <v>41</v>
      </c>
      <c r="H364" s="562" t="s">
        <v>11</v>
      </c>
      <c r="I364" s="562" t="s">
        <v>41</v>
      </c>
      <c r="J364" s="562" t="s">
        <v>11</v>
      </c>
      <c r="K364" s="562" t="s">
        <v>41</v>
      </c>
      <c r="L364" s="562" t="s">
        <v>11</v>
      </c>
      <c r="M364" s="268" t="s">
        <v>41</v>
      </c>
    </row>
    <row r="365" spans="1:13" ht="15.75" customHeight="1">
      <c r="A365" s="276"/>
      <c r="B365" s="277"/>
      <c r="C365" s="277"/>
      <c r="D365" s="807"/>
      <c r="E365" s="189" t="s">
        <v>244</v>
      </c>
      <c r="F365" s="271">
        <v>2255.2030000000004</v>
      </c>
      <c r="G365" s="193">
        <f>IFERROR(F365/B360,"")</f>
        <v>1.9764798163047104E-2</v>
      </c>
      <c r="H365" s="271">
        <v>941.49999999999989</v>
      </c>
      <c r="I365" s="193">
        <f>IFERROR(H365/B360,"")</f>
        <v>8.2513891079910948E-3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16"/>
      <c r="E366" s="280" t="s">
        <v>245</v>
      </c>
      <c r="F366" s="281">
        <v>6805.0356099999872</v>
      </c>
      <c r="G366" s="282">
        <f>IFERROR(F366/B361,"")</f>
        <v>7.0018281709101016E-2</v>
      </c>
      <c r="H366" s="281">
        <v>1638.3359999999791</v>
      </c>
      <c r="I366" s="282">
        <f>IFERROR(H366/B361,"")</f>
        <v>1.685714493743266E-2</v>
      </c>
      <c r="J366" s="281">
        <v>1600.1576799999741</v>
      </c>
      <c r="K366" s="282">
        <f>IFERROR(J366/B361,"")</f>
        <v>1.6464321076083234E-2</v>
      </c>
      <c r="L366" s="281">
        <v>0</v>
      </c>
      <c r="M366" s="283">
        <f>IFERROR(L366/B361,"")</f>
        <v>0</v>
      </c>
    </row>
    <row r="367" spans="1:13" ht="15.75" customHeight="1">
      <c r="A367" s="810" t="s">
        <v>911</v>
      </c>
      <c r="B367" s="811"/>
      <c r="C367" s="811"/>
      <c r="D367" s="811"/>
      <c r="E367" s="811"/>
      <c r="F367" s="811"/>
      <c r="G367" s="811"/>
      <c r="H367" s="811"/>
      <c r="I367" s="811"/>
      <c r="J367" s="811"/>
      <c r="K367" s="811"/>
      <c r="L367" s="811"/>
      <c r="M367" s="812"/>
    </row>
    <row r="368" spans="1:13" ht="15.75" customHeight="1">
      <c r="A368" s="813"/>
      <c r="B368" s="803"/>
      <c r="C368" s="803"/>
      <c r="D368" s="803"/>
      <c r="E368" s="803"/>
      <c r="F368" s="803"/>
      <c r="G368" s="803"/>
      <c r="H368" s="803"/>
      <c r="I368" s="803"/>
      <c r="J368" s="803"/>
      <c r="K368" s="803"/>
      <c r="L368" s="803"/>
      <c r="M368" s="814"/>
    </row>
    <row r="369" spans="1:13" ht="15.75" customHeight="1">
      <c r="A369" s="266" t="s">
        <v>238</v>
      </c>
      <c r="B369" s="354">
        <v>49988113</v>
      </c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267"/>
    </row>
    <row r="370" spans="1:13" ht="15.75" customHeight="1">
      <c r="A370" s="815" t="s">
        <v>197</v>
      </c>
      <c r="B370" s="805" t="s">
        <v>10</v>
      </c>
      <c r="C370" s="805"/>
      <c r="D370" s="806"/>
      <c r="E370" s="804" t="s">
        <v>197</v>
      </c>
      <c r="F370" s="808">
        <v>1</v>
      </c>
      <c r="G370" s="808"/>
      <c r="H370" s="808">
        <v>2</v>
      </c>
      <c r="I370" s="808"/>
      <c r="J370" s="808">
        <v>3</v>
      </c>
      <c r="K370" s="808"/>
      <c r="L370" s="808">
        <v>4</v>
      </c>
      <c r="M370" s="817"/>
    </row>
    <row r="371" spans="1:13" ht="15.75" customHeight="1">
      <c r="A371" s="815"/>
      <c r="B371" s="805"/>
      <c r="C371" s="805"/>
      <c r="D371" s="807"/>
      <c r="E371" s="804"/>
      <c r="F371" s="800" t="s">
        <v>250</v>
      </c>
      <c r="G371" s="800"/>
      <c r="H371" s="800" t="s">
        <v>240</v>
      </c>
      <c r="I371" s="800"/>
      <c r="J371" s="800" t="s">
        <v>164</v>
      </c>
      <c r="K371" s="800"/>
      <c r="L371" s="800" t="s">
        <v>694</v>
      </c>
      <c r="M371" s="818"/>
    </row>
    <row r="372" spans="1:13" ht="15.75" customHeight="1">
      <c r="A372" s="815"/>
      <c r="B372" s="564" t="s">
        <v>11</v>
      </c>
      <c r="C372" s="564" t="s">
        <v>41</v>
      </c>
      <c r="D372" s="807"/>
      <c r="E372" s="804"/>
      <c r="F372" s="564" t="s">
        <v>11</v>
      </c>
      <c r="G372" s="564" t="s">
        <v>41</v>
      </c>
      <c r="H372" s="564" t="s">
        <v>11</v>
      </c>
      <c r="I372" s="564" t="s">
        <v>41</v>
      </c>
      <c r="J372" s="564" t="s">
        <v>11</v>
      </c>
      <c r="K372" s="564" t="s">
        <v>41</v>
      </c>
      <c r="L372" s="564" t="s">
        <v>11</v>
      </c>
      <c r="M372" s="268" t="s">
        <v>41</v>
      </c>
    </row>
    <row r="373" spans="1:13" ht="15.75" customHeight="1">
      <c r="A373" s="269" t="s">
        <v>244</v>
      </c>
      <c r="B373" s="270">
        <v>121756</v>
      </c>
      <c r="C373" s="191">
        <f>B373/B369</f>
        <v>2.4356990630952603E-3</v>
      </c>
      <c r="D373" s="807"/>
      <c r="E373" s="189" t="s">
        <v>244</v>
      </c>
      <c r="F373" s="271">
        <v>0</v>
      </c>
      <c r="G373" s="193">
        <f>IFERROR(F373/B373,"")</f>
        <v>0</v>
      </c>
      <c r="H373" s="271">
        <v>769.72000000000014</v>
      </c>
      <c r="I373" s="193">
        <f>IFERROR(H373/B373,"")</f>
        <v>6.3218239758204946E-3</v>
      </c>
      <c r="J373" s="271">
        <v>831.67200000000003</v>
      </c>
      <c r="K373" s="193">
        <f>IFERROR(J373/B373,"")</f>
        <v>6.8306448963500778E-3</v>
      </c>
      <c r="L373" s="271">
        <v>12237.047999999999</v>
      </c>
      <c r="M373" s="272">
        <f>IFERROR(L373/B373,"")</f>
        <v>0.1005046814941358</v>
      </c>
    </row>
    <row r="374" spans="1:13" ht="15.75" customHeight="1">
      <c r="A374" s="273" t="s">
        <v>245</v>
      </c>
      <c r="B374" s="274">
        <v>94254.637206307234</v>
      </c>
      <c r="C374" s="191">
        <f>B374/B369</f>
        <v>1.8855410126464912E-3</v>
      </c>
      <c r="D374" s="807"/>
      <c r="E374" s="195" t="s">
        <v>245</v>
      </c>
      <c r="F374" s="271">
        <v>0</v>
      </c>
      <c r="G374" s="193">
        <f>IFERROR(F374/B374,"")</f>
        <v>0</v>
      </c>
      <c r="H374" s="271">
        <v>0</v>
      </c>
      <c r="I374" s="193">
        <f>IFERROR(H374/B374,"")</f>
        <v>0</v>
      </c>
      <c r="J374" s="271">
        <v>0</v>
      </c>
      <c r="K374" s="193">
        <f>IFERROR(J374/B374,"")</f>
        <v>0</v>
      </c>
      <c r="L374" s="271">
        <v>18100.71399999996</v>
      </c>
      <c r="M374" s="272">
        <f>IFERROR(L374/B374,"")</f>
        <v>0.19204056730259966</v>
      </c>
    </row>
    <row r="375" spans="1:13" ht="15.75" customHeight="1">
      <c r="A375" s="275"/>
      <c r="B375" s="185"/>
      <c r="C375" s="185"/>
      <c r="D375" s="807"/>
      <c r="E375" s="804" t="s">
        <v>197</v>
      </c>
      <c r="F375" s="819">
        <v>5</v>
      </c>
      <c r="G375" s="820"/>
      <c r="H375" s="819">
        <v>6</v>
      </c>
      <c r="I375" s="820"/>
      <c r="J375" s="819">
        <v>7</v>
      </c>
      <c r="K375" s="820"/>
      <c r="L375" s="821">
        <v>8</v>
      </c>
      <c r="M375" s="822"/>
    </row>
    <row r="376" spans="1:13" ht="15.75" customHeight="1">
      <c r="A376" s="275"/>
      <c r="B376" s="185"/>
      <c r="C376" s="185"/>
      <c r="D376" s="807"/>
      <c r="E376" s="804"/>
      <c r="F376" s="823" t="s">
        <v>188</v>
      </c>
      <c r="G376" s="824"/>
      <c r="H376" s="823" t="s">
        <v>165</v>
      </c>
      <c r="I376" s="824"/>
      <c r="J376" s="823" t="s">
        <v>189</v>
      </c>
      <c r="K376" s="824"/>
      <c r="L376" s="825" t="s">
        <v>249</v>
      </c>
      <c r="M376" s="826"/>
    </row>
    <row r="377" spans="1:13" ht="15.75" customHeight="1">
      <c r="A377" s="275"/>
      <c r="B377" s="185"/>
      <c r="C377" s="185"/>
      <c r="D377" s="807"/>
      <c r="E377" s="804"/>
      <c r="F377" s="564" t="s">
        <v>11</v>
      </c>
      <c r="G377" s="564" t="s">
        <v>41</v>
      </c>
      <c r="H377" s="564" t="s">
        <v>11</v>
      </c>
      <c r="I377" s="564" t="s">
        <v>41</v>
      </c>
      <c r="J377" s="564" t="s">
        <v>11</v>
      </c>
      <c r="K377" s="564" t="s">
        <v>41</v>
      </c>
      <c r="L377" s="564" t="s">
        <v>11</v>
      </c>
      <c r="M377" s="268" t="s">
        <v>41</v>
      </c>
    </row>
    <row r="378" spans="1:13" ht="15.75" customHeight="1">
      <c r="A378" s="276"/>
      <c r="B378" s="277"/>
      <c r="C378" s="277"/>
      <c r="D378" s="807"/>
      <c r="E378" s="189" t="s">
        <v>244</v>
      </c>
      <c r="F378" s="271">
        <v>2455.817</v>
      </c>
      <c r="G378" s="193">
        <f>IFERROR(F378/B373,"")</f>
        <v>2.0169987516015637E-2</v>
      </c>
      <c r="H378" s="271">
        <v>0</v>
      </c>
      <c r="I378" s="193">
        <f>IFERROR(H378/B373,"")</f>
        <v>0</v>
      </c>
      <c r="J378" s="271">
        <v>0</v>
      </c>
      <c r="K378" s="193">
        <f>IFERROR(J378/B373,"")</f>
        <v>0</v>
      </c>
      <c r="L378" s="271">
        <v>0</v>
      </c>
      <c r="M378" s="272">
        <f>IFERROR(L378/B373,"")</f>
        <v>0</v>
      </c>
    </row>
    <row r="379" spans="1:13" ht="15.75" customHeight="1" thickBot="1">
      <c r="A379" s="278"/>
      <c r="B379" s="279"/>
      <c r="C379" s="279"/>
      <c r="D379" s="816"/>
      <c r="E379" s="280" t="s">
        <v>245</v>
      </c>
      <c r="F379" s="281">
        <v>8417.0204999999933</v>
      </c>
      <c r="G379" s="282">
        <f>IFERROR(F379/B374,"")</f>
        <v>8.9300863591215987E-2</v>
      </c>
      <c r="H379" s="281">
        <v>1676.3687999999943</v>
      </c>
      <c r="I379" s="282">
        <f>IFERROR(H379/B374,"")</f>
        <v>1.7785531297847029E-2</v>
      </c>
      <c r="J379" s="281">
        <v>0</v>
      </c>
      <c r="K379" s="282">
        <f>IFERROR(J379/B374,"")</f>
        <v>0</v>
      </c>
      <c r="L379" s="281">
        <v>0</v>
      </c>
      <c r="M379" s="283">
        <f>IFERROR(L379/B374,"")</f>
        <v>0</v>
      </c>
    </row>
    <row r="380" spans="1:13" ht="15.75" customHeight="1">
      <c r="A380" s="810" t="s">
        <v>912</v>
      </c>
      <c r="B380" s="811"/>
      <c r="C380" s="811"/>
      <c r="D380" s="811"/>
      <c r="E380" s="811"/>
      <c r="F380" s="811"/>
      <c r="G380" s="811"/>
      <c r="H380" s="811"/>
      <c r="I380" s="811"/>
      <c r="J380" s="811"/>
      <c r="K380" s="811"/>
      <c r="L380" s="811"/>
      <c r="M380" s="812"/>
    </row>
    <row r="381" spans="1:13" ht="15.75" customHeight="1">
      <c r="A381" s="813"/>
      <c r="B381" s="803"/>
      <c r="C381" s="803"/>
      <c r="D381" s="803"/>
      <c r="E381" s="803"/>
      <c r="F381" s="803"/>
      <c r="G381" s="803"/>
      <c r="H381" s="803"/>
      <c r="I381" s="803"/>
      <c r="J381" s="803"/>
      <c r="K381" s="803"/>
      <c r="L381" s="803"/>
      <c r="M381" s="814"/>
    </row>
    <row r="382" spans="1:13" ht="15.75" customHeight="1">
      <c r="A382" s="266" t="s">
        <v>238</v>
      </c>
      <c r="B382" s="354">
        <v>53050901</v>
      </c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267"/>
    </row>
    <row r="383" spans="1:13" ht="15.75" customHeight="1">
      <c r="A383" s="815" t="s">
        <v>197</v>
      </c>
      <c r="B383" s="805" t="s">
        <v>10</v>
      </c>
      <c r="C383" s="805"/>
      <c r="D383" s="806"/>
      <c r="E383" s="804" t="s">
        <v>197</v>
      </c>
      <c r="F383" s="808">
        <v>1</v>
      </c>
      <c r="G383" s="808"/>
      <c r="H383" s="808">
        <v>2</v>
      </c>
      <c r="I383" s="808"/>
      <c r="J383" s="808">
        <v>3</v>
      </c>
      <c r="K383" s="808"/>
      <c r="L383" s="808">
        <v>4</v>
      </c>
      <c r="M383" s="817"/>
    </row>
    <row r="384" spans="1:13" ht="15.75" customHeight="1">
      <c r="A384" s="815"/>
      <c r="B384" s="805"/>
      <c r="C384" s="805"/>
      <c r="D384" s="807"/>
      <c r="E384" s="804"/>
      <c r="F384" s="800" t="s">
        <v>250</v>
      </c>
      <c r="G384" s="800"/>
      <c r="H384" s="800" t="s">
        <v>240</v>
      </c>
      <c r="I384" s="800"/>
      <c r="J384" s="800" t="s">
        <v>164</v>
      </c>
      <c r="K384" s="800"/>
      <c r="L384" s="800" t="s">
        <v>694</v>
      </c>
      <c r="M384" s="818"/>
    </row>
    <row r="385" spans="1:13" ht="15.75" customHeight="1">
      <c r="A385" s="815"/>
      <c r="B385" s="575" t="s">
        <v>11</v>
      </c>
      <c r="C385" s="575" t="s">
        <v>41</v>
      </c>
      <c r="D385" s="807"/>
      <c r="E385" s="804"/>
      <c r="F385" s="575" t="s">
        <v>11</v>
      </c>
      <c r="G385" s="575" t="s">
        <v>41</v>
      </c>
      <c r="H385" s="575" t="s">
        <v>11</v>
      </c>
      <c r="I385" s="575" t="s">
        <v>41</v>
      </c>
      <c r="J385" s="575" t="s">
        <v>11</v>
      </c>
      <c r="K385" s="575" t="s">
        <v>41</v>
      </c>
      <c r="L385" s="575" t="s">
        <v>11</v>
      </c>
      <c r="M385" s="268" t="s">
        <v>41</v>
      </c>
    </row>
    <row r="386" spans="1:13" ht="15.75" customHeight="1">
      <c r="A386" s="269" t="s">
        <v>244</v>
      </c>
      <c r="B386" s="270">
        <v>129836</v>
      </c>
      <c r="C386" s="191">
        <f>B386/B382</f>
        <v>2.4473853893640751E-3</v>
      </c>
      <c r="D386" s="807"/>
      <c r="E386" s="189" t="s">
        <v>244</v>
      </c>
      <c r="F386" s="271">
        <v>0</v>
      </c>
      <c r="G386" s="193">
        <f>IFERROR(F386/B386,"")</f>
        <v>0</v>
      </c>
      <c r="H386" s="271">
        <v>3347.5150000000003</v>
      </c>
      <c r="I386" s="193">
        <f>IFERROR(H386/B386,"")</f>
        <v>2.5782641178101608E-2</v>
      </c>
      <c r="J386" s="271">
        <v>2204.8720000000003</v>
      </c>
      <c r="K386" s="193">
        <f>IFERROR(J386/B386,"")</f>
        <v>1.6981977263624885E-2</v>
      </c>
      <c r="L386" s="271">
        <v>3790.8570000000004</v>
      </c>
      <c r="M386" s="272">
        <f>IFERROR(L386/B386,"")</f>
        <v>2.9197271943066642E-2</v>
      </c>
    </row>
    <row r="387" spans="1:13" ht="15.75" customHeight="1">
      <c r="A387" s="273" t="s">
        <v>245</v>
      </c>
      <c r="B387" s="274">
        <v>102537</v>
      </c>
      <c r="C387" s="191">
        <f>B387/B382</f>
        <v>1.9328041195756506E-3</v>
      </c>
      <c r="D387" s="807"/>
      <c r="E387" s="195" t="s">
        <v>245</v>
      </c>
      <c r="F387" s="271">
        <v>0</v>
      </c>
      <c r="G387" s="193">
        <f>IFERROR(F387/B387,"")</f>
        <v>0</v>
      </c>
      <c r="H387" s="271">
        <v>4288.2147999999961</v>
      </c>
      <c r="I387" s="193">
        <f>IFERROR(H387/B387,"")</f>
        <v>4.1821145537708299E-2</v>
      </c>
      <c r="J387" s="271">
        <v>1219.8979000000095</v>
      </c>
      <c r="K387" s="193">
        <f>IFERROR(J387/B387,"")</f>
        <v>1.1897148346450642E-2</v>
      </c>
      <c r="L387" s="271">
        <v>14881.301100000024</v>
      </c>
      <c r="M387" s="272">
        <f>IFERROR(L387/B387,"")</f>
        <v>0.14513103660142215</v>
      </c>
    </row>
    <row r="388" spans="1:13" ht="15.75" customHeight="1">
      <c r="A388" s="275"/>
      <c r="B388" s="185"/>
      <c r="C388" s="185"/>
      <c r="D388" s="807"/>
      <c r="E388" s="804" t="s">
        <v>197</v>
      </c>
      <c r="F388" s="819">
        <v>5</v>
      </c>
      <c r="G388" s="820"/>
      <c r="H388" s="819">
        <v>6</v>
      </c>
      <c r="I388" s="820"/>
      <c r="J388" s="819">
        <v>7</v>
      </c>
      <c r="K388" s="820"/>
      <c r="L388" s="821">
        <v>8</v>
      </c>
      <c r="M388" s="822"/>
    </row>
    <row r="389" spans="1:13" ht="15.75" customHeight="1">
      <c r="A389" s="275"/>
      <c r="B389" s="185"/>
      <c r="C389" s="185"/>
      <c r="D389" s="807"/>
      <c r="E389" s="804"/>
      <c r="F389" s="823" t="s">
        <v>188</v>
      </c>
      <c r="G389" s="824"/>
      <c r="H389" s="823" t="s">
        <v>165</v>
      </c>
      <c r="I389" s="824"/>
      <c r="J389" s="823" t="s">
        <v>189</v>
      </c>
      <c r="K389" s="824"/>
      <c r="L389" s="825" t="s">
        <v>249</v>
      </c>
      <c r="M389" s="826"/>
    </row>
    <row r="390" spans="1:13" ht="15.75" customHeight="1">
      <c r="A390" s="275"/>
      <c r="B390" s="185"/>
      <c r="C390" s="185"/>
      <c r="D390" s="807"/>
      <c r="E390" s="804"/>
      <c r="F390" s="575" t="s">
        <v>11</v>
      </c>
      <c r="G390" s="575" t="s">
        <v>41</v>
      </c>
      <c r="H390" s="575" t="s">
        <v>11</v>
      </c>
      <c r="I390" s="575" t="s">
        <v>41</v>
      </c>
      <c r="J390" s="575" t="s">
        <v>11</v>
      </c>
      <c r="K390" s="575" t="s">
        <v>41</v>
      </c>
      <c r="L390" s="575" t="s">
        <v>11</v>
      </c>
      <c r="M390" s="268" t="s">
        <v>41</v>
      </c>
    </row>
    <row r="391" spans="1:13" ht="15.75" customHeight="1">
      <c r="A391" s="276"/>
      <c r="B391" s="277"/>
      <c r="C391" s="277"/>
      <c r="D391" s="807"/>
      <c r="E391" s="189" t="s">
        <v>244</v>
      </c>
      <c r="F391" s="271">
        <v>4216.7480000000005</v>
      </c>
      <c r="G391" s="193">
        <f>IFERROR(F391/B386,"")</f>
        <v>3.2477494685603382E-2</v>
      </c>
      <c r="H391" s="271">
        <v>0</v>
      </c>
      <c r="I391" s="193">
        <f>IFERROR(H391/B386,"")</f>
        <v>0</v>
      </c>
      <c r="J391" s="271">
        <v>631.87</v>
      </c>
      <c r="K391" s="193">
        <f>IFERROR(J391/B386,"")</f>
        <v>4.8666779629686682E-3</v>
      </c>
      <c r="L391" s="271">
        <v>0</v>
      </c>
      <c r="M391" s="272">
        <f>IFERROR(L391/B386,"")</f>
        <v>0</v>
      </c>
    </row>
    <row r="392" spans="1:13" ht="15.75" customHeight="1" thickBot="1">
      <c r="A392" s="278"/>
      <c r="B392" s="279"/>
      <c r="C392" s="279"/>
      <c r="D392" s="816"/>
      <c r="E392" s="280" t="s">
        <v>245</v>
      </c>
      <c r="F392" s="281">
        <v>6261.6111399999991</v>
      </c>
      <c r="G392" s="282">
        <f>IFERROR(F392/B387,"")</f>
        <v>6.1066845528931012E-2</v>
      </c>
      <c r="H392" s="281">
        <v>4684.1948399999874</v>
      </c>
      <c r="I392" s="282">
        <f>IFERROR(H392/B387,"")</f>
        <v>4.5682971415196345E-2</v>
      </c>
      <c r="J392" s="281">
        <v>1220.7728400000015</v>
      </c>
      <c r="K392" s="282">
        <f>IFERROR(J392/B387,"")</f>
        <v>1.1905681266274627E-2</v>
      </c>
      <c r="L392" s="281">
        <v>0</v>
      </c>
      <c r="M392" s="283">
        <f>IFERROR(L392/B387,"")</f>
        <v>0</v>
      </c>
    </row>
    <row r="393" spans="1:13" ht="15.75" customHeight="1">
      <c r="A393" s="810" t="s">
        <v>945</v>
      </c>
      <c r="B393" s="811"/>
      <c r="C393" s="811"/>
      <c r="D393" s="811"/>
      <c r="E393" s="811"/>
      <c r="F393" s="811"/>
      <c r="G393" s="811"/>
      <c r="H393" s="811"/>
      <c r="I393" s="811"/>
      <c r="J393" s="811"/>
      <c r="K393" s="811"/>
      <c r="L393" s="811"/>
      <c r="M393" s="812"/>
    </row>
    <row r="394" spans="1:13" ht="15.75" customHeight="1">
      <c r="A394" s="813"/>
      <c r="B394" s="803"/>
      <c r="C394" s="803"/>
      <c r="D394" s="803"/>
      <c r="E394" s="803"/>
      <c r="F394" s="803"/>
      <c r="G394" s="803"/>
      <c r="H394" s="803"/>
      <c r="I394" s="803"/>
      <c r="J394" s="803"/>
      <c r="K394" s="803"/>
      <c r="L394" s="803"/>
      <c r="M394" s="814"/>
    </row>
    <row r="395" spans="1:13" ht="15.75" customHeight="1">
      <c r="A395" s="266" t="s">
        <v>238</v>
      </c>
      <c r="B395" s="354">
        <v>51759222</v>
      </c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267"/>
    </row>
    <row r="396" spans="1:13" ht="15.75" customHeight="1">
      <c r="A396" s="815" t="s">
        <v>197</v>
      </c>
      <c r="B396" s="805" t="s">
        <v>10</v>
      </c>
      <c r="C396" s="805"/>
      <c r="D396" s="806"/>
      <c r="E396" s="804" t="s">
        <v>197</v>
      </c>
      <c r="F396" s="808">
        <v>1</v>
      </c>
      <c r="G396" s="808"/>
      <c r="H396" s="808">
        <v>2</v>
      </c>
      <c r="I396" s="808"/>
      <c r="J396" s="808">
        <v>3</v>
      </c>
      <c r="K396" s="808"/>
      <c r="L396" s="808">
        <v>4</v>
      </c>
      <c r="M396" s="817"/>
    </row>
    <row r="397" spans="1:13" ht="15.75" customHeight="1">
      <c r="A397" s="815"/>
      <c r="B397" s="805"/>
      <c r="C397" s="805"/>
      <c r="D397" s="807"/>
      <c r="E397" s="804"/>
      <c r="F397" s="800" t="s">
        <v>250</v>
      </c>
      <c r="G397" s="800"/>
      <c r="H397" s="800" t="s">
        <v>240</v>
      </c>
      <c r="I397" s="800"/>
      <c r="J397" s="800" t="s">
        <v>164</v>
      </c>
      <c r="K397" s="800"/>
      <c r="L397" s="800" t="s">
        <v>694</v>
      </c>
      <c r="M397" s="818"/>
    </row>
    <row r="398" spans="1:13" ht="15.75" customHeight="1">
      <c r="A398" s="815"/>
      <c r="B398" s="577" t="s">
        <v>11</v>
      </c>
      <c r="C398" s="577" t="s">
        <v>41</v>
      </c>
      <c r="D398" s="807"/>
      <c r="E398" s="804"/>
      <c r="F398" s="577" t="s">
        <v>11</v>
      </c>
      <c r="G398" s="577" t="s">
        <v>41</v>
      </c>
      <c r="H398" s="577" t="s">
        <v>11</v>
      </c>
      <c r="I398" s="577" t="s">
        <v>41</v>
      </c>
      <c r="J398" s="577" t="s">
        <v>11</v>
      </c>
      <c r="K398" s="577" t="s">
        <v>41</v>
      </c>
      <c r="L398" s="577" t="s">
        <v>11</v>
      </c>
      <c r="M398" s="268" t="s">
        <v>41</v>
      </c>
    </row>
    <row r="399" spans="1:13" ht="15.75" customHeight="1">
      <c r="A399" s="269" t="s">
        <v>244</v>
      </c>
      <c r="B399" s="270">
        <v>126043</v>
      </c>
      <c r="C399" s="191">
        <f>B399/B395</f>
        <v>2.4351795705120916E-3</v>
      </c>
      <c r="D399" s="807"/>
      <c r="E399" s="189" t="s">
        <v>244</v>
      </c>
      <c r="F399" s="271">
        <v>0</v>
      </c>
      <c r="G399" s="193">
        <f>IFERROR(F399/B399,"")</f>
        <v>0</v>
      </c>
      <c r="H399" s="271">
        <v>4152.5949999999993</v>
      </c>
      <c r="I399" s="193">
        <f>IFERROR(H399/B399,"")</f>
        <v>3.2945859746277062E-2</v>
      </c>
      <c r="J399" s="271">
        <v>3333.3020000000006</v>
      </c>
      <c r="K399" s="193">
        <f>IFERROR(J399/B399,"")</f>
        <v>2.6445752639972078E-2</v>
      </c>
      <c r="L399" s="271">
        <v>12299.751999999999</v>
      </c>
      <c r="M399" s="272">
        <f>IFERROR(L399/B399,"")</f>
        <v>9.758377696500399E-2</v>
      </c>
    </row>
    <row r="400" spans="1:13" ht="15.75" customHeight="1">
      <c r="A400" s="273" t="s">
        <v>245</v>
      </c>
      <c r="B400" s="274">
        <v>99337</v>
      </c>
      <c r="C400" s="191">
        <f>B400/B395</f>
        <v>1.9192135461386958E-3</v>
      </c>
      <c r="D400" s="807"/>
      <c r="E400" s="195" t="s">
        <v>245</v>
      </c>
      <c r="F400" s="271">
        <v>0</v>
      </c>
      <c r="G400" s="193">
        <f>IFERROR(F400/B400,"")</f>
        <v>0</v>
      </c>
      <c r="H400" s="271">
        <v>0</v>
      </c>
      <c r="I400" s="193">
        <f>IFERROR(H400/B400,"")</f>
        <v>0</v>
      </c>
      <c r="J400" s="271">
        <v>3087.0289800000182</v>
      </c>
      <c r="K400" s="193">
        <f>IFERROR(J400/B400,"")</f>
        <v>3.1076325840321516E-2</v>
      </c>
      <c r="L400" s="271">
        <v>32850.227660000164</v>
      </c>
      <c r="M400" s="272">
        <f>IFERROR(L400/B400,"")</f>
        <v>0.33069478301136701</v>
      </c>
    </row>
    <row r="401" spans="1:13" ht="15.75" customHeight="1">
      <c r="A401" s="275"/>
      <c r="B401" s="185"/>
      <c r="C401" s="185"/>
      <c r="D401" s="807"/>
      <c r="E401" s="804" t="s">
        <v>197</v>
      </c>
      <c r="F401" s="819">
        <v>5</v>
      </c>
      <c r="G401" s="820"/>
      <c r="H401" s="819">
        <v>6</v>
      </c>
      <c r="I401" s="820"/>
      <c r="J401" s="819">
        <v>7</v>
      </c>
      <c r="K401" s="820"/>
      <c r="L401" s="821">
        <v>8</v>
      </c>
      <c r="M401" s="822"/>
    </row>
    <row r="402" spans="1:13" ht="15.75" customHeight="1">
      <c r="A402" s="275"/>
      <c r="B402" s="185"/>
      <c r="C402" s="185"/>
      <c r="D402" s="807"/>
      <c r="E402" s="804"/>
      <c r="F402" s="823" t="s">
        <v>188</v>
      </c>
      <c r="G402" s="824"/>
      <c r="H402" s="823" t="s">
        <v>165</v>
      </c>
      <c r="I402" s="824"/>
      <c r="J402" s="823" t="s">
        <v>189</v>
      </c>
      <c r="K402" s="824"/>
      <c r="L402" s="825" t="s">
        <v>249</v>
      </c>
      <c r="M402" s="826"/>
    </row>
    <row r="403" spans="1:13" ht="15.75" customHeight="1">
      <c r="A403" s="275"/>
      <c r="B403" s="185"/>
      <c r="C403" s="185"/>
      <c r="D403" s="807"/>
      <c r="E403" s="804"/>
      <c r="F403" s="577" t="s">
        <v>11</v>
      </c>
      <c r="G403" s="577" t="s">
        <v>41</v>
      </c>
      <c r="H403" s="577" t="s">
        <v>11</v>
      </c>
      <c r="I403" s="577" t="s">
        <v>41</v>
      </c>
      <c r="J403" s="577" t="s">
        <v>11</v>
      </c>
      <c r="K403" s="577" t="s">
        <v>41</v>
      </c>
      <c r="L403" s="577" t="s">
        <v>11</v>
      </c>
      <c r="M403" s="268" t="s">
        <v>41</v>
      </c>
    </row>
    <row r="404" spans="1:13" ht="15.75" customHeight="1">
      <c r="A404" s="276"/>
      <c r="B404" s="277"/>
      <c r="C404" s="277"/>
      <c r="D404" s="807"/>
      <c r="E404" s="189" t="s">
        <v>244</v>
      </c>
      <c r="F404" s="271">
        <v>8778.6080000000002</v>
      </c>
      <c r="G404" s="193">
        <f>IFERROR(F404/B399,"")</f>
        <v>6.9647723395983907E-2</v>
      </c>
      <c r="H404" s="271">
        <v>1681.25</v>
      </c>
      <c r="I404" s="193">
        <f>IFERROR(H404/B399,"")</f>
        <v>1.3338701871583506E-2</v>
      </c>
      <c r="J404" s="271">
        <v>0</v>
      </c>
      <c r="K404" s="193">
        <f>IFERROR(J404/B399,"")</f>
        <v>0</v>
      </c>
      <c r="L404" s="271">
        <v>0</v>
      </c>
      <c r="M404" s="272">
        <f>IFERROR(L404/B399,"")</f>
        <v>0</v>
      </c>
    </row>
    <row r="405" spans="1:13" ht="15.75" customHeight="1" thickBot="1">
      <c r="A405" s="278"/>
      <c r="B405" s="279"/>
      <c r="C405" s="279"/>
      <c r="D405" s="816"/>
      <c r="E405" s="280" t="s">
        <v>245</v>
      </c>
      <c r="F405" s="281">
        <v>15186.765330000075</v>
      </c>
      <c r="G405" s="282">
        <f>IFERROR(F405/B400,"")</f>
        <v>0.15288125602746283</v>
      </c>
      <c r="H405" s="281">
        <v>5147.7040800000041</v>
      </c>
      <c r="I405" s="282">
        <f>IFERROR(H405/B400,"")</f>
        <v>5.1820611453939659E-2</v>
      </c>
      <c r="J405" s="281">
        <v>0</v>
      </c>
      <c r="K405" s="282">
        <f>IFERROR(J405/B400,"")</f>
        <v>0</v>
      </c>
      <c r="L405" s="281">
        <v>0</v>
      </c>
      <c r="M405" s="283">
        <f>IFERROR(L405/B400,"")</f>
        <v>0</v>
      </c>
    </row>
    <row r="406" spans="1:13" ht="15.75" customHeight="1">
      <c r="A406" s="810" t="s">
        <v>963</v>
      </c>
      <c r="B406" s="811"/>
      <c r="C406" s="811"/>
      <c r="D406" s="811"/>
      <c r="E406" s="811"/>
      <c r="F406" s="811"/>
      <c r="G406" s="811"/>
      <c r="H406" s="811"/>
      <c r="I406" s="811"/>
      <c r="J406" s="811"/>
      <c r="K406" s="811"/>
      <c r="L406" s="811"/>
      <c r="M406" s="812"/>
    </row>
    <row r="407" spans="1:13" ht="15.75" customHeight="1">
      <c r="A407" s="813"/>
      <c r="B407" s="803"/>
      <c r="C407" s="803"/>
      <c r="D407" s="803"/>
      <c r="E407" s="803"/>
      <c r="F407" s="803"/>
      <c r="G407" s="803"/>
      <c r="H407" s="803"/>
      <c r="I407" s="803"/>
      <c r="J407" s="803"/>
      <c r="K407" s="803"/>
      <c r="L407" s="803"/>
      <c r="M407" s="814"/>
    </row>
    <row r="408" spans="1:13" ht="15.75" customHeight="1">
      <c r="A408" s="266" t="s">
        <v>238</v>
      </c>
      <c r="B408" s="354">
        <v>53723391</v>
      </c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267"/>
    </row>
    <row r="409" spans="1:13" ht="15.75" customHeight="1">
      <c r="A409" s="815" t="s">
        <v>197</v>
      </c>
      <c r="B409" s="805" t="s">
        <v>10</v>
      </c>
      <c r="C409" s="805"/>
      <c r="D409" s="806"/>
      <c r="E409" s="804" t="s">
        <v>197</v>
      </c>
      <c r="F409" s="808">
        <v>1</v>
      </c>
      <c r="G409" s="808"/>
      <c r="H409" s="808">
        <v>2</v>
      </c>
      <c r="I409" s="808"/>
      <c r="J409" s="808">
        <v>3</v>
      </c>
      <c r="K409" s="808"/>
      <c r="L409" s="808">
        <v>4</v>
      </c>
      <c r="M409" s="817"/>
    </row>
    <row r="410" spans="1:13" ht="15.75" customHeight="1">
      <c r="A410" s="815"/>
      <c r="B410" s="805"/>
      <c r="C410" s="805"/>
      <c r="D410" s="807"/>
      <c r="E410" s="804"/>
      <c r="F410" s="800" t="s">
        <v>250</v>
      </c>
      <c r="G410" s="800"/>
      <c r="H410" s="800" t="s">
        <v>240</v>
      </c>
      <c r="I410" s="800"/>
      <c r="J410" s="800" t="s">
        <v>164</v>
      </c>
      <c r="K410" s="800"/>
      <c r="L410" s="800" t="s">
        <v>694</v>
      </c>
      <c r="M410" s="818"/>
    </row>
    <row r="411" spans="1:13" ht="15.75" customHeight="1">
      <c r="A411" s="815"/>
      <c r="B411" s="583" t="s">
        <v>11</v>
      </c>
      <c r="C411" s="583" t="s">
        <v>41</v>
      </c>
      <c r="D411" s="807"/>
      <c r="E411" s="804"/>
      <c r="F411" s="583" t="s">
        <v>11</v>
      </c>
      <c r="G411" s="583" t="s">
        <v>41</v>
      </c>
      <c r="H411" s="583" t="s">
        <v>11</v>
      </c>
      <c r="I411" s="583" t="s">
        <v>41</v>
      </c>
      <c r="J411" s="583" t="s">
        <v>11</v>
      </c>
      <c r="K411" s="583" t="s">
        <v>41</v>
      </c>
      <c r="L411" s="583" t="s">
        <v>11</v>
      </c>
      <c r="M411" s="268" t="s">
        <v>41</v>
      </c>
    </row>
    <row r="412" spans="1:13" ht="15.75" customHeight="1">
      <c r="A412" s="269" t="s">
        <v>244</v>
      </c>
      <c r="B412" s="270">
        <v>130917</v>
      </c>
      <c r="C412" s="191">
        <f>B412/B408</f>
        <v>2.4368714923449267E-3</v>
      </c>
      <c r="D412" s="807"/>
      <c r="E412" s="189" t="s">
        <v>244</v>
      </c>
      <c r="F412" s="271">
        <v>0</v>
      </c>
      <c r="G412" s="193">
        <f>IFERROR(F412/B412,"")</f>
        <v>0</v>
      </c>
      <c r="H412" s="271">
        <v>0</v>
      </c>
      <c r="I412" s="193">
        <f>IFERROR(H412/B412,"")</f>
        <v>0</v>
      </c>
      <c r="J412" s="271">
        <v>2559.3520000000003</v>
      </c>
      <c r="K412" s="193">
        <f>IFERROR(J412/B412,"")</f>
        <v>1.954942444449537E-2</v>
      </c>
      <c r="L412" s="271">
        <v>12627.162</v>
      </c>
      <c r="M412" s="272">
        <f>IFERROR(L412/B412,"")</f>
        <v>9.645166021219552E-2</v>
      </c>
    </row>
    <row r="413" spans="1:13" ht="15.75" customHeight="1">
      <c r="A413" s="273" t="s">
        <v>245</v>
      </c>
      <c r="B413" s="274">
        <v>93612.830555113702</v>
      </c>
      <c r="C413" s="191">
        <f>B413/B408</f>
        <v>1.7424966818478324E-3</v>
      </c>
      <c r="D413" s="807"/>
      <c r="E413" s="195" t="s">
        <v>245</v>
      </c>
      <c r="F413" s="271">
        <v>0</v>
      </c>
      <c r="G413" s="193">
        <f>IFERROR(F413/B413,"")</f>
        <v>0</v>
      </c>
      <c r="H413" s="271">
        <v>0</v>
      </c>
      <c r="I413" s="193">
        <f>IFERROR(H413/B413,"")</f>
        <v>0</v>
      </c>
      <c r="J413" s="271">
        <v>5546.9021200000007</v>
      </c>
      <c r="K413" s="193">
        <f>IFERROR(J413/B413,"")</f>
        <v>5.9253652379780489E-2</v>
      </c>
      <c r="L413" s="271">
        <v>17814.518930000213</v>
      </c>
      <c r="M413" s="272">
        <f>IFERROR(L413/B413,"")</f>
        <v>0.1902999708946102</v>
      </c>
    </row>
    <row r="414" spans="1:13" ht="15.75" customHeight="1">
      <c r="A414" s="275"/>
      <c r="B414" s="185"/>
      <c r="C414" s="185"/>
      <c r="D414" s="807"/>
      <c r="E414" s="804" t="s">
        <v>197</v>
      </c>
      <c r="F414" s="819">
        <v>5</v>
      </c>
      <c r="G414" s="820"/>
      <c r="H414" s="819">
        <v>6</v>
      </c>
      <c r="I414" s="820"/>
      <c r="J414" s="819">
        <v>7</v>
      </c>
      <c r="K414" s="820"/>
      <c r="L414" s="821">
        <v>8</v>
      </c>
      <c r="M414" s="822"/>
    </row>
    <row r="415" spans="1:13" ht="15.75" customHeight="1">
      <c r="A415" s="275"/>
      <c r="B415" s="185"/>
      <c r="C415" s="185"/>
      <c r="D415" s="807"/>
      <c r="E415" s="804"/>
      <c r="F415" s="823" t="s">
        <v>188</v>
      </c>
      <c r="G415" s="824"/>
      <c r="H415" s="823" t="s">
        <v>165</v>
      </c>
      <c r="I415" s="824"/>
      <c r="J415" s="823" t="s">
        <v>189</v>
      </c>
      <c r="K415" s="824"/>
      <c r="L415" s="825" t="s">
        <v>249</v>
      </c>
      <c r="M415" s="826"/>
    </row>
    <row r="416" spans="1:13" ht="15.75" customHeight="1">
      <c r="A416" s="275"/>
      <c r="B416" s="185"/>
      <c r="C416" s="185"/>
      <c r="D416" s="807"/>
      <c r="E416" s="804"/>
      <c r="F416" s="583" t="s">
        <v>11</v>
      </c>
      <c r="G416" s="583" t="s">
        <v>41</v>
      </c>
      <c r="H416" s="583" t="s">
        <v>11</v>
      </c>
      <c r="I416" s="583" t="s">
        <v>41</v>
      </c>
      <c r="J416" s="583" t="s">
        <v>11</v>
      </c>
      <c r="K416" s="583" t="s">
        <v>41</v>
      </c>
      <c r="L416" s="583" t="s">
        <v>11</v>
      </c>
      <c r="M416" s="268" t="s">
        <v>41</v>
      </c>
    </row>
    <row r="417" spans="1:13" ht="15.75" customHeight="1">
      <c r="A417" s="276"/>
      <c r="B417" s="277"/>
      <c r="C417" s="277"/>
      <c r="D417" s="807"/>
      <c r="E417" s="189" t="s">
        <v>244</v>
      </c>
      <c r="F417" s="271">
        <v>882.69299999999998</v>
      </c>
      <c r="G417" s="193">
        <f>IFERROR(F417/B412,"")</f>
        <v>6.7423863974884852E-3</v>
      </c>
      <c r="H417" s="271">
        <v>1727.2240000000002</v>
      </c>
      <c r="I417" s="193">
        <f>IFERROR(H417/B412,"")</f>
        <v>1.3193275128516542E-2</v>
      </c>
      <c r="J417" s="271">
        <v>0</v>
      </c>
      <c r="K417" s="193">
        <f>IFERROR(J417/B412,"")</f>
        <v>0</v>
      </c>
      <c r="L417" s="271">
        <v>0</v>
      </c>
      <c r="M417" s="272">
        <f>IFERROR(L417/B412,"")</f>
        <v>0</v>
      </c>
    </row>
    <row r="418" spans="1:13" ht="15.75" customHeight="1" thickBot="1">
      <c r="A418" s="278"/>
      <c r="B418" s="279"/>
      <c r="C418" s="279"/>
      <c r="D418" s="816"/>
      <c r="E418" s="280" t="s">
        <v>245</v>
      </c>
      <c r="F418" s="281">
        <v>4833.9392600000319</v>
      </c>
      <c r="G418" s="282">
        <f>IFERROR(F418/B413,"")</f>
        <v>5.1637571808643201E-2</v>
      </c>
      <c r="H418" s="281">
        <v>3085.6926400000202</v>
      </c>
      <c r="I418" s="282">
        <f>IFERROR(H418/B413,"")</f>
        <v>3.2962283286406414E-2</v>
      </c>
      <c r="J418" s="281">
        <v>0</v>
      </c>
      <c r="K418" s="282">
        <f>IFERROR(J418/B413,"")</f>
        <v>0</v>
      </c>
      <c r="L418" s="281">
        <v>0</v>
      </c>
      <c r="M418" s="283">
        <f>IFERROR(L418/B413,"")</f>
        <v>0</v>
      </c>
    </row>
    <row r="419" spans="1:13" ht="15.75" customHeight="1">
      <c r="A419" s="810" t="s">
        <v>979</v>
      </c>
      <c r="B419" s="811"/>
      <c r="C419" s="811"/>
      <c r="D419" s="811"/>
      <c r="E419" s="811"/>
      <c r="F419" s="811"/>
      <c r="G419" s="811"/>
      <c r="H419" s="811"/>
      <c r="I419" s="811"/>
      <c r="J419" s="811"/>
      <c r="K419" s="811"/>
      <c r="L419" s="811"/>
      <c r="M419" s="812"/>
    </row>
    <row r="420" spans="1:13" ht="15.75" customHeight="1">
      <c r="A420" s="813"/>
      <c r="B420" s="803"/>
      <c r="C420" s="803"/>
      <c r="D420" s="803"/>
      <c r="E420" s="803"/>
      <c r="F420" s="803"/>
      <c r="G420" s="803"/>
      <c r="H420" s="803"/>
      <c r="I420" s="803"/>
      <c r="J420" s="803"/>
      <c r="K420" s="803"/>
      <c r="L420" s="803"/>
      <c r="M420" s="814"/>
    </row>
    <row r="421" spans="1:13" ht="15.75" customHeight="1">
      <c r="A421" s="266" t="s">
        <v>238</v>
      </c>
      <c r="B421" s="354">
        <v>53987945</v>
      </c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267"/>
    </row>
    <row r="422" spans="1:13" ht="15.75" customHeight="1">
      <c r="A422" s="815" t="s">
        <v>197</v>
      </c>
      <c r="B422" s="805" t="s">
        <v>10</v>
      </c>
      <c r="C422" s="805"/>
      <c r="D422" s="806"/>
      <c r="E422" s="804" t="s">
        <v>197</v>
      </c>
      <c r="F422" s="808">
        <v>1</v>
      </c>
      <c r="G422" s="808"/>
      <c r="H422" s="808">
        <v>2</v>
      </c>
      <c r="I422" s="808"/>
      <c r="J422" s="808">
        <v>3</v>
      </c>
      <c r="K422" s="808"/>
      <c r="L422" s="808">
        <v>4</v>
      </c>
      <c r="M422" s="817"/>
    </row>
    <row r="423" spans="1:13" ht="15.75" customHeight="1">
      <c r="A423" s="815"/>
      <c r="B423" s="805"/>
      <c r="C423" s="805"/>
      <c r="D423" s="807"/>
      <c r="E423" s="804"/>
      <c r="F423" s="800" t="s">
        <v>250</v>
      </c>
      <c r="G423" s="800"/>
      <c r="H423" s="800" t="s">
        <v>240</v>
      </c>
      <c r="I423" s="800"/>
      <c r="J423" s="800" t="s">
        <v>164</v>
      </c>
      <c r="K423" s="800"/>
      <c r="L423" s="800" t="s">
        <v>694</v>
      </c>
      <c r="M423" s="818"/>
    </row>
    <row r="424" spans="1:13" ht="15.75" customHeight="1">
      <c r="A424" s="815"/>
      <c r="B424" s="585" t="s">
        <v>11</v>
      </c>
      <c r="C424" s="585" t="s">
        <v>41</v>
      </c>
      <c r="D424" s="807"/>
      <c r="E424" s="804"/>
      <c r="F424" s="585" t="s">
        <v>11</v>
      </c>
      <c r="G424" s="585" t="s">
        <v>41</v>
      </c>
      <c r="H424" s="585" t="s">
        <v>11</v>
      </c>
      <c r="I424" s="585" t="s">
        <v>41</v>
      </c>
      <c r="J424" s="585" t="s">
        <v>11</v>
      </c>
      <c r="K424" s="585" t="s">
        <v>41</v>
      </c>
      <c r="L424" s="585" t="s">
        <v>11</v>
      </c>
      <c r="M424" s="268" t="s">
        <v>41</v>
      </c>
    </row>
    <row r="425" spans="1:13" ht="15.75" customHeight="1">
      <c r="A425" s="269" t="s">
        <v>244</v>
      </c>
      <c r="B425" s="270">
        <v>131313</v>
      </c>
      <c r="C425" s="191">
        <f>B425/B421</f>
        <v>2.4322652029077972E-3</v>
      </c>
      <c r="D425" s="807"/>
      <c r="E425" s="189" t="s">
        <v>244</v>
      </c>
      <c r="F425" s="271">
        <v>0</v>
      </c>
      <c r="G425" s="193">
        <f>IFERROR(F425/B425,"")</f>
        <v>0</v>
      </c>
      <c r="H425" s="271">
        <v>815.71800000000007</v>
      </c>
      <c r="I425" s="193">
        <f>IFERROR(H425/B425,"")</f>
        <v>6.212012519704828E-3</v>
      </c>
      <c r="J425" s="271">
        <v>901.68</v>
      </c>
      <c r="K425" s="193">
        <f>IFERROR(J425/B425,"")</f>
        <v>6.8666468666468659E-3</v>
      </c>
      <c r="L425" s="271">
        <v>11655.737999999999</v>
      </c>
      <c r="M425" s="272">
        <f>IFERROR(L425/B425,"")</f>
        <v>8.876301660917045E-2</v>
      </c>
    </row>
    <row r="426" spans="1:13" ht="15.75" customHeight="1">
      <c r="A426" s="273" t="s">
        <v>245</v>
      </c>
      <c r="B426" s="274">
        <v>96896.216338453902</v>
      </c>
      <c r="C426" s="191">
        <f>B426/B421</f>
        <v>1.7947750435482199E-3</v>
      </c>
      <c r="D426" s="807"/>
      <c r="E426" s="195" t="s">
        <v>245</v>
      </c>
      <c r="F426" s="271">
        <v>1325.9872000000314</v>
      </c>
      <c r="G426" s="193">
        <f>IFERROR(F426/B426,"")</f>
        <v>1.368461277547124E-2</v>
      </c>
      <c r="H426" s="271">
        <v>0</v>
      </c>
      <c r="I426" s="193">
        <f>IFERROR(H426/B426,"")</f>
        <v>0</v>
      </c>
      <c r="J426" s="271">
        <v>0</v>
      </c>
      <c r="K426" s="193">
        <f>IFERROR(J426/B426,"")</f>
        <v>0</v>
      </c>
      <c r="L426" s="271">
        <v>17978.513860000094</v>
      </c>
      <c r="M426" s="272">
        <f>IFERROR(L426/B426,"")</f>
        <v>0.18554402369233897</v>
      </c>
    </row>
    <row r="427" spans="1:13" ht="15.75" customHeight="1">
      <c r="A427" s="275"/>
      <c r="B427" s="185"/>
      <c r="C427" s="185"/>
      <c r="D427" s="807"/>
      <c r="E427" s="804" t="s">
        <v>197</v>
      </c>
      <c r="F427" s="819">
        <v>5</v>
      </c>
      <c r="G427" s="820"/>
      <c r="H427" s="819">
        <v>6</v>
      </c>
      <c r="I427" s="820"/>
      <c r="J427" s="819">
        <v>7</v>
      </c>
      <c r="K427" s="820"/>
      <c r="L427" s="821">
        <v>8</v>
      </c>
      <c r="M427" s="822"/>
    </row>
    <row r="428" spans="1:13" ht="15.75" customHeight="1">
      <c r="A428" s="275"/>
      <c r="B428" s="185"/>
      <c r="C428" s="185"/>
      <c r="D428" s="807"/>
      <c r="E428" s="804"/>
      <c r="F428" s="823" t="s">
        <v>188</v>
      </c>
      <c r="G428" s="824"/>
      <c r="H428" s="823" t="s">
        <v>165</v>
      </c>
      <c r="I428" s="824"/>
      <c r="J428" s="823" t="s">
        <v>189</v>
      </c>
      <c r="K428" s="824"/>
      <c r="L428" s="825" t="s">
        <v>249</v>
      </c>
      <c r="M428" s="826"/>
    </row>
    <row r="429" spans="1:13" ht="15.75" customHeight="1">
      <c r="A429" s="275"/>
      <c r="B429" s="185"/>
      <c r="C429" s="185"/>
      <c r="D429" s="807"/>
      <c r="E429" s="804"/>
      <c r="F429" s="585" t="s">
        <v>11</v>
      </c>
      <c r="G429" s="585" t="s">
        <v>41</v>
      </c>
      <c r="H429" s="585" t="s">
        <v>11</v>
      </c>
      <c r="I429" s="585" t="s">
        <v>41</v>
      </c>
      <c r="J429" s="585" t="s">
        <v>11</v>
      </c>
      <c r="K429" s="585" t="s">
        <v>41</v>
      </c>
      <c r="L429" s="585" t="s">
        <v>11</v>
      </c>
      <c r="M429" s="268" t="s">
        <v>41</v>
      </c>
    </row>
    <row r="430" spans="1:13" ht="15.75" customHeight="1">
      <c r="A430" s="276"/>
      <c r="B430" s="277"/>
      <c r="C430" s="277"/>
      <c r="D430" s="807"/>
      <c r="E430" s="189" t="s">
        <v>244</v>
      </c>
      <c r="F430" s="271">
        <v>3349.0690000000004</v>
      </c>
      <c r="G430" s="193">
        <f>IFERROR(F430/B425,"")</f>
        <v>2.5504474042935585E-2</v>
      </c>
      <c r="H430" s="271">
        <v>1072.72</v>
      </c>
      <c r="I430" s="193">
        <f>IFERROR(H430/B425,"")</f>
        <v>8.169183553798939E-3</v>
      </c>
      <c r="J430" s="271">
        <v>0</v>
      </c>
      <c r="K430" s="193">
        <f>IFERROR(J430/B425,"")</f>
        <v>0</v>
      </c>
      <c r="L430" s="271">
        <v>0</v>
      </c>
      <c r="M430" s="272">
        <f>IFERROR(L430/B425,"")</f>
        <v>0</v>
      </c>
    </row>
    <row r="431" spans="1:13" ht="15.75" customHeight="1" thickBot="1">
      <c r="A431" s="278"/>
      <c r="B431" s="279"/>
      <c r="C431" s="279"/>
      <c r="D431" s="816"/>
      <c r="E431" s="280" t="s">
        <v>245</v>
      </c>
      <c r="F431" s="281">
        <v>10366.192029999927</v>
      </c>
      <c r="G431" s="282">
        <f>IFERROR(F431/B426,"")</f>
        <v>0.10698242327431351</v>
      </c>
      <c r="H431" s="281">
        <v>2298.5463999999993</v>
      </c>
      <c r="I431" s="282">
        <f>IFERROR(H431/B426,"")</f>
        <v>2.3721735345901284E-2</v>
      </c>
      <c r="J431" s="281">
        <v>0</v>
      </c>
      <c r="K431" s="282">
        <f>IFERROR(J431/B426,"")</f>
        <v>0</v>
      </c>
      <c r="L431" s="281">
        <v>0</v>
      </c>
      <c r="M431" s="283">
        <f>IFERROR(L431/B426,"")</f>
        <v>0</v>
      </c>
    </row>
  </sheetData>
  <mergeCells count="727">
    <mergeCell ref="A393:M394"/>
    <mergeCell ref="A396:A398"/>
    <mergeCell ref="B396:C397"/>
    <mergeCell ref="D396:D405"/>
    <mergeCell ref="E396:E398"/>
    <mergeCell ref="F396:G396"/>
    <mergeCell ref="H396:I396"/>
    <mergeCell ref="J396:K396"/>
    <mergeCell ref="L396:M396"/>
    <mergeCell ref="F397:G397"/>
    <mergeCell ref="H397:I397"/>
    <mergeCell ref="J397:K397"/>
    <mergeCell ref="L397:M397"/>
    <mergeCell ref="E401:E403"/>
    <mergeCell ref="F401:G401"/>
    <mergeCell ref="H401:I401"/>
    <mergeCell ref="J401:K401"/>
    <mergeCell ref="L401:M401"/>
    <mergeCell ref="F402:G402"/>
    <mergeCell ref="H402:I402"/>
    <mergeCell ref="J402:K402"/>
    <mergeCell ref="L402:M402"/>
    <mergeCell ref="A380:M381"/>
    <mergeCell ref="A383:A385"/>
    <mergeCell ref="B383:C384"/>
    <mergeCell ref="D383:D392"/>
    <mergeCell ref="E383:E385"/>
    <mergeCell ref="F383:G383"/>
    <mergeCell ref="H383:I383"/>
    <mergeCell ref="J383:K383"/>
    <mergeCell ref="L383:M383"/>
    <mergeCell ref="F384:G384"/>
    <mergeCell ref="H384:I384"/>
    <mergeCell ref="J384:K384"/>
    <mergeCell ref="L384:M384"/>
    <mergeCell ref="E388:E390"/>
    <mergeCell ref="F388:G388"/>
    <mergeCell ref="H388:I388"/>
    <mergeCell ref="J388:K388"/>
    <mergeCell ref="L388:M388"/>
    <mergeCell ref="F389:G389"/>
    <mergeCell ref="H389:I389"/>
    <mergeCell ref="J389:K389"/>
    <mergeCell ref="L389:M389"/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367:M368"/>
    <mergeCell ref="A370:A372"/>
    <mergeCell ref="B370:C371"/>
    <mergeCell ref="D370:D379"/>
    <mergeCell ref="E370:E372"/>
    <mergeCell ref="F370:G370"/>
    <mergeCell ref="H370:I370"/>
    <mergeCell ref="J370:K370"/>
    <mergeCell ref="L370:M370"/>
    <mergeCell ref="F371:G371"/>
    <mergeCell ref="H371:I371"/>
    <mergeCell ref="J371:K371"/>
    <mergeCell ref="L371:M371"/>
    <mergeCell ref="E375:E377"/>
    <mergeCell ref="F375:G375"/>
    <mergeCell ref="H375:I375"/>
    <mergeCell ref="J375:K375"/>
    <mergeCell ref="L375:M375"/>
    <mergeCell ref="F376:G376"/>
    <mergeCell ref="H376:I376"/>
    <mergeCell ref="J376:K376"/>
    <mergeCell ref="L376:M376"/>
    <mergeCell ref="A406:M407"/>
    <mergeCell ref="A409:A411"/>
    <mergeCell ref="B409:C410"/>
    <mergeCell ref="D409:D418"/>
    <mergeCell ref="E409:E411"/>
    <mergeCell ref="F409:G409"/>
    <mergeCell ref="H409:I409"/>
    <mergeCell ref="J409:K409"/>
    <mergeCell ref="L409:M409"/>
    <mergeCell ref="F410:G410"/>
    <mergeCell ref="H410:I410"/>
    <mergeCell ref="J410:K410"/>
    <mergeCell ref="L410:M410"/>
    <mergeCell ref="E414:E416"/>
    <mergeCell ref="F414:G414"/>
    <mergeCell ref="H414:I414"/>
    <mergeCell ref="J414:K414"/>
    <mergeCell ref="L414:M414"/>
    <mergeCell ref="F415:G415"/>
    <mergeCell ref="H415:I415"/>
    <mergeCell ref="J415:K415"/>
    <mergeCell ref="L415:M415"/>
    <mergeCell ref="A419:M420"/>
    <mergeCell ref="A422:A424"/>
    <mergeCell ref="B422:C423"/>
    <mergeCell ref="D422:D431"/>
    <mergeCell ref="E422:E424"/>
    <mergeCell ref="F422:G422"/>
    <mergeCell ref="H422:I422"/>
    <mergeCell ref="J422:K422"/>
    <mergeCell ref="L422:M422"/>
    <mergeCell ref="F423:G423"/>
    <mergeCell ref="H423:I423"/>
    <mergeCell ref="J423:K423"/>
    <mergeCell ref="L423:M423"/>
    <mergeCell ref="E427:E429"/>
    <mergeCell ref="F427:G427"/>
    <mergeCell ref="H427:I427"/>
    <mergeCell ref="J427:K427"/>
    <mergeCell ref="L427:M427"/>
    <mergeCell ref="F428:G428"/>
    <mergeCell ref="H428:I428"/>
    <mergeCell ref="J428:K428"/>
    <mergeCell ref="L428:M4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</row>
    <row r="2" spans="1:17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1"/>
      <c r="P2" s="621"/>
      <c r="Q2" s="621"/>
    </row>
    <row r="3" spans="1:17" ht="15.75" customHeight="1">
      <c r="A3" s="756" t="s">
        <v>210</v>
      </c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  <c r="N3" s="152"/>
    </row>
    <row r="4" spans="1:17" s="121" customFormat="1" ht="15.75" customHeight="1">
      <c r="A4" s="757"/>
      <c r="B4" s="757"/>
      <c r="C4" s="757"/>
      <c r="D4" s="757"/>
      <c r="E4" s="757"/>
      <c r="F4" s="757"/>
      <c r="G4" s="757"/>
      <c r="H4" s="757"/>
      <c r="I4" s="757"/>
      <c r="J4" s="757"/>
      <c r="K4" s="757"/>
      <c r="L4" s="757"/>
      <c r="M4" s="757"/>
      <c r="N4" s="131"/>
    </row>
    <row r="5" spans="1:17" ht="15.75" customHeight="1">
      <c r="A5" s="640" t="s">
        <v>190</v>
      </c>
      <c r="B5" s="859">
        <v>1</v>
      </c>
      <c r="C5" s="859"/>
      <c r="D5" s="859">
        <v>2</v>
      </c>
      <c r="E5" s="859"/>
      <c r="F5" s="859">
        <v>3</v>
      </c>
      <c r="G5" s="859"/>
      <c r="H5" s="855">
        <v>4</v>
      </c>
      <c r="I5" s="855"/>
      <c r="J5" s="855">
        <v>5</v>
      </c>
      <c r="K5" s="855"/>
      <c r="L5" s="855">
        <v>6</v>
      </c>
      <c r="M5" s="855"/>
      <c r="N5" s="855">
        <v>7</v>
      </c>
      <c r="O5" s="855"/>
      <c r="P5" s="855">
        <v>8</v>
      </c>
      <c r="Q5" s="855"/>
    </row>
    <row r="6" spans="1:17" ht="15.75" customHeight="1">
      <c r="A6" s="640"/>
      <c r="B6" s="860" t="s">
        <v>321</v>
      </c>
      <c r="C6" s="860"/>
      <c r="D6" s="860" t="s">
        <v>211</v>
      </c>
      <c r="E6" s="860"/>
      <c r="F6" s="860" t="s">
        <v>164</v>
      </c>
      <c r="G6" s="860"/>
      <c r="H6" s="640" t="s">
        <v>694</v>
      </c>
      <c r="I6" s="640"/>
      <c r="J6" s="640" t="s">
        <v>188</v>
      </c>
      <c r="K6" s="640"/>
      <c r="L6" s="640" t="s">
        <v>165</v>
      </c>
      <c r="M6" s="640"/>
      <c r="N6" s="640" t="s">
        <v>189</v>
      </c>
      <c r="O6" s="640"/>
      <c r="P6" s="858" t="s">
        <v>214</v>
      </c>
      <c r="Q6" s="640"/>
    </row>
    <row r="8" spans="1:17" s="154" customFormat="1" ht="15.75" customHeight="1">
      <c r="A8" s="848" t="s">
        <v>980</v>
      </c>
      <c r="B8" s="849"/>
      <c r="C8" s="588" t="s">
        <v>981</v>
      </c>
      <c r="D8" s="850" t="s">
        <v>12</v>
      </c>
      <c r="E8" s="851"/>
      <c r="F8" s="852"/>
      <c r="G8" s="586" t="s">
        <v>982</v>
      </c>
      <c r="H8" s="587"/>
      <c r="I8" s="588"/>
      <c r="J8" s="170" t="s">
        <v>983</v>
      </c>
      <c r="K8" s="170" t="s">
        <v>984</v>
      </c>
      <c r="L8" s="170" t="s">
        <v>985</v>
      </c>
      <c r="M8" s="170" t="s">
        <v>11</v>
      </c>
      <c r="N8" s="371" t="s">
        <v>986</v>
      </c>
      <c r="O8" s="853" t="s">
        <v>987</v>
      </c>
      <c r="P8" s="854"/>
    </row>
    <row r="9" spans="1:17" ht="15.75" customHeight="1">
      <c r="A9" s="775">
        <v>1</v>
      </c>
      <c r="B9" s="835" t="s">
        <v>988</v>
      </c>
      <c r="C9" s="171">
        <v>1</v>
      </c>
      <c r="D9" s="594">
        <v>0</v>
      </c>
      <c r="E9" s="838"/>
      <c r="F9" s="839"/>
      <c r="G9" s="594">
        <v>0</v>
      </c>
      <c r="H9" s="838"/>
      <c r="I9" s="839"/>
      <c r="J9" s="4">
        <v>0</v>
      </c>
      <c r="K9" s="14">
        <v>0</v>
      </c>
      <c r="L9" s="4">
        <v>0</v>
      </c>
      <c r="M9" s="16">
        <v>0</v>
      </c>
      <c r="N9" s="172"/>
      <c r="O9" s="846"/>
      <c r="P9" s="847"/>
    </row>
    <row r="10" spans="1:17" ht="15.75" customHeight="1">
      <c r="A10" s="780"/>
      <c r="B10" s="836"/>
      <c r="C10" s="171">
        <v>2</v>
      </c>
      <c r="D10" s="594">
        <v>0</v>
      </c>
      <c r="E10" s="838"/>
      <c r="F10" s="839"/>
      <c r="G10" s="594">
        <v>0</v>
      </c>
      <c r="H10" s="838"/>
      <c r="I10" s="839"/>
      <c r="J10" s="4">
        <v>0</v>
      </c>
      <c r="K10" s="14">
        <v>0</v>
      </c>
      <c r="L10" s="4">
        <v>0</v>
      </c>
      <c r="M10" s="16">
        <v>0</v>
      </c>
      <c r="N10" s="172"/>
      <c r="O10" s="846"/>
      <c r="P10" s="847"/>
    </row>
    <row r="11" spans="1:17" ht="15.75" customHeight="1">
      <c r="A11" s="780"/>
      <c r="B11" s="836"/>
      <c r="C11" s="171">
        <v>3</v>
      </c>
      <c r="D11" s="594">
        <v>0</v>
      </c>
      <c r="E11" s="838"/>
      <c r="F11" s="839"/>
      <c r="G11" s="594">
        <v>0</v>
      </c>
      <c r="H11" s="838"/>
      <c r="I11" s="839"/>
      <c r="J11" s="4">
        <v>0</v>
      </c>
      <c r="K11" s="14">
        <v>0</v>
      </c>
      <c r="L11" s="4">
        <v>0</v>
      </c>
      <c r="M11" s="16">
        <v>0</v>
      </c>
      <c r="N11" s="172"/>
      <c r="O11" s="846"/>
      <c r="P11" s="847"/>
    </row>
    <row r="12" spans="1:17" ht="15.75" customHeight="1">
      <c r="A12" s="780"/>
      <c r="B12" s="836"/>
      <c r="C12" s="171">
        <v>4</v>
      </c>
      <c r="D12" s="594">
        <v>0</v>
      </c>
      <c r="E12" s="838"/>
      <c r="F12" s="839"/>
      <c r="G12" s="594">
        <v>0</v>
      </c>
      <c r="H12" s="838"/>
      <c r="I12" s="839"/>
      <c r="J12" s="4">
        <v>0</v>
      </c>
      <c r="K12" s="14">
        <v>0</v>
      </c>
      <c r="L12" s="4">
        <v>0</v>
      </c>
      <c r="M12" s="16">
        <v>0</v>
      </c>
      <c r="N12" s="172"/>
      <c r="O12" s="846"/>
      <c r="P12" s="847"/>
    </row>
    <row r="13" spans="1:17" ht="15.75" customHeight="1" thickBot="1">
      <c r="A13" s="780"/>
      <c r="B13" s="836"/>
      <c r="C13" s="173">
        <v>5</v>
      </c>
      <c r="D13" s="843">
        <v>0</v>
      </c>
      <c r="E13" s="844"/>
      <c r="F13" s="845"/>
      <c r="G13" s="843">
        <v>0</v>
      </c>
      <c r="H13" s="844"/>
      <c r="I13" s="845"/>
      <c r="J13" s="4">
        <v>0</v>
      </c>
      <c r="K13" s="14">
        <v>0</v>
      </c>
      <c r="L13" s="4">
        <v>0</v>
      </c>
      <c r="M13" s="16">
        <v>0</v>
      </c>
      <c r="N13" s="174"/>
      <c r="O13" s="856"/>
      <c r="P13" s="857"/>
    </row>
    <row r="14" spans="1:17" ht="15.75" customHeight="1" thickTop="1" thickBot="1">
      <c r="A14" s="776"/>
      <c r="B14" s="837"/>
      <c r="C14" s="829"/>
      <c r="D14" s="830"/>
      <c r="E14" s="830"/>
      <c r="F14" s="830"/>
      <c r="G14" s="830"/>
      <c r="H14" s="830"/>
      <c r="I14" s="831"/>
      <c r="J14" s="369" t="s">
        <v>989</v>
      </c>
      <c r="K14" s="246">
        <v>0</v>
      </c>
      <c r="L14" s="369" t="s">
        <v>990</v>
      </c>
      <c r="M14" s="248">
        <v>0</v>
      </c>
      <c r="N14" s="832"/>
      <c r="O14" s="833"/>
      <c r="P14" s="834"/>
    </row>
    <row r="15" spans="1:17" ht="15.75" customHeight="1" thickTop="1"/>
    <row r="16" spans="1:17" ht="15.75" customHeight="1">
      <c r="A16" s="848" t="s">
        <v>980</v>
      </c>
      <c r="B16" s="849"/>
      <c r="C16" s="588" t="s">
        <v>981</v>
      </c>
      <c r="D16" s="850" t="s">
        <v>12</v>
      </c>
      <c r="E16" s="851"/>
      <c r="F16" s="852"/>
      <c r="G16" s="586" t="s">
        <v>982</v>
      </c>
      <c r="H16" s="587"/>
      <c r="I16" s="588"/>
      <c r="J16" s="170" t="s">
        <v>983</v>
      </c>
      <c r="K16" s="170" t="s">
        <v>984</v>
      </c>
      <c r="L16" s="170" t="s">
        <v>985</v>
      </c>
      <c r="M16" s="170" t="s">
        <v>11</v>
      </c>
      <c r="N16" s="371" t="s">
        <v>986</v>
      </c>
      <c r="O16" s="853" t="s">
        <v>987</v>
      </c>
      <c r="P16" s="854"/>
    </row>
    <row r="17" spans="1:16" ht="15.75" customHeight="1">
      <c r="A17" s="775">
        <v>2</v>
      </c>
      <c r="B17" s="835" t="s">
        <v>991</v>
      </c>
      <c r="C17" s="171">
        <v>1</v>
      </c>
      <c r="D17" s="594" t="s">
        <v>374</v>
      </c>
      <c r="E17" s="838"/>
      <c r="F17" s="839"/>
      <c r="G17" s="594" t="s">
        <v>992</v>
      </c>
      <c r="H17" s="838"/>
      <c r="I17" s="839"/>
      <c r="J17" s="372">
        <v>144</v>
      </c>
      <c r="K17" s="14">
        <v>4.9805306529022916E-2</v>
      </c>
      <c r="L17" s="4">
        <v>1.1000000000000001</v>
      </c>
      <c r="M17" s="338">
        <v>158.4</v>
      </c>
      <c r="N17" s="172"/>
      <c r="O17" s="846" t="s">
        <v>699</v>
      </c>
      <c r="P17" s="847"/>
    </row>
    <row r="18" spans="1:16" ht="15.75" customHeight="1">
      <c r="A18" s="780"/>
      <c r="B18" s="836"/>
      <c r="C18" s="171">
        <v>2</v>
      </c>
      <c r="D18" s="594" t="s">
        <v>937</v>
      </c>
      <c r="E18" s="838"/>
      <c r="F18" s="839"/>
      <c r="G18" s="594" t="s">
        <v>964</v>
      </c>
      <c r="H18" s="838"/>
      <c r="I18" s="839"/>
      <c r="J18" s="372">
        <v>118.22</v>
      </c>
      <c r="K18" s="14">
        <v>5.3597196454339316E-2</v>
      </c>
      <c r="L18" s="4">
        <v>1.3</v>
      </c>
      <c r="M18" s="338">
        <v>153.68600000000001</v>
      </c>
      <c r="N18" s="172"/>
      <c r="O18" s="846" t="s">
        <v>699</v>
      </c>
      <c r="P18" s="847"/>
    </row>
    <row r="19" spans="1:16" ht="15.75" customHeight="1">
      <c r="A19" s="780"/>
      <c r="B19" s="836"/>
      <c r="C19" s="171">
        <v>3</v>
      </c>
      <c r="D19" s="594" t="s">
        <v>872</v>
      </c>
      <c r="E19" s="838"/>
      <c r="F19" s="839"/>
      <c r="G19" s="594" t="s">
        <v>993</v>
      </c>
      <c r="H19" s="838"/>
      <c r="I19" s="839"/>
      <c r="J19" s="372">
        <v>298.2</v>
      </c>
      <c r="K19" s="14">
        <v>0.23474178403755869</v>
      </c>
      <c r="L19" s="4">
        <v>0.5</v>
      </c>
      <c r="M19" s="338">
        <v>149.1</v>
      </c>
      <c r="N19" s="172"/>
      <c r="O19" s="846" t="s">
        <v>699</v>
      </c>
      <c r="P19" s="847"/>
    </row>
    <row r="20" spans="1:16" ht="15.75" customHeight="1">
      <c r="A20" s="780"/>
      <c r="B20" s="836"/>
      <c r="C20" s="171">
        <v>4</v>
      </c>
      <c r="D20" s="594" t="s">
        <v>870</v>
      </c>
      <c r="E20" s="838"/>
      <c r="F20" s="839"/>
      <c r="G20" s="594" t="s">
        <v>968</v>
      </c>
      <c r="H20" s="838"/>
      <c r="I20" s="839"/>
      <c r="J20" s="372">
        <v>459.58</v>
      </c>
      <c r="K20" s="14">
        <v>8.2644628099173556E-2</v>
      </c>
      <c r="L20" s="4">
        <v>0.3</v>
      </c>
      <c r="M20" s="338">
        <v>137.874</v>
      </c>
      <c r="N20" s="172"/>
      <c r="O20" s="846" t="s">
        <v>699</v>
      </c>
      <c r="P20" s="847"/>
    </row>
    <row r="21" spans="1:16" ht="15.75" customHeight="1" thickBot="1">
      <c r="A21" s="780"/>
      <c r="B21" s="836"/>
      <c r="C21" s="173">
        <v>5</v>
      </c>
      <c r="D21" s="594">
        <v>0</v>
      </c>
      <c r="E21" s="838"/>
      <c r="F21" s="839"/>
      <c r="G21" s="594">
        <v>0</v>
      </c>
      <c r="H21" s="838"/>
      <c r="I21" s="839"/>
      <c r="J21" s="372">
        <v>0</v>
      </c>
      <c r="K21" s="14">
        <v>0</v>
      </c>
      <c r="L21" s="4">
        <v>0</v>
      </c>
      <c r="M21" s="338">
        <v>0</v>
      </c>
      <c r="N21" s="174"/>
      <c r="O21" s="846"/>
      <c r="P21" s="847"/>
    </row>
    <row r="22" spans="1:16" ht="15.75" customHeight="1" thickTop="1" thickBot="1">
      <c r="A22" s="776"/>
      <c r="B22" s="837"/>
      <c r="C22" s="840"/>
      <c r="D22" s="841"/>
      <c r="E22" s="841"/>
      <c r="F22" s="841"/>
      <c r="G22" s="841"/>
      <c r="H22" s="841"/>
      <c r="I22" s="842"/>
      <c r="J22" s="369" t="s">
        <v>989</v>
      </c>
      <c r="K22" s="246">
        <v>4.5620768697691777E-3</v>
      </c>
      <c r="L22" s="369" t="s">
        <v>990</v>
      </c>
      <c r="M22" s="248">
        <v>599.06000000000006</v>
      </c>
      <c r="N22" s="832"/>
      <c r="O22" s="833"/>
      <c r="P22" s="834"/>
    </row>
    <row r="23" spans="1:16" ht="15.75" customHeight="1" thickTop="1"/>
    <row r="24" spans="1:16" ht="15.75" customHeight="1">
      <c r="A24" s="848" t="s">
        <v>980</v>
      </c>
      <c r="B24" s="849"/>
      <c r="C24" s="588" t="s">
        <v>981</v>
      </c>
      <c r="D24" s="850" t="s">
        <v>12</v>
      </c>
      <c r="E24" s="851"/>
      <c r="F24" s="852"/>
      <c r="G24" s="586" t="s">
        <v>982</v>
      </c>
      <c r="H24" s="587"/>
      <c r="I24" s="588"/>
      <c r="J24" s="170" t="s">
        <v>983</v>
      </c>
      <c r="K24" s="170" t="s">
        <v>984</v>
      </c>
      <c r="L24" s="170" t="s">
        <v>985</v>
      </c>
      <c r="M24" s="170" t="s">
        <v>11</v>
      </c>
      <c r="N24" s="371" t="s">
        <v>986</v>
      </c>
      <c r="O24" s="853" t="s">
        <v>987</v>
      </c>
      <c r="P24" s="854"/>
    </row>
    <row r="25" spans="1:16" ht="15.75" customHeight="1">
      <c r="A25" s="775">
        <v>3</v>
      </c>
      <c r="B25" s="835" t="s">
        <v>994</v>
      </c>
      <c r="C25" s="171">
        <v>1</v>
      </c>
      <c r="D25" s="594" t="s">
        <v>940</v>
      </c>
      <c r="E25" s="838"/>
      <c r="F25" s="839"/>
      <c r="G25" s="594" t="s">
        <v>965</v>
      </c>
      <c r="H25" s="838"/>
      <c r="I25" s="839"/>
      <c r="J25" s="372">
        <v>153.91</v>
      </c>
      <c r="K25" s="14">
        <v>2.686005909213E-2</v>
      </c>
      <c r="L25" s="4">
        <v>1.2</v>
      </c>
      <c r="M25" s="338">
        <v>184.69199999999998</v>
      </c>
      <c r="N25" s="172"/>
      <c r="O25" s="846" t="s">
        <v>995</v>
      </c>
      <c r="P25" s="847"/>
    </row>
    <row r="26" spans="1:16" ht="15.75" customHeight="1">
      <c r="A26" s="780"/>
      <c r="B26" s="836"/>
      <c r="C26" s="171">
        <v>2</v>
      </c>
      <c r="D26" s="594" t="s">
        <v>799</v>
      </c>
      <c r="E26" s="838"/>
      <c r="F26" s="839"/>
      <c r="G26" s="594" t="s">
        <v>970</v>
      </c>
      <c r="H26" s="838"/>
      <c r="I26" s="839"/>
      <c r="J26" s="372">
        <v>77.8</v>
      </c>
      <c r="K26" s="14">
        <v>2.718419062027231E-2</v>
      </c>
      <c r="L26" s="4">
        <v>2.2999999999999998</v>
      </c>
      <c r="M26" s="338">
        <v>178.93999999999997</v>
      </c>
      <c r="N26" s="172"/>
      <c r="O26" s="846" t="s">
        <v>995</v>
      </c>
      <c r="P26" s="847"/>
    </row>
    <row r="27" spans="1:16" ht="15.75" customHeight="1">
      <c r="A27" s="780"/>
      <c r="B27" s="836"/>
      <c r="C27" s="171">
        <v>3</v>
      </c>
      <c r="D27" s="594" t="s">
        <v>352</v>
      </c>
      <c r="E27" s="838"/>
      <c r="F27" s="839"/>
      <c r="G27" s="594" t="s">
        <v>873</v>
      </c>
      <c r="H27" s="838"/>
      <c r="I27" s="839"/>
      <c r="J27" s="372">
        <v>75.14</v>
      </c>
      <c r="K27" s="14">
        <v>2.4839354176791402E-2</v>
      </c>
      <c r="L27" s="4">
        <v>2.2999999999999998</v>
      </c>
      <c r="M27" s="338">
        <v>172.82199999999997</v>
      </c>
      <c r="N27" s="172"/>
      <c r="O27" s="846" t="s">
        <v>995</v>
      </c>
      <c r="P27" s="847"/>
    </row>
    <row r="28" spans="1:16" ht="15.75" customHeight="1">
      <c r="A28" s="780"/>
      <c r="B28" s="836"/>
      <c r="C28" s="171">
        <v>4</v>
      </c>
      <c r="D28" s="594" t="s">
        <v>369</v>
      </c>
      <c r="E28" s="838"/>
      <c r="F28" s="839"/>
      <c r="G28" s="594" t="s">
        <v>906</v>
      </c>
      <c r="H28" s="838"/>
      <c r="I28" s="839"/>
      <c r="J28" s="372">
        <v>418.41</v>
      </c>
      <c r="K28" s="14">
        <v>3.0864197530864196E-2</v>
      </c>
      <c r="L28" s="4">
        <v>0.4</v>
      </c>
      <c r="M28" s="338">
        <v>167.36400000000003</v>
      </c>
      <c r="N28" s="172"/>
      <c r="O28" s="846" t="s">
        <v>995</v>
      </c>
      <c r="P28" s="847"/>
    </row>
    <row r="29" spans="1:16" ht="15.75" customHeight="1" thickBot="1">
      <c r="A29" s="780"/>
      <c r="B29" s="836"/>
      <c r="C29" s="173">
        <v>5</v>
      </c>
      <c r="D29" s="843" t="s">
        <v>960</v>
      </c>
      <c r="E29" s="844"/>
      <c r="F29" s="845"/>
      <c r="G29" s="843" t="s">
        <v>996</v>
      </c>
      <c r="H29" s="844"/>
      <c r="I29" s="845"/>
      <c r="J29" s="372">
        <v>95.58</v>
      </c>
      <c r="K29" s="14">
        <v>2.5868103107215677E-2</v>
      </c>
      <c r="L29" s="4">
        <v>1.7</v>
      </c>
      <c r="M29" s="338">
        <v>162.48599999999999</v>
      </c>
      <c r="N29" s="174"/>
      <c r="O29" s="846" t="s">
        <v>792</v>
      </c>
      <c r="P29" s="847"/>
    </row>
    <row r="30" spans="1:16" ht="15.75" customHeight="1" thickTop="1" thickBot="1">
      <c r="A30" s="776"/>
      <c r="B30" s="837"/>
      <c r="C30" s="829"/>
      <c r="D30" s="830"/>
      <c r="E30" s="830"/>
      <c r="F30" s="830"/>
      <c r="G30" s="830"/>
      <c r="H30" s="830"/>
      <c r="I30" s="831"/>
      <c r="J30" s="369" t="s">
        <v>989</v>
      </c>
      <c r="K30" s="246">
        <v>6.5972447510909051E-3</v>
      </c>
      <c r="L30" s="369" t="s">
        <v>990</v>
      </c>
      <c r="M30" s="248">
        <v>866.30399999999997</v>
      </c>
      <c r="N30" s="832"/>
      <c r="O30" s="833"/>
      <c r="P30" s="834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</row>
    <row r="2" spans="1:17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1"/>
      <c r="P2" s="621"/>
      <c r="Q2" s="621"/>
    </row>
    <row r="3" spans="1:17" s="120" customFormat="1" ht="15.75" customHeight="1">
      <c r="A3" s="756" t="s">
        <v>210</v>
      </c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  <c r="N3" s="152"/>
    </row>
    <row r="4" spans="1:17" s="121" customFormat="1" ht="15.75" customHeight="1">
      <c r="A4" s="757"/>
      <c r="B4" s="757"/>
      <c r="C4" s="757"/>
      <c r="D4" s="757"/>
      <c r="E4" s="757"/>
      <c r="F4" s="757"/>
      <c r="G4" s="757"/>
      <c r="H4" s="757"/>
      <c r="I4" s="757"/>
      <c r="J4" s="757"/>
      <c r="K4" s="757"/>
      <c r="L4" s="757"/>
      <c r="M4" s="757"/>
      <c r="N4" s="131"/>
    </row>
    <row r="5" spans="1:17" s="120" customFormat="1" ht="15.75" customHeight="1">
      <c r="A5" s="640" t="s">
        <v>190</v>
      </c>
      <c r="B5" s="855">
        <v>1</v>
      </c>
      <c r="C5" s="855"/>
      <c r="D5" s="855">
        <v>2</v>
      </c>
      <c r="E5" s="855"/>
      <c r="F5" s="855">
        <v>3</v>
      </c>
      <c r="G5" s="855"/>
      <c r="H5" s="859">
        <v>4</v>
      </c>
      <c r="I5" s="859"/>
      <c r="J5" s="859">
        <v>5</v>
      </c>
      <c r="K5" s="859"/>
      <c r="L5" s="859">
        <v>6</v>
      </c>
      <c r="M5" s="859"/>
      <c r="N5" s="859">
        <v>7</v>
      </c>
      <c r="O5" s="859"/>
      <c r="P5" s="855">
        <v>8</v>
      </c>
      <c r="Q5" s="855"/>
    </row>
    <row r="6" spans="1:17" s="120" customFormat="1" ht="15.75" customHeight="1">
      <c r="A6" s="640"/>
      <c r="B6" s="640" t="s">
        <v>322</v>
      </c>
      <c r="C6" s="640"/>
      <c r="D6" s="640" t="s">
        <v>211</v>
      </c>
      <c r="E6" s="640"/>
      <c r="F6" s="640" t="s">
        <v>164</v>
      </c>
      <c r="G6" s="640"/>
      <c r="H6" s="860" t="s">
        <v>694</v>
      </c>
      <c r="I6" s="860"/>
      <c r="J6" s="860" t="s">
        <v>188</v>
      </c>
      <c r="K6" s="860"/>
      <c r="L6" s="860" t="s">
        <v>165</v>
      </c>
      <c r="M6" s="860"/>
      <c r="N6" s="860" t="s">
        <v>189</v>
      </c>
      <c r="O6" s="860"/>
      <c r="P6" s="858" t="s">
        <v>214</v>
      </c>
      <c r="Q6" s="640"/>
    </row>
    <row r="7" spans="1:17" s="120" customFormat="1" ht="15.75" customHeight="1">
      <c r="B7" s="175"/>
      <c r="C7" s="161"/>
    </row>
    <row r="8" spans="1:17" s="110" customFormat="1" ht="15.75" customHeight="1">
      <c r="A8" s="861" t="s">
        <v>980</v>
      </c>
      <c r="B8" s="862"/>
      <c r="C8" s="117" t="s">
        <v>981</v>
      </c>
      <c r="D8" s="863" t="s">
        <v>12</v>
      </c>
      <c r="E8" s="864"/>
      <c r="F8" s="865"/>
      <c r="G8" s="115" t="s">
        <v>982</v>
      </c>
      <c r="H8" s="116"/>
      <c r="I8" s="117"/>
      <c r="J8" s="114" t="s">
        <v>983</v>
      </c>
      <c r="K8" s="114" t="s">
        <v>984</v>
      </c>
      <c r="L8" s="114" t="s">
        <v>985</v>
      </c>
      <c r="M8" s="118" t="s">
        <v>11</v>
      </c>
      <c r="N8" s="371" t="s">
        <v>986</v>
      </c>
      <c r="O8" s="866" t="s">
        <v>987</v>
      </c>
      <c r="P8" s="867"/>
    </row>
    <row r="9" spans="1:17" ht="15.75" customHeight="1">
      <c r="A9" s="862">
        <v>4</v>
      </c>
      <c r="B9" s="869" t="s">
        <v>694</v>
      </c>
      <c r="C9" s="112">
        <v>1</v>
      </c>
      <c r="D9" s="594" t="s">
        <v>378</v>
      </c>
      <c r="E9" s="838"/>
      <c r="F9" s="839"/>
      <c r="G9" s="594" t="s">
        <v>949</v>
      </c>
      <c r="H9" s="838"/>
      <c r="I9" s="839"/>
      <c r="J9" s="372">
        <v>371.13</v>
      </c>
      <c r="K9" s="14">
        <v>4.6048147943489716E-3</v>
      </c>
      <c r="L9" s="4">
        <v>0.5</v>
      </c>
      <c r="M9" s="338">
        <v>185.565</v>
      </c>
      <c r="N9" s="4"/>
      <c r="O9" s="846" t="s">
        <v>997</v>
      </c>
      <c r="P9" s="875"/>
      <c r="Q9" s="264"/>
    </row>
    <row r="10" spans="1:17" ht="15.75" customHeight="1">
      <c r="A10" s="862"/>
      <c r="B10" s="869"/>
      <c r="C10" s="112">
        <v>2</v>
      </c>
      <c r="D10" s="594" t="s">
        <v>940</v>
      </c>
      <c r="E10" s="838"/>
      <c r="F10" s="839"/>
      <c r="G10" s="594" t="s">
        <v>965</v>
      </c>
      <c r="H10" s="838"/>
      <c r="I10" s="839"/>
      <c r="J10" s="372">
        <v>153.91</v>
      </c>
      <c r="K10" s="14">
        <v>1.8575851393188854E-2</v>
      </c>
      <c r="L10" s="4">
        <v>1.2</v>
      </c>
      <c r="M10" s="338">
        <v>184.69199999999998</v>
      </c>
      <c r="N10" s="4"/>
      <c r="O10" s="846" t="s">
        <v>997</v>
      </c>
      <c r="P10" s="875"/>
      <c r="Q10" s="264"/>
    </row>
    <row r="11" spans="1:17" ht="15.75" customHeight="1">
      <c r="A11" s="862"/>
      <c r="B11" s="869"/>
      <c r="C11" s="112">
        <v>3</v>
      </c>
      <c r="D11" s="594" t="s">
        <v>937</v>
      </c>
      <c r="E11" s="838"/>
      <c r="F11" s="839"/>
      <c r="G11" s="594" t="s">
        <v>971</v>
      </c>
      <c r="H11" s="838"/>
      <c r="I11" s="839"/>
      <c r="J11" s="372">
        <v>91.98</v>
      </c>
      <c r="K11" s="14">
        <v>1.262985065201604E-2</v>
      </c>
      <c r="L11" s="4">
        <v>2</v>
      </c>
      <c r="M11" s="338">
        <v>183.96</v>
      </c>
      <c r="N11" s="4"/>
      <c r="O11" s="846" t="s">
        <v>997</v>
      </c>
      <c r="P11" s="875"/>
      <c r="Q11" s="264"/>
    </row>
    <row r="12" spans="1:17" ht="15.75" customHeight="1">
      <c r="A12" s="862"/>
      <c r="B12" s="869"/>
      <c r="C12" s="112">
        <v>4</v>
      </c>
      <c r="D12" s="594" t="s">
        <v>974</v>
      </c>
      <c r="E12" s="838"/>
      <c r="F12" s="839"/>
      <c r="G12" s="594" t="s">
        <v>973</v>
      </c>
      <c r="H12" s="838"/>
      <c r="I12" s="839"/>
      <c r="J12" s="372">
        <v>362.63</v>
      </c>
      <c r="K12" s="14">
        <v>1.0511268079381098E-2</v>
      </c>
      <c r="L12" s="4">
        <v>0.5</v>
      </c>
      <c r="M12" s="338">
        <v>181.315</v>
      </c>
      <c r="N12" s="4"/>
      <c r="O12" s="846" t="s">
        <v>997</v>
      </c>
      <c r="P12" s="875"/>
      <c r="Q12" s="264"/>
    </row>
    <row r="13" spans="1:17" ht="15.75" customHeight="1" thickBot="1">
      <c r="A13" s="862"/>
      <c r="B13" s="869"/>
      <c r="C13" s="113">
        <v>5</v>
      </c>
      <c r="D13" s="594" t="s">
        <v>786</v>
      </c>
      <c r="E13" s="838"/>
      <c r="F13" s="839"/>
      <c r="G13" s="594" t="s">
        <v>879</v>
      </c>
      <c r="H13" s="838"/>
      <c r="I13" s="839"/>
      <c r="J13" s="372">
        <v>72.13</v>
      </c>
      <c r="K13" s="14">
        <v>1.3683634373289547E-2</v>
      </c>
      <c r="L13" s="4">
        <v>2.5</v>
      </c>
      <c r="M13" s="338">
        <v>180.32499999999999</v>
      </c>
      <c r="N13" s="27"/>
      <c r="O13" s="846" t="s">
        <v>997</v>
      </c>
      <c r="P13" s="875"/>
      <c r="Q13" s="264"/>
    </row>
    <row r="14" spans="1:17" ht="15.75" customHeight="1" thickTop="1" thickBot="1">
      <c r="A14" s="862"/>
      <c r="B14" s="869"/>
      <c r="C14" s="877"/>
      <c r="D14" s="877"/>
      <c r="E14" s="877"/>
      <c r="F14" s="877"/>
      <c r="G14" s="877"/>
      <c r="H14" s="877"/>
      <c r="I14" s="877"/>
      <c r="J14" s="247" t="s">
        <v>989</v>
      </c>
      <c r="K14" s="246">
        <v>6.9746102823025902E-3</v>
      </c>
      <c r="L14" s="247" t="s">
        <v>990</v>
      </c>
      <c r="M14" s="248">
        <v>915.85699999999997</v>
      </c>
      <c r="N14" s="876"/>
      <c r="O14" s="876"/>
      <c r="P14" s="876"/>
      <c r="Q14" s="264"/>
    </row>
    <row r="15" spans="1:17" ht="15.75" customHeight="1" thickTop="1">
      <c r="A15" s="584"/>
      <c r="D15" s="584"/>
      <c r="E15" s="584"/>
      <c r="F15" s="584"/>
      <c r="G15" s="584"/>
      <c r="H15" s="584"/>
      <c r="I15" s="584"/>
      <c r="J15" s="584"/>
      <c r="K15" s="584"/>
      <c r="L15" s="584"/>
      <c r="M15" s="584"/>
      <c r="N15" s="584"/>
      <c r="O15" s="584"/>
      <c r="P15" s="584"/>
      <c r="Q15" s="264"/>
    </row>
    <row r="16" spans="1:17" ht="15.75" customHeight="1">
      <c r="A16" s="861" t="s">
        <v>980</v>
      </c>
      <c r="B16" s="862"/>
      <c r="C16" s="117" t="s">
        <v>981</v>
      </c>
      <c r="D16" s="863" t="s">
        <v>12</v>
      </c>
      <c r="E16" s="864"/>
      <c r="F16" s="865"/>
      <c r="G16" s="115" t="s">
        <v>982</v>
      </c>
      <c r="H16" s="116"/>
      <c r="I16" s="117"/>
      <c r="J16" s="114" t="s">
        <v>983</v>
      </c>
      <c r="K16" s="114" t="s">
        <v>984</v>
      </c>
      <c r="L16" s="114" t="s">
        <v>985</v>
      </c>
      <c r="M16" s="118" t="s">
        <v>11</v>
      </c>
      <c r="N16" s="371" t="s">
        <v>986</v>
      </c>
      <c r="O16" s="866" t="s">
        <v>987</v>
      </c>
      <c r="P16" s="867"/>
      <c r="Q16" s="264"/>
    </row>
    <row r="17" spans="1:17" ht="15.75" customHeight="1">
      <c r="A17" s="862">
        <v>5</v>
      </c>
      <c r="B17" s="868" t="s">
        <v>212</v>
      </c>
      <c r="C17" s="112">
        <v>1</v>
      </c>
      <c r="D17" s="594" t="s">
        <v>785</v>
      </c>
      <c r="E17" s="838"/>
      <c r="F17" s="839"/>
      <c r="G17" s="594" t="s">
        <v>998</v>
      </c>
      <c r="H17" s="838"/>
      <c r="I17" s="839"/>
      <c r="J17" s="372">
        <v>258.37</v>
      </c>
      <c r="K17" s="14">
        <v>1.6297262059973925E-2</v>
      </c>
      <c r="L17" s="4">
        <v>0.70000000000000007</v>
      </c>
      <c r="M17" s="338">
        <v>180.85900000000001</v>
      </c>
      <c r="N17" s="4"/>
      <c r="O17" s="846" t="s">
        <v>712</v>
      </c>
      <c r="P17" s="875"/>
      <c r="Q17" s="264"/>
    </row>
    <row r="18" spans="1:17" ht="15.75" customHeight="1">
      <c r="A18" s="862"/>
      <c r="B18" s="869"/>
      <c r="C18" s="112">
        <v>2</v>
      </c>
      <c r="D18" s="594" t="s">
        <v>352</v>
      </c>
      <c r="E18" s="838"/>
      <c r="F18" s="839"/>
      <c r="G18" s="594" t="s">
        <v>999</v>
      </c>
      <c r="H18" s="838"/>
      <c r="I18" s="839"/>
      <c r="J18" s="372">
        <v>136.88999999999999</v>
      </c>
      <c r="K18" s="14">
        <v>2.5929471836604434E-2</v>
      </c>
      <c r="L18" s="4">
        <v>1.3</v>
      </c>
      <c r="M18" s="338">
        <v>177.95699999999999</v>
      </c>
      <c r="N18" s="4"/>
      <c r="O18" s="846" t="s">
        <v>712</v>
      </c>
      <c r="P18" s="875"/>
      <c r="Q18" s="264"/>
    </row>
    <row r="19" spans="1:17" ht="15.75" customHeight="1">
      <c r="A19" s="862"/>
      <c r="B19" s="869"/>
      <c r="C19" s="112">
        <v>3</v>
      </c>
      <c r="D19" s="594" t="s">
        <v>375</v>
      </c>
      <c r="E19" s="838"/>
      <c r="F19" s="839"/>
      <c r="G19" s="594" t="s">
        <v>967</v>
      </c>
      <c r="H19" s="838"/>
      <c r="I19" s="839"/>
      <c r="J19" s="372">
        <v>241.7</v>
      </c>
      <c r="K19" s="14">
        <v>1.5597147950089128E-2</v>
      </c>
      <c r="L19" s="4">
        <v>0.70000000000000007</v>
      </c>
      <c r="M19" s="338">
        <v>169.19</v>
      </c>
      <c r="N19" s="4"/>
      <c r="O19" s="846" t="s">
        <v>712</v>
      </c>
      <c r="P19" s="875"/>
      <c r="Q19" s="264"/>
    </row>
    <row r="20" spans="1:17" ht="15.75" customHeight="1">
      <c r="A20" s="862"/>
      <c r="B20" s="869"/>
      <c r="C20" s="112">
        <v>4</v>
      </c>
      <c r="D20" s="594" t="s">
        <v>376</v>
      </c>
      <c r="E20" s="838"/>
      <c r="F20" s="839"/>
      <c r="G20" s="594" t="s">
        <v>396</v>
      </c>
      <c r="H20" s="838"/>
      <c r="I20" s="839"/>
      <c r="J20" s="372">
        <v>420.33</v>
      </c>
      <c r="K20" s="14">
        <v>5.3479510662477444E-3</v>
      </c>
      <c r="L20" s="4">
        <v>0.4</v>
      </c>
      <c r="M20" s="338">
        <v>168.13200000000001</v>
      </c>
      <c r="N20" s="4"/>
      <c r="O20" s="846" t="s">
        <v>712</v>
      </c>
      <c r="P20" s="875"/>
      <c r="Q20" s="264"/>
    </row>
    <row r="21" spans="1:17" ht="15.75" customHeight="1" thickBot="1">
      <c r="A21" s="862"/>
      <c r="B21" s="869"/>
      <c r="C21" s="113">
        <v>5</v>
      </c>
      <c r="D21" s="594" t="s">
        <v>761</v>
      </c>
      <c r="E21" s="838"/>
      <c r="F21" s="839"/>
      <c r="G21" s="594" t="s">
        <v>1000</v>
      </c>
      <c r="H21" s="838"/>
      <c r="I21" s="839"/>
      <c r="J21" s="372">
        <v>278.12</v>
      </c>
      <c r="K21" s="14">
        <v>1.5857913098636222E-2</v>
      </c>
      <c r="L21" s="4">
        <v>0.60000000000000009</v>
      </c>
      <c r="M21" s="338">
        <v>166.87200000000001</v>
      </c>
      <c r="N21" s="4"/>
      <c r="O21" s="846" t="s">
        <v>712</v>
      </c>
      <c r="P21" s="875"/>
      <c r="Q21" s="264"/>
    </row>
    <row r="22" spans="1:17" ht="15.75" customHeight="1" thickTop="1" thickBot="1">
      <c r="A22" s="862"/>
      <c r="B22" s="869"/>
      <c r="C22" s="870"/>
      <c r="D22" s="870"/>
      <c r="E22" s="870"/>
      <c r="F22" s="870"/>
      <c r="G22" s="870"/>
      <c r="H22" s="870"/>
      <c r="I22" s="871"/>
      <c r="J22" s="119" t="s">
        <v>989</v>
      </c>
      <c r="K22" s="246">
        <v>6.5721596490827278E-3</v>
      </c>
      <c r="L22" s="119" t="s">
        <v>990</v>
      </c>
      <c r="M22" s="248">
        <v>863.01000000000022</v>
      </c>
      <c r="N22" s="872"/>
      <c r="O22" s="873"/>
      <c r="P22" s="874"/>
      <c r="Q22" s="264"/>
    </row>
    <row r="23" spans="1:17" ht="15.75" customHeight="1" thickTop="1">
      <c r="A23" s="584"/>
      <c r="D23" s="584"/>
      <c r="E23" s="584"/>
      <c r="F23" s="584"/>
      <c r="G23" s="584"/>
      <c r="H23" s="584"/>
      <c r="I23" s="584"/>
      <c r="J23" s="584"/>
      <c r="K23" s="584"/>
      <c r="L23" s="584"/>
      <c r="M23" s="584"/>
      <c r="N23" s="584"/>
      <c r="O23" s="584"/>
      <c r="P23" s="584"/>
      <c r="Q23" s="264"/>
    </row>
    <row r="24" spans="1:17" ht="15.75" customHeight="1">
      <c r="A24" s="861" t="s">
        <v>980</v>
      </c>
      <c r="B24" s="862"/>
      <c r="C24" s="117" t="s">
        <v>981</v>
      </c>
      <c r="D24" s="863" t="s">
        <v>12</v>
      </c>
      <c r="E24" s="864"/>
      <c r="F24" s="865"/>
      <c r="G24" s="115" t="s">
        <v>982</v>
      </c>
      <c r="H24" s="116"/>
      <c r="I24" s="117"/>
      <c r="J24" s="114" t="s">
        <v>983</v>
      </c>
      <c r="K24" s="114" t="s">
        <v>984</v>
      </c>
      <c r="L24" s="114" t="s">
        <v>985</v>
      </c>
      <c r="M24" s="118" t="s">
        <v>11</v>
      </c>
      <c r="N24" s="371" t="s">
        <v>986</v>
      </c>
      <c r="O24" s="866" t="s">
        <v>987</v>
      </c>
      <c r="P24" s="867"/>
      <c r="Q24" s="264"/>
    </row>
    <row r="25" spans="1:17" ht="15.75" customHeight="1">
      <c r="A25" s="862">
        <v>6</v>
      </c>
      <c r="B25" s="868" t="s">
        <v>213</v>
      </c>
      <c r="C25" s="112">
        <v>1</v>
      </c>
      <c r="D25" s="594" t="s">
        <v>756</v>
      </c>
      <c r="E25" s="838"/>
      <c r="F25" s="839"/>
      <c r="G25" s="594" t="s">
        <v>458</v>
      </c>
      <c r="H25" s="838"/>
      <c r="I25" s="839"/>
      <c r="J25" s="372">
        <v>13.45</v>
      </c>
      <c r="K25" s="14">
        <v>1.9704433497536946E-2</v>
      </c>
      <c r="L25" s="4">
        <v>16</v>
      </c>
      <c r="M25" s="338">
        <v>215.2</v>
      </c>
      <c r="N25" s="4"/>
      <c r="O25" s="846" t="s">
        <v>1001</v>
      </c>
      <c r="P25" s="875"/>
      <c r="Q25" s="264"/>
    </row>
    <row r="26" spans="1:17" ht="15.75" customHeight="1">
      <c r="A26" s="862"/>
      <c r="B26" s="869"/>
      <c r="C26" s="112">
        <v>2</v>
      </c>
      <c r="D26" s="594" t="s">
        <v>872</v>
      </c>
      <c r="E26" s="838"/>
      <c r="F26" s="839"/>
      <c r="G26" s="594" t="s">
        <v>354</v>
      </c>
      <c r="H26" s="838"/>
      <c r="I26" s="839"/>
      <c r="J26" s="372">
        <v>487.6</v>
      </c>
      <c r="K26" s="14">
        <v>9.8838645910551033E-3</v>
      </c>
      <c r="L26" s="4">
        <v>0.4</v>
      </c>
      <c r="M26" s="338">
        <v>195.04000000000002</v>
      </c>
      <c r="N26" s="4"/>
      <c r="O26" s="846" t="s">
        <v>941</v>
      </c>
      <c r="P26" s="875"/>
      <c r="Q26" s="264"/>
    </row>
    <row r="27" spans="1:17" ht="15.75" customHeight="1">
      <c r="A27" s="862"/>
      <c r="B27" s="869"/>
      <c r="C27" s="112">
        <v>3</v>
      </c>
      <c r="D27" s="594">
        <v>0</v>
      </c>
      <c r="E27" s="838"/>
      <c r="F27" s="839"/>
      <c r="G27" s="594">
        <v>0</v>
      </c>
      <c r="H27" s="838"/>
      <c r="I27" s="839"/>
      <c r="J27" s="372">
        <v>0</v>
      </c>
      <c r="K27" s="14">
        <v>0</v>
      </c>
      <c r="L27" s="4">
        <v>0</v>
      </c>
      <c r="M27" s="338">
        <v>0</v>
      </c>
      <c r="N27" s="4"/>
      <c r="O27" s="846"/>
      <c r="P27" s="875"/>
      <c r="Q27" s="264"/>
    </row>
    <row r="28" spans="1:17" ht="15.75" customHeight="1">
      <c r="A28" s="862"/>
      <c r="B28" s="869"/>
      <c r="C28" s="112">
        <v>4</v>
      </c>
      <c r="D28" s="594">
        <v>0</v>
      </c>
      <c r="E28" s="838"/>
      <c r="F28" s="839"/>
      <c r="G28" s="594">
        <v>0</v>
      </c>
      <c r="H28" s="838"/>
      <c r="I28" s="839"/>
      <c r="J28" s="372">
        <v>0</v>
      </c>
      <c r="K28" s="14">
        <v>0</v>
      </c>
      <c r="L28" s="4">
        <v>0</v>
      </c>
      <c r="M28" s="338">
        <v>0</v>
      </c>
      <c r="N28" s="4"/>
      <c r="O28" s="846"/>
      <c r="P28" s="875"/>
      <c r="Q28" s="264"/>
    </row>
    <row r="29" spans="1:17" ht="15.75" customHeight="1" thickBot="1">
      <c r="A29" s="862"/>
      <c r="B29" s="869"/>
      <c r="C29" s="113">
        <v>5</v>
      </c>
      <c r="D29" s="594">
        <v>0</v>
      </c>
      <c r="E29" s="838"/>
      <c r="F29" s="839"/>
      <c r="G29" s="594">
        <v>0</v>
      </c>
      <c r="H29" s="838"/>
      <c r="I29" s="839"/>
      <c r="J29" s="372">
        <v>0</v>
      </c>
      <c r="K29" s="14">
        <v>0</v>
      </c>
      <c r="L29" s="4">
        <v>0</v>
      </c>
      <c r="M29" s="338">
        <v>0</v>
      </c>
      <c r="N29" s="4"/>
      <c r="O29" s="846"/>
      <c r="P29" s="875"/>
      <c r="Q29" s="264"/>
    </row>
    <row r="30" spans="1:17" ht="15.75" customHeight="1" thickTop="1" thickBot="1">
      <c r="A30" s="862"/>
      <c r="B30" s="869"/>
      <c r="C30" s="870"/>
      <c r="D30" s="870"/>
      <c r="E30" s="870"/>
      <c r="F30" s="870"/>
      <c r="G30" s="870"/>
      <c r="H30" s="870"/>
      <c r="I30" s="871"/>
      <c r="J30" s="119" t="s">
        <v>989</v>
      </c>
      <c r="K30" s="246">
        <v>3.1241385087538934E-3</v>
      </c>
      <c r="L30" s="119" t="s">
        <v>990</v>
      </c>
      <c r="M30" s="248">
        <v>410.24</v>
      </c>
      <c r="N30" s="872"/>
      <c r="O30" s="873"/>
      <c r="P30" s="874"/>
      <c r="Q30" s="264"/>
    </row>
    <row r="31" spans="1:17" ht="15.75" customHeight="1" thickTop="1">
      <c r="A31" s="584"/>
      <c r="D31" s="584"/>
      <c r="E31" s="584"/>
      <c r="F31" s="584"/>
      <c r="G31" s="584"/>
      <c r="H31" s="584"/>
      <c r="I31" s="584"/>
      <c r="J31" s="584"/>
      <c r="K31" s="584"/>
      <c r="L31" s="584"/>
      <c r="M31" s="584"/>
      <c r="N31" s="584"/>
      <c r="O31" s="584"/>
      <c r="P31" s="584"/>
      <c r="Q31" s="264"/>
    </row>
    <row r="32" spans="1:17" ht="15.75" customHeight="1">
      <c r="A32" s="861" t="s">
        <v>980</v>
      </c>
      <c r="B32" s="862"/>
      <c r="C32" s="117" t="s">
        <v>981</v>
      </c>
      <c r="D32" s="863" t="s">
        <v>12</v>
      </c>
      <c r="E32" s="864"/>
      <c r="F32" s="865"/>
      <c r="G32" s="115" t="s">
        <v>982</v>
      </c>
      <c r="H32" s="116"/>
      <c r="I32" s="117"/>
      <c r="J32" s="114" t="s">
        <v>983</v>
      </c>
      <c r="K32" s="114" t="s">
        <v>984</v>
      </c>
      <c r="L32" s="114" t="s">
        <v>985</v>
      </c>
      <c r="M32" s="118" t="s">
        <v>11</v>
      </c>
      <c r="N32" s="118" t="s">
        <v>13</v>
      </c>
      <c r="O32" s="866" t="s">
        <v>987</v>
      </c>
      <c r="P32" s="867"/>
      <c r="Q32" s="264"/>
    </row>
    <row r="33" spans="1:17" ht="15.75" customHeight="1">
      <c r="A33" s="862">
        <v>7</v>
      </c>
      <c r="B33" s="868" t="s">
        <v>1002</v>
      </c>
      <c r="C33" s="112">
        <v>1</v>
      </c>
      <c r="D33" s="594" t="s">
        <v>345</v>
      </c>
      <c r="E33" s="838"/>
      <c r="F33" s="839"/>
      <c r="G33" s="594" t="s">
        <v>948</v>
      </c>
      <c r="H33" s="838"/>
      <c r="I33" s="839"/>
      <c r="J33" s="4">
        <v>846.44</v>
      </c>
      <c r="K33" s="14">
        <v>3.9054872095293888E-2</v>
      </c>
      <c r="L33" s="4">
        <v>0.2</v>
      </c>
      <c r="M33" s="338">
        <v>169.28800000000001</v>
      </c>
      <c r="N33" s="4"/>
      <c r="O33" s="846" t="s">
        <v>1003</v>
      </c>
      <c r="P33" s="875"/>
      <c r="Q33" s="264"/>
    </row>
    <row r="34" spans="1:17" ht="15.75" customHeight="1">
      <c r="A34" s="862"/>
      <c r="B34" s="869"/>
      <c r="C34" s="112">
        <v>2</v>
      </c>
      <c r="D34" s="594" t="s">
        <v>763</v>
      </c>
      <c r="E34" s="838"/>
      <c r="F34" s="839"/>
      <c r="G34" s="594" t="s">
        <v>1004</v>
      </c>
      <c r="H34" s="838"/>
      <c r="I34" s="839"/>
      <c r="J34" s="4">
        <v>52.55</v>
      </c>
      <c r="K34" s="14">
        <v>3.3849538800033844E-3</v>
      </c>
      <c r="L34" s="4">
        <v>2.8</v>
      </c>
      <c r="M34" s="338">
        <v>147.13999999999999</v>
      </c>
      <c r="N34" s="4"/>
      <c r="O34" s="846" t="s">
        <v>1001</v>
      </c>
      <c r="P34" s="875"/>
      <c r="Q34" s="264"/>
    </row>
    <row r="35" spans="1:17" ht="15.75" customHeight="1">
      <c r="A35" s="862"/>
      <c r="B35" s="869"/>
      <c r="C35" s="112">
        <v>3</v>
      </c>
      <c r="D35" s="594">
        <v>0</v>
      </c>
      <c r="E35" s="838"/>
      <c r="F35" s="839"/>
      <c r="G35" s="594">
        <v>0</v>
      </c>
      <c r="H35" s="838"/>
      <c r="I35" s="839"/>
      <c r="J35" s="4">
        <v>0</v>
      </c>
      <c r="K35" s="14">
        <v>0</v>
      </c>
      <c r="L35" s="4">
        <v>0</v>
      </c>
      <c r="M35" s="338">
        <v>0</v>
      </c>
      <c r="N35" s="4"/>
      <c r="O35" s="846"/>
      <c r="P35" s="875"/>
      <c r="Q35" s="264"/>
    </row>
    <row r="36" spans="1:17" ht="15.75" customHeight="1">
      <c r="A36" s="862"/>
      <c r="B36" s="869"/>
      <c r="C36" s="112">
        <v>4</v>
      </c>
      <c r="D36" s="594">
        <v>0</v>
      </c>
      <c r="E36" s="838"/>
      <c r="F36" s="839"/>
      <c r="G36" s="594">
        <v>0</v>
      </c>
      <c r="H36" s="838"/>
      <c r="I36" s="839"/>
      <c r="J36" s="4">
        <v>0</v>
      </c>
      <c r="K36" s="14">
        <v>0</v>
      </c>
      <c r="L36" s="4">
        <v>0</v>
      </c>
      <c r="M36" s="338">
        <v>0</v>
      </c>
      <c r="N36" s="4"/>
      <c r="O36" s="846"/>
      <c r="P36" s="875"/>
      <c r="Q36" s="264"/>
    </row>
    <row r="37" spans="1:17" ht="15.75" customHeight="1" thickBot="1">
      <c r="A37" s="862"/>
      <c r="B37" s="869"/>
      <c r="C37" s="113">
        <v>5</v>
      </c>
      <c r="D37" s="594">
        <v>0</v>
      </c>
      <c r="E37" s="838"/>
      <c r="F37" s="839"/>
      <c r="G37" s="594">
        <v>0</v>
      </c>
      <c r="H37" s="838"/>
      <c r="I37" s="839"/>
      <c r="J37" s="4">
        <v>0</v>
      </c>
      <c r="K37" s="14">
        <v>0</v>
      </c>
      <c r="L37" s="4">
        <v>0</v>
      </c>
      <c r="M37" s="338">
        <v>0</v>
      </c>
      <c r="N37" s="4"/>
      <c r="O37" s="846"/>
      <c r="P37" s="875"/>
      <c r="Q37" s="264"/>
    </row>
    <row r="38" spans="1:17" ht="15.75" customHeight="1" thickTop="1" thickBot="1">
      <c r="A38" s="862"/>
      <c r="B38" s="869"/>
      <c r="C38" s="870"/>
      <c r="D38" s="870"/>
      <c r="E38" s="870"/>
      <c r="F38" s="870"/>
      <c r="G38" s="870"/>
      <c r="H38" s="870"/>
      <c r="I38" s="871"/>
      <c r="J38" s="119" t="s">
        <v>989</v>
      </c>
      <c r="K38" s="246">
        <v>2.409723332800256E-3</v>
      </c>
      <c r="L38" s="119" t="s">
        <v>990</v>
      </c>
      <c r="M38" s="248">
        <v>316.428</v>
      </c>
      <c r="N38" s="872"/>
      <c r="O38" s="873"/>
      <c r="P38" s="874"/>
      <c r="Q38" s="26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74" customWidth="1"/>
    <col min="3" max="3" width="4" style="375" customWidth="1"/>
    <col min="4" max="17" width="9.5703125" style="183" customWidth="1"/>
    <col min="18" max="16384" width="12.5703125" style="183"/>
  </cols>
  <sheetData>
    <row r="1" spans="1:23" ht="15.75" customHeight="1">
      <c r="A1" s="802" t="s">
        <v>702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</row>
    <row r="2" spans="1:23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183"/>
      <c r="S2" s="183"/>
      <c r="T2" s="183"/>
      <c r="U2" s="183"/>
      <c r="V2" s="183"/>
      <c r="W2" s="183"/>
    </row>
    <row r="3" spans="1:23" ht="15.75" customHeight="1">
      <c r="A3" s="803" t="s">
        <v>703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23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  <c r="R4" s="183"/>
      <c r="S4" s="183"/>
      <c r="T4" s="183"/>
      <c r="U4" s="183"/>
      <c r="V4" s="183"/>
      <c r="W4" s="183"/>
    </row>
    <row r="5" spans="1:23" ht="15.75" customHeight="1">
      <c r="A5" s="805" t="s">
        <v>697</v>
      </c>
      <c r="B5" s="879">
        <v>1</v>
      </c>
      <c r="C5" s="879"/>
      <c r="D5" s="879">
        <v>2</v>
      </c>
      <c r="E5" s="879"/>
      <c r="F5" s="879">
        <v>3</v>
      </c>
      <c r="G5" s="879"/>
      <c r="H5" s="808">
        <v>4</v>
      </c>
      <c r="I5" s="808"/>
      <c r="J5" s="808">
        <v>5</v>
      </c>
      <c r="K5" s="808"/>
      <c r="L5" s="808">
        <v>6</v>
      </c>
      <c r="M5" s="808"/>
      <c r="N5" s="808">
        <v>7</v>
      </c>
      <c r="O5" s="808"/>
      <c r="P5" s="808">
        <v>8</v>
      </c>
      <c r="Q5" s="808"/>
    </row>
    <row r="6" spans="1:23" ht="15.75" customHeight="1">
      <c r="A6" s="805"/>
      <c r="B6" s="880" t="s">
        <v>704</v>
      </c>
      <c r="C6" s="880"/>
      <c r="D6" s="880" t="s">
        <v>705</v>
      </c>
      <c r="E6" s="880"/>
      <c r="F6" s="880" t="s">
        <v>706</v>
      </c>
      <c r="G6" s="880"/>
      <c r="H6" s="878" t="s">
        <v>707</v>
      </c>
      <c r="I6" s="805"/>
      <c r="J6" s="805" t="s">
        <v>708</v>
      </c>
      <c r="K6" s="805"/>
      <c r="L6" s="805" t="s">
        <v>709</v>
      </c>
      <c r="M6" s="805"/>
      <c r="N6" s="805" t="s">
        <v>710</v>
      </c>
      <c r="O6" s="805"/>
      <c r="P6" s="878" t="s">
        <v>711</v>
      </c>
      <c r="Q6" s="805"/>
    </row>
    <row r="8" spans="1:23" s="373" customFormat="1" ht="15.75" customHeight="1">
      <c r="A8" s="848" t="s">
        <v>980</v>
      </c>
      <c r="B8" s="849"/>
      <c r="C8" s="588" t="s">
        <v>981</v>
      </c>
      <c r="D8" s="850" t="s">
        <v>12</v>
      </c>
      <c r="E8" s="851"/>
      <c r="F8" s="852"/>
      <c r="G8" s="586" t="s">
        <v>982</v>
      </c>
      <c r="H8" s="587"/>
      <c r="I8" s="588"/>
      <c r="J8" s="170" t="s">
        <v>983</v>
      </c>
      <c r="K8" s="371" t="s">
        <v>1005</v>
      </c>
      <c r="L8" s="170" t="s">
        <v>985</v>
      </c>
      <c r="M8" s="170" t="s">
        <v>11</v>
      </c>
      <c r="N8" s="371" t="s">
        <v>986</v>
      </c>
      <c r="O8" s="853" t="s">
        <v>987</v>
      </c>
      <c r="P8" s="854"/>
      <c r="R8" s="183"/>
      <c r="S8" s="183"/>
      <c r="T8" s="183"/>
      <c r="U8" s="183"/>
      <c r="V8" s="183"/>
      <c r="W8" s="183"/>
    </row>
    <row r="9" spans="1:23" ht="15.75" customHeight="1">
      <c r="A9" s="775">
        <v>1</v>
      </c>
      <c r="B9" s="835" t="s">
        <v>988</v>
      </c>
      <c r="C9" s="171">
        <v>1</v>
      </c>
      <c r="D9" s="594">
        <v>0</v>
      </c>
      <c r="E9" s="838"/>
      <c r="F9" s="839"/>
      <c r="G9" s="594">
        <v>0</v>
      </c>
      <c r="H9" s="838"/>
      <c r="I9" s="839"/>
      <c r="J9" s="4">
        <v>0</v>
      </c>
      <c r="K9" s="14">
        <v>0</v>
      </c>
      <c r="L9" s="372">
        <v>0</v>
      </c>
      <c r="M9" s="16">
        <v>0</v>
      </c>
      <c r="N9" s="172"/>
      <c r="O9" s="846"/>
      <c r="P9" s="847"/>
    </row>
    <row r="10" spans="1:23" ht="15.75" customHeight="1">
      <c r="A10" s="780"/>
      <c r="B10" s="836"/>
      <c r="C10" s="171">
        <v>2</v>
      </c>
      <c r="D10" s="594">
        <v>0</v>
      </c>
      <c r="E10" s="838"/>
      <c r="F10" s="839"/>
      <c r="G10" s="594">
        <v>0</v>
      </c>
      <c r="H10" s="838"/>
      <c r="I10" s="839"/>
      <c r="J10" s="4">
        <v>0</v>
      </c>
      <c r="K10" s="14">
        <v>0</v>
      </c>
      <c r="L10" s="372">
        <v>0</v>
      </c>
      <c r="M10" s="16">
        <v>0</v>
      </c>
      <c r="N10" s="172"/>
      <c r="O10" s="846"/>
      <c r="P10" s="847"/>
    </row>
    <row r="11" spans="1:23" ht="15.75" customHeight="1">
      <c r="A11" s="780"/>
      <c r="B11" s="836"/>
      <c r="C11" s="171">
        <v>3</v>
      </c>
      <c r="D11" s="594">
        <v>0</v>
      </c>
      <c r="E11" s="838"/>
      <c r="F11" s="839"/>
      <c r="G11" s="594">
        <v>0</v>
      </c>
      <c r="H11" s="838"/>
      <c r="I11" s="839"/>
      <c r="J11" s="4">
        <v>0</v>
      </c>
      <c r="K11" s="14">
        <v>0</v>
      </c>
      <c r="L11" s="372">
        <v>0</v>
      </c>
      <c r="M11" s="16">
        <v>0</v>
      </c>
      <c r="N11" s="172"/>
      <c r="O11" s="846"/>
      <c r="P11" s="847"/>
    </row>
    <row r="12" spans="1:23" ht="15.75" customHeight="1">
      <c r="A12" s="780"/>
      <c r="B12" s="836"/>
      <c r="C12" s="171">
        <v>4</v>
      </c>
      <c r="D12" s="594">
        <v>0</v>
      </c>
      <c r="E12" s="838"/>
      <c r="F12" s="839"/>
      <c r="G12" s="594">
        <v>0</v>
      </c>
      <c r="H12" s="838"/>
      <c r="I12" s="839"/>
      <c r="J12" s="4">
        <v>0</v>
      </c>
      <c r="K12" s="14">
        <v>0</v>
      </c>
      <c r="L12" s="372">
        <v>0</v>
      </c>
      <c r="M12" s="16">
        <v>0</v>
      </c>
      <c r="N12" s="172"/>
      <c r="O12" s="846"/>
      <c r="P12" s="847"/>
    </row>
    <row r="13" spans="1:23" ht="15.75" customHeight="1" thickBot="1">
      <c r="A13" s="780"/>
      <c r="B13" s="836"/>
      <c r="C13" s="173">
        <v>5</v>
      </c>
      <c r="D13" s="843">
        <v>0</v>
      </c>
      <c r="E13" s="844"/>
      <c r="F13" s="845"/>
      <c r="G13" s="843">
        <v>0</v>
      </c>
      <c r="H13" s="844"/>
      <c r="I13" s="845"/>
      <c r="J13" s="4">
        <v>0</v>
      </c>
      <c r="K13" s="14">
        <v>0</v>
      </c>
      <c r="L13" s="372">
        <v>0</v>
      </c>
      <c r="M13" s="16">
        <v>0</v>
      </c>
      <c r="N13" s="174"/>
      <c r="O13" s="856"/>
      <c r="P13" s="857"/>
    </row>
    <row r="14" spans="1:23" ht="15.75" customHeight="1" thickTop="1" thickBot="1">
      <c r="A14" s="776"/>
      <c r="B14" s="837"/>
      <c r="C14" s="829"/>
      <c r="D14" s="830"/>
      <c r="E14" s="830"/>
      <c r="F14" s="830"/>
      <c r="G14" s="830"/>
      <c r="H14" s="830"/>
      <c r="I14" s="831"/>
      <c r="J14" s="369" t="s">
        <v>989</v>
      </c>
      <c r="K14" s="246">
        <v>0</v>
      </c>
      <c r="L14" s="369" t="s">
        <v>990</v>
      </c>
      <c r="M14" s="248">
        <v>0</v>
      </c>
      <c r="N14" s="832"/>
      <c r="O14" s="833"/>
      <c r="P14" s="834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48" t="s">
        <v>980</v>
      </c>
      <c r="B16" s="849"/>
      <c r="C16" s="588" t="s">
        <v>981</v>
      </c>
      <c r="D16" s="850" t="s">
        <v>12</v>
      </c>
      <c r="E16" s="851"/>
      <c r="F16" s="852"/>
      <c r="G16" s="586" t="s">
        <v>982</v>
      </c>
      <c r="H16" s="587"/>
      <c r="I16" s="588"/>
      <c r="J16" s="170" t="s">
        <v>983</v>
      </c>
      <c r="K16" s="371" t="s">
        <v>1005</v>
      </c>
      <c r="L16" s="170" t="s">
        <v>985</v>
      </c>
      <c r="M16" s="170" t="s">
        <v>11</v>
      </c>
      <c r="N16" s="371" t="s">
        <v>986</v>
      </c>
      <c r="O16" s="853" t="s">
        <v>987</v>
      </c>
      <c r="P16" s="854"/>
    </row>
    <row r="17" spans="1:16" ht="15.75" customHeight="1">
      <c r="A17" s="775">
        <v>2</v>
      </c>
      <c r="B17" s="835" t="s">
        <v>991</v>
      </c>
      <c r="C17" s="171">
        <v>1</v>
      </c>
      <c r="D17" s="594" t="s">
        <v>937</v>
      </c>
      <c r="E17" s="838"/>
      <c r="F17" s="839"/>
      <c r="G17" s="594" t="s">
        <v>964</v>
      </c>
      <c r="H17" s="838"/>
      <c r="I17" s="839"/>
      <c r="J17" s="372">
        <v>118.22</v>
      </c>
      <c r="K17" s="14">
        <v>4.490964394346033E-2</v>
      </c>
      <c r="L17" s="372">
        <v>1.254999999999999</v>
      </c>
      <c r="M17" s="338">
        <v>148.3660999999999</v>
      </c>
      <c r="N17" s="172"/>
      <c r="O17" s="846" t="s">
        <v>699</v>
      </c>
      <c r="P17" s="847"/>
    </row>
    <row r="18" spans="1:16" ht="15.75" customHeight="1">
      <c r="A18" s="780"/>
      <c r="B18" s="836"/>
      <c r="C18" s="171">
        <v>2</v>
      </c>
      <c r="D18" s="594" t="s">
        <v>870</v>
      </c>
      <c r="E18" s="838"/>
      <c r="F18" s="839"/>
      <c r="G18" s="594" t="s">
        <v>968</v>
      </c>
      <c r="H18" s="838"/>
      <c r="I18" s="839"/>
      <c r="J18" s="372">
        <v>459.58</v>
      </c>
      <c r="K18" s="14">
        <v>6.8883610451306421E-2</v>
      </c>
      <c r="L18" s="372">
        <v>0.29000000000000004</v>
      </c>
      <c r="M18" s="338">
        <v>133.2782</v>
      </c>
      <c r="N18" s="172"/>
      <c r="O18" s="846" t="s">
        <v>699</v>
      </c>
      <c r="P18" s="847"/>
    </row>
    <row r="19" spans="1:16" ht="15.75" customHeight="1">
      <c r="A19" s="780"/>
      <c r="B19" s="836"/>
      <c r="C19" s="171">
        <v>3</v>
      </c>
      <c r="D19" s="594">
        <v>0</v>
      </c>
      <c r="E19" s="838"/>
      <c r="F19" s="839"/>
      <c r="G19" s="594">
        <v>0</v>
      </c>
      <c r="H19" s="838"/>
      <c r="I19" s="839"/>
      <c r="J19" s="372">
        <v>0</v>
      </c>
      <c r="K19" s="14">
        <v>0</v>
      </c>
      <c r="L19" s="372">
        <v>0</v>
      </c>
      <c r="M19" s="338">
        <v>0</v>
      </c>
      <c r="N19" s="172"/>
      <c r="O19" s="846"/>
      <c r="P19" s="847"/>
    </row>
    <row r="20" spans="1:16" ht="15.75" customHeight="1">
      <c r="A20" s="780"/>
      <c r="B20" s="836"/>
      <c r="C20" s="171">
        <v>4</v>
      </c>
      <c r="D20" s="594">
        <v>0</v>
      </c>
      <c r="E20" s="838"/>
      <c r="F20" s="839"/>
      <c r="G20" s="594">
        <v>0</v>
      </c>
      <c r="H20" s="838"/>
      <c r="I20" s="839"/>
      <c r="J20" s="372">
        <v>0</v>
      </c>
      <c r="K20" s="14">
        <v>0</v>
      </c>
      <c r="L20" s="372">
        <v>0</v>
      </c>
      <c r="M20" s="338">
        <v>0</v>
      </c>
      <c r="N20" s="172"/>
      <c r="O20" s="846"/>
      <c r="P20" s="847"/>
    </row>
    <row r="21" spans="1:16" ht="15.75" customHeight="1" thickBot="1">
      <c r="A21" s="780"/>
      <c r="B21" s="836"/>
      <c r="C21" s="173">
        <v>5</v>
      </c>
      <c r="D21" s="594">
        <v>0</v>
      </c>
      <c r="E21" s="838"/>
      <c r="F21" s="839"/>
      <c r="G21" s="594">
        <v>0</v>
      </c>
      <c r="H21" s="838"/>
      <c r="I21" s="839"/>
      <c r="J21" s="372">
        <v>0</v>
      </c>
      <c r="K21" s="14">
        <v>0</v>
      </c>
      <c r="L21" s="372">
        <v>0</v>
      </c>
      <c r="M21" s="338">
        <v>0</v>
      </c>
      <c r="N21" s="174"/>
      <c r="O21" s="846"/>
      <c r="P21" s="847"/>
    </row>
    <row r="22" spans="1:16" ht="15.75" customHeight="1" thickTop="1" thickBot="1">
      <c r="A22" s="776"/>
      <c r="B22" s="837"/>
      <c r="C22" s="840"/>
      <c r="D22" s="841"/>
      <c r="E22" s="841"/>
      <c r="F22" s="841"/>
      <c r="G22" s="841"/>
      <c r="H22" s="841"/>
      <c r="I22" s="842"/>
      <c r="J22" s="369" t="s">
        <v>989</v>
      </c>
      <c r="K22" s="246">
        <v>2.9066594201803474E-3</v>
      </c>
      <c r="L22" s="369" t="s">
        <v>990</v>
      </c>
      <c r="M22" s="248">
        <v>281.64429999999993</v>
      </c>
      <c r="N22" s="832"/>
      <c r="O22" s="833"/>
      <c r="P22" s="834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48" t="s">
        <v>980</v>
      </c>
      <c r="B24" s="849"/>
      <c r="C24" s="588" t="s">
        <v>981</v>
      </c>
      <c r="D24" s="850" t="s">
        <v>12</v>
      </c>
      <c r="E24" s="851"/>
      <c r="F24" s="852"/>
      <c r="G24" s="586" t="s">
        <v>982</v>
      </c>
      <c r="H24" s="587"/>
      <c r="I24" s="588"/>
      <c r="J24" s="170" t="s">
        <v>983</v>
      </c>
      <c r="K24" s="371" t="s">
        <v>1005</v>
      </c>
      <c r="L24" s="170" t="s">
        <v>985</v>
      </c>
      <c r="M24" s="170" t="s">
        <v>11</v>
      </c>
      <c r="N24" s="371" t="s">
        <v>986</v>
      </c>
      <c r="O24" s="853" t="s">
        <v>987</v>
      </c>
      <c r="P24" s="854"/>
    </row>
    <row r="25" spans="1:16" ht="15.75" customHeight="1">
      <c r="A25" s="775">
        <v>3</v>
      </c>
      <c r="B25" s="835" t="s">
        <v>994</v>
      </c>
      <c r="C25" s="171">
        <v>1</v>
      </c>
      <c r="D25" s="594">
        <v>0</v>
      </c>
      <c r="E25" s="838"/>
      <c r="F25" s="839"/>
      <c r="G25" s="594">
        <v>0</v>
      </c>
      <c r="H25" s="838"/>
      <c r="I25" s="839"/>
      <c r="J25" s="372">
        <v>0</v>
      </c>
      <c r="K25" s="14">
        <v>0</v>
      </c>
      <c r="L25" s="372">
        <v>0</v>
      </c>
      <c r="M25" s="338">
        <v>0</v>
      </c>
      <c r="N25" s="172"/>
      <c r="O25" s="846"/>
      <c r="P25" s="847"/>
    </row>
    <row r="26" spans="1:16" ht="15.75" customHeight="1">
      <c r="A26" s="780"/>
      <c r="B26" s="836"/>
      <c r="C26" s="171">
        <v>2</v>
      </c>
      <c r="D26" s="594">
        <v>0</v>
      </c>
      <c r="E26" s="838"/>
      <c r="F26" s="839"/>
      <c r="G26" s="594">
        <v>0</v>
      </c>
      <c r="H26" s="838"/>
      <c r="I26" s="839"/>
      <c r="J26" s="372">
        <v>0</v>
      </c>
      <c r="K26" s="14">
        <v>0</v>
      </c>
      <c r="L26" s="372">
        <v>0</v>
      </c>
      <c r="M26" s="338">
        <v>0</v>
      </c>
      <c r="N26" s="172"/>
      <c r="O26" s="846"/>
      <c r="P26" s="847"/>
    </row>
    <row r="27" spans="1:16" ht="15.75" customHeight="1">
      <c r="A27" s="780"/>
      <c r="B27" s="836"/>
      <c r="C27" s="171">
        <v>3</v>
      </c>
      <c r="D27" s="594">
        <v>0</v>
      </c>
      <c r="E27" s="838"/>
      <c r="F27" s="839"/>
      <c r="G27" s="594">
        <v>0</v>
      </c>
      <c r="H27" s="838"/>
      <c r="I27" s="839"/>
      <c r="J27" s="372">
        <v>0</v>
      </c>
      <c r="K27" s="14">
        <v>0</v>
      </c>
      <c r="L27" s="372">
        <v>0</v>
      </c>
      <c r="M27" s="338">
        <v>0</v>
      </c>
      <c r="N27" s="172"/>
      <c r="O27" s="846"/>
      <c r="P27" s="847"/>
    </row>
    <row r="28" spans="1:16" ht="15.75" customHeight="1">
      <c r="A28" s="780"/>
      <c r="B28" s="836"/>
      <c r="C28" s="171">
        <v>4</v>
      </c>
      <c r="D28" s="594">
        <v>0</v>
      </c>
      <c r="E28" s="838"/>
      <c r="F28" s="839"/>
      <c r="G28" s="594">
        <v>0</v>
      </c>
      <c r="H28" s="838"/>
      <c r="I28" s="839"/>
      <c r="J28" s="372">
        <v>0</v>
      </c>
      <c r="K28" s="14">
        <v>0</v>
      </c>
      <c r="L28" s="372">
        <v>0</v>
      </c>
      <c r="M28" s="338">
        <v>0</v>
      </c>
      <c r="N28" s="172"/>
      <c r="O28" s="846"/>
      <c r="P28" s="847"/>
    </row>
    <row r="29" spans="1:16" ht="15.75" customHeight="1" thickBot="1">
      <c r="A29" s="780"/>
      <c r="B29" s="836"/>
      <c r="C29" s="173">
        <v>5</v>
      </c>
      <c r="D29" s="843">
        <v>0</v>
      </c>
      <c r="E29" s="844"/>
      <c r="F29" s="845"/>
      <c r="G29" s="843">
        <v>0</v>
      </c>
      <c r="H29" s="844"/>
      <c r="I29" s="845"/>
      <c r="J29" s="372">
        <v>0</v>
      </c>
      <c r="K29" s="14">
        <v>0</v>
      </c>
      <c r="L29" s="372">
        <v>0</v>
      </c>
      <c r="M29" s="338">
        <v>0</v>
      </c>
      <c r="N29" s="174"/>
      <c r="O29" s="856"/>
      <c r="P29" s="857"/>
    </row>
    <row r="30" spans="1:16" ht="15.75" customHeight="1" thickTop="1" thickBot="1">
      <c r="A30" s="776"/>
      <c r="B30" s="837"/>
      <c r="C30" s="829"/>
      <c r="D30" s="830"/>
      <c r="E30" s="830"/>
      <c r="F30" s="830"/>
      <c r="G30" s="830"/>
      <c r="H30" s="830"/>
      <c r="I30" s="831"/>
      <c r="J30" s="369" t="s">
        <v>989</v>
      </c>
      <c r="K30" s="246">
        <v>0</v>
      </c>
      <c r="L30" s="369" t="s">
        <v>990</v>
      </c>
      <c r="M30" s="248">
        <v>0</v>
      </c>
      <c r="N30" s="832"/>
      <c r="O30" s="833"/>
      <c r="P30" s="834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77" customWidth="1"/>
    <col min="2" max="2" width="11.42578125" style="378" customWidth="1"/>
    <col min="3" max="3" width="4" style="379" customWidth="1"/>
    <col min="4" max="17" width="9.5703125" style="377" customWidth="1"/>
    <col min="18" max="16384" width="12.5703125" style="377"/>
  </cols>
  <sheetData>
    <row r="1" spans="1:23" s="183" customFormat="1" ht="15.75" customHeight="1">
      <c r="A1" s="802" t="s">
        <v>702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</row>
    <row r="2" spans="1:23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</row>
    <row r="3" spans="1:23" s="183" customFormat="1" ht="15.75" customHeight="1">
      <c r="A3" s="803" t="s">
        <v>703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23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23" s="183" customFormat="1" ht="15.75" customHeight="1">
      <c r="A5" s="805" t="s">
        <v>697</v>
      </c>
      <c r="B5" s="808">
        <v>1</v>
      </c>
      <c r="C5" s="808"/>
      <c r="D5" s="808">
        <v>2</v>
      </c>
      <c r="E5" s="808"/>
      <c r="F5" s="808">
        <v>3</v>
      </c>
      <c r="G5" s="808"/>
      <c r="H5" s="879">
        <v>4</v>
      </c>
      <c r="I5" s="879"/>
      <c r="J5" s="879">
        <v>5</v>
      </c>
      <c r="K5" s="879"/>
      <c r="L5" s="879">
        <v>6</v>
      </c>
      <c r="M5" s="879"/>
      <c r="N5" s="879">
        <v>7</v>
      </c>
      <c r="O5" s="879"/>
      <c r="P5" s="808">
        <v>8</v>
      </c>
      <c r="Q5" s="808"/>
    </row>
    <row r="6" spans="1:23" s="183" customFormat="1" ht="15.75" customHeight="1">
      <c r="A6" s="805"/>
      <c r="B6" s="805" t="s">
        <v>704</v>
      </c>
      <c r="C6" s="805"/>
      <c r="D6" s="805" t="s">
        <v>705</v>
      </c>
      <c r="E6" s="805"/>
      <c r="F6" s="805" t="s">
        <v>706</v>
      </c>
      <c r="G6" s="805"/>
      <c r="H6" s="881" t="s">
        <v>707</v>
      </c>
      <c r="I6" s="880"/>
      <c r="J6" s="880" t="s">
        <v>708</v>
      </c>
      <c r="K6" s="880"/>
      <c r="L6" s="880" t="s">
        <v>709</v>
      </c>
      <c r="M6" s="880"/>
      <c r="N6" s="880" t="s">
        <v>710</v>
      </c>
      <c r="O6" s="880"/>
      <c r="P6" s="878" t="s">
        <v>711</v>
      </c>
      <c r="Q6" s="805"/>
    </row>
    <row r="7" spans="1:23" s="183" customFormat="1" ht="15.75" customHeight="1">
      <c r="B7" s="374"/>
      <c r="C7" s="375"/>
    </row>
    <row r="8" spans="1:23" s="376" customFormat="1" ht="15.75" customHeight="1">
      <c r="A8" s="861" t="s">
        <v>980</v>
      </c>
      <c r="B8" s="862"/>
      <c r="C8" s="117" t="s">
        <v>981</v>
      </c>
      <c r="D8" s="863" t="s">
        <v>12</v>
      </c>
      <c r="E8" s="864"/>
      <c r="F8" s="865"/>
      <c r="G8" s="115" t="s">
        <v>982</v>
      </c>
      <c r="H8" s="116"/>
      <c r="I8" s="117"/>
      <c r="J8" s="114" t="s">
        <v>983</v>
      </c>
      <c r="K8" s="114" t="s">
        <v>1005</v>
      </c>
      <c r="L8" s="114" t="s">
        <v>985</v>
      </c>
      <c r="M8" s="118" t="s">
        <v>11</v>
      </c>
      <c r="N8" s="371" t="s">
        <v>986</v>
      </c>
      <c r="O8" s="866" t="s">
        <v>987</v>
      </c>
      <c r="P8" s="867"/>
      <c r="R8" s="183"/>
      <c r="S8" s="183"/>
      <c r="T8" s="183"/>
      <c r="U8" s="183"/>
      <c r="V8" s="183"/>
      <c r="W8" s="183"/>
    </row>
    <row r="9" spans="1:23" ht="15.75" customHeight="1">
      <c r="A9" s="862">
        <v>4</v>
      </c>
      <c r="B9" s="869" t="s">
        <v>694</v>
      </c>
      <c r="C9" s="112">
        <v>1</v>
      </c>
      <c r="D9" s="594" t="s">
        <v>960</v>
      </c>
      <c r="E9" s="838"/>
      <c r="F9" s="839"/>
      <c r="G9" s="594" t="s">
        <v>966</v>
      </c>
      <c r="H9" s="838"/>
      <c r="I9" s="839"/>
      <c r="J9" s="372">
        <v>447.3</v>
      </c>
      <c r="K9" s="14">
        <v>3.9797395079595264E-3</v>
      </c>
      <c r="L9" s="372">
        <v>0.66000000000000791</v>
      </c>
      <c r="M9" s="338">
        <v>295.2180000000036</v>
      </c>
      <c r="N9" s="4"/>
      <c r="O9" s="846" t="s">
        <v>570</v>
      </c>
      <c r="P9" s="875"/>
      <c r="R9" s="183"/>
      <c r="S9" s="183"/>
      <c r="T9" s="183"/>
      <c r="U9" s="183"/>
      <c r="V9" s="183"/>
      <c r="W9" s="183"/>
    </row>
    <row r="10" spans="1:23" ht="15.75" customHeight="1">
      <c r="A10" s="862"/>
      <c r="B10" s="869"/>
      <c r="C10" s="112">
        <v>2</v>
      </c>
      <c r="D10" s="594" t="s">
        <v>378</v>
      </c>
      <c r="E10" s="838"/>
      <c r="F10" s="839"/>
      <c r="G10" s="594" t="s">
        <v>949</v>
      </c>
      <c r="H10" s="838"/>
      <c r="I10" s="839"/>
      <c r="J10" s="372">
        <v>371.13</v>
      </c>
      <c r="K10" s="14">
        <v>6.6125140446851556E-3</v>
      </c>
      <c r="L10" s="372">
        <v>0.71800000000000352</v>
      </c>
      <c r="M10" s="338">
        <v>266.47134000000131</v>
      </c>
      <c r="N10" s="4"/>
      <c r="O10" s="846" t="s">
        <v>570</v>
      </c>
      <c r="P10" s="875"/>
      <c r="R10" s="183"/>
      <c r="S10" s="183"/>
      <c r="T10" s="183"/>
      <c r="U10" s="183"/>
      <c r="V10" s="183"/>
      <c r="W10" s="183"/>
    </row>
    <row r="11" spans="1:23" ht="15.75" customHeight="1">
      <c r="A11" s="862"/>
      <c r="B11" s="869"/>
      <c r="C11" s="112">
        <v>3</v>
      </c>
      <c r="D11" s="594" t="s">
        <v>380</v>
      </c>
      <c r="E11" s="838"/>
      <c r="F11" s="839"/>
      <c r="G11" s="594" t="s">
        <v>1006</v>
      </c>
      <c r="H11" s="838"/>
      <c r="I11" s="839"/>
      <c r="J11" s="372">
        <v>116.66</v>
      </c>
      <c r="K11" s="14">
        <v>5.475085991984598E-3</v>
      </c>
      <c r="L11" s="372">
        <v>1.3879999999999995</v>
      </c>
      <c r="M11" s="338">
        <v>161.92407999999995</v>
      </c>
      <c r="N11" s="4"/>
      <c r="O11" s="846" t="s">
        <v>570</v>
      </c>
      <c r="P11" s="875"/>
      <c r="R11" s="183"/>
      <c r="S11" s="183"/>
      <c r="T11" s="183"/>
      <c r="U11" s="183"/>
      <c r="V11" s="183"/>
      <c r="W11" s="183"/>
    </row>
    <row r="12" spans="1:23" ht="15.75" customHeight="1">
      <c r="A12" s="862"/>
      <c r="B12" s="869"/>
      <c r="C12" s="112">
        <v>4</v>
      </c>
      <c r="D12" s="594" t="s">
        <v>355</v>
      </c>
      <c r="E12" s="838"/>
      <c r="F12" s="839"/>
      <c r="G12" s="594" t="s">
        <v>880</v>
      </c>
      <c r="H12" s="838"/>
      <c r="I12" s="839"/>
      <c r="J12" s="372">
        <v>581.91999999999996</v>
      </c>
      <c r="K12" s="14">
        <v>2.0106445890005799E-2</v>
      </c>
      <c r="L12" s="372">
        <v>0.27199999999999847</v>
      </c>
      <c r="M12" s="338">
        <v>158.28223999999909</v>
      </c>
      <c r="N12" s="4"/>
      <c r="O12" s="846" t="s">
        <v>570</v>
      </c>
      <c r="P12" s="875"/>
      <c r="R12" s="183"/>
      <c r="S12" s="183"/>
      <c r="T12" s="183"/>
      <c r="U12" s="183"/>
      <c r="V12" s="183"/>
      <c r="W12" s="183"/>
    </row>
    <row r="13" spans="1:23" ht="15.75" customHeight="1" thickBot="1">
      <c r="A13" s="862"/>
      <c r="B13" s="869"/>
      <c r="C13" s="113">
        <v>5</v>
      </c>
      <c r="D13" s="594" t="s">
        <v>352</v>
      </c>
      <c r="E13" s="838"/>
      <c r="F13" s="839"/>
      <c r="G13" s="594" t="s">
        <v>796</v>
      </c>
      <c r="H13" s="838"/>
      <c r="I13" s="839"/>
      <c r="J13" s="372">
        <v>111.17</v>
      </c>
      <c r="K13" s="14">
        <v>4.5280771587084805E-3</v>
      </c>
      <c r="L13" s="372">
        <v>1.3229999999999678</v>
      </c>
      <c r="M13" s="338">
        <v>147.07790999999639</v>
      </c>
      <c r="N13" s="4"/>
      <c r="O13" s="846" t="s">
        <v>570</v>
      </c>
      <c r="P13" s="875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62"/>
      <c r="B14" s="869"/>
      <c r="C14" s="877"/>
      <c r="D14" s="877"/>
      <c r="E14" s="877"/>
      <c r="F14" s="877"/>
      <c r="G14" s="877"/>
      <c r="H14" s="877"/>
      <c r="I14" s="877"/>
      <c r="J14" s="247" t="s">
        <v>989</v>
      </c>
      <c r="K14" s="246">
        <v>1.0619336945065474E-2</v>
      </c>
      <c r="L14" s="247" t="s">
        <v>990</v>
      </c>
      <c r="M14" s="248">
        <v>1028.9735700000003</v>
      </c>
      <c r="N14" s="876"/>
      <c r="O14" s="876"/>
      <c r="P14" s="876"/>
      <c r="R14" s="183"/>
      <c r="S14" s="183"/>
      <c r="T14" s="183"/>
      <c r="U14" s="183"/>
      <c r="V14" s="183"/>
      <c r="W14" s="183"/>
    </row>
    <row r="15" spans="1:23" ht="15.75" customHeight="1" thickTop="1">
      <c r="A15" s="584"/>
      <c r="B15" s="111"/>
      <c r="C15" s="109"/>
      <c r="D15" s="584"/>
      <c r="E15" s="584"/>
      <c r="F15" s="584"/>
      <c r="G15" s="584"/>
      <c r="H15" s="584"/>
      <c r="I15" s="584"/>
      <c r="J15" s="584"/>
      <c r="K15" s="584"/>
      <c r="L15" s="584"/>
      <c r="M15" s="584"/>
      <c r="N15" s="584"/>
      <c r="O15" s="584"/>
      <c r="P15" s="584"/>
      <c r="R15" s="183"/>
      <c r="S15" s="183"/>
      <c r="T15" s="183"/>
      <c r="U15" s="183"/>
      <c r="V15" s="183"/>
      <c r="W15" s="183"/>
    </row>
    <row r="16" spans="1:23" ht="15.75" customHeight="1">
      <c r="A16" s="861" t="s">
        <v>980</v>
      </c>
      <c r="B16" s="862"/>
      <c r="C16" s="117" t="s">
        <v>981</v>
      </c>
      <c r="D16" s="863" t="s">
        <v>12</v>
      </c>
      <c r="E16" s="864"/>
      <c r="F16" s="865"/>
      <c r="G16" s="115" t="s">
        <v>982</v>
      </c>
      <c r="H16" s="116"/>
      <c r="I16" s="117"/>
      <c r="J16" s="114" t="s">
        <v>983</v>
      </c>
      <c r="K16" s="114" t="s">
        <v>1005</v>
      </c>
      <c r="L16" s="114" t="s">
        <v>985</v>
      </c>
      <c r="M16" s="118" t="s">
        <v>11</v>
      </c>
      <c r="N16" s="371" t="s">
        <v>986</v>
      </c>
      <c r="O16" s="866" t="s">
        <v>987</v>
      </c>
      <c r="P16" s="867"/>
      <c r="R16" s="183"/>
      <c r="S16" s="183"/>
      <c r="T16" s="183"/>
      <c r="U16" s="183"/>
      <c r="V16" s="183"/>
      <c r="W16" s="183"/>
    </row>
    <row r="17" spans="1:23" ht="15.75" customHeight="1">
      <c r="A17" s="862">
        <v>5</v>
      </c>
      <c r="B17" s="868" t="s">
        <v>212</v>
      </c>
      <c r="C17" s="112">
        <v>1</v>
      </c>
      <c r="D17" s="594" t="s">
        <v>1007</v>
      </c>
      <c r="E17" s="838"/>
      <c r="F17" s="839"/>
      <c r="G17" s="594" t="s">
        <v>1008</v>
      </c>
      <c r="H17" s="838"/>
      <c r="I17" s="839"/>
      <c r="J17" s="372">
        <v>310.27999999999997</v>
      </c>
      <c r="K17" s="14">
        <v>7.5287865367582689E-3</v>
      </c>
      <c r="L17" s="372">
        <v>0.68000000000000682</v>
      </c>
      <c r="M17" s="338">
        <v>210.9904000000021</v>
      </c>
      <c r="N17" s="4"/>
      <c r="O17" s="846" t="s">
        <v>712</v>
      </c>
      <c r="P17" s="847"/>
      <c r="R17" s="183"/>
      <c r="S17" s="183"/>
      <c r="T17" s="183"/>
      <c r="U17" s="183"/>
      <c r="V17" s="183"/>
      <c r="W17" s="183"/>
    </row>
    <row r="18" spans="1:23" ht="15.75" customHeight="1">
      <c r="A18" s="862"/>
      <c r="B18" s="869"/>
      <c r="C18" s="112">
        <v>2</v>
      </c>
      <c r="D18" s="594" t="s">
        <v>352</v>
      </c>
      <c r="E18" s="838"/>
      <c r="F18" s="839"/>
      <c r="G18" s="594" t="s">
        <v>788</v>
      </c>
      <c r="H18" s="838"/>
      <c r="I18" s="839"/>
      <c r="J18" s="372">
        <v>136.88999999999999</v>
      </c>
      <c r="K18" s="14">
        <v>4.0562417010748556E-3</v>
      </c>
      <c r="L18" s="372">
        <v>1.3379999999999541</v>
      </c>
      <c r="M18" s="338">
        <v>183.15881999999368</v>
      </c>
      <c r="N18" s="4"/>
      <c r="O18" s="846" t="s">
        <v>712</v>
      </c>
      <c r="P18" s="847"/>
      <c r="R18" s="183"/>
      <c r="S18" s="183"/>
      <c r="T18" s="183"/>
      <c r="U18" s="183"/>
      <c r="V18" s="183"/>
      <c r="W18" s="183"/>
    </row>
    <row r="19" spans="1:23" ht="15.75" customHeight="1">
      <c r="A19" s="862"/>
      <c r="B19" s="869"/>
      <c r="C19" s="112">
        <v>3</v>
      </c>
      <c r="D19" s="594" t="s">
        <v>355</v>
      </c>
      <c r="E19" s="838"/>
      <c r="F19" s="839"/>
      <c r="G19" s="594" t="s">
        <v>880</v>
      </c>
      <c r="H19" s="838"/>
      <c r="I19" s="839"/>
      <c r="J19" s="372">
        <v>581.91999999999996</v>
      </c>
      <c r="K19" s="14">
        <v>1.7543859649122723E-2</v>
      </c>
      <c r="L19" s="372">
        <v>0.2999999999999986</v>
      </c>
      <c r="M19" s="338">
        <v>174.57599999999914</v>
      </c>
      <c r="N19" s="4"/>
      <c r="O19" s="846" t="s">
        <v>712</v>
      </c>
      <c r="P19" s="847"/>
      <c r="R19" s="183"/>
      <c r="S19" s="183"/>
      <c r="T19" s="183"/>
      <c r="U19" s="183"/>
      <c r="V19" s="183"/>
      <c r="W19" s="183"/>
    </row>
    <row r="20" spans="1:23" ht="15.75" customHeight="1">
      <c r="A20" s="862"/>
      <c r="B20" s="869"/>
      <c r="C20" s="112">
        <v>4</v>
      </c>
      <c r="D20" s="594" t="s">
        <v>376</v>
      </c>
      <c r="E20" s="838"/>
      <c r="F20" s="839"/>
      <c r="G20" s="594" t="s">
        <v>396</v>
      </c>
      <c r="H20" s="838"/>
      <c r="I20" s="839"/>
      <c r="J20" s="372">
        <v>420.33</v>
      </c>
      <c r="K20" s="14">
        <v>5.6806227645697215E-3</v>
      </c>
      <c r="L20" s="372">
        <v>0.40499999999999831</v>
      </c>
      <c r="M20" s="338">
        <v>170.23364999999927</v>
      </c>
      <c r="N20" s="4"/>
      <c r="O20" s="846" t="s">
        <v>712</v>
      </c>
      <c r="P20" s="847"/>
      <c r="R20" s="183"/>
      <c r="S20" s="183"/>
      <c r="T20" s="183"/>
      <c r="U20" s="183"/>
      <c r="V20" s="183"/>
      <c r="W20" s="183"/>
    </row>
    <row r="21" spans="1:23" ht="15.75" customHeight="1" thickBot="1">
      <c r="A21" s="862"/>
      <c r="B21" s="869"/>
      <c r="C21" s="113">
        <v>5</v>
      </c>
      <c r="D21" s="594" t="s">
        <v>903</v>
      </c>
      <c r="E21" s="838"/>
      <c r="F21" s="839"/>
      <c r="G21" s="594" t="s">
        <v>1009</v>
      </c>
      <c r="H21" s="838"/>
      <c r="I21" s="839"/>
      <c r="J21" s="372">
        <v>205</v>
      </c>
      <c r="K21" s="14">
        <v>2.6415094339622642E-4</v>
      </c>
      <c r="L21" s="372">
        <v>0.7</v>
      </c>
      <c r="M21" s="338">
        <v>143.5</v>
      </c>
      <c r="N21" s="4"/>
      <c r="O21" s="846" t="s">
        <v>712</v>
      </c>
      <c r="P21" s="847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62"/>
      <c r="B22" s="869"/>
      <c r="C22" s="870"/>
      <c r="D22" s="870"/>
      <c r="E22" s="870"/>
      <c r="F22" s="870"/>
      <c r="G22" s="870"/>
      <c r="H22" s="870"/>
      <c r="I22" s="871"/>
      <c r="J22" s="119" t="s">
        <v>989</v>
      </c>
      <c r="K22" s="246">
        <v>9.1072582949741528E-3</v>
      </c>
      <c r="L22" s="119" t="s">
        <v>990</v>
      </c>
      <c r="M22" s="248">
        <v>882.45886999999425</v>
      </c>
      <c r="N22" s="872"/>
      <c r="O22" s="873"/>
      <c r="P22" s="874"/>
      <c r="R22" s="183"/>
      <c r="S22" s="183"/>
      <c r="T22" s="183"/>
      <c r="U22" s="183"/>
      <c r="V22" s="183"/>
      <c r="W22" s="183"/>
    </row>
    <row r="23" spans="1:23" ht="15.75" customHeight="1" thickTop="1">
      <c r="A23" s="584"/>
      <c r="B23" s="111"/>
      <c r="C23" s="109"/>
      <c r="D23" s="584"/>
      <c r="E23" s="584"/>
      <c r="F23" s="584"/>
      <c r="G23" s="584"/>
      <c r="H23" s="584"/>
      <c r="I23" s="584"/>
      <c r="J23" s="584"/>
      <c r="K23" s="584"/>
      <c r="L23" s="584"/>
      <c r="M23" s="584"/>
      <c r="N23" s="584"/>
      <c r="O23" s="584"/>
      <c r="P23" s="584"/>
      <c r="R23" s="183"/>
      <c r="S23" s="183"/>
      <c r="T23" s="183"/>
      <c r="U23" s="183"/>
      <c r="V23" s="183"/>
      <c r="W23" s="183"/>
    </row>
    <row r="24" spans="1:23" ht="15.75" customHeight="1">
      <c r="A24" s="861" t="s">
        <v>980</v>
      </c>
      <c r="B24" s="862"/>
      <c r="C24" s="117" t="s">
        <v>981</v>
      </c>
      <c r="D24" s="863" t="s">
        <v>12</v>
      </c>
      <c r="E24" s="864"/>
      <c r="F24" s="865"/>
      <c r="G24" s="115" t="s">
        <v>982</v>
      </c>
      <c r="H24" s="116"/>
      <c r="I24" s="117"/>
      <c r="J24" s="114" t="s">
        <v>983</v>
      </c>
      <c r="K24" s="114" t="s">
        <v>1005</v>
      </c>
      <c r="L24" s="114" t="s">
        <v>985</v>
      </c>
      <c r="M24" s="118" t="s">
        <v>11</v>
      </c>
      <c r="N24" s="371" t="s">
        <v>986</v>
      </c>
      <c r="O24" s="866" t="s">
        <v>987</v>
      </c>
      <c r="P24" s="867"/>
      <c r="R24" s="183"/>
      <c r="S24" s="183"/>
      <c r="T24" s="183"/>
      <c r="U24" s="183"/>
      <c r="V24" s="183"/>
      <c r="W24" s="183"/>
    </row>
    <row r="25" spans="1:23" ht="15.75" customHeight="1">
      <c r="A25" s="862">
        <v>6</v>
      </c>
      <c r="B25" s="868" t="s">
        <v>213</v>
      </c>
      <c r="C25" s="112">
        <v>1</v>
      </c>
      <c r="D25" s="594" t="s">
        <v>872</v>
      </c>
      <c r="E25" s="838"/>
      <c r="F25" s="839"/>
      <c r="G25" s="594" t="s">
        <v>354</v>
      </c>
      <c r="H25" s="838"/>
      <c r="I25" s="839"/>
      <c r="J25" s="372">
        <v>487.6</v>
      </c>
      <c r="K25" s="14">
        <v>2.005828904508836E-2</v>
      </c>
      <c r="L25" s="372">
        <v>0.7020000000000024</v>
      </c>
      <c r="M25" s="338">
        <v>342.29520000000116</v>
      </c>
      <c r="N25" s="4"/>
      <c r="O25" s="846" t="s">
        <v>1010</v>
      </c>
      <c r="P25" s="875"/>
      <c r="R25" s="183"/>
      <c r="S25" s="183"/>
      <c r="T25" s="183"/>
      <c r="U25" s="183"/>
      <c r="V25" s="183"/>
      <c r="W25" s="183"/>
    </row>
    <row r="26" spans="1:23" ht="15.75" customHeight="1">
      <c r="A26" s="862"/>
      <c r="B26" s="869"/>
      <c r="C26" s="112">
        <v>2</v>
      </c>
      <c r="D26" s="594">
        <v>0</v>
      </c>
      <c r="E26" s="838"/>
      <c r="F26" s="839"/>
      <c r="G26" s="594">
        <v>0</v>
      </c>
      <c r="H26" s="838"/>
      <c r="I26" s="839"/>
      <c r="J26" s="372">
        <v>0</v>
      </c>
      <c r="K26" s="14">
        <v>0</v>
      </c>
      <c r="L26" s="372">
        <v>0</v>
      </c>
      <c r="M26" s="338">
        <v>0</v>
      </c>
      <c r="N26" s="4"/>
      <c r="O26" s="846"/>
      <c r="P26" s="875"/>
      <c r="R26" s="183"/>
      <c r="S26" s="183"/>
      <c r="T26" s="183"/>
      <c r="U26" s="183"/>
      <c r="V26" s="183"/>
      <c r="W26" s="183"/>
    </row>
    <row r="27" spans="1:23" ht="15.75" customHeight="1">
      <c r="A27" s="862"/>
      <c r="B27" s="869"/>
      <c r="C27" s="112">
        <v>3</v>
      </c>
      <c r="D27" s="594">
        <v>0</v>
      </c>
      <c r="E27" s="838"/>
      <c r="F27" s="839"/>
      <c r="G27" s="594">
        <v>0</v>
      </c>
      <c r="H27" s="838"/>
      <c r="I27" s="839"/>
      <c r="J27" s="372">
        <v>0</v>
      </c>
      <c r="K27" s="14">
        <v>0</v>
      </c>
      <c r="L27" s="372">
        <v>0</v>
      </c>
      <c r="M27" s="338">
        <v>0</v>
      </c>
      <c r="N27" s="4"/>
      <c r="O27" s="846"/>
      <c r="P27" s="875"/>
      <c r="R27" s="183"/>
      <c r="S27" s="183"/>
      <c r="T27" s="183"/>
      <c r="U27" s="183"/>
      <c r="V27" s="183"/>
      <c r="W27" s="183"/>
    </row>
    <row r="28" spans="1:23" ht="15.75" customHeight="1">
      <c r="A28" s="862"/>
      <c r="B28" s="869"/>
      <c r="C28" s="112">
        <v>4</v>
      </c>
      <c r="D28" s="594">
        <v>0</v>
      </c>
      <c r="E28" s="838"/>
      <c r="F28" s="839"/>
      <c r="G28" s="594">
        <v>0</v>
      </c>
      <c r="H28" s="838"/>
      <c r="I28" s="839"/>
      <c r="J28" s="372">
        <v>0</v>
      </c>
      <c r="K28" s="14">
        <v>0</v>
      </c>
      <c r="L28" s="372">
        <v>0</v>
      </c>
      <c r="M28" s="338">
        <v>0</v>
      </c>
      <c r="N28" s="4"/>
      <c r="O28" s="846"/>
      <c r="P28" s="875"/>
      <c r="R28" s="183"/>
      <c r="S28" s="183"/>
      <c r="T28" s="183"/>
      <c r="U28" s="183"/>
      <c r="V28" s="183"/>
      <c r="W28" s="183"/>
    </row>
    <row r="29" spans="1:23" ht="15.75" customHeight="1" thickBot="1">
      <c r="A29" s="862"/>
      <c r="B29" s="869"/>
      <c r="C29" s="113">
        <v>5</v>
      </c>
      <c r="D29" s="594">
        <v>0</v>
      </c>
      <c r="E29" s="838"/>
      <c r="F29" s="839"/>
      <c r="G29" s="594">
        <v>0</v>
      </c>
      <c r="H29" s="838"/>
      <c r="I29" s="839"/>
      <c r="J29" s="372">
        <v>0</v>
      </c>
      <c r="K29" s="14">
        <v>0</v>
      </c>
      <c r="L29" s="372">
        <v>0</v>
      </c>
      <c r="M29" s="338">
        <v>0</v>
      </c>
      <c r="N29" s="4"/>
      <c r="O29" s="846"/>
      <c r="P29" s="875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62"/>
      <c r="B30" s="869"/>
      <c r="C30" s="870"/>
      <c r="D30" s="870"/>
      <c r="E30" s="870"/>
      <c r="F30" s="870"/>
      <c r="G30" s="870"/>
      <c r="H30" s="870"/>
      <c r="I30" s="871"/>
      <c r="J30" s="119" t="s">
        <v>989</v>
      </c>
      <c r="K30" s="246">
        <v>3.5325961418800939E-3</v>
      </c>
      <c r="L30" s="119" t="s">
        <v>990</v>
      </c>
      <c r="M30" s="248">
        <v>342.29520000000116</v>
      </c>
      <c r="N30" s="872"/>
      <c r="O30" s="873"/>
      <c r="P30" s="874"/>
      <c r="R30" s="183"/>
      <c r="S30" s="183"/>
      <c r="T30" s="183"/>
      <c r="U30" s="183"/>
      <c r="V30" s="183"/>
      <c r="W30" s="183"/>
    </row>
    <row r="31" spans="1:23" ht="15.75" customHeight="1" thickTop="1">
      <c r="A31" s="584"/>
      <c r="B31" s="111"/>
      <c r="C31" s="109"/>
      <c r="D31" s="584"/>
      <c r="E31" s="584"/>
      <c r="F31" s="584"/>
      <c r="G31" s="584"/>
      <c r="H31" s="584"/>
      <c r="I31" s="584"/>
      <c r="J31" s="584"/>
      <c r="K31" s="584"/>
      <c r="L31" s="584"/>
      <c r="M31" s="584"/>
      <c r="N31" s="584"/>
      <c r="O31" s="584"/>
      <c r="P31" s="584"/>
      <c r="R31" s="183"/>
      <c r="S31" s="183"/>
      <c r="T31" s="183"/>
      <c r="U31" s="183"/>
      <c r="V31" s="183"/>
      <c r="W31" s="183"/>
    </row>
    <row r="32" spans="1:23" ht="15.75" customHeight="1">
      <c r="A32" s="861" t="s">
        <v>980</v>
      </c>
      <c r="B32" s="862"/>
      <c r="C32" s="117" t="s">
        <v>981</v>
      </c>
      <c r="D32" s="863" t="s">
        <v>12</v>
      </c>
      <c r="E32" s="864"/>
      <c r="F32" s="865"/>
      <c r="G32" s="115" t="s">
        <v>982</v>
      </c>
      <c r="H32" s="116"/>
      <c r="I32" s="117"/>
      <c r="J32" s="114" t="s">
        <v>983</v>
      </c>
      <c r="K32" s="114" t="s">
        <v>1005</v>
      </c>
      <c r="L32" s="114" t="s">
        <v>985</v>
      </c>
      <c r="M32" s="118" t="s">
        <v>11</v>
      </c>
      <c r="N32" s="118" t="s">
        <v>13</v>
      </c>
      <c r="O32" s="866" t="s">
        <v>987</v>
      </c>
      <c r="P32" s="867"/>
      <c r="R32" s="183"/>
      <c r="S32" s="183"/>
      <c r="T32" s="183"/>
      <c r="U32" s="183"/>
      <c r="V32" s="183"/>
      <c r="W32" s="183"/>
    </row>
    <row r="33" spans="1:23" ht="15.75" customHeight="1">
      <c r="A33" s="862">
        <v>7</v>
      </c>
      <c r="B33" s="868" t="s">
        <v>1002</v>
      </c>
      <c r="C33" s="112">
        <v>1</v>
      </c>
      <c r="D33" s="594" t="s">
        <v>348</v>
      </c>
      <c r="E33" s="838"/>
      <c r="F33" s="839"/>
      <c r="G33" s="594" t="s">
        <v>1011</v>
      </c>
      <c r="H33" s="838"/>
      <c r="I33" s="839"/>
      <c r="J33" s="372">
        <v>1760</v>
      </c>
      <c r="K33" s="14">
        <v>5.2104208416833712E-2</v>
      </c>
      <c r="L33" s="372">
        <v>0.10400000000000009</v>
      </c>
      <c r="M33" s="338">
        <v>183.04000000000016</v>
      </c>
      <c r="N33" s="4"/>
      <c r="O33" s="846" t="s">
        <v>1012</v>
      </c>
      <c r="P33" s="875"/>
      <c r="R33" s="183"/>
      <c r="S33" s="183"/>
      <c r="T33" s="183"/>
      <c r="U33" s="183"/>
      <c r="V33" s="183"/>
      <c r="W33" s="183"/>
    </row>
    <row r="34" spans="1:23" ht="15.75" customHeight="1">
      <c r="A34" s="862"/>
      <c r="B34" s="869"/>
      <c r="C34" s="112">
        <v>2</v>
      </c>
      <c r="D34" s="594" t="s">
        <v>908</v>
      </c>
      <c r="E34" s="838"/>
      <c r="F34" s="839"/>
      <c r="G34" s="594" t="s">
        <v>909</v>
      </c>
      <c r="H34" s="838"/>
      <c r="I34" s="839"/>
      <c r="J34" s="372">
        <v>1760</v>
      </c>
      <c r="K34" s="14">
        <v>2.6637069922308569E-2</v>
      </c>
      <c r="L34" s="372">
        <v>9.6000000000000085E-2</v>
      </c>
      <c r="M34" s="338">
        <v>168.96000000000015</v>
      </c>
      <c r="N34" s="4"/>
      <c r="O34" s="846" t="s">
        <v>1012</v>
      </c>
      <c r="P34" s="875"/>
      <c r="R34" s="183"/>
      <c r="S34" s="183"/>
      <c r="T34" s="183"/>
      <c r="U34" s="183"/>
      <c r="V34" s="183"/>
      <c r="W34" s="183"/>
    </row>
    <row r="35" spans="1:23" ht="15.75" customHeight="1">
      <c r="A35" s="862"/>
      <c r="B35" s="869"/>
      <c r="C35" s="112">
        <v>3</v>
      </c>
      <c r="D35" s="594" t="s">
        <v>345</v>
      </c>
      <c r="E35" s="838"/>
      <c r="F35" s="839"/>
      <c r="G35" s="594" t="s">
        <v>948</v>
      </c>
      <c r="H35" s="838"/>
      <c r="I35" s="839"/>
      <c r="J35" s="372">
        <v>846.44</v>
      </c>
      <c r="K35" s="14">
        <v>4.0366208905534662E-2</v>
      </c>
      <c r="L35" s="372">
        <v>0.19399999999999959</v>
      </c>
      <c r="M35" s="338">
        <v>164.20935999999966</v>
      </c>
      <c r="N35" s="4"/>
      <c r="O35" s="846" t="s">
        <v>1012</v>
      </c>
      <c r="P35" s="875"/>
      <c r="R35" s="183"/>
      <c r="S35" s="183"/>
      <c r="T35" s="183"/>
      <c r="U35" s="183"/>
      <c r="V35" s="183"/>
      <c r="W35" s="183"/>
    </row>
    <row r="36" spans="1:23" ht="15.75" customHeight="1">
      <c r="A36" s="862"/>
      <c r="B36" s="869"/>
      <c r="C36" s="112">
        <v>4</v>
      </c>
      <c r="D36" s="594" t="s">
        <v>349</v>
      </c>
      <c r="E36" s="838"/>
      <c r="F36" s="839"/>
      <c r="G36" s="594" t="s">
        <v>1013</v>
      </c>
      <c r="H36" s="838"/>
      <c r="I36" s="839"/>
      <c r="J36" s="372">
        <v>758.19</v>
      </c>
      <c r="K36" s="14">
        <v>8.4105732921387535E-3</v>
      </c>
      <c r="L36" s="372">
        <v>0.19600000000000151</v>
      </c>
      <c r="M36" s="338">
        <v>148.60524000000115</v>
      </c>
      <c r="N36" s="4"/>
      <c r="O36" s="846" t="s">
        <v>874</v>
      </c>
      <c r="P36" s="875"/>
      <c r="R36" s="183"/>
      <c r="S36" s="183"/>
      <c r="T36" s="183"/>
      <c r="U36" s="183"/>
      <c r="V36" s="183"/>
      <c r="W36" s="183"/>
    </row>
    <row r="37" spans="1:23" ht="15.75" customHeight="1" thickBot="1">
      <c r="A37" s="862"/>
      <c r="B37" s="869"/>
      <c r="C37" s="113">
        <v>5</v>
      </c>
      <c r="D37" s="594" t="s">
        <v>931</v>
      </c>
      <c r="E37" s="838"/>
      <c r="F37" s="839"/>
      <c r="G37" s="594" t="s">
        <v>942</v>
      </c>
      <c r="H37" s="838"/>
      <c r="I37" s="839"/>
      <c r="J37" s="372">
        <v>631.87</v>
      </c>
      <c r="K37" s="14">
        <v>8.9070400622325865E-2</v>
      </c>
      <c r="L37" s="372">
        <v>0.22899999999999981</v>
      </c>
      <c r="M37" s="338">
        <v>144.69822999999985</v>
      </c>
      <c r="N37" s="4"/>
      <c r="O37" s="846" t="s">
        <v>874</v>
      </c>
      <c r="P37" s="875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62"/>
      <c r="B38" s="869"/>
      <c r="C38" s="870"/>
      <c r="D38" s="870"/>
      <c r="E38" s="870"/>
      <c r="F38" s="870"/>
      <c r="G38" s="870"/>
      <c r="H38" s="870"/>
      <c r="I38" s="871"/>
      <c r="J38" s="119" t="s">
        <v>1014</v>
      </c>
      <c r="K38" s="246">
        <v>8.3544317888782256E-3</v>
      </c>
      <c r="L38" s="119" t="s">
        <v>1015</v>
      </c>
      <c r="M38" s="248">
        <v>809.51283000000103</v>
      </c>
      <c r="N38" s="872"/>
      <c r="O38" s="873"/>
      <c r="P38" s="874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21" t="s">
        <v>204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</row>
    <row r="2" spans="1:17" s="121" customFormat="1" ht="15.75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1"/>
      <c r="P2" s="621"/>
      <c r="Q2" s="621"/>
    </row>
    <row r="3" spans="1:17" ht="15.75" customHeight="1">
      <c r="A3" s="756" t="s">
        <v>215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756"/>
      <c r="O3" s="756"/>
      <c r="P3" s="756"/>
      <c r="Q3" s="756"/>
    </row>
    <row r="4" spans="1:17" s="121" customFormat="1" ht="15.75" customHeight="1">
      <c r="A4" s="887"/>
      <c r="B4" s="887"/>
      <c r="C4" s="887"/>
      <c r="D4" s="887"/>
      <c r="E4" s="887"/>
      <c r="F4" s="887"/>
      <c r="G4" s="887"/>
      <c r="H4" s="887"/>
      <c r="I4" s="887"/>
      <c r="J4" s="887"/>
      <c r="K4" s="887"/>
      <c r="L4" s="887"/>
      <c r="M4" s="887"/>
      <c r="N4" s="887"/>
      <c r="O4" s="887"/>
      <c r="P4" s="887"/>
      <c r="Q4" s="887"/>
    </row>
    <row r="5" spans="1:17" ht="15.75" customHeight="1">
      <c r="A5" s="640" t="s">
        <v>190</v>
      </c>
      <c r="B5" s="855">
        <v>1</v>
      </c>
      <c r="C5" s="855"/>
      <c r="D5" s="855">
        <v>2</v>
      </c>
      <c r="E5" s="855"/>
      <c r="F5" s="855">
        <v>3</v>
      </c>
      <c r="G5" s="855"/>
      <c r="H5" s="855">
        <v>4</v>
      </c>
      <c r="I5" s="855"/>
      <c r="J5" s="855">
        <v>5</v>
      </c>
      <c r="K5" s="855"/>
      <c r="L5" s="855">
        <v>6</v>
      </c>
      <c r="M5" s="855"/>
      <c r="N5" s="855">
        <v>7</v>
      </c>
      <c r="O5" s="855"/>
      <c r="P5" s="859">
        <v>8</v>
      </c>
      <c r="Q5" s="859"/>
    </row>
    <row r="6" spans="1:17" ht="15.75" customHeight="1">
      <c r="A6" s="640"/>
      <c r="B6" s="640" t="s">
        <v>323</v>
      </c>
      <c r="C6" s="640"/>
      <c r="D6" s="640" t="s">
        <v>216</v>
      </c>
      <c r="E6" s="640"/>
      <c r="F6" s="640" t="s">
        <v>164</v>
      </c>
      <c r="G6" s="640"/>
      <c r="H6" s="640" t="s">
        <v>694</v>
      </c>
      <c r="I6" s="640"/>
      <c r="J6" s="640" t="s">
        <v>188</v>
      </c>
      <c r="K6" s="640"/>
      <c r="L6" s="640" t="s">
        <v>165</v>
      </c>
      <c r="M6" s="640"/>
      <c r="N6" s="640" t="s">
        <v>189</v>
      </c>
      <c r="O6" s="640"/>
      <c r="P6" s="860" t="s">
        <v>217</v>
      </c>
      <c r="Q6" s="860"/>
    </row>
    <row r="8" spans="1:17" s="154" customFormat="1" ht="15.75" customHeight="1">
      <c r="A8" s="163" t="s">
        <v>192</v>
      </c>
      <c r="B8" s="180" t="s">
        <v>18</v>
      </c>
      <c r="C8" s="885" t="s">
        <v>12</v>
      </c>
      <c r="D8" s="885"/>
      <c r="E8" s="885"/>
      <c r="F8" s="885" t="s">
        <v>53</v>
      </c>
      <c r="G8" s="885"/>
      <c r="H8" s="885"/>
      <c r="I8" s="180" t="s">
        <v>54</v>
      </c>
      <c r="J8" s="181" t="s">
        <v>19</v>
      </c>
      <c r="K8" s="180" t="s">
        <v>57</v>
      </c>
      <c r="L8" s="180" t="s">
        <v>2</v>
      </c>
      <c r="M8" s="888" t="s">
        <v>50</v>
      </c>
      <c r="N8" s="889"/>
      <c r="O8" s="889"/>
      <c r="P8" s="889"/>
      <c r="Q8" s="889"/>
    </row>
    <row r="9" spans="1:17" ht="15.75" customHeight="1">
      <c r="A9" s="885" t="s">
        <v>191</v>
      </c>
      <c r="B9" s="156">
        <v>1</v>
      </c>
      <c r="C9" s="749"/>
      <c r="D9" s="748"/>
      <c r="E9" s="748"/>
      <c r="F9" s="749"/>
      <c r="G9" s="748"/>
      <c r="H9" s="748"/>
      <c r="I9" s="164"/>
      <c r="J9" s="178"/>
      <c r="K9" s="178"/>
      <c r="L9" s="179">
        <f>K9-J9</f>
        <v>0</v>
      </c>
      <c r="M9" s="749"/>
      <c r="N9" s="749"/>
      <c r="O9" s="749"/>
      <c r="P9" s="749"/>
      <c r="Q9" s="749"/>
    </row>
    <row r="10" spans="1:17" ht="15.75" customHeight="1">
      <c r="A10" s="886"/>
      <c r="B10" s="156">
        <v>2</v>
      </c>
      <c r="C10" s="749"/>
      <c r="D10" s="748"/>
      <c r="E10" s="748"/>
      <c r="F10" s="749"/>
      <c r="G10" s="748"/>
      <c r="H10" s="748"/>
      <c r="I10" s="164"/>
      <c r="J10" s="178"/>
      <c r="K10" s="178"/>
      <c r="L10" s="179">
        <f>K10-J10</f>
        <v>0</v>
      </c>
      <c r="M10" s="749"/>
      <c r="N10" s="749"/>
      <c r="O10" s="749"/>
      <c r="P10" s="749"/>
      <c r="Q10" s="749"/>
    </row>
    <row r="11" spans="1:17" ht="15.75" customHeight="1">
      <c r="A11" s="886"/>
      <c r="B11" s="156">
        <v>3</v>
      </c>
      <c r="C11" s="749"/>
      <c r="D11" s="748"/>
      <c r="E11" s="748"/>
      <c r="F11" s="749"/>
      <c r="G11" s="748"/>
      <c r="H11" s="748"/>
      <c r="I11" s="164"/>
      <c r="J11" s="178"/>
      <c r="K11" s="178"/>
      <c r="L11" s="179">
        <f>K11-J11</f>
        <v>0</v>
      </c>
      <c r="M11" s="749"/>
      <c r="N11" s="749"/>
      <c r="O11" s="749"/>
      <c r="P11" s="749"/>
      <c r="Q11" s="749"/>
    </row>
    <row r="12" spans="1:17" ht="15.75" customHeight="1">
      <c r="A12" s="886"/>
      <c r="B12" s="156">
        <v>4</v>
      </c>
      <c r="C12" s="749"/>
      <c r="D12" s="748"/>
      <c r="E12" s="748"/>
      <c r="F12" s="749"/>
      <c r="G12" s="748"/>
      <c r="H12" s="748"/>
      <c r="I12" s="164"/>
      <c r="J12" s="178"/>
      <c r="K12" s="178"/>
      <c r="L12" s="179">
        <f>K12-J12</f>
        <v>0</v>
      </c>
      <c r="M12" s="749"/>
      <c r="N12" s="749"/>
      <c r="O12" s="749"/>
      <c r="P12" s="749"/>
      <c r="Q12" s="749"/>
    </row>
    <row r="13" spans="1:17" ht="15.75" customHeight="1">
      <c r="A13" s="886"/>
      <c r="B13" s="156">
        <v>5</v>
      </c>
      <c r="C13" s="749"/>
      <c r="D13" s="748"/>
      <c r="E13" s="748"/>
      <c r="F13" s="749"/>
      <c r="G13" s="748"/>
      <c r="H13" s="748"/>
      <c r="I13" s="164"/>
      <c r="J13" s="178"/>
      <c r="K13" s="178"/>
      <c r="L13" s="179">
        <f>K13-J13</f>
        <v>0</v>
      </c>
      <c r="M13" s="749"/>
      <c r="N13" s="749"/>
      <c r="O13" s="749"/>
      <c r="P13" s="749"/>
      <c r="Q13" s="749"/>
    </row>
    <row r="14" spans="1:17" ht="15.75" customHeight="1">
      <c r="A14" s="883"/>
      <c r="B14" s="883"/>
      <c r="C14" s="883"/>
      <c r="D14" s="883"/>
      <c r="E14" s="883"/>
      <c r="F14" s="883"/>
      <c r="G14" s="883"/>
      <c r="H14" s="883"/>
      <c r="I14" s="883"/>
      <c r="J14" s="883"/>
      <c r="K14" s="883"/>
      <c r="L14" s="883"/>
      <c r="M14" s="883"/>
      <c r="N14" s="883"/>
      <c r="O14" s="884"/>
    </row>
    <row r="15" spans="1:17" s="154" customFormat="1" ht="15.75" customHeight="1">
      <c r="A15" s="163" t="s">
        <v>192</v>
      </c>
      <c r="B15" s="163" t="s">
        <v>18</v>
      </c>
      <c r="C15" s="882" t="s">
        <v>12</v>
      </c>
      <c r="D15" s="882"/>
      <c r="E15" s="882"/>
      <c r="F15" s="882" t="s">
        <v>53</v>
      </c>
      <c r="G15" s="882"/>
      <c r="H15" s="882"/>
      <c r="I15" s="163" t="s">
        <v>54</v>
      </c>
      <c r="J15" s="177" t="s">
        <v>19</v>
      </c>
      <c r="K15" s="163" t="s">
        <v>57</v>
      </c>
      <c r="L15" s="163" t="s">
        <v>2</v>
      </c>
      <c r="M15" s="882" t="s">
        <v>50</v>
      </c>
      <c r="N15" s="882"/>
      <c r="O15" s="882"/>
      <c r="P15" s="882"/>
      <c r="Q15" s="882"/>
    </row>
    <row r="16" spans="1:17" ht="15.75" customHeight="1">
      <c r="A16" s="882" t="s">
        <v>193</v>
      </c>
      <c r="B16" s="156">
        <v>1</v>
      </c>
      <c r="C16" s="749"/>
      <c r="D16" s="748"/>
      <c r="E16" s="748"/>
      <c r="F16" s="749"/>
      <c r="G16" s="748"/>
      <c r="H16" s="748"/>
      <c r="I16" s="164"/>
      <c r="J16" s="178"/>
      <c r="K16" s="178"/>
      <c r="L16" s="179">
        <f>K16-J16</f>
        <v>0</v>
      </c>
      <c r="M16" s="749"/>
      <c r="N16" s="749"/>
      <c r="O16" s="749"/>
      <c r="P16" s="749"/>
      <c r="Q16" s="749"/>
    </row>
    <row r="17" spans="1:17" ht="15.75" customHeight="1">
      <c r="A17" s="882"/>
      <c r="B17" s="156">
        <v>2</v>
      </c>
      <c r="C17" s="749"/>
      <c r="D17" s="748"/>
      <c r="E17" s="748"/>
      <c r="F17" s="749"/>
      <c r="G17" s="748"/>
      <c r="H17" s="748"/>
      <c r="I17" s="164"/>
      <c r="J17" s="178"/>
      <c r="K17" s="178"/>
      <c r="L17" s="179">
        <f>K17-J17</f>
        <v>0</v>
      </c>
      <c r="M17" s="749"/>
      <c r="N17" s="749"/>
      <c r="O17" s="749"/>
      <c r="P17" s="749"/>
      <c r="Q17" s="749"/>
    </row>
    <row r="18" spans="1:17" ht="15.75" customHeight="1">
      <c r="A18" s="882"/>
      <c r="B18" s="156">
        <v>3</v>
      </c>
      <c r="C18" s="749"/>
      <c r="D18" s="748"/>
      <c r="E18" s="748"/>
      <c r="F18" s="749"/>
      <c r="G18" s="748"/>
      <c r="H18" s="748"/>
      <c r="I18" s="164"/>
      <c r="J18" s="178"/>
      <c r="K18" s="178"/>
      <c r="L18" s="179">
        <f>K18-J18</f>
        <v>0</v>
      </c>
      <c r="M18" s="749"/>
      <c r="N18" s="749"/>
      <c r="O18" s="749"/>
      <c r="P18" s="749"/>
      <c r="Q18" s="749"/>
    </row>
    <row r="19" spans="1:17" ht="15.75" customHeight="1">
      <c r="A19" s="882"/>
      <c r="B19" s="156">
        <v>4</v>
      </c>
      <c r="C19" s="749"/>
      <c r="D19" s="748"/>
      <c r="E19" s="748"/>
      <c r="F19" s="749"/>
      <c r="G19" s="748"/>
      <c r="H19" s="748"/>
      <c r="I19" s="164"/>
      <c r="J19" s="178"/>
      <c r="K19" s="178"/>
      <c r="L19" s="179">
        <f>K19-J19</f>
        <v>0</v>
      </c>
      <c r="M19" s="749"/>
      <c r="N19" s="749"/>
      <c r="O19" s="749"/>
      <c r="P19" s="749"/>
      <c r="Q19" s="749"/>
    </row>
    <row r="20" spans="1:17" ht="15.75" customHeight="1">
      <c r="A20" s="882"/>
      <c r="B20" s="156">
        <v>5</v>
      </c>
      <c r="C20" s="749"/>
      <c r="D20" s="748"/>
      <c r="E20" s="748"/>
      <c r="F20" s="749"/>
      <c r="G20" s="748"/>
      <c r="H20" s="748"/>
      <c r="I20" s="164"/>
      <c r="J20" s="178"/>
      <c r="K20" s="178"/>
      <c r="L20" s="179">
        <f>K20-J20</f>
        <v>0</v>
      </c>
      <c r="M20" s="749"/>
      <c r="N20" s="749"/>
      <c r="O20" s="749"/>
      <c r="P20" s="749"/>
      <c r="Q20" s="74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1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5703125" style="380" bestFit="1" customWidth="1"/>
    <col min="12" max="12" width="13.42578125" style="380" bestFit="1" customWidth="1"/>
    <col min="13" max="13" width="19.140625" style="380" bestFit="1" customWidth="1"/>
    <col min="14" max="14" width="15.28515625" style="380" bestFit="1" customWidth="1"/>
    <col min="15" max="15" width="12.5703125" style="380" bestFit="1" customWidth="1"/>
    <col min="16" max="16" width="9.7109375" style="380" bestFit="1" customWidth="1"/>
    <col min="17" max="17" width="12.140625" style="380" bestFit="1" customWidth="1"/>
    <col min="18" max="18" width="10.7109375" style="380" customWidth="1"/>
    <col min="19" max="19" width="13.4257812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01" t="s">
        <v>713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AA2" s="381"/>
      <c r="AB2" s="381"/>
    </row>
    <row r="3" spans="2:35" ht="17.100000000000001" customHeight="1">
      <c r="B3" s="903" t="s">
        <v>714</v>
      </c>
      <c r="C3" s="904"/>
      <c r="D3" s="897" t="s">
        <v>168</v>
      </c>
      <c r="E3" s="897"/>
      <c r="F3" s="897"/>
      <c r="G3" s="897" t="s">
        <v>182</v>
      </c>
      <c r="H3" s="897"/>
      <c r="I3" s="897"/>
      <c r="J3" s="897"/>
      <c r="K3" s="897"/>
      <c r="L3" s="897"/>
      <c r="M3" s="897"/>
      <c r="N3" s="897"/>
      <c r="O3" s="897"/>
      <c r="P3" s="897"/>
      <c r="Q3" s="897"/>
      <c r="R3" s="897"/>
      <c r="S3" s="897"/>
      <c r="T3" s="897" t="s">
        <v>169</v>
      </c>
      <c r="U3" s="909" t="s">
        <v>715</v>
      </c>
      <c r="V3" s="912" t="s">
        <v>716</v>
      </c>
      <c r="W3" s="912" t="s">
        <v>717</v>
      </c>
      <c r="X3" s="915" t="s">
        <v>718</v>
      </c>
      <c r="Y3" s="899" t="s">
        <v>170</v>
      </c>
      <c r="AA3" s="897" t="s">
        <v>719</v>
      </c>
      <c r="AB3" s="897"/>
      <c r="AC3" s="897"/>
      <c r="AD3" s="897"/>
      <c r="AE3" s="897"/>
      <c r="AF3" s="897"/>
      <c r="AG3" s="897"/>
      <c r="AH3" s="897"/>
      <c r="AI3" s="897"/>
    </row>
    <row r="4" spans="2:35" ht="17.100000000000001" customHeight="1">
      <c r="B4" s="905"/>
      <c r="C4" s="906"/>
      <c r="D4" s="898" t="s">
        <v>167</v>
      </c>
      <c r="E4" s="897" t="s">
        <v>171</v>
      </c>
      <c r="F4" s="897"/>
      <c r="G4" s="897" t="s">
        <v>183</v>
      </c>
      <c r="H4" s="897"/>
      <c r="I4" s="897"/>
      <c r="J4" s="897"/>
      <c r="K4" s="897"/>
      <c r="L4" s="897"/>
      <c r="M4" s="897"/>
      <c r="N4" s="897"/>
      <c r="O4" s="897" t="s">
        <v>172</v>
      </c>
      <c r="P4" s="897"/>
      <c r="Q4" s="897"/>
      <c r="R4" s="897"/>
      <c r="S4" s="897"/>
      <c r="T4" s="897"/>
      <c r="U4" s="910"/>
      <c r="V4" s="913"/>
      <c r="W4" s="913"/>
      <c r="X4" s="916"/>
      <c r="Y4" s="899"/>
      <c r="AA4" s="897"/>
      <c r="AB4" s="897"/>
      <c r="AC4" s="897"/>
      <c r="AD4" s="897"/>
      <c r="AE4" s="897"/>
      <c r="AF4" s="897"/>
      <c r="AG4" s="897"/>
      <c r="AH4" s="897"/>
      <c r="AI4" s="897"/>
    </row>
    <row r="5" spans="2:35" ht="17.100000000000001" customHeight="1">
      <c r="B5" s="905"/>
      <c r="C5" s="906"/>
      <c r="D5" s="898"/>
      <c r="E5" s="898" t="s">
        <v>173</v>
      </c>
      <c r="F5" s="899" t="s">
        <v>720</v>
      </c>
      <c r="G5" s="900" t="s">
        <v>184</v>
      </c>
      <c r="H5" s="900"/>
      <c r="I5" s="900"/>
      <c r="J5" s="900"/>
      <c r="K5" s="900"/>
      <c r="L5" s="900"/>
      <c r="M5" s="900"/>
      <c r="N5" s="900"/>
      <c r="O5" s="900" t="s">
        <v>166</v>
      </c>
      <c r="P5" s="900"/>
      <c r="Q5" s="900" t="s">
        <v>174</v>
      </c>
      <c r="R5" s="900"/>
      <c r="S5" s="900"/>
      <c r="T5" s="897"/>
      <c r="U5" s="910"/>
      <c r="V5" s="913"/>
      <c r="W5" s="913"/>
      <c r="X5" s="916"/>
      <c r="Y5" s="899"/>
      <c r="AA5" s="897"/>
      <c r="AB5" s="897"/>
      <c r="AC5" s="897"/>
      <c r="AD5" s="897"/>
      <c r="AE5" s="897"/>
      <c r="AF5" s="897"/>
      <c r="AG5" s="897"/>
      <c r="AH5" s="897"/>
      <c r="AI5" s="897"/>
    </row>
    <row r="6" spans="2:35" ht="38.450000000000003" customHeight="1">
      <c r="B6" s="907"/>
      <c r="C6" s="908"/>
      <c r="D6" s="898"/>
      <c r="E6" s="898"/>
      <c r="F6" s="899"/>
      <c r="G6" s="382" t="s">
        <v>175</v>
      </c>
      <c r="H6" s="382" t="s">
        <v>721</v>
      </c>
      <c r="I6" s="382" t="s">
        <v>722</v>
      </c>
      <c r="J6" s="382" t="s">
        <v>176</v>
      </c>
      <c r="K6" s="382" t="s">
        <v>723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897"/>
      <c r="U6" s="911"/>
      <c r="V6" s="914"/>
      <c r="W6" s="914"/>
      <c r="X6" s="917"/>
      <c r="Y6" s="899"/>
      <c r="AA6" s="224" t="s">
        <v>724</v>
      </c>
      <c r="AB6" s="224" t="s">
        <v>725</v>
      </c>
      <c r="AC6" s="370" t="s">
        <v>726</v>
      </c>
      <c r="AD6" s="370" t="s">
        <v>727</v>
      </c>
      <c r="AE6" s="370" t="s">
        <v>728</v>
      </c>
      <c r="AF6" s="370" t="s">
        <v>729</v>
      </c>
      <c r="AG6" s="370" t="s">
        <v>730</v>
      </c>
      <c r="AH6" s="370" t="s">
        <v>731</v>
      </c>
      <c r="AI6" s="370" t="s">
        <v>732</v>
      </c>
    </row>
    <row r="7" spans="2:35" s="396" customFormat="1" ht="27" customHeight="1">
      <c r="B7" s="890"/>
      <c r="C7" s="891"/>
      <c r="D7" s="384">
        <v>1</v>
      </c>
      <c r="E7" s="385" t="s">
        <v>354</v>
      </c>
      <c r="F7" s="386">
        <v>1072.72</v>
      </c>
      <c r="G7" s="386">
        <v>263.98599999999999</v>
      </c>
      <c r="H7" s="386">
        <v>268.7</v>
      </c>
      <c r="I7" s="387">
        <v>1.0178570075685831</v>
      </c>
      <c r="J7" s="386">
        <v>0</v>
      </c>
      <c r="K7" s="387">
        <v>0</v>
      </c>
      <c r="L7" s="386">
        <v>487.6</v>
      </c>
      <c r="M7" s="387">
        <v>1.0178570075685831</v>
      </c>
      <c r="N7" s="388">
        <v>2298.5463999999993</v>
      </c>
      <c r="O7" s="386">
        <v>2.2000000000000002</v>
      </c>
      <c r="P7" s="387">
        <v>8.3337752759616059E-3</v>
      </c>
      <c r="Q7" s="389">
        <v>4.7139999999999986</v>
      </c>
      <c r="R7" s="387">
        <v>1.7857007568583178E-2</v>
      </c>
      <c r="S7" s="386">
        <v>2298.5463999999993</v>
      </c>
      <c r="T7" s="397" t="s">
        <v>346</v>
      </c>
      <c r="U7" s="390" t="s">
        <v>213</v>
      </c>
      <c r="V7" s="430" t="s">
        <v>1016</v>
      </c>
      <c r="W7" s="430" t="s">
        <v>795</v>
      </c>
      <c r="X7" s="391">
        <v>1</v>
      </c>
      <c r="Y7" s="392" t="s">
        <v>872</v>
      </c>
      <c r="Z7" s="393" t="s">
        <v>733</v>
      </c>
      <c r="AA7" s="394">
        <f>SUM(X7:X26)</f>
        <v>20</v>
      </c>
      <c r="AB7" s="395">
        <f>SUMIF($U$7:$U$26,TRIM(AB6),$X$7:$X$26)</f>
        <v>0</v>
      </c>
      <c r="AC7" s="395">
        <f>SUMIF($U$7:$U$26,TRIM(AC6),$X$7:$X$26)</f>
        <v>1</v>
      </c>
      <c r="AD7" s="395">
        <f t="shared" ref="AD7:AI7" ca="1" si="0">SUMIF($U$7:$U$9710,TRIM(AD6),$X$7:$X$26)</f>
        <v>1</v>
      </c>
      <c r="AE7" s="395">
        <f t="shared" ca="1" si="0"/>
        <v>13</v>
      </c>
      <c r="AF7" s="395">
        <f t="shared" ca="1" si="0"/>
        <v>4</v>
      </c>
      <c r="AG7" s="395">
        <f t="shared" ca="1" si="0"/>
        <v>1</v>
      </c>
      <c r="AH7" s="395">
        <f t="shared" ca="1" si="0"/>
        <v>0</v>
      </c>
      <c r="AI7" s="395">
        <f t="shared" ca="1" si="0"/>
        <v>0</v>
      </c>
    </row>
    <row r="8" spans="2:35" s="396" customFormat="1" ht="27" customHeight="1">
      <c r="B8" s="892"/>
      <c r="C8" s="893"/>
      <c r="D8" s="384">
        <v>2</v>
      </c>
      <c r="E8" s="385" t="s">
        <v>397</v>
      </c>
      <c r="F8" s="386">
        <v>1070.8320000000001</v>
      </c>
      <c r="G8" s="386">
        <v>1159.7250000000001</v>
      </c>
      <c r="H8" s="386">
        <v>1173.2</v>
      </c>
      <c r="I8" s="387">
        <v>1.011619133846386</v>
      </c>
      <c r="J8" s="386">
        <v>0</v>
      </c>
      <c r="K8" s="387">
        <v>0</v>
      </c>
      <c r="L8" s="386">
        <v>127.48</v>
      </c>
      <c r="M8" s="387">
        <v>1.011619133846386</v>
      </c>
      <c r="N8" s="388">
        <v>1717.7929999999885</v>
      </c>
      <c r="O8" s="386">
        <v>8.3999999999999986</v>
      </c>
      <c r="P8" s="387">
        <v>7.243096423721139E-3</v>
      </c>
      <c r="Q8" s="389">
        <v>13.474999999999909</v>
      </c>
      <c r="R8" s="387">
        <v>1.1619133846385916E-2</v>
      </c>
      <c r="S8" s="386">
        <v>1717.7929999999885</v>
      </c>
      <c r="T8" s="397" t="s">
        <v>344</v>
      </c>
      <c r="U8" s="390" t="s">
        <v>694</v>
      </c>
      <c r="V8" s="430" t="s">
        <v>900</v>
      </c>
      <c r="W8" s="430" t="s">
        <v>794</v>
      </c>
      <c r="X8" s="391">
        <v>1</v>
      </c>
      <c r="Y8" s="392" t="s">
        <v>349</v>
      </c>
      <c r="AA8" s="394"/>
      <c r="AB8" s="398">
        <f>SUMIF($U$7:$U$26,TRIM(AB6),$F$7:$F$26)</f>
        <v>0</v>
      </c>
      <c r="AC8" s="398">
        <f>SUMIF($U$7:$U$26,TRIM(AC6),$F$7:$F$26)</f>
        <v>815.71800000000007</v>
      </c>
      <c r="AD8" s="398">
        <f t="shared" ref="AD8:AI8" ca="1" si="1">SUMIF($U$7:$U$176,TRIM(AD6),$F$7:$F$26)</f>
        <v>901.68</v>
      </c>
      <c r="AE8" s="398">
        <f t="shared" ca="1" si="1"/>
        <v>11655.737999999999</v>
      </c>
      <c r="AF8" s="398">
        <f t="shared" ca="1" si="1"/>
        <v>3349.0690000000004</v>
      </c>
      <c r="AG8" s="398">
        <f t="shared" ca="1" si="1"/>
        <v>1072.72</v>
      </c>
      <c r="AH8" s="398">
        <f t="shared" ca="1" si="1"/>
        <v>0</v>
      </c>
      <c r="AI8" s="398">
        <f t="shared" ca="1" si="1"/>
        <v>0</v>
      </c>
    </row>
    <row r="9" spans="2:35" s="396" customFormat="1" ht="27" customHeight="1">
      <c r="B9" s="892"/>
      <c r="C9" s="893"/>
      <c r="D9" s="384">
        <v>3</v>
      </c>
      <c r="E9" s="385" t="s">
        <v>796</v>
      </c>
      <c r="F9" s="386">
        <v>989.41300000000012</v>
      </c>
      <c r="G9" s="386">
        <v>2017.9160000000002</v>
      </c>
      <c r="H9" s="386">
        <v>2034.1999999999998</v>
      </c>
      <c r="I9" s="387">
        <v>1.0080697115241664</v>
      </c>
      <c r="J9" s="386">
        <v>0</v>
      </c>
      <c r="K9" s="387">
        <v>0</v>
      </c>
      <c r="L9" s="386">
        <v>111.17</v>
      </c>
      <c r="M9" s="387">
        <v>1.0080697115241664</v>
      </c>
      <c r="N9" s="388">
        <v>1810.2922799999612</v>
      </c>
      <c r="O9" s="386">
        <v>8.8999999999999986</v>
      </c>
      <c r="P9" s="387">
        <v>4.4104908232057219E-3</v>
      </c>
      <c r="Q9" s="389">
        <v>16.283999999999651</v>
      </c>
      <c r="R9" s="387">
        <v>8.0697115241663425E-3</v>
      </c>
      <c r="S9" s="386">
        <v>1810.2922799999612</v>
      </c>
      <c r="T9" s="397" t="s">
        <v>344</v>
      </c>
      <c r="U9" s="390" t="s">
        <v>694</v>
      </c>
      <c r="V9" s="430" t="s">
        <v>901</v>
      </c>
      <c r="W9" s="430" t="s">
        <v>797</v>
      </c>
      <c r="X9" s="391">
        <v>1</v>
      </c>
      <c r="Y9" s="392" t="s">
        <v>352</v>
      </c>
    </row>
    <row r="10" spans="2:35" s="396" customFormat="1" ht="27" customHeight="1">
      <c r="B10" s="892"/>
      <c r="C10" s="893"/>
      <c r="D10" s="384">
        <v>4</v>
      </c>
      <c r="E10" s="385" t="s">
        <v>1000</v>
      </c>
      <c r="F10" s="386">
        <v>973.42000000000007</v>
      </c>
      <c r="G10" s="386">
        <v>245.01599999999999</v>
      </c>
      <c r="H10" s="386">
        <v>250.8</v>
      </c>
      <c r="I10" s="387">
        <v>1.0236066216083848</v>
      </c>
      <c r="J10" s="386">
        <v>0</v>
      </c>
      <c r="K10" s="387">
        <v>0</v>
      </c>
      <c r="L10" s="386">
        <v>278.12</v>
      </c>
      <c r="M10" s="387">
        <v>1.0236066216083848</v>
      </c>
      <c r="N10" s="388">
        <v>1608.6460800000057</v>
      </c>
      <c r="O10" s="386">
        <v>3.5</v>
      </c>
      <c r="P10" s="387">
        <v>1.4284781402030888E-2</v>
      </c>
      <c r="Q10" s="389">
        <v>5.7840000000000202</v>
      </c>
      <c r="R10" s="387">
        <v>2.360662160838484E-2</v>
      </c>
      <c r="S10" s="386">
        <v>1608.6460800000057</v>
      </c>
      <c r="T10" s="397" t="s">
        <v>346</v>
      </c>
      <c r="U10" s="390" t="s">
        <v>212</v>
      </c>
      <c r="V10" s="430" t="s">
        <v>950</v>
      </c>
      <c r="W10" s="430" t="s">
        <v>795</v>
      </c>
      <c r="X10" s="391">
        <v>1</v>
      </c>
      <c r="Y10" s="392" t="s">
        <v>761</v>
      </c>
    </row>
    <row r="11" spans="2:35" s="396" customFormat="1" ht="27" customHeight="1">
      <c r="B11" s="892"/>
      <c r="C11" s="893"/>
      <c r="D11" s="384">
        <v>5</v>
      </c>
      <c r="E11" s="385" t="s">
        <v>804</v>
      </c>
      <c r="F11" s="386">
        <v>959.64600000000007</v>
      </c>
      <c r="G11" s="386">
        <v>659.29500000000007</v>
      </c>
      <c r="H11" s="386">
        <v>672.40000000000009</v>
      </c>
      <c r="I11" s="387">
        <v>1.0198772931692186</v>
      </c>
      <c r="J11" s="386">
        <v>0</v>
      </c>
      <c r="K11" s="387">
        <v>0</v>
      </c>
      <c r="L11" s="386">
        <v>117.03</v>
      </c>
      <c r="M11" s="387">
        <v>1.0198772931692186</v>
      </c>
      <c r="N11" s="388">
        <v>1533.6781500000022</v>
      </c>
      <c r="O11" s="386">
        <v>8.1999999999999993</v>
      </c>
      <c r="P11" s="387">
        <v>1.2437527965478274E-2</v>
      </c>
      <c r="Q11" s="389">
        <v>13.105000000000018</v>
      </c>
      <c r="R11" s="387">
        <v>1.9877293169218661E-2</v>
      </c>
      <c r="S11" s="386">
        <v>1533.6781500000022</v>
      </c>
      <c r="T11" s="390" t="s">
        <v>344</v>
      </c>
      <c r="U11" s="390" t="s">
        <v>694</v>
      </c>
      <c r="V11" s="430" t="s">
        <v>901</v>
      </c>
      <c r="W11" s="430" t="s">
        <v>797</v>
      </c>
      <c r="X11" s="391">
        <v>1</v>
      </c>
      <c r="Y11" s="392" t="s">
        <v>801</v>
      </c>
    </row>
    <row r="12" spans="2:35" s="396" customFormat="1" ht="27" customHeight="1">
      <c r="B12" s="892"/>
      <c r="C12" s="893"/>
      <c r="D12" s="384">
        <v>6</v>
      </c>
      <c r="E12" s="385" t="s">
        <v>910</v>
      </c>
      <c r="F12" s="386">
        <v>956.49199999999996</v>
      </c>
      <c r="G12" s="386">
        <v>1912.5</v>
      </c>
      <c r="H12" s="386">
        <v>1931.3</v>
      </c>
      <c r="I12" s="387">
        <v>1.0098300653594772</v>
      </c>
      <c r="J12" s="386">
        <v>0</v>
      </c>
      <c r="K12" s="387">
        <v>0</v>
      </c>
      <c r="L12" s="386">
        <v>71.38</v>
      </c>
      <c r="M12" s="387">
        <v>1.0098300653594772</v>
      </c>
      <c r="N12" s="388">
        <v>1341.9439999999968</v>
      </c>
      <c r="O12" s="386">
        <v>13.399999999999999</v>
      </c>
      <c r="P12" s="387">
        <v>7.0065359477124176E-3</v>
      </c>
      <c r="Q12" s="389">
        <v>18.799999999999955</v>
      </c>
      <c r="R12" s="387">
        <v>9.8300653594770998E-3</v>
      </c>
      <c r="S12" s="386">
        <v>1341.9439999999968</v>
      </c>
      <c r="T12" s="390" t="s">
        <v>344</v>
      </c>
      <c r="U12" s="390" t="s">
        <v>694</v>
      </c>
      <c r="V12" s="430" t="s">
        <v>900</v>
      </c>
      <c r="W12" s="430" t="s">
        <v>794</v>
      </c>
      <c r="X12" s="391">
        <v>1</v>
      </c>
      <c r="Y12" s="392" t="s">
        <v>785</v>
      </c>
    </row>
    <row r="13" spans="2:35" s="396" customFormat="1" ht="27" customHeight="1">
      <c r="B13" s="892"/>
      <c r="C13" s="893"/>
      <c r="D13" s="384">
        <v>7</v>
      </c>
      <c r="E13" s="385" t="s">
        <v>966</v>
      </c>
      <c r="F13" s="386">
        <v>939.33000000000015</v>
      </c>
      <c r="G13" s="386">
        <v>1180.24</v>
      </c>
      <c r="H13" s="386">
        <v>1185.9000000000001</v>
      </c>
      <c r="I13" s="387">
        <v>1.0047956347861453</v>
      </c>
      <c r="J13" s="386">
        <v>0</v>
      </c>
      <c r="K13" s="387">
        <v>0</v>
      </c>
      <c r="L13" s="386">
        <v>447.3</v>
      </c>
      <c r="M13" s="387">
        <v>1.0047956347861453</v>
      </c>
      <c r="N13" s="388">
        <v>2531.7180000000367</v>
      </c>
      <c r="O13" s="386">
        <v>2.1</v>
      </c>
      <c r="P13" s="387">
        <v>1.7792991256015726E-3</v>
      </c>
      <c r="Q13" s="389">
        <v>5.6600000000000819</v>
      </c>
      <c r="R13" s="387">
        <v>4.79563478614526E-3</v>
      </c>
      <c r="S13" s="386">
        <v>2531.7180000000367</v>
      </c>
      <c r="T13" s="390" t="s">
        <v>344</v>
      </c>
      <c r="U13" s="390" t="s">
        <v>694</v>
      </c>
      <c r="V13" s="430" t="s">
        <v>976</v>
      </c>
      <c r="W13" s="430" t="s">
        <v>795</v>
      </c>
      <c r="X13" s="391">
        <v>1</v>
      </c>
      <c r="Y13" s="392" t="s">
        <v>960</v>
      </c>
      <c r="AB13" s="396">
        <v>1</v>
      </c>
      <c r="AC13" s="399" t="s">
        <v>698</v>
      </c>
    </row>
    <row r="14" spans="2:35" s="396" customFormat="1" ht="27" customHeight="1">
      <c r="B14" s="892"/>
      <c r="C14" s="893"/>
      <c r="D14" s="384">
        <v>8</v>
      </c>
      <c r="E14" s="385" t="s">
        <v>971</v>
      </c>
      <c r="F14" s="386">
        <v>938.19600000000014</v>
      </c>
      <c r="G14" s="386">
        <v>1132.7950000000001</v>
      </c>
      <c r="H14" s="386">
        <v>1147.6000000000001</v>
      </c>
      <c r="I14" s="387">
        <v>1.0130694432796756</v>
      </c>
      <c r="J14" s="386">
        <v>0</v>
      </c>
      <c r="K14" s="387">
        <v>0</v>
      </c>
      <c r="L14" s="386">
        <v>91.98</v>
      </c>
      <c r="M14" s="387">
        <v>1.0130694432796756</v>
      </c>
      <c r="N14" s="388">
        <v>1361.7639000000058</v>
      </c>
      <c r="O14" s="386">
        <v>10.199999999999999</v>
      </c>
      <c r="P14" s="387">
        <v>9.0042770315900047E-3</v>
      </c>
      <c r="Q14" s="389">
        <v>14.805000000000064</v>
      </c>
      <c r="R14" s="387">
        <v>1.3069443279675548E-2</v>
      </c>
      <c r="S14" s="386">
        <v>1361.7639000000058</v>
      </c>
      <c r="T14" s="384" t="s">
        <v>344</v>
      </c>
      <c r="U14" s="390" t="s">
        <v>694</v>
      </c>
      <c r="V14" s="430" t="s">
        <v>951</v>
      </c>
      <c r="W14" s="430" t="s">
        <v>952</v>
      </c>
      <c r="X14" s="391">
        <v>1</v>
      </c>
      <c r="Y14" s="392" t="s">
        <v>937</v>
      </c>
      <c r="AB14" s="396">
        <v>2</v>
      </c>
      <c r="AC14" s="399" t="s">
        <v>351</v>
      </c>
    </row>
    <row r="15" spans="2:35" s="396" customFormat="1" ht="27" customHeight="1">
      <c r="B15" s="892"/>
      <c r="C15" s="893"/>
      <c r="D15" s="384">
        <v>9</v>
      </c>
      <c r="E15" s="385" t="s">
        <v>873</v>
      </c>
      <c r="F15" s="386">
        <v>901.68</v>
      </c>
      <c r="G15" s="386">
        <v>693.95</v>
      </c>
      <c r="H15" s="386">
        <v>710.59999999999991</v>
      </c>
      <c r="I15" s="387">
        <v>1.0239930830751494</v>
      </c>
      <c r="J15" s="386">
        <v>0</v>
      </c>
      <c r="K15" s="387">
        <v>0</v>
      </c>
      <c r="L15" s="386">
        <v>75.14</v>
      </c>
      <c r="M15" s="387">
        <v>1.0239930830751494</v>
      </c>
      <c r="N15" s="388">
        <v>1251.0809999999897</v>
      </c>
      <c r="O15" s="386">
        <v>11.999999999999998</v>
      </c>
      <c r="P15" s="387">
        <v>1.7292312126233875E-2</v>
      </c>
      <c r="Q15" s="389">
        <v>16.649999999999864</v>
      </c>
      <c r="R15" s="387">
        <v>2.3993083075149309E-2</v>
      </c>
      <c r="S15" s="386">
        <v>1251.0809999999897</v>
      </c>
      <c r="T15" s="390" t="s">
        <v>350</v>
      </c>
      <c r="U15" s="390" t="s">
        <v>395</v>
      </c>
      <c r="V15" s="430" t="s">
        <v>944</v>
      </c>
      <c r="W15" s="430" t="s">
        <v>943</v>
      </c>
      <c r="X15" s="391">
        <v>1</v>
      </c>
      <c r="Y15" s="392" t="s">
        <v>352</v>
      </c>
      <c r="AB15" s="396">
        <v>3</v>
      </c>
      <c r="AC15" s="399" t="s">
        <v>395</v>
      </c>
    </row>
    <row r="16" spans="2:35" s="396" customFormat="1" ht="27" customHeight="1">
      <c r="B16" s="892"/>
      <c r="C16" s="893"/>
      <c r="D16" s="384">
        <v>10</v>
      </c>
      <c r="E16" s="385" t="s">
        <v>965</v>
      </c>
      <c r="F16" s="386">
        <v>877.28699999999992</v>
      </c>
      <c r="G16" s="386">
        <v>389.50400000000002</v>
      </c>
      <c r="H16" s="386">
        <v>397.6</v>
      </c>
      <c r="I16" s="387">
        <v>1.0207854091357214</v>
      </c>
      <c r="J16" s="386">
        <v>0</v>
      </c>
      <c r="K16" s="387">
        <v>0</v>
      </c>
      <c r="L16" s="386">
        <v>153.91</v>
      </c>
      <c r="M16" s="387">
        <v>1.0207854091357214</v>
      </c>
      <c r="N16" s="388">
        <v>1246.0553600000005</v>
      </c>
      <c r="O16" s="386">
        <v>5.7</v>
      </c>
      <c r="P16" s="387">
        <v>1.4633996056523168E-2</v>
      </c>
      <c r="Q16" s="389">
        <v>8.0960000000000036</v>
      </c>
      <c r="R16" s="387">
        <v>2.0785409135721335E-2</v>
      </c>
      <c r="S16" s="386">
        <v>1246.0553600000005</v>
      </c>
      <c r="T16" s="390" t="s">
        <v>344</v>
      </c>
      <c r="U16" s="390" t="s">
        <v>694</v>
      </c>
      <c r="V16" s="430" t="s">
        <v>1017</v>
      </c>
      <c r="W16" s="430" t="s">
        <v>1018</v>
      </c>
      <c r="X16" s="391">
        <v>1</v>
      </c>
      <c r="Y16" s="392" t="s">
        <v>940</v>
      </c>
      <c r="AB16" s="396">
        <v>4</v>
      </c>
      <c r="AC16" s="399" t="s">
        <v>734</v>
      </c>
    </row>
    <row r="17" spans="2:29" s="396" customFormat="1" ht="27" customHeight="1">
      <c r="B17" s="892"/>
      <c r="C17" s="893"/>
      <c r="D17" s="384">
        <v>11</v>
      </c>
      <c r="E17" s="385" t="s">
        <v>879</v>
      </c>
      <c r="F17" s="386">
        <v>858.34700000000009</v>
      </c>
      <c r="G17" s="386">
        <v>1339.22</v>
      </c>
      <c r="H17" s="386">
        <v>1359.6000000000001</v>
      </c>
      <c r="I17" s="387">
        <v>1.0152178133540419</v>
      </c>
      <c r="J17" s="386">
        <v>0</v>
      </c>
      <c r="K17" s="387">
        <v>0</v>
      </c>
      <c r="L17" s="386">
        <v>72.13</v>
      </c>
      <c r="M17" s="387">
        <v>1.0152178133540419</v>
      </c>
      <c r="N17" s="388">
        <v>1470.0094000000079</v>
      </c>
      <c r="O17" s="386">
        <v>11.9</v>
      </c>
      <c r="P17" s="387">
        <v>8.8857693284150469E-3</v>
      </c>
      <c r="Q17" s="389">
        <v>20.380000000000109</v>
      </c>
      <c r="R17" s="387">
        <v>1.5217813354041987E-2</v>
      </c>
      <c r="S17" s="386">
        <v>1470.0094000000079</v>
      </c>
      <c r="T17" s="390" t="s">
        <v>344</v>
      </c>
      <c r="U17" s="390" t="s">
        <v>694</v>
      </c>
      <c r="V17" s="430" t="s">
        <v>900</v>
      </c>
      <c r="W17" s="430" t="s">
        <v>794</v>
      </c>
      <c r="X17" s="391">
        <v>1</v>
      </c>
      <c r="Y17" s="392" t="s">
        <v>786</v>
      </c>
      <c r="AB17" s="396">
        <v>5</v>
      </c>
      <c r="AC17" s="399" t="s">
        <v>212</v>
      </c>
    </row>
    <row r="18" spans="2:29" s="396" customFormat="1" ht="27" customHeight="1">
      <c r="B18" s="892"/>
      <c r="C18" s="893"/>
      <c r="D18" s="384">
        <v>12</v>
      </c>
      <c r="E18" s="385" t="s">
        <v>1019</v>
      </c>
      <c r="F18" s="386">
        <v>842.55599999999993</v>
      </c>
      <c r="G18" s="386">
        <v>755.48800000000006</v>
      </c>
      <c r="H18" s="386">
        <v>764.7</v>
      </c>
      <c r="I18" s="387">
        <v>1.0121934431784489</v>
      </c>
      <c r="J18" s="386">
        <v>0</v>
      </c>
      <c r="K18" s="387">
        <v>0</v>
      </c>
      <c r="L18" s="386">
        <v>127.66</v>
      </c>
      <c r="M18" s="387">
        <v>1.0121934431784489</v>
      </c>
      <c r="N18" s="388">
        <v>1176.0039199999985</v>
      </c>
      <c r="O18" s="386">
        <v>6.6000000000000005</v>
      </c>
      <c r="P18" s="387">
        <v>8.7360752255495784E-3</v>
      </c>
      <c r="Q18" s="389">
        <v>9.2119999999999891</v>
      </c>
      <c r="R18" s="387">
        <v>1.2193443178448881E-2</v>
      </c>
      <c r="S18" s="386">
        <v>1176.0039199999985</v>
      </c>
      <c r="T18" s="384" t="s">
        <v>344</v>
      </c>
      <c r="U18" s="390" t="s">
        <v>694</v>
      </c>
      <c r="V18" s="430" t="s">
        <v>1020</v>
      </c>
      <c r="W18" s="430" t="s">
        <v>1021</v>
      </c>
      <c r="X18" s="391">
        <v>1</v>
      </c>
      <c r="Y18" s="392" t="s">
        <v>352</v>
      </c>
      <c r="AB18" s="396">
        <v>6</v>
      </c>
      <c r="AC18" s="399" t="s">
        <v>213</v>
      </c>
    </row>
    <row r="19" spans="2:29" s="396" customFormat="1" ht="27" customHeight="1">
      <c r="B19" s="892"/>
      <c r="C19" s="893"/>
      <c r="D19" s="384">
        <v>13</v>
      </c>
      <c r="E19" s="385" t="s">
        <v>1022</v>
      </c>
      <c r="F19" s="386">
        <v>831.68000000000006</v>
      </c>
      <c r="G19" s="386">
        <v>1333.3319999999999</v>
      </c>
      <c r="H19" s="386">
        <v>1348.0000000000002</v>
      </c>
      <c r="I19" s="387">
        <v>1.0110010110010113</v>
      </c>
      <c r="J19" s="386">
        <v>0</v>
      </c>
      <c r="K19" s="387">
        <v>0</v>
      </c>
      <c r="L19" s="386">
        <v>90.4</v>
      </c>
      <c r="M19" s="387">
        <v>1.0110010110010113</v>
      </c>
      <c r="N19" s="388">
        <v>1325.9872000000314</v>
      </c>
      <c r="O19" s="386">
        <v>9.1999999999999993</v>
      </c>
      <c r="P19" s="387">
        <v>6.9000069000068999E-3</v>
      </c>
      <c r="Q19" s="389">
        <v>14.668000000000347</v>
      </c>
      <c r="R19" s="387">
        <v>1.1001011001011262E-2</v>
      </c>
      <c r="S19" s="386">
        <v>1325.9872000000314</v>
      </c>
      <c r="T19" s="384" t="s">
        <v>344</v>
      </c>
      <c r="U19" s="390" t="s">
        <v>694</v>
      </c>
      <c r="V19" s="430" t="s">
        <v>951</v>
      </c>
      <c r="W19" s="430" t="s">
        <v>952</v>
      </c>
      <c r="X19" s="391">
        <v>1</v>
      </c>
      <c r="Y19" s="392" t="s">
        <v>371</v>
      </c>
      <c r="AB19" s="396">
        <v>7</v>
      </c>
      <c r="AC19" s="399" t="s">
        <v>735</v>
      </c>
    </row>
    <row r="20" spans="2:29" s="396" customFormat="1" ht="27" customHeight="1">
      <c r="B20" s="892"/>
      <c r="C20" s="893"/>
      <c r="D20" s="384">
        <v>14</v>
      </c>
      <c r="E20" s="385" t="s">
        <v>972</v>
      </c>
      <c r="F20" s="386">
        <v>827.29099999999994</v>
      </c>
      <c r="G20" s="386">
        <v>2084.85</v>
      </c>
      <c r="H20" s="386">
        <v>2102.6000000000004</v>
      </c>
      <c r="I20" s="387">
        <v>1.0085138019521791</v>
      </c>
      <c r="J20" s="386">
        <v>0</v>
      </c>
      <c r="K20" s="387">
        <v>0</v>
      </c>
      <c r="L20" s="386">
        <v>81.91</v>
      </c>
      <c r="M20" s="387">
        <v>1.0085138019521791</v>
      </c>
      <c r="N20" s="388">
        <v>1453.9025000000372</v>
      </c>
      <c r="O20" s="386">
        <v>10.100000000000001</v>
      </c>
      <c r="P20" s="387">
        <v>4.8444732234932978E-3</v>
      </c>
      <c r="Q20" s="389">
        <v>17.750000000000455</v>
      </c>
      <c r="R20" s="387">
        <v>8.5138019521790315E-3</v>
      </c>
      <c r="S20" s="386">
        <v>1453.9025000000372</v>
      </c>
      <c r="T20" s="390" t="s">
        <v>344</v>
      </c>
      <c r="U20" s="390" t="s">
        <v>694</v>
      </c>
      <c r="V20" s="430" t="s">
        <v>901</v>
      </c>
      <c r="W20" s="430" t="s">
        <v>797</v>
      </c>
      <c r="X20" s="391">
        <v>1</v>
      </c>
      <c r="Y20" s="392" t="s">
        <v>902</v>
      </c>
      <c r="AB20" s="396">
        <v>8</v>
      </c>
      <c r="AC20" s="400" t="s">
        <v>736</v>
      </c>
    </row>
    <row r="21" spans="2:29" s="396" customFormat="1" ht="27" customHeight="1">
      <c r="B21" s="892"/>
      <c r="C21" s="893"/>
      <c r="D21" s="384">
        <v>15</v>
      </c>
      <c r="E21" s="385" t="s">
        <v>964</v>
      </c>
      <c r="F21" s="386">
        <v>815.71800000000007</v>
      </c>
      <c r="G21" s="386">
        <v>199.90499999999997</v>
      </c>
      <c r="H21" s="386">
        <v>209.89999999999998</v>
      </c>
      <c r="I21" s="387">
        <v>1.0499987494059679</v>
      </c>
      <c r="J21" s="386">
        <v>0</v>
      </c>
      <c r="K21" s="387">
        <v>0</v>
      </c>
      <c r="L21" s="386">
        <v>118.22</v>
      </c>
      <c r="M21" s="387">
        <v>1.0499987494059679</v>
      </c>
      <c r="N21" s="388">
        <v>1181.6089000000006</v>
      </c>
      <c r="O21" s="386">
        <v>6.9</v>
      </c>
      <c r="P21" s="387">
        <v>3.4516395287761695E-2</v>
      </c>
      <c r="Q21" s="389">
        <v>9.9950000000000045</v>
      </c>
      <c r="R21" s="387">
        <v>4.9998749405967866E-2</v>
      </c>
      <c r="S21" s="386">
        <v>1181.6089000000006</v>
      </c>
      <c r="T21" s="390" t="s">
        <v>350</v>
      </c>
      <c r="U21" s="390" t="s">
        <v>351</v>
      </c>
      <c r="V21" s="430" t="s">
        <v>1017</v>
      </c>
      <c r="W21" s="430" t="s">
        <v>1018</v>
      </c>
      <c r="X21" s="391">
        <v>1</v>
      </c>
      <c r="Y21" s="392" t="s">
        <v>937</v>
      </c>
      <c r="AC21" s="399"/>
    </row>
    <row r="22" spans="2:29" s="396" customFormat="1" ht="27" customHeight="1">
      <c r="B22" s="892"/>
      <c r="C22" s="893"/>
      <c r="D22" s="384">
        <v>16</v>
      </c>
      <c r="E22" s="385" t="s">
        <v>998</v>
      </c>
      <c r="F22" s="386">
        <v>800.947</v>
      </c>
      <c r="G22" s="386">
        <v>276.25</v>
      </c>
      <c r="H22" s="386">
        <v>279.89999999999998</v>
      </c>
      <c r="I22" s="387">
        <v>1.0132126696832577</v>
      </c>
      <c r="J22" s="386">
        <v>1.6</v>
      </c>
      <c r="K22" s="387">
        <v>5.7918552036199094E-3</v>
      </c>
      <c r="L22" s="386">
        <v>258.37</v>
      </c>
      <c r="M22" s="387">
        <v>1.0190045248868778</v>
      </c>
      <c r="N22" s="388">
        <v>943.05049999999414</v>
      </c>
      <c r="O22" s="386">
        <v>3.1</v>
      </c>
      <c r="P22" s="387">
        <v>1.1221719457013574E-2</v>
      </c>
      <c r="Q22" s="389">
        <v>5.25</v>
      </c>
      <c r="R22" s="387">
        <v>1.9004524886877826E-2</v>
      </c>
      <c r="S22" s="386">
        <v>1356.4425000000001</v>
      </c>
      <c r="T22" s="390" t="s">
        <v>346</v>
      </c>
      <c r="U22" s="390" t="s">
        <v>212</v>
      </c>
      <c r="V22" s="430" t="s">
        <v>950</v>
      </c>
      <c r="W22" s="430" t="s">
        <v>795</v>
      </c>
      <c r="X22" s="391">
        <v>1</v>
      </c>
      <c r="Y22" s="392" t="s">
        <v>785</v>
      </c>
      <c r="AC22" s="399"/>
    </row>
    <row r="23" spans="2:29" s="396" customFormat="1" ht="27" customHeight="1">
      <c r="B23" s="892"/>
      <c r="C23" s="893"/>
      <c r="D23" s="384">
        <v>17</v>
      </c>
      <c r="E23" s="385" t="s">
        <v>396</v>
      </c>
      <c r="F23" s="386">
        <v>798.62699999999995</v>
      </c>
      <c r="G23" s="386">
        <v>544.28500000000008</v>
      </c>
      <c r="H23" s="386">
        <v>548.29999999999995</v>
      </c>
      <c r="I23" s="387">
        <v>1.0073766501005905</v>
      </c>
      <c r="J23" s="386">
        <v>0</v>
      </c>
      <c r="K23" s="387">
        <v>0</v>
      </c>
      <c r="L23" s="386">
        <v>420.33</v>
      </c>
      <c r="M23" s="387">
        <v>1.0073766501005905</v>
      </c>
      <c r="N23" s="388">
        <v>1687.6249499999465</v>
      </c>
      <c r="O23" s="386">
        <v>1.9000000000000001</v>
      </c>
      <c r="P23" s="387">
        <v>3.4908182294202481E-3</v>
      </c>
      <c r="Q23" s="389">
        <v>4.0149999999998727</v>
      </c>
      <c r="R23" s="387">
        <v>7.3766501005904485E-3</v>
      </c>
      <c r="S23" s="386">
        <v>1687.6249499999465</v>
      </c>
      <c r="T23" s="390" t="s">
        <v>346</v>
      </c>
      <c r="U23" s="390" t="s">
        <v>212</v>
      </c>
      <c r="V23" s="430" t="s">
        <v>950</v>
      </c>
      <c r="W23" s="430" t="s">
        <v>795</v>
      </c>
      <c r="X23" s="391">
        <v>1</v>
      </c>
      <c r="Y23" s="392" t="s">
        <v>376</v>
      </c>
      <c r="AB23" s="401">
        <v>1</v>
      </c>
      <c r="AC23" s="399" t="s">
        <v>350</v>
      </c>
    </row>
    <row r="24" spans="2:29" s="396" customFormat="1" ht="27" customHeight="1">
      <c r="B24" s="892"/>
      <c r="C24" s="893"/>
      <c r="D24" s="384">
        <v>18</v>
      </c>
      <c r="E24" s="385" t="s">
        <v>957</v>
      </c>
      <c r="F24" s="386">
        <v>785.29500000000007</v>
      </c>
      <c r="G24" s="386">
        <v>516.61</v>
      </c>
      <c r="H24" s="386">
        <v>521.5</v>
      </c>
      <c r="I24" s="387">
        <v>1.0094655542865991</v>
      </c>
      <c r="J24" s="386">
        <v>0</v>
      </c>
      <c r="K24" s="387">
        <v>0</v>
      </c>
      <c r="L24" s="386">
        <v>290.85000000000002</v>
      </c>
      <c r="M24" s="387">
        <v>1.0094655542865991</v>
      </c>
      <c r="N24" s="388">
        <v>1422.2564999999961</v>
      </c>
      <c r="O24" s="386">
        <v>2.6999999999999997</v>
      </c>
      <c r="P24" s="387">
        <v>5.2263796674473966E-3</v>
      </c>
      <c r="Q24" s="389">
        <v>4.8899999999999864</v>
      </c>
      <c r="R24" s="387">
        <v>9.4655542865991482E-3</v>
      </c>
      <c r="S24" s="386">
        <v>1422.2564999999961</v>
      </c>
      <c r="T24" s="390" t="s">
        <v>344</v>
      </c>
      <c r="U24" s="390" t="s">
        <v>694</v>
      </c>
      <c r="V24" s="430" t="s">
        <v>950</v>
      </c>
      <c r="W24" s="430" t="s">
        <v>795</v>
      </c>
      <c r="X24" s="391">
        <v>1</v>
      </c>
      <c r="Y24" s="392" t="s">
        <v>969</v>
      </c>
      <c r="AB24" s="396">
        <v>2</v>
      </c>
      <c r="AC24" s="399" t="s">
        <v>398</v>
      </c>
    </row>
    <row r="25" spans="2:29" s="396" customFormat="1" ht="27" customHeight="1">
      <c r="B25" s="892"/>
      <c r="C25" s="893"/>
      <c r="D25" s="384">
        <v>19</v>
      </c>
      <c r="E25" s="385" t="s">
        <v>949</v>
      </c>
      <c r="F25" s="386">
        <v>779.37299999999993</v>
      </c>
      <c r="G25" s="386">
        <v>883.18499999999995</v>
      </c>
      <c r="H25" s="386">
        <v>885.5</v>
      </c>
      <c r="I25" s="387">
        <v>1.0026211948798951</v>
      </c>
      <c r="J25" s="386">
        <v>3.2</v>
      </c>
      <c r="K25" s="387">
        <v>3.6232499419713879E-3</v>
      </c>
      <c r="L25" s="386">
        <v>371.13</v>
      </c>
      <c r="M25" s="387">
        <v>1.0062444448218664</v>
      </c>
      <c r="N25" s="388">
        <v>859.16595000002019</v>
      </c>
      <c r="O25" s="386">
        <v>2.1</v>
      </c>
      <c r="P25" s="387">
        <v>2.3777577744187235E-3</v>
      </c>
      <c r="Q25" s="389">
        <v>5.5150000000001</v>
      </c>
      <c r="R25" s="387">
        <v>6.2444448218664274E-3</v>
      </c>
      <c r="S25" s="386">
        <v>2046.7819500000371</v>
      </c>
      <c r="T25" s="397" t="s">
        <v>344</v>
      </c>
      <c r="U25" s="390" t="s">
        <v>694</v>
      </c>
      <c r="V25" s="430" t="s">
        <v>1023</v>
      </c>
      <c r="W25" s="430" t="s">
        <v>1024</v>
      </c>
      <c r="X25" s="391">
        <v>1</v>
      </c>
      <c r="Y25" s="392" t="s">
        <v>378</v>
      </c>
      <c r="AB25" s="402">
        <v>3</v>
      </c>
      <c r="AC25" s="399" t="s">
        <v>344</v>
      </c>
    </row>
    <row r="26" spans="2:29" s="396" customFormat="1" ht="27" customHeight="1">
      <c r="B26" s="894"/>
      <c r="C26" s="895"/>
      <c r="D26" s="384">
        <v>20</v>
      </c>
      <c r="E26" s="385" t="s">
        <v>1025</v>
      </c>
      <c r="F26" s="386">
        <v>776.07500000000005</v>
      </c>
      <c r="G26" s="386">
        <v>103.96499999999999</v>
      </c>
      <c r="H26" s="386">
        <v>107.89999999999999</v>
      </c>
      <c r="I26" s="387">
        <v>1.0378492761987208</v>
      </c>
      <c r="J26" s="386">
        <v>0</v>
      </c>
      <c r="K26" s="387">
        <v>0</v>
      </c>
      <c r="L26" s="386">
        <v>310.43</v>
      </c>
      <c r="M26" s="387">
        <v>1.0378492761987208</v>
      </c>
      <c r="N26" s="388">
        <v>1221.5420500000007</v>
      </c>
      <c r="O26" s="386">
        <v>2.4999999999999996</v>
      </c>
      <c r="P26" s="387">
        <v>2.4046554128793342E-2</v>
      </c>
      <c r="Q26" s="389">
        <v>3.9350000000000023</v>
      </c>
      <c r="R26" s="387">
        <v>3.7849276198720749E-2</v>
      </c>
      <c r="S26" s="386">
        <v>1221.5420500000007</v>
      </c>
      <c r="T26" s="390" t="s">
        <v>346</v>
      </c>
      <c r="U26" s="390" t="s">
        <v>212</v>
      </c>
      <c r="V26" s="430" t="s">
        <v>950</v>
      </c>
      <c r="W26" s="430" t="s">
        <v>795</v>
      </c>
      <c r="X26" s="391">
        <v>1</v>
      </c>
      <c r="Y26" s="392" t="s">
        <v>345</v>
      </c>
      <c r="AB26" s="402">
        <v>4</v>
      </c>
      <c r="AC26" s="399" t="s">
        <v>346</v>
      </c>
    </row>
    <row r="27" spans="2:29" ht="29.45" customHeight="1">
      <c r="C27" s="896"/>
      <c r="AB27" s="396"/>
      <c r="AC27" s="399"/>
    </row>
    <row r="28" spans="2:29">
      <c r="C28" s="896"/>
    </row>
    <row r="29" spans="2:29">
      <c r="C29" s="896"/>
    </row>
    <row r="30" spans="2:29">
      <c r="C30" s="896"/>
    </row>
    <row r="31" spans="2:29">
      <c r="C31" s="896"/>
    </row>
    <row r="32" spans="2:29">
      <c r="C32" s="896"/>
    </row>
    <row r="33" spans="3:3">
      <c r="C33" s="896"/>
    </row>
    <row r="34" spans="3:3">
      <c r="C34" s="896"/>
    </row>
    <row r="35" spans="3:3">
      <c r="C35" s="896"/>
    </row>
    <row r="36" spans="3:3">
      <c r="C36" s="896"/>
    </row>
    <row r="67" ht="14.1" customHeight="1"/>
    <row r="77" ht="14.1" customHeight="1"/>
    <row r="87" ht="14.1" customHeight="1"/>
    <row r="112" spans="26:26">
      <c r="Z112" s="403" t="s">
        <v>737</v>
      </c>
    </row>
    <row r="113" spans="26:26">
      <c r="Z113" s="396" t="s">
        <v>738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3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7109375" style="380" bestFit="1" customWidth="1"/>
    <col min="12" max="12" width="13.42578125" style="380" bestFit="1" customWidth="1"/>
    <col min="13" max="13" width="19.28515625" style="380" bestFit="1" customWidth="1"/>
    <col min="14" max="14" width="15.42578125" style="380" bestFit="1" customWidth="1"/>
    <col min="15" max="15" width="12.7109375" style="380" bestFit="1" customWidth="1"/>
    <col min="16" max="16" width="9.85546875" style="380" bestFit="1" customWidth="1"/>
    <col min="17" max="17" width="12.28515625" style="380" bestFit="1" customWidth="1"/>
    <col min="18" max="18" width="10.7109375" style="380" customWidth="1"/>
    <col min="19" max="19" width="10.710937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01" t="s">
        <v>739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AA2" s="381"/>
      <c r="AB2" s="381"/>
    </row>
    <row r="3" spans="2:35" ht="17.100000000000001" customHeight="1">
      <c r="B3" s="903" t="s">
        <v>714</v>
      </c>
      <c r="C3" s="904"/>
      <c r="D3" s="897" t="s">
        <v>168</v>
      </c>
      <c r="E3" s="897"/>
      <c r="F3" s="897"/>
      <c r="G3" s="897" t="s">
        <v>182</v>
      </c>
      <c r="H3" s="897"/>
      <c r="I3" s="897"/>
      <c r="J3" s="897"/>
      <c r="K3" s="897"/>
      <c r="L3" s="897"/>
      <c r="M3" s="897"/>
      <c r="N3" s="897"/>
      <c r="O3" s="897"/>
      <c r="P3" s="897"/>
      <c r="Q3" s="897"/>
      <c r="R3" s="897"/>
      <c r="S3" s="897"/>
      <c r="T3" s="897" t="s">
        <v>169</v>
      </c>
      <c r="U3" s="909" t="s">
        <v>715</v>
      </c>
      <c r="V3" s="918" t="s">
        <v>740</v>
      </c>
      <c r="W3" s="918" t="s">
        <v>717</v>
      </c>
      <c r="X3" s="915" t="s">
        <v>741</v>
      </c>
      <c r="Y3" s="899" t="s">
        <v>170</v>
      </c>
      <c r="AA3" s="897" t="s">
        <v>742</v>
      </c>
      <c r="AB3" s="897"/>
      <c r="AC3" s="897"/>
      <c r="AD3" s="897"/>
      <c r="AE3" s="897"/>
      <c r="AF3" s="897"/>
      <c r="AG3" s="897"/>
      <c r="AH3" s="897"/>
      <c r="AI3" s="897"/>
    </row>
    <row r="4" spans="2:35" ht="17.100000000000001" customHeight="1">
      <c r="B4" s="905"/>
      <c r="C4" s="906"/>
      <c r="D4" s="898" t="s">
        <v>167</v>
      </c>
      <c r="E4" s="897" t="s">
        <v>171</v>
      </c>
      <c r="F4" s="897"/>
      <c r="G4" s="897" t="s">
        <v>183</v>
      </c>
      <c r="H4" s="897"/>
      <c r="I4" s="897"/>
      <c r="J4" s="897"/>
      <c r="K4" s="897"/>
      <c r="L4" s="897"/>
      <c r="M4" s="897"/>
      <c r="N4" s="897"/>
      <c r="O4" s="897" t="s">
        <v>172</v>
      </c>
      <c r="P4" s="897"/>
      <c r="Q4" s="897"/>
      <c r="R4" s="897"/>
      <c r="S4" s="897"/>
      <c r="T4" s="897"/>
      <c r="U4" s="910"/>
      <c r="V4" s="916"/>
      <c r="W4" s="919"/>
      <c r="X4" s="916"/>
      <c r="Y4" s="899"/>
      <c r="AA4" s="897"/>
      <c r="AB4" s="897"/>
      <c r="AC4" s="897"/>
      <c r="AD4" s="897"/>
      <c r="AE4" s="897"/>
      <c r="AF4" s="897"/>
      <c r="AG4" s="897"/>
      <c r="AH4" s="897"/>
      <c r="AI4" s="897"/>
    </row>
    <row r="5" spans="2:35" ht="17.100000000000001" customHeight="1">
      <c r="B5" s="905"/>
      <c r="C5" s="906"/>
      <c r="D5" s="898"/>
      <c r="E5" s="898" t="s">
        <v>173</v>
      </c>
      <c r="F5" s="899" t="s">
        <v>758</v>
      </c>
      <c r="G5" s="900" t="s">
        <v>184</v>
      </c>
      <c r="H5" s="900"/>
      <c r="I5" s="900"/>
      <c r="J5" s="900"/>
      <c r="K5" s="900"/>
      <c r="L5" s="900"/>
      <c r="M5" s="900"/>
      <c r="N5" s="900"/>
      <c r="O5" s="900" t="s">
        <v>166</v>
      </c>
      <c r="P5" s="900"/>
      <c r="Q5" s="900" t="s">
        <v>174</v>
      </c>
      <c r="R5" s="900"/>
      <c r="S5" s="900"/>
      <c r="T5" s="897"/>
      <c r="U5" s="910"/>
      <c r="V5" s="916"/>
      <c r="W5" s="919"/>
      <c r="X5" s="916"/>
      <c r="Y5" s="899"/>
      <c r="AA5" s="897"/>
      <c r="AB5" s="897"/>
      <c r="AC5" s="897"/>
      <c r="AD5" s="897"/>
      <c r="AE5" s="897"/>
      <c r="AF5" s="897"/>
      <c r="AG5" s="897"/>
      <c r="AH5" s="897"/>
      <c r="AI5" s="897"/>
    </row>
    <row r="6" spans="2:35" ht="38.450000000000003" customHeight="1">
      <c r="B6" s="907"/>
      <c r="C6" s="908"/>
      <c r="D6" s="898"/>
      <c r="E6" s="898"/>
      <c r="F6" s="899"/>
      <c r="G6" s="382" t="s">
        <v>175</v>
      </c>
      <c r="H6" s="382" t="s">
        <v>743</v>
      </c>
      <c r="I6" s="382" t="s">
        <v>744</v>
      </c>
      <c r="J6" s="382" t="s">
        <v>176</v>
      </c>
      <c r="K6" s="382" t="s">
        <v>745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897"/>
      <c r="U6" s="911"/>
      <c r="V6" s="917"/>
      <c r="W6" s="920"/>
      <c r="X6" s="917"/>
      <c r="Y6" s="899"/>
      <c r="AA6" s="224" t="s">
        <v>746</v>
      </c>
      <c r="AB6" s="224" t="s">
        <v>698</v>
      </c>
      <c r="AC6" s="370" t="s">
        <v>747</v>
      </c>
      <c r="AD6" s="370" t="s">
        <v>700</v>
      </c>
      <c r="AE6" s="370" t="s">
        <v>748</v>
      </c>
      <c r="AF6" s="370" t="s">
        <v>749</v>
      </c>
      <c r="AG6" s="370" t="s">
        <v>750</v>
      </c>
      <c r="AH6" s="370" t="s">
        <v>701</v>
      </c>
      <c r="AI6" s="370" t="s">
        <v>751</v>
      </c>
    </row>
    <row r="7" spans="2:35" s="396" customFormat="1" ht="27" customHeight="1">
      <c r="B7" s="890"/>
      <c r="C7" s="891"/>
      <c r="D7" s="384">
        <v>1</v>
      </c>
      <c r="E7" s="385" t="s">
        <v>966</v>
      </c>
      <c r="F7" s="386">
        <v>2531.7180000000367</v>
      </c>
      <c r="G7" s="386">
        <v>1180.24</v>
      </c>
      <c r="H7" s="386">
        <v>1185.9000000000001</v>
      </c>
      <c r="I7" s="387">
        <v>1.0047956347861453</v>
      </c>
      <c r="J7" s="386">
        <v>0</v>
      </c>
      <c r="K7" s="387">
        <v>0</v>
      </c>
      <c r="L7" s="386">
        <v>447.3</v>
      </c>
      <c r="M7" s="387">
        <v>1.0047956347861453</v>
      </c>
      <c r="N7" s="388">
        <v>2531.7180000000367</v>
      </c>
      <c r="O7" s="386">
        <v>2.1</v>
      </c>
      <c r="P7" s="387">
        <v>1.7792991256015726E-3</v>
      </c>
      <c r="Q7" s="386">
        <v>939.33000000000015</v>
      </c>
      <c r="R7" s="389">
        <v>5.6600000000000819</v>
      </c>
      <c r="S7" s="387">
        <v>4.79563478614526E-3</v>
      </c>
      <c r="T7" s="430" t="s">
        <v>344</v>
      </c>
      <c r="U7" s="390" t="s">
        <v>694</v>
      </c>
      <c r="V7" s="430" t="s">
        <v>975</v>
      </c>
      <c r="W7" s="430" t="s">
        <v>795</v>
      </c>
      <c r="X7" s="391">
        <v>1</v>
      </c>
      <c r="Y7" s="392" t="s">
        <v>960</v>
      </c>
      <c r="Z7" s="393" t="s">
        <v>733</v>
      </c>
      <c r="AA7" s="394">
        <f>SUM(X7:X26)</f>
        <v>20</v>
      </c>
      <c r="AB7" s="395">
        <f>SUMIF($U$7:$U$26,TRIM(AB6),$X$7:$X$26)</f>
        <v>1</v>
      </c>
      <c r="AC7" s="395">
        <f>SUMIF($U$7:$U$26,TRIM(AC6),$X$7:$X$26)</f>
        <v>0</v>
      </c>
      <c r="AD7" s="395">
        <f t="shared" ref="AD7:AI7" ca="1" si="0">SUMIF($U$7:$U$9710,TRIM(AD6),$X$7:$X$26)</f>
        <v>0</v>
      </c>
      <c r="AE7" s="395">
        <f t="shared" ca="1" si="0"/>
        <v>11</v>
      </c>
      <c r="AF7" s="395">
        <f t="shared" ca="1" si="0"/>
        <v>7</v>
      </c>
      <c r="AG7" s="395">
        <f t="shared" ca="1" si="0"/>
        <v>1</v>
      </c>
      <c r="AH7" s="395">
        <f t="shared" ca="1" si="0"/>
        <v>0</v>
      </c>
      <c r="AI7" s="395">
        <f t="shared" ca="1" si="0"/>
        <v>0</v>
      </c>
    </row>
    <row r="8" spans="2:35" s="396" customFormat="1" ht="27" customHeight="1">
      <c r="B8" s="892"/>
      <c r="C8" s="893"/>
      <c r="D8" s="384">
        <v>2</v>
      </c>
      <c r="E8" s="385" t="s">
        <v>354</v>
      </c>
      <c r="F8" s="386">
        <v>2298.5463999999993</v>
      </c>
      <c r="G8" s="386">
        <v>263.98599999999999</v>
      </c>
      <c r="H8" s="386">
        <v>268.7</v>
      </c>
      <c r="I8" s="387">
        <v>1.0178570075685831</v>
      </c>
      <c r="J8" s="386">
        <v>0</v>
      </c>
      <c r="K8" s="387">
        <v>0</v>
      </c>
      <c r="L8" s="386">
        <v>487.6</v>
      </c>
      <c r="M8" s="387">
        <v>1.0178570075685831</v>
      </c>
      <c r="N8" s="388">
        <v>2298.5463999999993</v>
      </c>
      <c r="O8" s="386">
        <v>2.2000000000000002</v>
      </c>
      <c r="P8" s="387">
        <v>8.3337752759616059E-3</v>
      </c>
      <c r="Q8" s="386">
        <v>1072.72</v>
      </c>
      <c r="R8" s="389">
        <v>4.7139999999999986</v>
      </c>
      <c r="S8" s="387">
        <v>1.7857007568583178E-2</v>
      </c>
      <c r="T8" s="430" t="s">
        <v>346</v>
      </c>
      <c r="U8" s="390" t="s">
        <v>213</v>
      </c>
      <c r="V8" s="430" t="s">
        <v>976</v>
      </c>
      <c r="W8" s="431" t="s">
        <v>795</v>
      </c>
      <c r="X8" s="391">
        <v>1</v>
      </c>
      <c r="Y8" s="392" t="s">
        <v>872</v>
      </c>
      <c r="AA8" s="394"/>
      <c r="AB8" s="398">
        <f>SUMIF($U$7:$U$26,TRIM(AB6),$F$7:$F$26)</f>
        <v>1325.9872000000314</v>
      </c>
      <c r="AC8" s="398">
        <f>SUMIF($U$7:$U$26,TRIM(AC6),$F$7:$F$26)</f>
        <v>0</v>
      </c>
      <c r="AD8" s="398">
        <f t="shared" ref="AD8:AI8" ca="1" si="1">SUMIF($U$7:$U$176,TRIM(AD6),$F$7:$F$26)</f>
        <v>0</v>
      </c>
      <c r="AE8" s="398">
        <f t="shared" ca="1" si="1"/>
        <v>17978.513860000094</v>
      </c>
      <c r="AF8" s="398">
        <f t="shared" ca="1" si="1"/>
        <v>10366.192029999927</v>
      </c>
      <c r="AG8" s="398">
        <f t="shared" ca="1" si="1"/>
        <v>2298.5463999999993</v>
      </c>
      <c r="AH8" s="398">
        <f t="shared" ca="1" si="1"/>
        <v>0</v>
      </c>
      <c r="AI8" s="398">
        <f t="shared" ca="1" si="1"/>
        <v>0</v>
      </c>
    </row>
    <row r="9" spans="2:35" s="396" customFormat="1" ht="27" customHeight="1">
      <c r="B9" s="892"/>
      <c r="C9" s="893"/>
      <c r="D9" s="384">
        <v>3</v>
      </c>
      <c r="E9" s="385" t="s">
        <v>949</v>
      </c>
      <c r="F9" s="386">
        <v>2046.7819500000371</v>
      </c>
      <c r="G9" s="386">
        <v>883.18499999999995</v>
      </c>
      <c r="H9" s="386">
        <v>885.5</v>
      </c>
      <c r="I9" s="387">
        <v>1.0026211948798951</v>
      </c>
      <c r="J9" s="386">
        <v>3.2</v>
      </c>
      <c r="K9" s="387">
        <v>3.6232499419713879E-3</v>
      </c>
      <c r="L9" s="386">
        <v>371.13</v>
      </c>
      <c r="M9" s="387">
        <v>1.0062444448218664</v>
      </c>
      <c r="N9" s="388">
        <v>2046.7819500000203</v>
      </c>
      <c r="O9" s="386">
        <v>2.1</v>
      </c>
      <c r="P9" s="387">
        <v>2.3777577744187235E-3</v>
      </c>
      <c r="Q9" s="386">
        <v>779.37299999999993</v>
      </c>
      <c r="R9" s="389">
        <v>5.5150000000001</v>
      </c>
      <c r="S9" s="387">
        <v>6.2444448218664274E-3</v>
      </c>
      <c r="T9" s="501" t="s">
        <v>344</v>
      </c>
      <c r="U9" s="390" t="s">
        <v>694</v>
      </c>
      <c r="V9" s="430" t="s">
        <v>1026</v>
      </c>
      <c r="W9" s="430" t="s">
        <v>1027</v>
      </c>
      <c r="X9" s="391">
        <v>1</v>
      </c>
      <c r="Y9" s="392" t="s">
        <v>378</v>
      </c>
    </row>
    <row r="10" spans="2:35" s="396" customFormat="1" ht="27" customHeight="1">
      <c r="B10" s="892"/>
      <c r="C10" s="893"/>
      <c r="D10" s="384">
        <v>4</v>
      </c>
      <c r="E10" s="385" t="s">
        <v>796</v>
      </c>
      <c r="F10" s="386">
        <v>1810.2922799999612</v>
      </c>
      <c r="G10" s="386">
        <v>2017.9160000000002</v>
      </c>
      <c r="H10" s="386">
        <v>2034.1999999999998</v>
      </c>
      <c r="I10" s="387">
        <v>1.0080697115241664</v>
      </c>
      <c r="J10" s="386">
        <v>0</v>
      </c>
      <c r="K10" s="387">
        <v>0</v>
      </c>
      <c r="L10" s="386">
        <v>111.17</v>
      </c>
      <c r="M10" s="387">
        <v>1.0080697115241664</v>
      </c>
      <c r="N10" s="388">
        <v>1810.2922799999612</v>
      </c>
      <c r="O10" s="386">
        <v>8.8999999999999986</v>
      </c>
      <c r="P10" s="387">
        <v>4.4104908232057219E-3</v>
      </c>
      <c r="Q10" s="386">
        <v>989.41300000000012</v>
      </c>
      <c r="R10" s="389">
        <v>16.283999999999651</v>
      </c>
      <c r="S10" s="387">
        <v>8.0697115241663425E-3</v>
      </c>
      <c r="T10" s="430" t="s">
        <v>344</v>
      </c>
      <c r="U10" s="390" t="s">
        <v>694</v>
      </c>
      <c r="V10" s="430" t="s">
        <v>901</v>
      </c>
      <c r="W10" s="430" t="s">
        <v>797</v>
      </c>
      <c r="X10" s="391">
        <v>1</v>
      </c>
      <c r="Y10" s="392" t="s">
        <v>352</v>
      </c>
    </row>
    <row r="11" spans="2:35" s="396" customFormat="1" ht="27" customHeight="1">
      <c r="B11" s="892"/>
      <c r="C11" s="893"/>
      <c r="D11" s="384">
        <v>5</v>
      </c>
      <c r="E11" s="385" t="s">
        <v>397</v>
      </c>
      <c r="F11" s="386">
        <v>1717.7929999999885</v>
      </c>
      <c r="G11" s="386">
        <v>1159.7250000000001</v>
      </c>
      <c r="H11" s="386">
        <v>1173.2</v>
      </c>
      <c r="I11" s="387">
        <v>1.011619133846386</v>
      </c>
      <c r="J11" s="386">
        <v>0</v>
      </c>
      <c r="K11" s="387">
        <v>0</v>
      </c>
      <c r="L11" s="386">
        <v>127.48</v>
      </c>
      <c r="M11" s="387">
        <v>1.011619133846386</v>
      </c>
      <c r="N11" s="388">
        <v>1717.7929999999885</v>
      </c>
      <c r="O11" s="386">
        <v>8.3999999999999986</v>
      </c>
      <c r="P11" s="387">
        <v>7.243096423721139E-3</v>
      </c>
      <c r="Q11" s="386">
        <v>1070.8320000000001</v>
      </c>
      <c r="R11" s="389">
        <v>13.474999999999909</v>
      </c>
      <c r="S11" s="387">
        <v>1.1619133846385916E-2</v>
      </c>
      <c r="T11" s="430" t="s">
        <v>344</v>
      </c>
      <c r="U11" s="390" t="s">
        <v>694</v>
      </c>
      <c r="V11" s="430" t="s">
        <v>900</v>
      </c>
      <c r="W11" s="430" t="s">
        <v>794</v>
      </c>
      <c r="X11" s="391">
        <v>1</v>
      </c>
      <c r="Y11" s="392" t="s">
        <v>349</v>
      </c>
    </row>
    <row r="12" spans="2:35" s="396" customFormat="1" ht="27" customHeight="1">
      <c r="B12" s="892"/>
      <c r="C12" s="893"/>
      <c r="D12" s="384">
        <v>6</v>
      </c>
      <c r="E12" s="385" t="s">
        <v>396</v>
      </c>
      <c r="F12" s="386">
        <v>1687.6249499999465</v>
      </c>
      <c r="G12" s="386">
        <v>544.28500000000008</v>
      </c>
      <c r="H12" s="386">
        <v>548.29999999999995</v>
      </c>
      <c r="I12" s="387">
        <v>1.0073766501005905</v>
      </c>
      <c r="J12" s="386">
        <v>0</v>
      </c>
      <c r="K12" s="387">
        <v>0</v>
      </c>
      <c r="L12" s="386">
        <v>420.33</v>
      </c>
      <c r="M12" s="387">
        <v>1.0073766501005905</v>
      </c>
      <c r="N12" s="388">
        <v>1687.6249499999465</v>
      </c>
      <c r="O12" s="386">
        <v>1.9000000000000001</v>
      </c>
      <c r="P12" s="387">
        <v>3.4908182294202481E-3</v>
      </c>
      <c r="Q12" s="386">
        <v>798.62699999999995</v>
      </c>
      <c r="R12" s="389">
        <v>4.0149999999998727</v>
      </c>
      <c r="S12" s="387">
        <v>7.3766501005904485E-3</v>
      </c>
      <c r="T12" s="430" t="s">
        <v>346</v>
      </c>
      <c r="U12" s="390" t="s">
        <v>212</v>
      </c>
      <c r="V12" s="430" t="s">
        <v>975</v>
      </c>
      <c r="W12" s="430" t="s">
        <v>795</v>
      </c>
      <c r="X12" s="391">
        <v>1</v>
      </c>
      <c r="Y12" s="392" t="s">
        <v>376</v>
      </c>
    </row>
    <row r="13" spans="2:35" s="396" customFormat="1" ht="27" customHeight="1">
      <c r="B13" s="892"/>
      <c r="C13" s="893"/>
      <c r="D13" s="384">
        <v>7</v>
      </c>
      <c r="E13" s="385" t="s">
        <v>1008</v>
      </c>
      <c r="F13" s="386">
        <v>1669.3063999999983</v>
      </c>
      <c r="G13" s="386">
        <v>716.12</v>
      </c>
      <c r="H13" s="386">
        <v>715.5</v>
      </c>
      <c r="I13" s="387">
        <v>0.99913422331452828</v>
      </c>
      <c r="J13" s="386">
        <v>6</v>
      </c>
      <c r="K13" s="387">
        <v>8.3784840529520198E-3</v>
      </c>
      <c r="L13" s="386">
        <v>310.27999999999997</v>
      </c>
      <c r="M13" s="387">
        <v>1.0075127073674803</v>
      </c>
      <c r="N13" s="388">
        <v>1669.3063999999983</v>
      </c>
      <c r="O13" s="386">
        <v>1.6</v>
      </c>
      <c r="P13" s="387">
        <v>2.2342624141205385E-3</v>
      </c>
      <c r="Q13" s="386">
        <v>496.44799999999998</v>
      </c>
      <c r="R13" s="389">
        <v>5.3799999999999955</v>
      </c>
      <c r="S13" s="387">
        <v>7.5127073674803044E-3</v>
      </c>
      <c r="T13" s="501" t="s">
        <v>346</v>
      </c>
      <c r="U13" s="390" t="s">
        <v>212</v>
      </c>
      <c r="V13" s="430" t="s">
        <v>975</v>
      </c>
      <c r="W13" s="430" t="s">
        <v>795</v>
      </c>
      <c r="X13" s="391">
        <v>1</v>
      </c>
      <c r="Y13" s="392" t="s">
        <v>1007</v>
      </c>
      <c r="AB13" s="396">
        <v>1</v>
      </c>
      <c r="AC13" s="399" t="s">
        <v>698</v>
      </c>
    </row>
    <row r="14" spans="2:35" s="396" customFormat="1" ht="27" customHeight="1">
      <c r="B14" s="892"/>
      <c r="C14" s="893"/>
      <c r="D14" s="384">
        <v>8</v>
      </c>
      <c r="E14" s="385" t="s">
        <v>1000</v>
      </c>
      <c r="F14" s="386">
        <v>1608.6460800000057</v>
      </c>
      <c r="G14" s="386">
        <v>245.01599999999999</v>
      </c>
      <c r="H14" s="386">
        <v>250.8</v>
      </c>
      <c r="I14" s="387">
        <v>1.0236066216083848</v>
      </c>
      <c r="J14" s="386">
        <v>0</v>
      </c>
      <c r="K14" s="387">
        <v>0</v>
      </c>
      <c r="L14" s="386">
        <v>278.12</v>
      </c>
      <c r="M14" s="387">
        <v>1.0236066216083848</v>
      </c>
      <c r="N14" s="388">
        <v>1608.6460800000057</v>
      </c>
      <c r="O14" s="386">
        <v>3.5</v>
      </c>
      <c r="P14" s="387">
        <v>1.4284781402030888E-2</v>
      </c>
      <c r="Q14" s="386">
        <v>973.42000000000007</v>
      </c>
      <c r="R14" s="389">
        <v>5.7840000000000202</v>
      </c>
      <c r="S14" s="387">
        <v>2.360662160838484E-2</v>
      </c>
      <c r="T14" s="390" t="s">
        <v>346</v>
      </c>
      <c r="U14" s="390" t="s">
        <v>212</v>
      </c>
      <c r="V14" s="430" t="s">
        <v>975</v>
      </c>
      <c r="W14" s="430" t="s">
        <v>795</v>
      </c>
      <c r="X14" s="391">
        <v>1</v>
      </c>
      <c r="Y14" s="392" t="s">
        <v>761</v>
      </c>
      <c r="AB14" s="396">
        <v>2</v>
      </c>
      <c r="AC14" s="399" t="s">
        <v>351</v>
      </c>
    </row>
    <row r="15" spans="2:35" s="396" customFormat="1" ht="27" customHeight="1">
      <c r="B15" s="892"/>
      <c r="C15" s="893"/>
      <c r="D15" s="384">
        <v>9</v>
      </c>
      <c r="E15" s="385" t="s">
        <v>804</v>
      </c>
      <c r="F15" s="386">
        <v>1533.6781500000022</v>
      </c>
      <c r="G15" s="386">
        <v>659.29500000000007</v>
      </c>
      <c r="H15" s="386">
        <v>672.40000000000009</v>
      </c>
      <c r="I15" s="387">
        <v>1.0198772931692186</v>
      </c>
      <c r="J15" s="386">
        <v>0</v>
      </c>
      <c r="K15" s="387">
        <v>0</v>
      </c>
      <c r="L15" s="386">
        <v>117.03</v>
      </c>
      <c r="M15" s="387">
        <v>1.0198772931692186</v>
      </c>
      <c r="N15" s="388">
        <v>1533.6781500000022</v>
      </c>
      <c r="O15" s="386">
        <v>8.1999999999999993</v>
      </c>
      <c r="P15" s="387">
        <v>1.2437527965478274E-2</v>
      </c>
      <c r="Q15" s="386">
        <v>959.64600000000007</v>
      </c>
      <c r="R15" s="389">
        <v>13.105000000000018</v>
      </c>
      <c r="S15" s="387">
        <v>1.9877293169218661E-2</v>
      </c>
      <c r="T15" s="390" t="s">
        <v>344</v>
      </c>
      <c r="U15" s="390" t="s">
        <v>694</v>
      </c>
      <c r="V15" s="430" t="s">
        <v>901</v>
      </c>
      <c r="W15" s="430" t="s">
        <v>797</v>
      </c>
      <c r="X15" s="391">
        <v>1</v>
      </c>
      <c r="Y15" s="392" t="s">
        <v>801</v>
      </c>
      <c r="AB15" s="396">
        <v>3</v>
      </c>
      <c r="AC15" s="399" t="s">
        <v>395</v>
      </c>
    </row>
    <row r="16" spans="2:35" s="396" customFormat="1" ht="27" customHeight="1">
      <c r="B16" s="892"/>
      <c r="C16" s="893"/>
      <c r="D16" s="384">
        <v>10</v>
      </c>
      <c r="E16" s="385" t="s">
        <v>879</v>
      </c>
      <c r="F16" s="386">
        <v>1470.0094000000079</v>
      </c>
      <c r="G16" s="386">
        <v>1339.22</v>
      </c>
      <c r="H16" s="386">
        <v>1359.6000000000001</v>
      </c>
      <c r="I16" s="387">
        <v>1.0152178133540419</v>
      </c>
      <c r="J16" s="386">
        <v>0</v>
      </c>
      <c r="K16" s="387">
        <v>0</v>
      </c>
      <c r="L16" s="386">
        <v>72.13</v>
      </c>
      <c r="M16" s="387">
        <v>1.0152178133540419</v>
      </c>
      <c r="N16" s="388">
        <v>1470.0094000000079</v>
      </c>
      <c r="O16" s="386">
        <v>11.9</v>
      </c>
      <c r="P16" s="387">
        <v>8.8857693284150469E-3</v>
      </c>
      <c r="Q16" s="386">
        <v>858.34700000000009</v>
      </c>
      <c r="R16" s="389">
        <v>20.380000000000109</v>
      </c>
      <c r="S16" s="387">
        <v>1.5217813354041987E-2</v>
      </c>
      <c r="T16" s="430" t="s">
        <v>344</v>
      </c>
      <c r="U16" s="390" t="s">
        <v>694</v>
      </c>
      <c r="V16" s="430" t="s">
        <v>900</v>
      </c>
      <c r="W16" s="430" t="s">
        <v>794</v>
      </c>
      <c r="X16" s="391">
        <v>1</v>
      </c>
      <c r="Y16" s="392" t="s">
        <v>786</v>
      </c>
      <c r="AB16" s="396">
        <v>4</v>
      </c>
      <c r="AC16" s="399" t="s">
        <v>734</v>
      </c>
    </row>
    <row r="17" spans="2:29" s="396" customFormat="1" ht="27" customHeight="1">
      <c r="B17" s="892"/>
      <c r="C17" s="893"/>
      <c r="D17" s="384">
        <v>11</v>
      </c>
      <c r="E17" s="385" t="s">
        <v>972</v>
      </c>
      <c r="F17" s="386">
        <v>1453.9025000000372</v>
      </c>
      <c r="G17" s="386">
        <v>2084.85</v>
      </c>
      <c r="H17" s="386">
        <v>2102.6000000000004</v>
      </c>
      <c r="I17" s="387">
        <v>1.0085138019521791</v>
      </c>
      <c r="J17" s="386">
        <v>0</v>
      </c>
      <c r="K17" s="387">
        <v>0</v>
      </c>
      <c r="L17" s="386">
        <v>81.91</v>
      </c>
      <c r="M17" s="387">
        <v>1.0085138019521791</v>
      </c>
      <c r="N17" s="388">
        <v>1453.9025000000372</v>
      </c>
      <c r="O17" s="386">
        <v>10.100000000000001</v>
      </c>
      <c r="P17" s="387">
        <v>4.8444732234932978E-3</v>
      </c>
      <c r="Q17" s="386">
        <v>827.29099999999994</v>
      </c>
      <c r="R17" s="389">
        <v>17.750000000000455</v>
      </c>
      <c r="S17" s="387">
        <v>8.5138019521790315E-3</v>
      </c>
      <c r="T17" s="390" t="s">
        <v>344</v>
      </c>
      <c r="U17" s="390" t="s">
        <v>694</v>
      </c>
      <c r="V17" s="430" t="s">
        <v>901</v>
      </c>
      <c r="W17" s="430" t="s">
        <v>797</v>
      </c>
      <c r="X17" s="391">
        <v>1</v>
      </c>
      <c r="Y17" s="392" t="s">
        <v>902</v>
      </c>
      <c r="AB17" s="396">
        <v>5</v>
      </c>
      <c r="AC17" s="399" t="s">
        <v>212</v>
      </c>
    </row>
    <row r="18" spans="2:29" s="396" customFormat="1" ht="27" customHeight="1">
      <c r="B18" s="892"/>
      <c r="C18" s="893"/>
      <c r="D18" s="384">
        <v>12</v>
      </c>
      <c r="E18" s="385" t="s">
        <v>957</v>
      </c>
      <c r="F18" s="386">
        <v>1422.2564999999961</v>
      </c>
      <c r="G18" s="386">
        <v>516.61</v>
      </c>
      <c r="H18" s="386">
        <v>521.5</v>
      </c>
      <c r="I18" s="387">
        <v>1.0094655542865991</v>
      </c>
      <c r="J18" s="386">
        <v>0</v>
      </c>
      <c r="K18" s="387">
        <v>0</v>
      </c>
      <c r="L18" s="386">
        <v>290.85000000000002</v>
      </c>
      <c r="M18" s="387">
        <v>1.0094655542865991</v>
      </c>
      <c r="N18" s="388">
        <v>1422.2564999999961</v>
      </c>
      <c r="O18" s="386">
        <v>2.6999999999999997</v>
      </c>
      <c r="P18" s="387">
        <v>5.2263796674473966E-3</v>
      </c>
      <c r="Q18" s="386">
        <v>785.29500000000007</v>
      </c>
      <c r="R18" s="389">
        <v>4.8899999999999864</v>
      </c>
      <c r="S18" s="387">
        <v>9.4655542865991482E-3</v>
      </c>
      <c r="T18" s="390" t="s">
        <v>346</v>
      </c>
      <c r="U18" s="390" t="s">
        <v>212</v>
      </c>
      <c r="V18" s="430" t="s">
        <v>975</v>
      </c>
      <c r="W18" s="430" t="s">
        <v>795</v>
      </c>
      <c r="X18" s="391">
        <v>1</v>
      </c>
      <c r="Y18" s="392" t="s">
        <v>969</v>
      </c>
      <c r="AB18" s="396">
        <v>6</v>
      </c>
      <c r="AC18" s="399" t="s">
        <v>213</v>
      </c>
    </row>
    <row r="19" spans="2:29" s="396" customFormat="1" ht="27" customHeight="1">
      <c r="B19" s="892"/>
      <c r="C19" s="893"/>
      <c r="D19" s="384">
        <v>13</v>
      </c>
      <c r="E19" s="385" t="s">
        <v>1006</v>
      </c>
      <c r="F19" s="386">
        <v>1381.954360000027</v>
      </c>
      <c r="G19" s="386">
        <v>1672.8539999999998</v>
      </c>
      <c r="H19" s="386">
        <v>1680.9</v>
      </c>
      <c r="I19" s="387">
        <v>1.0048097443052413</v>
      </c>
      <c r="J19" s="386">
        <v>3.8</v>
      </c>
      <c r="K19" s="387">
        <v>2.2715670345409703E-3</v>
      </c>
      <c r="L19" s="386">
        <v>116.66</v>
      </c>
      <c r="M19" s="387">
        <v>1.0070813113397823</v>
      </c>
      <c r="N19" s="388">
        <v>1381.9543600000322</v>
      </c>
      <c r="O19" s="386">
        <v>5.6000000000000005</v>
      </c>
      <c r="P19" s="387">
        <v>3.3475724719551144E-3</v>
      </c>
      <c r="Q19" s="386">
        <v>653.29599999999994</v>
      </c>
      <c r="R19" s="389">
        <v>11.846000000000231</v>
      </c>
      <c r="S19" s="387">
        <v>7.0813113397823315E-3</v>
      </c>
      <c r="T19" s="390" t="s">
        <v>344</v>
      </c>
      <c r="U19" s="390" t="s">
        <v>694</v>
      </c>
      <c r="V19" s="430" t="s">
        <v>1028</v>
      </c>
      <c r="W19" s="430" t="s">
        <v>1029</v>
      </c>
      <c r="X19" s="391">
        <v>1</v>
      </c>
      <c r="Y19" s="392" t="s">
        <v>380</v>
      </c>
      <c r="AB19" s="396">
        <v>7</v>
      </c>
      <c r="AC19" s="399" t="s">
        <v>735</v>
      </c>
    </row>
    <row r="20" spans="2:29" s="396" customFormat="1" ht="27" customHeight="1">
      <c r="B20" s="892"/>
      <c r="C20" s="893"/>
      <c r="D20" s="384">
        <v>14</v>
      </c>
      <c r="E20" s="385" t="s">
        <v>971</v>
      </c>
      <c r="F20" s="386">
        <v>1361.7639000000058</v>
      </c>
      <c r="G20" s="386">
        <v>1132.7950000000001</v>
      </c>
      <c r="H20" s="386">
        <v>1147.6000000000001</v>
      </c>
      <c r="I20" s="387">
        <v>1.0130694432796756</v>
      </c>
      <c r="J20" s="386">
        <v>0</v>
      </c>
      <c r="K20" s="387">
        <v>0</v>
      </c>
      <c r="L20" s="386">
        <v>91.98</v>
      </c>
      <c r="M20" s="387">
        <v>1.0130694432796756</v>
      </c>
      <c r="N20" s="388">
        <v>1361.7639000000058</v>
      </c>
      <c r="O20" s="386">
        <v>10.199999999999999</v>
      </c>
      <c r="P20" s="387">
        <v>9.0042770315900047E-3</v>
      </c>
      <c r="Q20" s="386">
        <v>938.19600000000014</v>
      </c>
      <c r="R20" s="389">
        <v>14.805000000000064</v>
      </c>
      <c r="S20" s="387">
        <v>1.3069443279675548E-2</v>
      </c>
      <c r="T20" s="390" t="s">
        <v>344</v>
      </c>
      <c r="U20" s="390" t="s">
        <v>694</v>
      </c>
      <c r="V20" s="430" t="s">
        <v>951</v>
      </c>
      <c r="W20" s="430" t="s">
        <v>952</v>
      </c>
      <c r="X20" s="391">
        <v>1</v>
      </c>
      <c r="Y20" s="392" t="s">
        <v>937</v>
      </c>
      <c r="AB20" s="396">
        <v>8</v>
      </c>
      <c r="AC20" s="400" t="s">
        <v>736</v>
      </c>
    </row>
    <row r="21" spans="2:29" s="396" customFormat="1" ht="27" customHeight="1">
      <c r="B21" s="892"/>
      <c r="C21" s="893"/>
      <c r="D21" s="384">
        <v>15</v>
      </c>
      <c r="E21" s="385" t="s">
        <v>998</v>
      </c>
      <c r="F21" s="386">
        <v>1356.4425000000001</v>
      </c>
      <c r="G21" s="386">
        <v>276.25</v>
      </c>
      <c r="H21" s="386">
        <v>279.89999999999998</v>
      </c>
      <c r="I21" s="387">
        <v>1.0132126696832577</v>
      </c>
      <c r="J21" s="386">
        <v>1.6</v>
      </c>
      <c r="K21" s="387">
        <v>5.7918552036199094E-3</v>
      </c>
      <c r="L21" s="386">
        <v>258.37</v>
      </c>
      <c r="M21" s="387">
        <v>1.0190045248868778</v>
      </c>
      <c r="N21" s="388">
        <v>1356.442499999994</v>
      </c>
      <c r="O21" s="386">
        <v>3.1</v>
      </c>
      <c r="P21" s="387">
        <v>1.1221719457013574E-2</v>
      </c>
      <c r="Q21" s="386">
        <v>800.947</v>
      </c>
      <c r="R21" s="389">
        <v>5.25</v>
      </c>
      <c r="S21" s="387">
        <v>1.9004524886877826E-2</v>
      </c>
      <c r="T21" s="390" t="s">
        <v>346</v>
      </c>
      <c r="U21" s="390" t="s">
        <v>212</v>
      </c>
      <c r="V21" s="430" t="s">
        <v>956</v>
      </c>
      <c r="W21" s="430" t="s">
        <v>955</v>
      </c>
      <c r="X21" s="391">
        <v>1</v>
      </c>
      <c r="Y21" s="392" t="s">
        <v>785</v>
      </c>
      <c r="AC21" s="399"/>
    </row>
    <row r="22" spans="2:29" s="396" customFormat="1" ht="27" customHeight="1">
      <c r="B22" s="892"/>
      <c r="C22" s="893"/>
      <c r="D22" s="384">
        <v>16</v>
      </c>
      <c r="E22" s="385" t="s">
        <v>788</v>
      </c>
      <c r="F22" s="386">
        <v>1348.092719999994</v>
      </c>
      <c r="G22" s="386">
        <v>2356.8519999999999</v>
      </c>
      <c r="H22" s="386">
        <v>2366.6999999999998</v>
      </c>
      <c r="I22" s="387">
        <v>1.0041784549899613</v>
      </c>
      <c r="J22" s="386">
        <v>0</v>
      </c>
      <c r="K22" s="387">
        <v>0</v>
      </c>
      <c r="L22" s="386">
        <v>136.88999999999999</v>
      </c>
      <c r="M22" s="387">
        <v>1.0041784549899613</v>
      </c>
      <c r="N22" s="388">
        <v>1348.092719999994</v>
      </c>
      <c r="O22" s="386">
        <v>4.3999999999999995</v>
      </c>
      <c r="P22" s="387">
        <v>1.8668970304456961E-3</v>
      </c>
      <c r="Q22" s="386">
        <v>602.31600000000003</v>
      </c>
      <c r="R22" s="389">
        <v>9.8479999999999563</v>
      </c>
      <c r="S22" s="387">
        <v>4.1784549899611676E-3</v>
      </c>
      <c r="T22" s="390" t="s">
        <v>346</v>
      </c>
      <c r="U22" s="390" t="s">
        <v>212</v>
      </c>
      <c r="V22" s="430" t="s">
        <v>953</v>
      </c>
      <c r="W22" s="430" t="s">
        <v>954</v>
      </c>
      <c r="X22" s="391">
        <v>1</v>
      </c>
      <c r="Y22" s="392" t="s">
        <v>352</v>
      </c>
      <c r="AC22" s="399"/>
    </row>
    <row r="23" spans="2:29" s="396" customFormat="1" ht="27" customHeight="1">
      <c r="B23" s="892"/>
      <c r="C23" s="893"/>
      <c r="D23" s="384">
        <v>17</v>
      </c>
      <c r="E23" s="385" t="s">
        <v>910</v>
      </c>
      <c r="F23" s="386">
        <v>1341.9439999999968</v>
      </c>
      <c r="G23" s="386">
        <v>1912.5</v>
      </c>
      <c r="H23" s="386">
        <v>1931.3</v>
      </c>
      <c r="I23" s="387">
        <v>1.0098300653594772</v>
      </c>
      <c r="J23" s="386">
        <v>0</v>
      </c>
      <c r="K23" s="387">
        <v>0</v>
      </c>
      <c r="L23" s="386">
        <v>71.38</v>
      </c>
      <c r="M23" s="387">
        <v>1.0098300653594772</v>
      </c>
      <c r="N23" s="388">
        <v>1341.9439999999968</v>
      </c>
      <c r="O23" s="386">
        <v>13.399999999999999</v>
      </c>
      <c r="P23" s="387">
        <v>7.0065359477124176E-3</v>
      </c>
      <c r="Q23" s="386">
        <v>956.49199999999996</v>
      </c>
      <c r="R23" s="389">
        <v>18.799999999999955</v>
      </c>
      <c r="S23" s="387">
        <v>9.8300653594770998E-3</v>
      </c>
      <c r="T23" s="430" t="s">
        <v>344</v>
      </c>
      <c r="U23" s="390" t="s">
        <v>694</v>
      </c>
      <c r="V23" s="430" t="s">
        <v>900</v>
      </c>
      <c r="W23" s="430" t="s">
        <v>794</v>
      </c>
      <c r="X23" s="391">
        <v>1</v>
      </c>
      <c r="Y23" s="392" t="s">
        <v>785</v>
      </c>
      <c r="AB23" s="401">
        <v>1</v>
      </c>
      <c r="AC23" s="399" t="s">
        <v>350</v>
      </c>
    </row>
    <row r="24" spans="2:29" s="396" customFormat="1" ht="27" customHeight="1">
      <c r="B24" s="892"/>
      <c r="C24" s="893"/>
      <c r="D24" s="384">
        <v>18</v>
      </c>
      <c r="E24" s="385" t="s">
        <v>973</v>
      </c>
      <c r="F24" s="386">
        <v>1328.6763199999953</v>
      </c>
      <c r="G24" s="386">
        <v>314.93599999999998</v>
      </c>
      <c r="H24" s="386">
        <v>318.59999999999997</v>
      </c>
      <c r="I24" s="387">
        <v>1.0116341097873853</v>
      </c>
      <c r="J24" s="386">
        <v>0</v>
      </c>
      <c r="K24" s="387">
        <v>0</v>
      </c>
      <c r="L24" s="386">
        <v>362.63</v>
      </c>
      <c r="M24" s="387">
        <v>1.0116341097873853</v>
      </c>
      <c r="N24" s="388">
        <v>1328.6763199999953</v>
      </c>
      <c r="O24" s="386">
        <v>2.1</v>
      </c>
      <c r="P24" s="387">
        <v>6.6680214392765523E-3</v>
      </c>
      <c r="Q24" s="581">
        <v>761.52299999999991</v>
      </c>
      <c r="R24" s="389">
        <v>3.6639999999999873</v>
      </c>
      <c r="S24" s="387">
        <v>1.1634109787385334E-2</v>
      </c>
      <c r="T24" s="390" t="s">
        <v>344</v>
      </c>
      <c r="U24" s="390" t="s">
        <v>694</v>
      </c>
      <c r="V24" s="430" t="s">
        <v>977</v>
      </c>
      <c r="W24" s="390" t="s">
        <v>952</v>
      </c>
      <c r="X24" s="391">
        <v>1</v>
      </c>
      <c r="Y24" s="392" t="s">
        <v>974</v>
      </c>
      <c r="AB24" s="396">
        <v>2</v>
      </c>
      <c r="AC24" s="399" t="s">
        <v>398</v>
      </c>
    </row>
    <row r="25" spans="2:29" s="396" customFormat="1" ht="27" customHeight="1">
      <c r="B25" s="892"/>
      <c r="C25" s="893"/>
      <c r="D25" s="384">
        <v>19</v>
      </c>
      <c r="E25" s="385" t="s">
        <v>1022</v>
      </c>
      <c r="F25" s="386">
        <v>1325.9872000000314</v>
      </c>
      <c r="G25" s="386">
        <v>1333.3319999999999</v>
      </c>
      <c r="H25" s="386">
        <v>1348.0000000000002</v>
      </c>
      <c r="I25" s="387">
        <v>1.0110010110010113</v>
      </c>
      <c r="J25" s="386">
        <v>0</v>
      </c>
      <c r="K25" s="387">
        <v>0</v>
      </c>
      <c r="L25" s="386">
        <v>90.4</v>
      </c>
      <c r="M25" s="387">
        <v>1.0110010110010113</v>
      </c>
      <c r="N25" s="388">
        <v>1325.9872000000314</v>
      </c>
      <c r="O25" s="386">
        <v>9.1999999999999993</v>
      </c>
      <c r="P25" s="387">
        <v>6.9000069000068999E-3</v>
      </c>
      <c r="Q25" s="386">
        <v>831.68000000000006</v>
      </c>
      <c r="R25" s="389">
        <v>14.668000000000347</v>
      </c>
      <c r="S25" s="387">
        <v>1.1001011001011262E-2</v>
      </c>
      <c r="T25" s="390" t="s">
        <v>350</v>
      </c>
      <c r="U25" s="390" t="s">
        <v>1030</v>
      </c>
      <c r="V25" s="430" t="s">
        <v>951</v>
      </c>
      <c r="W25" s="430" t="s">
        <v>952</v>
      </c>
      <c r="X25" s="391">
        <v>1</v>
      </c>
      <c r="Y25" s="392" t="s">
        <v>371</v>
      </c>
      <c r="AB25" s="402">
        <v>3</v>
      </c>
      <c r="AC25" s="399" t="s">
        <v>344</v>
      </c>
    </row>
    <row r="26" spans="2:29" s="396" customFormat="1" ht="27" customHeight="1">
      <c r="B26" s="894"/>
      <c r="C26" s="895"/>
      <c r="D26" s="384">
        <v>20</v>
      </c>
      <c r="E26" s="385" t="s">
        <v>880</v>
      </c>
      <c r="F26" s="386">
        <v>1273.8228799999874</v>
      </c>
      <c r="G26" s="386">
        <v>111.51100000000001</v>
      </c>
      <c r="H26" s="386">
        <v>111.1</v>
      </c>
      <c r="I26" s="387">
        <v>0.99631426496040731</v>
      </c>
      <c r="J26" s="386">
        <v>2.6</v>
      </c>
      <c r="K26" s="387">
        <v>2.3316085408614396E-2</v>
      </c>
      <c r="L26" s="386">
        <v>581.91999999999996</v>
      </c>
      <c r="M26" s="387">
        <v>1.0196303503690216</v>
      </c>
      <c r="N26" s="388">
        <v>1273.8228799999908</v>
      </c>
      <c r="O26" s="386">
        <v>0.7</v>
      </c>
      <c r="P26" s="387">
        <v>6.2774076100115678E-3</v>
      </c>
      <c r="Q26" s="386">
        <v>407.34399999999999</v>
      </c>
      <c r="R26" s="389">
        <v>2.1889999999999787</v>
      </c>
      <c r="S26" s="387">
        <v>1.9630350369021696E-2</v>
      </c>
      <c r="T26" s="390" t="s">
        <v>346</v>
      </c>
      <c r="U26" s="390" t="s">
        <v>212</v>
      </c>
      <c r="V26" s="430" t="s">
        <v>975</v>
      </c>
      <c r="W26" s="431" t="s">
        <v>795</v>
      </c>
      <c r="X26" s="391">
        <v>1</v>
      </c>
      <c r="Y26" s="392" t="s">
        <v>355</v>
      </c>
      <c r="AB26" s="402">
        <v>4</v>
      </c>
      <c r="AC26" s="399" t="s">
        <v>346</v>
      </c>
    </row>
    <row r="27" spans="2:29" ht="29.45" customHeight="1">
      <c r="C27" s="896"/>
      <c r="AB27" s="396"/>
      <c r="AC27" s="399"/>
    </row>
    <row r="28" spans="2:29">
      <c r="C28" s="896"/>
    </row>
    <row r="29" spans="2:29">
      <c r="C29" s="896"/>
    </row>
    <row r="30" spans="2:29">
      <c r="C30" s="896"/>
    </row>
    <row r="31" spans="2:29">
      <c r="C31" s="896"/>
    </row>
    <row r="32" spans="2:29">
      <c r="C32" s="896"/>
    </row>
    <row r="33" spans="3:3">
      <c r="C33" s="896"/>
    </row>
    <row r="34" spans="3:3">
      <c r="C34" s="896"/>
    </row>
    <row r="35" spans="3:3">
      <c r="C35" s="896"/>
    </row>
    <row r="36" spans="3:3">
      <c r="C36" s="896"/>
    </row>
    <row r="67" ht="14.1" customHeight="1"/>
    <row r="77" ht="14.1" customHeight="1"/>
    <row r="87" ht="14.1" customHeight="1"/>
    <row r="112" spans="26:26">
      <c r="Z112" s="403" t="s">
        <v>737</v>
      </c>
    </row>
    <row r="113" spans="26:26">
      <c r="Z113" s="396" t="s">
        <v>738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0"/>
  <sheetViews>
    <sheetView zoomScale="70" zoomScaleNormal="70" workbookViewId="0">
      <selection activeCell="S24" sqref="S24"/>
    </sheetView>
  </sheetViews>
  <sheetFormatPr defaultColWidth="8.28515625" defaultRowHeight="15"/>
  <cols>
    <col min="1" max="1" width="18.42578125" style="404" customWidth="1"/>
    <col min="2" max="2" width="21.140625" style="404" bestFit="1" customWidth="1"/>
    <col min="3" max="6" width="14.28515625" style="404" customWidth="1"/>
    <col min="7" max="10" width="18.42578125" style="404" customWidth="1"/>
    <col min="11" max="11" width="17.140625" style="404" bestFit="1" customWidth="1"/>
    <col min="12" max="12" width="16" style="404" customWidth="1"/>
    <col min="13" max="13" width="23.28515625" style="404" bestFit="1" customWidth="1"/>
    <col min="14" max="15" width="13.28515625" style="404" bestFit="1" customWidth="1"/>
    <col min="16" max="16" width="8.28515625" style="404"/>
    <col min="17" max="17" width="12.85546875" style="404" bestFit="1" customWidth="1"/>
    <col min="18" max="16384" width="8.28515625" style="404"/>
  </cols>
  <sheetData>
    <row r="1" spans="1:18" ht="27" customHeight="1">
      <c r="A1" s="921" t="s">
        <v>764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</row>
    <row r="2" spans="1:18" ht="16.5" customHeight="1">
      <c r="A2" s="922" t="s">
        <v>765</v>
      </c>
      <c r="B2" s="922" t="s">
        <v>766</v>
      </c>
      <c r="C2" s="922" t="s">
        <v>767</v>
      </c>
      <c r="D2" s="922" t="s">
        <v>768</v>
      </c>
      <c r="E2" s="922" t="s">
        <v>769</v>
      </c>
      <c r="F2" s="922" t="s">
        <v>770</v>
      </c>
      <c r="G2" s="922" t="s">
        <v>771</v>
      </c>
      <c r="H2" s="922"/>
      <c r="I2" s="922" t="s">
        <v>772</v>
      </c>
      <c r="J2" s="922"/>
      <c r="K2" s="922" t="s">
        <v>773</v>
      </c>
      <c r="L2" s="922"/>
      <c r="M2" s="923" t="s">
        <v>774</v>
      </c>
      <c r="N2" s="923"/>
      <c r="O2" s="923"/>
    </row>
    <row r="3" spans="1:18" ht="37.5" customHeight="1">
      <c r="A3" s="922"/>
      <c r="B3" s="922"/>
      <c r="C3" s="922"/>
      <c r="D3" s="922"/>
      <c r="E3" s="922"/>
      <c r="F3" s="922"/>
      <c r="G3" s="552" t="s">
        <v>775</v>
      </c>
      <c r="H3" s="552" t="s">
        <v>776</v>
      </c>
      <c r="I3" s="552" t="s">
        <v>775</v>
      </c>
      <c r="J3" s="552" t="s">
        <v>776</v>
      </c>
      <c r="K3" s="552" t="s">
        <v>777</v>
      </c>
      <c r="L3" s="552" t="s">
        <v>778</v>
      </c>
      <c r="M3" s="454" t="s">
        <v>779</v>
      </c>
      <c r="N3" s="405" t="s">
        <v>780</v>
      </c>
      <c r="O3" s="405" t="s">
        <v>781</v>
      </c>
    </row>
    <row r="4" spans="1:18" ht="18.75">
      <c r="A4" s="502">
        <v>46082</v>
      </c>
      <c r="B4" s="432">
        <v>7873403</v>
      </c>
      <c r="C4" s="432">
        <v>19055</v>
      </c>
      <c r="D4" s="467">
        <f t="shared" ref="D4:D33" si="0">C4/B4</f>
        <v>2.4201733354687928E-3</v>
      </c>
      <c r="E4" s="433">
        <v>13141.722666341599</v>
      </c>
      <c r="F4" s="409">
        <f t="shared" ref="F4:F33" si="1">E4/B4</f>
        <v>1.6691286685492409E-3</v>
      </c>
      <c r="G4" s="432">
        <v>1749.3900000000003</v>
      </c>
      <c r="H4" s="410">
        <f t="shared" ref="H4:H33" si="2">G4/C4</f>
        <v>9.1807399632642367E-2</v>
      </c>
      <c r="I4" s="411">
        <v>1574.7586099999955</v>
      </c>
      <c r="J4" s="410">
        <f t="shared" ref="J4:J12" si="3">I4/E4</f>
        <v>0.11982893338886583</v>
      </c>
      <c r="K4" s="434">
        <v>3245.5180000000005</v>
      </c>
      <c r="L4" s="435">
        <f t="shared" ref="L4:L40" si="4">K4/C4</f>
        <v>0.17032369456835478</v>
      </c>
      <c r="M4" s="555">
        <f>SUM(B4:B5)</f>
        <v>15610006</v>
      </c>
      <c r="N4" s="556">
        <f>SUM(C4:C5)</f>
        <v>38009</v>
      </c>
      <c r="O4" s="556">
        <f>SUM(E4:E5)</f>
        <v>28180.464998061434</v>
      </c>
    </row>
    <row r="5" spans="1:18" ht="18.75">
      <c r="A5" s="502">
        <f>A4+1</f>
        <v>46083</v>
      </c>
      <c r="B5" s="432">
        <v>7736603</v>
      </c>
      <c r="C5" s="432">
        <v>18954</v>
      </c>
      <c r="D5" s="467">
        <f t="shared" si="0"/>
        <v>2.4499124486547907E-3</v>
      </c>
      <c r="E5" s="433">
        <v>15038.742331719834</v>
      </c>
      <c r="F5" s="409">
        <f t="shared" si="1"/>
        <v>1.9438430964752661E-3</v>
      </c>
      <c r="G5" s="432">
        <v>1353.3689999999999</v>
      </c>
      <c r="H5" s="410">
        <f t="shared" si="2"/>
        <v>7.1402817347261782E-2</v>
      </c>
      <c r="I5" s="411">
        <v>1551.2935699999998</v>
      </c>
      <c r="J5" s="410">
        <f t="shared" si="3"/>
        <v>0.10315314510894966</v>
      </c>
      <c r="K5" s="434">
        <v>3249.6240000000007</v>
      </c>
      <c r="L5" s="435">
        <f t="shared" si="4"/>
        <v>0.17144792655903771</v>
      </c>
      <c r="M5" s="555"/>
      <c r="N5" s="556"/>
      <c r="O5" s="556"/>
    </row>
    <row r="6" spans="1:18" ht="18.75">
      <c r="A6" s="414">
        <f t="shared" ref="A6:A40" si="5">A5+1</f>
        <v>46084</v>
      </c>
      <c r="B6" s="432">
        <v>8673470</v>
      </c>
      <c r="C6" s="432">
        <v>21315</v>
      </c>
      <c r="D6" s="467">
        <f t="shared" si="0"/>
        <v>2.457493944176898E-3</v>
      </c>
      <c r="E6" s="433">
        <v>15814</v>
      </c>
      <c r="F6" s="409">
        <f t="shared" si="1"/>
        <v>1.8232610477698084E-3</v>
      </c>
      <c r="G6" s="432">
        <v>1316</v>
      </c>
      <c r="H6" s="410">
        <f t="shared" si="2"/>
        <v>6.1740558292282428E-2</v>
      </c>
      <c r="I6" s="411">
        <v>1565</v>
      </c>
      <c r="J6" s="410">
        <f t="shared" si="3"/>
        <v>9.8962944226634625E-2</v>
      </c>
      <c r="K6" s="434">
        <v>3487</v>
      </c>
      <c r="L6" s="435">
        <f t="shared" si="4"/>
        <v>0.16359371334740794</v>
      </c>
      <c r="M6" s="555">
        <f>SUM(B6:B12)</f>
        <v>53050901</v>
      </c>
      <c r="N6" s="556">
        <f>SUM(C6:C12)</f>
        <v>129836</v>
      </c>
      <c r="O6" s="556">
        <f>SUM(E6:E12)</f>
        <v>102537</v>
      </c>
    </row>
    <row r="7" spans="1:18" ht="18.75">
      <c r="A7" s="414">
        <f t="shared" si="5"/>
        <v>46085</v>
      </c>
      <c r="B7" s="432">
        <v>7833391</v>
      </c>
      <c r="C7" s="432">
        <v>19208</v>
      </c>
      <c r="D7" s="467">
        <f t="shared" si="0"/>
        <v>2.4520670549957229E-3</v>
      </c>
      <c r="E7" s="433">
        <v>14553</v>
      </c>
      <c r="F7" s="409">
        <f t="shared" si="1"/>
        <v>1.8578161105452288E-3</v>
      </c>
      <c r="G7" s="432">
        <v>1418</v>
      </c>
      <c r="H7" s="410">
        <f t="shared" si="2"/>
        <v>7.3823406913785916E-2</v>
      </c>
      <c r="I7" s="411">
        <v>1554</v>
      </c>
      <c r="J7" s="410">
        <f t="shared" si="3"/>
        <v>0.10678210678210678</v>
      </c>
      <c r="K7" s="434">
        <v>2696</v>
      </c>
      <c r="L7" s="435">
        <f t="shared" si="4"/>
        <v>0.14035818408996251</v>
      </c>
      <c r="M7" s="555"/>
      <c r="N7" s="556"/>
      <c r="O7" s="556"/>
    </row>
    <row r="8" spans="1:18" ht="18.75">
      <c r="A8" s="414">
        <f t="shared" si="5"/>
        <v>46086</v>
      </c>
      <c r="B8" s="432">
        <v>7120934</v>
      </c>
      <c r="C8" s="432">
        <v>17511</v>
      </c>
      <c r="D8" s="467">
        <f t="shared" si="0"/>
        <v>2.459087529809994E-3</v>
      </c>
      <c r="E8" s="433">
        <v>14652</v>
      </c>
      <c r="F8" s="409">
        <f t="shared" si="1"/>
        <v>2.0575952536563322E-3</v>
      </c>
      <c r="G8" s="432">
        <v>1386</v>
      </c>
      <c r="H8" s="410">
        <f t="shared" si="2"/>
        <v>7.9150248415281829E-2</v>
      </c>
      <c r="I8" s="411">
        <v>1530</v>
      </c>
      <c r="J8" s="410">
        <f t="shared" si="3"/>
        <v>0.10442260442260443</v>
      </c>
      <c r="K8" s="434">
        <v>2531</v>
      </c>
      <c r="L8" s="435">
        <f t="shared" si="4"/>
        <v>0.14453771914796415</v>
      </c>
      <c r="M8" s="555"/>
      <c r="N8" s="556"/>
      <c r="O8" s="556"/>
      <c r="P8" s="415"/>
      <c r="Q8" s="415"/>
      <c r="R8" s="415"/>
    </row>
    <row r="9" spans="1:18" ht="18.75">
      <c r="A9" s="414">
        <f t="shared" si="5"/>
        <v>46087</v>
      </c>
      <c r="B9" s="432">
        <v>6319241</v>
      </c>
      <c r="C9" s="432">
        <v>15285</v>
      </c>
      <c r="D9" s="467">
        <f t="shared" si="0"/>
        <v>2.4188031442383667E-3</v>
      </c>
      <c r="E9" s="433">
        <v>13052</v>
      </c>
      <c r="F9" s="409">
        <f t="shared" si="1"/>
        <v>2.0654379220542466E-3</v>
      </c>
      <c r="G9" s="432">
        <v>1317</v>
      </c>
      <c r="H9" s="410">
        <f t="shared" si="2"/>
        <v>8.6162904808635921E-2</v>
      </c>
      <c r="I9" s="411">
        <v>1447</v>
      </c>
      <c r="J9" s="410">
        <f t="shared" si="3"/>
        <v>0.1108642353662274</v>
      </c>
      <c r="K9" s="434">
        <v>2524</v>
      </c>
      <c r="L9" s="435">
        <f t="shared" si="4"/>
        <v>0.16512921164540398</v>
      </c>
      <c r="M9" s="555"/>
      <c r="N9" s="556"/>
      <c r="O9" s="556"/>
    </row>
    <row r="10" spans="1:18" ht="18.75">
      <c r="A10" s="414">
        <f t="shared" si="5"/>
        <v>46088</v>
      </c>
      <c r="B10" s="432">
        <v>6868140</v>
      </c>
      <c r="C10" s="432">
        <v>16881</v>
      </c>
      <c r="D10" s="467">
        <f t="shared" si="0"/>
        <v>2.4578706898811032E-3</v>
      </c>
      <c r="E10" s="433">
        <v>13255</v>
      </c>
      <c r="F10" s="409">
        <f t="shared" si="1"/>
        <v>1.9299257149679534E-3</v>
      </c>
      <c r="G10" s="432">
        <v>1429</v>
      </c>
      <c r="H10" s="410">
        <f t="shared" si="2"/>
        <v>8.4651383211895026E-2</v>
      </c>
      <c r="I10" s="411">
        <v>1373</v>
      </c>
      <c r="J10" s="410">
        <f t="shared" si="3"/>
        <v>0.10358355337608449</v>
      </c>
      <c r="K10" s="434">
        <v>2990</v>
      </c>
      <c r="L10" s="435">
        <f t="shared" si="4"/>
        <v>0.17712220839997631</v>
      </c>
      <c r="M10" s="555"/>
      <c r="N10" s="556"/>
      <c r="O10" s="556"/>
      <c r="P10" s="416"/>
      <c r="Q10" s="416"/>
    </row>
    <row r="11" spans="1:18" ht="18.75">
      <c r="A11" s="414">
        <f t="shared" si="5"/>
        <v>46089</v>
      </c>
      <c r="B11" s="432">
        <v>8317813</v>
      </c>
      <c r="C11" s="432">
        <v>20303</v>
      </c>
      <c r="D11" s="467">
        <f t="shared" si="0"/>
        <v>2.4409060410470877E-3</v>
      </c>
      <c r="E11" s="433">
        <v>15543</v>
      </c>
      <c r="F11" s="409">
        <f t="shared" si="1"/>
        <v>1.8686402303105395E-3</v>
      </c>
      <c r="G11" s="432">
        <v>1332</v>
      </c>
      <c r="H11" s="410">
        <f t="shared" si="2"/>
        <v>6.5606068068758308E-2</v>
      </c>
      <c r="I11" s="411">
        <v>1310</v>
      </c>
      <c r="J11" s="410">
        <f t="shared" si="3"/>
        <v>8.4282313581676635E-2</v>
      </c>
      <c r="K11" s="434">
        <v>3098</v>
      </c>
      <c r="L11" s="435">
        <f t="shared" si="4"/>
        <v>0.15258828744520514</v>
      </c>
      <c r="M11" s="555"/>
      <c r="N11" s="556"/>
      <c r="O11" s="556"/>
    </row>
    <row r="12" spans="1:18" ht="18.75">
      <c r="A12" s="414">
        <f t="shared" si="5"/>
        <v>46090</v>
      </c>
      <c r="B12" s="432">
        <v>7917912</v>
      </c>
      <c r="C12" s="432">
        <v>19333</v>
      </c>
      <c r="D12" s="467">
        <f t="shared" si="0"/>
        <v>2.4416790689262523E-3</v>
      </c>
      <c r="E12" s="433">
        <v>15668</v>
      </c>
      <c r="F12" s="409">
        <f t="shared" si="1"/>
        <v>1.9788045131090117E-3</v>
      </c>
      <c r="G12" s="432">
        <v>1522</v>
      </c>
      <c r="H12" s="410">
        <f t="shared" si="2"/>
        <v>7.8725495267159773E-2</v>
      </c>
      <c r="I12" s="411">
        <v>1544</v>
      </c>
      <c r="J12" s="410">
        <f t="shared" si="3"/>
        <v>9.8544804697472552E-2</v>
      </c>
      <c r="K12" s="434">
        <v>3585</v>
      </c>
      <c r="L12" s="435">
        <f t="shared" si="4"/>
        <v>0.18543423162468317</v>
      </c>
      <c r="M12" s="555"/>
      <c r="N12" s="556"/>
      <c r="O12" s="556"/>
    </row>
    <row r="13" spans="1:18" ht="18.75">
      <c r="A13" s="502">
        <f t="shared" si="5"/>
        <v>46091</v>
      </c>
      <c r="B13" s="432">
        <v>7857997</v>
      </c>
      <c r="C13" s="432">
        <v>19254</v>
      </c>
      <c r="D13" s="467">
        <f t="shared" si="0"/>
        <v>2.4502427272497049E-3</v>
      </c>
      <c r="E13" s="433">
        <v>13589</v>
      </c>
      <c r="F13" s="409">
        <f t="shared" si="1"/>
        <v>1.7293210979846391E-3</v>
      </c>
      <c r="G13" s="432">
        <v>1612</v>
      </c>
      <c r="H13" s="410">
        <f t="shared" si="2"/>
        <v>8.3722862781759638E-2</v>
      </c>
      <c r="I13" s="411">
        <v>1468</v>
      </c>
      <c r="J13" s="410">
        <v>0.10802855250570315</v>
      </c>
      <c r="K13" s="434">
        <v>3219</v>
      </c>
      <c r="L13" s="435">
        <f t="shared" si="4"/>
        <v>0.1671860392645684</v>
      </c>
      <c r="M13" s="555">
        <f>SUM(B13:B19)</f>
        <v>51759222</v>
      </c>
      <c r="N13" s="556">
        <f>SUM(C13:C19)</f>
        <v>126043</v>
      </c>
      <c r="O13" s="556">
        <f>SUM(E13:E19)</f>
        <v>99337</v>
      </c>
    </row>
    <row r="14" spans="1:18" ht="18.75">
      <c r="A14" s="502">
        <f t="shared" si="5"/>
        <v>46092</v>
      </c>
      <c r="B14" s="432">
        <v>7290922</v>
      </c>
      <c r="C14" s="432">
        <v>17752</v>
      </c>
      <c r="D14" s="467">
        <f t="shared" si="0"/>
        <v>2.4348086565732017E-3</v>
      </c>
      <c r="E14" s="433">
        <v>14155</v>
      </c>
      <c r="F14" s="409">
        <f t="shared" si="1"/>
        <v>1.9414554153781923E-3</v>
      </c>
      <c r="G14" s="432">
        <v>1543</v>
      </c>
      <c r="H14" s="410">
        <f t="shared" si="2"/>
        <v>8.6919783686345203E-2</v>
      </c>
      <c r="I14" s="411">
        <v>1354</v>
      </c>
      <c r="J14" s="410">
        <v>9.5655245496291064E-2</v>
      </c>
      <c r="K14" s="434">
        <v>3078</v>
      </c>
      <c r="L14" s="435">
        <f t="shared" si="4"/>
        <v>0.17338891392519154</v>
      </c>
      <c r="M14" s="555"/>
      <c r="N14" s="556"/>
      <c r="O14" s="556"/>
    </row>
    <row r="15" spans="1:18" ht="18.75">
      <c r="A15" s="502">
        <f t="shared" si="5"/>
        <v>46093</v>
      </c>
      <c r="B15" s="432">
        <v>6613915</v>
      </c>
      <c r="C15" s="432">
        <v>16065</v>
      </c>
      <c r="D15" s="467">
        <f t="shared" si="0"/>
        <v>2.4289698310304866E-3</v>
      </c>
      <c r="E15" s="433">
        <v>13015</v>
      </c>
      <c r="F15" s="409">
        <f t="shared" si="1"/>
        <v>1.9678208746256943E-3</v>
      </c>
      <c r="G15" s="432">
        <v>1352</v>
      </c>
      <c r="H15" s="410">
        <f t="shared" si="2"/>
        <v>8.4158107687519454E-2</v>
      </c>
      <c r="I15" s="411">
        <v>1439</v>
      </c>
      <c r="J15" s="410">
        <v>0.11056473300038418</v>
      </c>
      <c r="K15" s="434">
        <v>3363</v>
      </c>
      <c r="L15" s="435">
        <f t="shared" si="4"/>
        <v>0.20933706816059758</v>
      </c>
      <c r="M15" s="555"/>
      <c r="N15" s="556"/>
      <c r="O15" s="556"/>
    </row>
    <row r="16" spans="1:18" ht="18.75">
      <c r="A16" s="502">
        <f t="shared" si="5"/>
        <v>46094</v>
      </c>
      <c r="B16" s="432">
        <v>6674345</v>
      </c>
      <c r="C16" s="432">
        <v>16138</v>
      </c>
      <c r="D16" s="467">
        <f t="shared" si="0"/>
        <v>2.4179151662073206E-3</v>
      </c>
      <c r="E16" s="433">
        <v>13256</v>
      </c>
      <c r="F16" s="409">
        <f t="shared" si="1"/>
        <v>1.9861124949339596E-3</v>
      </c>
      <c r="G16" s="432">
        <v>1499</v>
      </c>
      <c r="H16" s="410">
        <f t="shared" si="2"/>
        <v>9.2886355186516292E-2</v>
      </c>
      <c r="I16" s="411">
        <v>1398</v>
      </c>
      <c r="J16" s="410">
        <v>0.10546167773083887</v>
      </c>
      <c r="K16" s="434">
        <v>3152</v>
      </c>
      <c r="L16" s="435">
        <f t="shared" si="4"/>
        <v>0.19531540463502292</v>
      </c>
      <c r="M16" s="555"/>
      <c r="N16" s="556"/>
      <c r="O16" s="556"/>
    </row>
    <row r="17" spans="1:15" ht="18.75">
      <c r="A17" s="502">
        <f t="shared" si="5"/>
        <v>46095</v>
      </c>
      <c r="B17" s="432">
        <v>6969421</v>
      </c>
      <c r="C17" s="432">
        <v>16857</v>
      </c>
      <c r="D17" s="467">
        <f t="shared" si="0"/>
        <v>2.4187088138311634E-3</v>
      </c>
      <c r="E17" s="433">
        <v>13897</v>
      </c>
      <c r="F17" s="409">
        <f t="shared" si="1"/>
        <v>1.9939963448900562E-3</v>
      </c>
      <c r="G17" s="432">
        <v>1523</v>
      </c>
      <c r="H17" s="410">
        <f t="shared" si="2"/>
        <v>9.0348223290027882E-2</v>
      </c>
      <c r="I17" s="411">
        <v>1511</v>
      </c>
      <c r="J17" s="410">
        <v>0.10872850255450817</v>
      </c>
      <c r="K17" s="434">
        <v>2721</v>
      </c>
      <c r="L17" s="435">
        <f t="shared" si="4"/>
        <v>0.16141662217476418</v>
      </c>
      <c r="M17" s="555"/>
      <c r="N17" s="556"/>
      <c r="O17" s="556"/>
    </row>
    <row r="18" spans="1:15" ht="18.75">
      <c r="A18" s="502">
        <f t="shared" si="5"/>
        <v>46096</v>
      </c>
      <c r="B18" s="432">
        <v>8390696</v>
      </c>
      <c r="C18" s="432">
        <v>20459</v>
      </c>
      <c r="D18" s="467">
        <f t="shared" si="0"/>
        <v>2.4382959411233585E-3</v>
      </c>
      <c r="E18" s="433">
        <v>15879</v>
      </c>
      <c r="F18" s="409">
        <f t="shared" si="1"/>
        <v>1.8924532601347968E-3</v>
      </c>
      <c r="G18" s="432">
        <v>1679</v>
      </c>
      <c r="H18" s="410">
        <f t="shared" si="2"/>
        <v>8.2066572168727703E-2</v>
      </c>
      <c r="I18" s="411">
        <v>1613</v>
      </c>
      <c r="J18" s="410">
        <v>0.10872850255450817</v>
      </c>
      <c r="K18" s="434">
        <v>3370</v>
      </c>
      <c r="L18" s="435">
        <f t="shared" si="4"/>
        <v>0.16471968326897699</v>
      </c>
      <c r="M18" s="555"/>
      <c r="N18" s="556"/>
      <c r="O18" s="556"/>
    </row>
    <row r="19" spans="1:15" ht="18.75">
      <c r="A19" s="502">
        <f t="shared" si="5"/>
        <v>46097</v>
      </c>
      <c r="B19" s="432">
        <v>7961926</v>
      </c>
      <c r="C19" s="432">
        <v>19518</v>
      </c>
      <c r="D19" s="467">
        <f t="shared" si="0"/>
        <v>2.4514169059094496E-3</v>
      </c>
      <c r="E19" s="433">
        <v>15546</v>
      </c>
      <c r="F19" s="409">
        <f t="shared" si="1"/>
        <v>1.9525426385525312E-3</v>
      </c>
      <c r="G19" s="432">
        <v>1587</v>
      </c>
      <c r="H19" s="410">
        <f t="shared" si="2"/>
        <v>8.1309560405779274E-2</v>
      </c>
      <c r="I19" s="411">
        <v>1678</v>
      </c>
      <c r="J19" s="410">
        <v>0.10872850255450817</v>
      </c>
      <c r="K19" s="434">
        <v>3048</v>
      </c>
      <c r="L19" s="435">
        <f t="shared" si="4"/>
        <v>0.15616354134644944</v>
      </c>
      <c r="M19" s="555"/>
      <c r="N19" s="556"/>
      <c r="O19" s="556"/>
    </row>
    <row r="20" spans="1:15" ht="18.75">
      <c r="A20" s="414">
        <f t="shared" si="5"/>
        <v>46098</v>
      </c>
      <c r="B20" s="432">
        <v>8375991</v>
      </c>
      <c r="C20" s="432">
        <v>20425</v>
      </c>
      <c r="D20" s="467">
        <f t="shared" si="0"/>
        <v>2.4385174243859624E-3</v>
      </c>
      <c r="E20" s="433">
        <v>14048.703264089729</v>
      </c>
      <c r="F20" s="409">
        <f t="shared" si="1"/>
        <v>1.6772586388989349E-3</v>
      </c>
      <c r="G20" s="432">
        <v>1659.0500000000002</v>
      </c>
      <c r="H20" s="410">
        <f t="shared" si="2"/>
        <v>8.1226438188494496E-2</v>
      </c>
      <c r="I20" s="411">
        <v>1728.3279999999977</v>
      </c>
      <c r="J20" s="410">
        <v>0.10872850255450817</v>
      </c>
      <c r="K20" s="434">
        <v>2890.3739999999993</v>
      </c>
      <c r="L20" s="435">
        <f t="shared" si="4"/>
        <v>0.14151157894736838</v>
      </c>
      <c r="M20" s="555">
        <f>SUM(B20:B26)</f>
        <v>53723391</v>
      </c>
      <c r="N20" s="556">
        <f>SUM(C20:C26)</f>
        <v>130917</v>
      </c>
      <c r="O20" s="556">
        <f>SUM(E20:E26)</f>
        <v>93612.830555113702</v>
      </c>
    </row>
    <row r="21" spans="1:15" ht="18.75">
      <c r="A21" s="414">
        <f t="shared" si="5"/>
        <v>46099</v>
      </c>
      <c r="B21" s="432">
        <v>7820204</v>
      </c>
      <c r="C21" s="432">
        <v>19017</v>
      </c>
      <c r="D21" s="467">
        <f t="shared" si="0"/>
        <v>2.4317779945382499E-3</v>
      </c>
      <c r="E21" s="433">
        <v>13021.219712197295</v>
      </c>
      <c r="F21" s="409">
        <f t="shared" si="1"/>
        <v>1.6650741735378381E-3</v>
      </c>
      <c r="G21" s="432">
        <v>1669.0830000000001</v>
      </c>
      <c r="H21" s="410">
        <f t="shared" si="2"/>
        <v>8.7767944470736714E-2</v>
      </c>
      <c r="I21" s="411">
        <v>1673.1350800000052</v>
      </c>
      <c r="J21" s="410">
        <v>0.10872850255450817</v>
      </c>
      <c r="K21" s="434">
        <v>2967.05</v>
      </c>
      <c r="L21" s="435">
        <f t="shared" si="4"/>
        <v>0.15602092864279329</v>
      </c>
      <c r="M21" s="555"/>
      <c r="N21" s="556"/>
      <c r="O21" s="556"/>
    </row>
    <row r="22" spans="1:15" ht="18.75">
      <c r="A22" s="414">
        <f t="shared" si="5"/>
        <v>46100</v>
      </c>
      <c r="B22" s="432">
        <v>7245796</v>
      </c>
      <c r="C22" s="432">
        <v>17730</v>
      </c>
      <c r="D22" s="467">
        <f t="shared" si="0"/>
        <v>2.4469361268244371E-3</v>
      </c>
      <c r="E22" s="433">
        <v>12757.123108475511</v>
      </c>
      <c r="F22" s="409">
        <f t="shared" si="1"/>
        <v>1.7606241065130058E-3</v>
      </c>
      <c r="G22" s="432">
        <v>1569.8420000000001</v>
      </c>
      <c r="H22" s="410">
        <f t="shared" si="2"/>
        <v>8.8541567963903001E-2</v>
      </c>
      <c r="I22" s="411">
        <v>1637.4931500000018</v>
      </c>
      <c r="J22" s="410">
        <v>0.10872850255450817</v>
      </c>
      <c r="K22" s="434">
        <v>3071.6139999999996</v>
      </c>
      <c r="L22" s="435">
        <f t="shared" si="4"/>
        <v>0.17324388042865199</v>
      </c>
      <c r="M22" s="555"/>
      <c r="N22" s="556"/>
      <c r="O22" s="556"/>
    </row>
    <row r="23" spans="1:15" ht="18.75">
      <c r="A23" s="414">
        <f t="shared" si="5"/>
        <v>46101</v>
      </c>
      <c r="B23" s="432">
        <v>6666905</v>
      </c>
      <c r="C23" s="432">
        <v>16201</v>
      </c>
      <c r="D23" s="467">
        <f t="shared" si="0"/>
        <v>2.4300631252432725E-3</v>
      </c>
      <c r="E23" s="433">
        <v>12887.373716936627</v>
      </c>
      <c r="F23" s="409">
        <f t="shared" si="1"/>
        <v>1.9330369514694789E-3</v>
      </c>
      <c r="G23" s="432">
        <v>1539.0520000000001</v>
      </c>
      <c r="H23" s="410">
        <f t="shared" si="2"/>
        <v>9.4997345842849218E-2</v>
      </c>
      <c r="I23" s="411">
        <v>1402.8389499999967</v>
      </c>
      <c r="J23" s="410">
        <v>0.10872850255450817</v>
      </c>
      <c r="K23" s="434">
        <v>2699.954999999999</v>
      </c>
      <c r="L23" s="435">
        <f t="shared" si="4"/>
        <v>0.16665360162952897</v>
      </c>
      <c r="M23" s="555"/>
      <c r="N23" s="556"/>
      <c r="O23" s="556"/>
    </row>
    <row r="24" spans="1:15" ht="18.75">
      <c r="A24" s="414">
        <f t="shared" si="5"/>
        <v>46102</v>
      </c>
      <c r="B24" s="432">
        <v>7035053</v>
      </c>
      <c r="C24" s="432">
        <v>17228</v>
      </c>
      <c r="D24" s="467">
        <f t="shared" si="0"/>
        <v>2.4488799160432765E-3</v>
      </c>
      <c r="E24" s="433">
        <v>12287.928131595074</v>
      </c>
      <c r="F24" s="409">
        <f t="shared" si="1"/>
        <v>1.7466717211078685E-3</v>
      </c>
      <c r="G24" s="432">
        <v>1636.1000000000001</v>
      </c>
      <c r="H24" s="410">
        <f t="shared" si="2"/>
        <v>9.496749477594614E-2</v>
      </c>
      <c r="I24" s="411">
        <v>1630.7964399999942</v>
      </c>
      <c r="J24" s="410">
        <v>0.10872850255450817</v>
      </c>
      <c r="K24" s="434">
        <v>2435.5059999999999</v>
      </c>
      <c r="L24" s="435">
        <f t="shared" si="4"/>
        <v>0.14136905038309727</v>
      </c>
      <c r="M24" s="555"/>
      <c r="N24" s="556"/>
      <c r="O24" s="556"/>
    </row>
    <row r="25" spans="1:15" ht="18.75">
      <c r="A25" s="414">
        <f t="shared" si="5"/>
        <v>46103</v>
      </c>
      <c r="B25" s="432">
        <v>8486244</v>
      </c>
      <c r="C25" s="432">
        <v>20712</v>
      </c>
      <c r="D25" s="467">
        <f t="shared" si="0"/>
        <v>2.4406557247234465E-3</v>
      </c>
      <c r="E25" s="433">
        <v>15030.037471657226</v>
      </c>
      <c r="F25" s="409">
        <f t="shared" si="1"/>
        <v>1.7711059771151085E-3</v>
      </c>
      <c r="G25" s="432">
        <v>1646.3</v>
      </c>
      <c r="H25" s="410">
        <f t="shared" si="2"/>
        <v>7.9485322518346849E-2</v>
      </c>
      <c r="I25" s="411">
        <v>1848.3722500000031</v>
      </c>
      <c r="J25" s="410">
        <v>0.10872850255450817</v>
      </c>
      <c r="K25" s="434">
        <v>3152.9370000000008</v>
      </c>
      <c r="L25" s="435">
        <f t="shared" si="4"/>
        <v>0.15222754924681348</v>
      </c>
      <c r="M25" s="555"/>
      <c r="N25" s="556"/>
      <c r="O25" s="556"/>
    </row>
    <row r="26" spans="1:15" ht="18.75">
      <c r="A26" s="414">
        <f t="shared" si="5"/>
        <v>46104</v>
      </c>
      <c r="B26" s="432">
        <v>8093198</v>
      </c>
      <c r="C26" s="432">
        <v>19604</v>
      </c>
      <c r="D26" s="467">
        <f t="shared" si="0"/>
        <v>2.4222810315526694E-3</v>
      </c>
      <c r="E26" s="433">
        <v>13580.445150162241</v>
      </c>
      <c r="F26" s="409">
        <f t="shared" si="1"/>
        <v>1.678007278477833E-3</v>
      </c>
      <c r="G26" s="432">
        <v>1736.0660000000003</v>
      </c>
      <c r="H26" s="410">
        <f t="shared" si="2"/>
        <v>8.8556723117731093E-2</v>
      </c>
      <c r="I26" s="411">
        <v>1844.7693199999937</v>
      </c>
      <c r="J26" s="410">
        <v>0.10872850255450817</v>
      </c>
      <c r="K26" s="434">
        <v>2845.2579999999998</v>
      </c>
      <c r="L26" s="435">
        <f t="shared" si="4"/>
        <v>0.1451366047745358</v>
      </c>
      <c r="M26" s="555"/>
      <c r="N26" s="556"/>
      <c r="O26" s="556"/>
    </row>
    <row r="27" spans="1:15" ht="18.75">
      <c r="A27" s="502">
        <f t="shared" si="5"/>
        <v>46105</v>
      </c>
      <c r="B27" s="432">
        <v>8093142</v>
      </c>
      <c r="C27" s="432">
        <v>19677</v>
      </c>
      <c r="D27" s="467">
        <f t="shared" si="0"/>
        <v>2.4313177749754051E-3</v>
      </c>
      <c r="E27" s="433">
        <v>15643.17251538852</v>
      </c>
      <c r="F27" s="409">
        <f t="shared" si="1"/>
        <v>1.9328923816471428E-3</v>
      </c>
      <c r="G27" s="432">
        <v>1566.6410000000001</v>
      </c>
      <c r="H27" s="410">
        <f t="shared" si="2"/>
        <v>7.9617878741678111E-2</v>
      </c>
      <c r="I27" s="411">
        <v>1791.086479999989</v>
      </c>
      <c r="J27" s="410">
        <v>0.10872850255450817</v>
      </c>
      <c r="K27" s="434">
        <v>2631.9940000000001</v>
      </c>
      <c r="L27" s="435">
        <f t="shared" si="4"/>
        <v>0.1337599227524521</v>
      </c>
      <c r="M27" s="555">
        <f>SUM(B27:B33)</f>
        <v>53987945</v>
      </c>
      <c r="N27" s="556">
        <f>SUM(C27:C33)</f>
        <v>131313</v>
      </c>
      <c r="O27" s="556">
        <f>SUM(E27:E33)</f>
        <v>96896.216338453902</v>
      </c>
    </row>
    <row r="28" spans="1:15" ht="18.75">
      <c r="A28" s="502">
        <f t="shared" si="5"/>
        <v>46106</v>
      </c>
      <c r="B28" s="432">
        <v>7691347</v>
      </c>
      <c r="C28" s="432">
        <v>18683</v>
      </c>
      <c r="D28" s="467">
        <f t="shared" si="0"/>
        <v>2.4290933694709133E-3</v>
      </c>
      <c r="E28" s="433">
        <v>13268.240084948889</v>
      </c>
      <c r="F28" s="409">
        <f t="shared" si="1"/>
        <v>1.7250866571159628E-3</v>
      </c>
      <c r="G28" s="432">
        <v>1775.5060000000001</v>
      </c>
      <c r="H28" s="410">
        <f t="shared" si="2"/>
        <v>9.5033238773216303E-2</v>
      </c>
      <c r="I28" s="411">
        <v>1554.8996599999996</v>
      </c>
      <c r="J28" s="410">
        <v>0.10872850255450817</v>
      </c>
      <c r="K28" s="434">
        <v>2583.0380000000005</v>
      </c>
      <c r="L28" s="435">
        <f t="shared" si="4"/>
        <v>0.13825606166033294</v>
      </c>
      <c r="M28" s="555"/>
      <c r="N28" s="556"/>
      <c r="O28" s="556"/>
    </row>
    <row r="29" spans="1:15" ht="18.75">
      <c r="A29" s="502">
        <f t="shared" si="5"/>
        <v>46107</v>
      </c>
      <c r="B29" s="432">
        <v>7180490</v>
      </c>
      <c r="C29" s="432">
        <v>17612</v>
      </c>
      <c r="D29" s="467">
        <f t="shared" si="0"/>
        <v>2.4527574023499787E-3</v>
      </c>
      <c r="E29" s="433">
        <v>13119.602244434434</v>
      </c>
      <c r="F29" s="409">
        <f t="shared" si="1"/>
        <v>1.8271179605339517E-3</v>
      </c>
      <c r="G29" s="432">
        <v>1652.3819999999998</v>
      </c>
      <c r="H29" s="410">
        <f t="shared" si="2"/>
        <v>9.3821371791960012E-2</v>
      </c>
      <c r="I29" s="411">
        <v>1831.026700000014</v>
      </c>
      <c r="J29" s="410">
        <v>0.10872850255450817</v>
      </c>
      <c r="K29" s="434">
        <v>2705.0309999999999</v>
      </c>
      <c r="L29" s="435">
        <f t="shared" si="4"/>
        <v>0.15359022257551669</v>
      </c>
      <c r="M29" s="555"/>
      <c r="N29" s="556"/>
      <c r="O29" s="556"/>
    </row>
    <row r="30" spans="1:15" ht="18.75">
      <c r="A30" s="502">
        <f t="shared" si="5"/>
        <v>46108</v>
      </c>
      <c r="B30" s="432">
        <v>7065299</v>
      </c>
      <c r="C30" s="432">
        <v>17196</v>
      </c>
      <c r="D30" s="467">
        <f t="shared" si="0"/>
        <v>2.4338672715761922E-3</v>
      </c>
      <c r="E30" s="433">
        <v>12791.432319375654</v>
      </c>
      <c r="F30" s="409">
        <f t="shared" si="1"/>
        <v>1.8104587391666869E-3</v>
      </c>
      <c r="G30" s="432">
        <v>1451.8720000000001</v>
      </c>
      <c r="H30" s="410">
        <f t="shared" si="2"/>
        <v>8.4430797859967432E-2</v>
      </c>
      <c r="I30" s="411">
        <v>1563.3532699999932</v>
      </c>
      <c r="J30" s="410">
        <v>0.10872850255450817</v>
      </c>
      <c r="K30" s="434">
        <v>3135.0190000000007</v>
      </c>
      <c r="L30" s="435">
        <f t="shared" si="4"/>
        <v>0.18231094440567577</v>
      </c>
      <c r="M30" s="555"/>
      <c r="N30" s="556"/>
      <c r="O30" s="556"/>
    </row>
    <row r="31" spans="1:15" ht="18.75">
      <c r="A31" s="502">
        <f t="shared" si="5"/>
        <v>46109</v>
      </c>
      <c r="B31" s="432">
        <v>7298371</v>
      </c>
      <c r="C31" s="432">
        <v>17664</v>
      </c>
      <c r="D31" s="467">
        <f t="shared" si="0"/>
        <v>2.4202661114377439E-3</v>
      </c>
      <c r="E31" s="433">
        <v>13121.535474944851</v>
      </c>
      <c r="F31" s="409">
        <f t="shared" si="1"/>
        <v>1.7978718093318155E-3</v>
      </c>
      <c r="G31" s="432">
        <v>1660.7269999999999</v>
      </c>
      <c r="H31" s="410">
        <f t="shared" si="2"/>
        <v>9.4017606431159417E-2</v>
      </c>
      <c r="I31" s="411">
        <v>1513.9519899999914</v>
      </c>
      <c r="J31" s="410">
        <v>0.10872850255450817</v>
      </c>
      <c r="K31" s="434">
        <v>2607.1949999999997</v>
      </c>
      <c r="L31" s="435">
        <f t="shared" si="4"/>
        <v>0.14759935461956519</v>
      </c>
      <c r="M31" s="555"/>
      <c r="N31" s="556"/>
      <c r="O31" s="556"/>
    </row>
    <row r="32" spans="1:15" ht="18.75">
      <c r="A32" s="502">
        <f t="shared" si="5"/>
        <v>46110</v>
      </c>
      <c r="B32" s="432">
        <v>8464560</v>
      </c>
      <c r="C32" s="432">
        <v>20625</v>
      </c>
      <c r="D32" s="467">
        <f t="shared" si="0"/>
        <v>2.4366299016133149E-3</v>
      </c>
      <c r="E32" s="433">
        <v>14168.28203459701</v>
      </c>
      <c r="F32" s="409">
        <f t="shared" si="1"/>
        <v>1.6738356198782937E-3</v>
      </c>
      <c r="G32" s="432">
        <v>1604.557</v>
      </c>
      <c r="H32" s="410">
        <f t="shared" si="2"/>
        <v>7.7796703030303033E-2</v>
      </c>
      <c r="I32" s="411">
        <v>1589.7087199999949</v>
      </c>
      <c r="J32" s="410">
        <v>0.10872850255450817</v>
      </c>
      <c r="K32" s="434">
        <v>3181.2449999999999</v>
      </c>
      <c r="L32" s="435">
        <f t="shared" si="4"/>
        <v>0.15424218181818181</v>
      </c>
      <c r="M32" s="555"/>
      <c r="N32" s="556"/>
      <c r="O32" s="556"/>
    </row>
    <row r="33" spans="1:15" ht="18.75">
      <c r="A33" s="502">
        <f t="shared" si="5"/>
        <v>46111</v>
      </c>
      <c r="B33" s="432">
        <v>8194736</v>
      </c>
      <c r="C33" s="432">
        <v>19856</v>
      </c>
      <c r="D33" s="467">
        <f t="shared" si="0"/>
        <v>2.4230188745555685E-3</v>
      </c>
      <c r="E33" s="433">
        <v>14783.951664764543</v>
      </c>
      <c r="F33" s="409">
        <f t="shared" si="1"/>
        <v>1.804079065483567E-3</v>
      </c>
      <c r="G33" s="432">
        <v>1672.7510000000002</v>
      </c>
      <c r="H33" s="410">
        <f t="shared" si="2"/>
        <v>8.4244107574536681E-2</v>
      </c>
      <c r="I33" s="411">
        <v>1560.1181000000033</v>
      </c>
      <c r="J33" s="410">
        <v>0.10872850255450817</v>
      </c>
      <c r="K33" s="434">
        <v>3777.7130000000002</v>
      </c>
      <c r="L33" s="435">
        <f t="shared" si="4"/>
        <v>0.19025548952457697</v>
      </c>
      <c r="M33" s="555"/>
      <c r="N33" s="556"/>
      <c r="O33" s="556"/>
    </row>
    <row r="34" spans="1:15" ht="18.75">
      <c r="A34" s="414">
        <f t="shared" si="5"/>
        <v>46112</v>
      </c>
      <c r="B34" s="432"/>
      <c r="C34" s="432"/>
      <c r="D34" s="467" t="e">
        <f t="shared" ref="D34:D35" si="6">C34/B34</f>
        <v>#DIV/0!</v>
      </c>
      <c r="E34" s="433"/>
      <c r="F34" s="409" t="e">
        <f t="shared" ref="F34:F35" si="7">E34/B34</f>
        <v>#DIV/0!</v>
      </c>
      <c r="G34" s="432"/>
      <c r="H34" s="410" t="e">
        <f t="shared" ref="H34:H35" si="8">G34/C34</f>
        <v>#DIV/0!</v>
      </c>
      <c r="I34" s="411"/>
      <c r="J34" s="410" t="e">
        <f t="shared" ref="J34:J35" si="9">I34/E34</f>
        <v>#DIV/0!</v>
      </c>
      <c r="K34" s="434"/>
      <c r="L34" s="435" t="e">
        <f t="shared" ref="L34:L35" si="10">K34/C34</f>
        <v>#DIV/0!</v>
      </c>
      <c r="M34" s="555">
        <f>SUM(B34:B40)</f>
        <v>0</v>
      </c>
      <c r="N34" s="556">
        <f>SUM(C34:C40)</f>
        <v>0</v>
      </c>
      <c r="O34" s="556">
        <f>SUM(E34:E40)</f>
        <v>0</v>
      </c>
    </row>
    <row r="35" spans="1:15" ht="18.75">
      <c r="A35" s="414">
        <f t="shared" si="5"/>
        <v>46113</v>
      </c>
      <c r="B35" s="432"/>
      <c r="C35" s="432"/>
      <c r="D35" s="467" t="e">
        <f t="shared" si="6"/>
        <v>#DIV/0!</v>
      </c>
      <c r="E35" s="433"/>
      <c r="F35" s="409" t="e">
        <f t="shared" si="7"/>
        <v>#DIV/0!</v>
      </c>
      <c r="G35" s="432"/>
      <c r="H35" s="410" t="e">
        <f t="shared" si="8"/>
        <v>#DIV/0!</v>
      </c>
      <c r="I35" s="411"/>
      <c r="J35" s="410" t="e">
        <f t="shared" si="9"/>
        <v>#DIV/0!</v>
      </c>
      <c r="K35" s="434"/>
      <c r="L35" s="435" t="e">
        <f t="shared" si="10"/>
        <v>#DIV/0!</v>
      </c>
      <c r="M35" s="555"/>
      <c r="N35" s="556"/>
      <c r="O35" s="556"/>
    </row>
    <row r="36" spans="1:15" ht="18.75">
      <c r="A36" s="414">
        <f t="shared" si="5"/>
        <v>46114</v>
      </c>
      <c r="B36" s="432"/>
      <c r="C36" s="432"/>
      <c r="D36" s="467" t="e">
        <f t="shared" ref="D36:D40" si="11">C36/B36</f>
        <v>#DIV/0!</v>
      </c>
      <c r="E36" s="433"/>
      <c r="F36" s="409" t="e">
        <f t="shared" ref="F36:F40" si="12">E36/B36</f>
        <v>#DIV/0!</v>
      </c>
      <c r="G36" s="432"/>
      <c r="H36" s="410" t="e">
        <f t="shared" ref="H36:H40" si="13">G36/C36</f>
        <v>#DIV/0!</v>
      </c>
      <c r="I36" s="411"/>
      <c r="J36" s="410" t="e">
        <f t="shared" ref="J36:J40" si="14">I36/E36</f>
        <v>#DIV/0!</v>
      </c>
      <c r="K36" s="434"/>
      <c r="L36" s="435" t="e">
        <f t="shared" si="4"/>
        <v>#DIV/0!</v>
      </c>
      <c r="M36" s="555"/>
      <c r="N36" s="556"/>
      <c r="O36" s="556"/>
    </row>
    <row r="37" spans="1:15" ht="18.75">
      <c r="A37" s="414">
        <f t="shared" si="5"/>
        <v>46115</v>
      </c>
      <c r="B37" s="432"/>
      <c r="C37" s="432"/>
      <c r="D37" s="467" t="e">
        <f t="shared" si="11"/>
        <v>#DIV/0!</v>
      </c>
      <c r="E37" s="433"/>
      <c r="F37" s="409" t="e">
        <f t="shared" si="12"/>
        <v>#DIV/0!</v>
      </c>
      <c r="G37" s="432"/>
      <c r="H37" s="410" t="e">
        <f t="shared" si="13"/>
        <v>#DIV/0!</v>
      </c>
      <c r="I37" s="411"/>
      <c r="J37" s="410" t="e">
        <f t="shared" si="14"/>
        <v>#DIV/0!</v>
      </c>
      <c r="K37" s="434"/>
      <c r="L37" s="435" t="e">
        <f t="shared" si="4"/>
        <v>#DIV/0!</v>
      </c>
      <c r="M37" s="555"/>
      <c r="N37" s="556"/>
      <c r="O37" s="556"/>
    </row>
    <row r="38" spans="1:15" ht="18.75">
      <c r="A38" s="414">
        <f t="shared" si="5"/>
        <v>46116</v>
      </c>
      <c r="B38" s="432"/>
      <c r="C38" s="432"/>
      <c r="D38" s="467" t="e">
        <f t="shared" si="11"/>
        <v>#DIV/0!</v>
      </c>
      <c r="E38" s="433"/>
      <c r="F38" s="409" t="e">
        <f t="shared" si="12"/>
        <v>#DIV/0!</v>
      </c>
      <c r="G38" s="432"/>
      <c r="H38" s="410" t="e">
        <f t="shared" si="13"/>
        <v>#DIV/0!</v>
      </c>
      <c r="I38" s="411"/>
      <c r="J38" s="410" t="e">
        <f t="shared" si="14"/>
        <v>#DIV/0!</v>
      </c>
      <c r="K38" s="434"/>
      <c r="L38" s="435" t="e">
        <f t="shared" si="4"/>
        <v>#DIV/0!</v>
      </c>
      <c r="M38" s="555"/>
      <c r="N38" s="556"/>
      <c r="O38" s="556"/>
    </row>
    <row r="39" spans="1:15" ht="18.75">
      <c r="A39" s="414">
        <f t="shared" si="5"/>
        <v>46117</v>
      </c>
      <c r="B39" s="432"/>
      <c r="C39" s="432"/>
      <c r="D39" s="467" t="e">
        <f t="shared" si="11"/>
        <v>#DIV/0!</v>
      </c>
      <c r="E39" s="433"/>
      <c r="F39" s="409" t="e">
        <f t="shared" si="12"/>
        <v>#DIV/0!</v>
      </c>
      <c r="G39" s="432"/>
      <c r="H39" s="410" t="e">
        <f t="shared" si="13"/>
        <v>#DIV/0!</v>
      </c>
      <c r="I39" s="411"/>
      <c r="J39" s="410" t="e">
        <f t="shared" si="14"/>
        <v>#DIV/0!</v>
      </c>
      <c r="K39" s="434"/>
      <c r="L39" s="435" t="e">
        <f t="shared" si="4"/>
        <v>#DIV/0!</v>
      </c>
      <c r="M39" s="555"/>
      <c r="N39" s="556"/>
      <c r="O39" s="556"/>
    </row>
    <row r="40" spans="1:15" ht="19.5" thickBot="1">
      <c r="A40" s="414">
        <f t="shared" si="5"/>
        <v>46118</v>
      </c>
      <c r="B40" s="470"/>
      <c r="C40" s="470"/>
      <c r="D40" s="471" t="e">
        <f t="shared" si="11"/>
        <v>#DIV/0!</v>
      </c>
      <c r="E40" s="472"/>
      <c r="F40" s="460" t="e">
        <f t="shared" si="12"/>
        <v>#DIV/0!</v>
      </c>
      <c r="G40" s="470"/>
      <c r="H40" s="461" t="e">
        <f t="shared" si="13"/>
        <v>#DIV/0!</v>
      </c>
      <c r="I40" s="462"/>
      <c r="J40" s="461" t="e">
        <f t="shared" si="14"/>
        <v>#DIV/0!</v>
      </c>
      <c r="K40" s="473"/>
      <c r="L40" s="474" t="e">
        <f t="shared" si="4"/>
        <v>#DIV/0!</v>
      </c>
      <c r="M40" s="555"/>
      <c r="N40" s="556"/>
      <c r="O40" s="556"/>
    </row>
    <row r="41" spans="1:15" ht="18.75">
      <c r="A41" s="414" t="s">
        <v>782</v>
      </c>
      <c r="B41" s="406">
        <f>AVERAGE(B4:B40)</f>
        <v>7604382.166666667</v>
      </c>
      <c r="C41" s="406">
        <f>AVERAGE(C4:C40)</f>
        <v>18537.266666666666</v>
      </c>
      <c r="D41" s="407">
        <f t="shared" ref="D41:D42" si="15">C41/B41</f>
        <v>2.4377084502569604E-3</v>
      </c>
      <c r="E41" s="408">
        <f>AVERAGE(E4:E40)</f>
        <v>14018.783729720968</v>
      </c>
      <c r="F41" s="419">
        <f t="shared" ref="F41" si="16">E41/B41</f>
        <v>1.8435138348479418E-3</v>
      </c>
      <c r="G41" s="406">
        <f>AVERAGE(G4:G40)</f>
        <v>1548.5895999999998</v>
      </c>
      <c r="H41" s="420">
        <f t="shared" ref="H41:H42" si="17">G41/C41</f>
        <v>8.3539263249885809E-2</v>
      </c>
      <c r="I41" s="457">
        <f>AVERAGE(I4:I40)</f>
        <v>1569.3310096666658</v>
      </c>
      <c r="J41" s="420">
        <f t="shared" ref="J41:J42" si="18">I41/E41</f>
        <v>0.11194487624055115</v>
      </c>
      <c r="K41" s="412">
        <f>AVERAGE(K4:K40)</f>
        <v>3001.3690333333338</v>
      </c>
      <c r="L41" s="413">
        <f t="shared" ref="L41:L42" si="19">K41/C41</f>
        <v>0.16191001010576894</v>
      </c>
      <c r="M41" s="557"/>
      <c r="N41" s="558"/>
      <c r="O41" s="558"/>
    </row>
    <row r="42" spans="1:15" ht="18.75">
      <c r="A42" s="414" t="s">
        <v>783</v>
      </c>
      <c r="B42" s="406">
        <f>SUM(B4:B40)</f>
        <v>228131465</v>
      </c>
      <c r="C42" s="406">
        <f>SUM(C4:C40)</f>
        <v>556118</v>
      </c>
      <c r="D42" s="407">
        <f t="shared" si="15"/>
        <v>2.4377084502569604E-3</v>
      </c>
      <c r="E42" s="406">
        <f>SUM(E4:E40)</f>
        <v>420563.51189162902</v>
      </c>
      <c r="F42" s="419">
        <f>E42/B42</f>
        <v>1.8435138348479418E-3</v>
      </c>
      <c r="G42" s="406">
        <f>SUM(G4:G40)</f>
        <v>46457.687999999995</v>
      </c>
      <c r="H42" s="420">
        <f t="shared" si="17"/>
        <v>8.3539263249885809E-2</v>
      </c>
      <c r="I42" s="406">
        <f>SUM(I4:I40)</f>
        <v>47079.930289999975</v>
      </c>
      <c r="J42" s="420">
        <f t="shared" si="18"/>
        <v>0.11194487624055116</v>
      </c>
      <c r="K42" s="406">
        <f>SUM(K4:K40)</f>
        <v>90041.071000000011</v>
      </c>
      <c r="L42" s="413">
        <f t="shared" si="19"/>
        <v>0.16191001010576894</v>
      </c>
      <c r="M42" s="413"/>
      <c r="N42" s="417"/>
      <c r="O42" s="418"/>
    </row>
    <row r="43" spans="1:15" ht="18.7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</row>
    <row r="44" spans="1:15" ht="18.7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</row>
    <row r="45" spans="1:15" ht="18.7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</row>
    <row r="46" spans="1:15" ht="18.75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</row>
    <row r="47" spans="1:15" ht="18.7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</row>
    <row r="48" spans="1:15" ht="18.75">
      <c r="A48" s="421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</row>
    <row r="49" spans="1:13" ht="18.75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</row>
    <row r="50" spans="1:13" ht="18.75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</row>
    <row r="51" spans="1:13" ht="18.75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</row>
    <row r="52" spans="1:13" ht="18.75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</row>
    <row r="53" spans="1:13" ht="18.75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</row>
    <row r="54" spans="1:13" ht="18.75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</row>
    <row r="55" spans="1:13" ht="18.7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</row>
    <row r="56" spans="1:13" ht="18.75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</row>
    <row r="57" spans="1:13" ht="18.75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</row>
    <row r="58" spans="1:13" ht="18.7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</row>
    <row r="59" spans="1:13" ht="18.75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</row>
    <row r="60" spans="1:13" ht="18.75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</row>
    <row r="61" spans="1:13" ht="18.75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</row>
    <row r="62" spans="1:13" ht="18.75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</row>
    <row r="63" spans="1:13" ht="18.75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</row>
    <row r="64" spans="1:13" ht="18.75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</row>
    <row r="65" spans="1:13" ht="18.75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</row>
    <row r="66" spans="1:13" ht="18.75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</row>
    <row r="67" spans="1:13" ht="18.75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</row>
    <row r="68" spans="1:13" ht="18.75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</row>
    <row r="69" spans="1:13" ht="18.75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</row>
    <row r="70" spans="1:13" ht="18.75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41:J42 H41:H42">
    <cfRule type="cellIs" dxfId="50" priority="171" operator="greaterThan">
      <formula>0.16</formula>
    </cfRule>
  </conditionalFormatting>
  <conditionalFormatting sqref="L42:M42 L41">
    <cfRule type="cellIs" dxfId="49" priority="169" operator="greaterThan">
      <formula>0.15</formula>
    </cfRule>
  </conditionalFormatting>
  <conditionalFormatting sqref="D41:D42">
    <cfRule type="cellIs" dxfId="48" priority="170" operator="greaterThan">
      <formula>0.0025</formula>
    </cfRule>
  </conditionalFormatting>
  <conditionalFormatting sqref="D25:D33">
    <cfRule type="cellIs" dxfId="47" priority="65" operator="greaterThan">
      <formula>0.0025</formula>
    </cfRule>
  </conditionalFormatting>
  <conditionalFormatting sqref="J25:J30">
    <cfRule type="cellIs" dxfId="46" priority="63" operator="greaterThan">
      <formula>0.16</formula>
    </cfRule>
  </conditionalFormatting>
  <conditionalFormatting sqref="L31">
    <cfRule type="cellIs" dxfId="45" priority="58" operator="greaterThan">
      <formula>0.15</formula>
    </cfRule>
  </conditionalFormatting>
  <conditionalFormatting sqref="H31">
    <cfRule type="cellIs" dxfId="44" priority="60" operator="greaterThan">
      <formula>0.16</formula>
    </cfRule>
  </conditionalFormatting>
  <conditionalFormatting sqref="H25:H30">
    <cfRule type="cellIs" dxfId="43" priority="64" operator="greaterThan">
      <formula>0.16</formula>
    </cfRule>
  </conditionalFormatting>
  <conditionalFormatting sqref="L25:L30">
    <cfRule type="cellIs" dxfId="42" priority="62" operator="greaterThan">
      <formula>0.15</formula>
    </cfRule>
  </conditionalFormatting>
  <conditionalFormatting sqref="D31">
    <cfRule type="cellIs" dxfId="41" priority="61" operator="greaterThan">
      <formula>0.0025</formula>
    </cfRule>
  </conditionalFormatting>
  <conditionalFormatting sqref="J31">
    <cfRule type="cellIs" dxfId="40" priority="59" operator="greaterThan">
      <formula>0.16</formula>
    </cfRule>
  </conditionalFormatting>
  <conditionalFormatting sqref="H32:H33 H36:H39">
    <cfRule type="cellIs" dxfId="39" priority="47" operator="greaterThan">
      <formula>0.16</formula>
    </cfRule>
  </conditionalFormatting>
  <conditionalFormatting sqref="L32:L33 L36:L39">
    <cfRule type="cellIs" dxfId="38" priority="45" operator="greaterThan">
      <formula>0.15</formula>
    </cfRule>
  </conditionalFormatting>
  <conditionalFormatting sqref="D32:D33 D36:D39">
    <cfRule type="cellIs" dxfId="37" priority="48" operator="greaterThan">
      <formula>0.0025</formula>
    </cfRule>
  </conditionalFormatting>
  <conditionalFormatting sqref="J32:J33 J36:J39">
    <cfRule type="cellIs" dxfId="36" priority="46" operator="greaterThan">
      <formula>0.16</formula>
    </cfRule>
  </conditionalFormatting>
  <conditionalFormatting sqref="H40">
    <cfRule type="cellIs" dxfId="35" priority="43" operator="greaterThan">
      <formula>0.16</formula>
    </cfRule>
  </conditionalFormatting>
  <conditionalFormatting sqref="L40">
    <cfRule type="cellIs" dxfId="34" priority="41" operator="greaterThan">
      <formula>0.15</formula>
    </cfRule>
  </conditionalFormatting>
  <conditionalFormatting sqref="D40">
    <cfRule type="cellIs" dxfId="33" priority="44" operator="greaterThan">
      <formula>0.0025</formula>
    </cfRule>
  </conditionalFormatting>
  <conditionalFormatting sqref="J40">
    <cfRule type="cellIs" dxfId="32" priority="42" operator="greaterThan">
      <formula>0.16</formula>
    </cfRule>
  </conditionalFormatting>
  <conditionalFormatting sqref="L24">
    <cfRule type="cellIs" dxfId="31" priority="9" operator="greaterThan">
      <formula>0.15</formula>
    </cfRule>
  </conditionalFormatting>
  <conditionalFormatting sqref="H6:H9">
    <cfRule type="cellIs" dxfId="30" priority="31" operator="greaterThan">
      <formula>0.16</formula>
    </cfRule>
  </conditionalFormatting>
  <conditionalFormatting sqref="L6:L9">
    <cfRule type="cellIs" dxfId="29" priority="29" operator="greaterThan">
      <formula>0.15</formula>
    </cfRule>
  </conditionalFormatting>
  <conditionalFormatting sqref="D6:D9">
    <cfRule type="cellIs" dxfId="28" priority="32" operator="greaterThan">
      <formula>0.0025</formula>
    </cfRule>
  </conditionalFormatting>
  <conditionalFormatting sqref="J6:J9">
    <cfRule type="cellIs" dxfId="27" priority="30" operator="greaterThan">
      <formula>0.16</formula>
    </cfRule>
  </conditionalFormatting>
  <conditionalFormatting sqref="H10">
    <cfRule type="cellIs" dxfId="26" priority="27" operator="greaterThan">
      <formula>0.16</formula>
    </cfRule>
  </conditionalFormatting>
  <conditionalFormatting sqref="L10:L33">
    <cfRule type="cellIs" dxfId="25" priority="25" operator="greaterThan">
      <formula>0.15</formula>
    </cfRule>
  </conditionalFormatting>
  <conditionalFormatting sqref="D10">
    <cfRule type="cellIs" dxfId="24" priority="28" operator="greaterThan">
      <formula>0.0025</formula>
    </cfRule>
  </conditionalFormatting>
  <conditionalFormatting sqref="J10">
    <cfRule type="cellIs" dxfId="23" priority="26" operator="greaterThan">
      <formula>0.16</formula>
    </cfRule>
  </conditionalFormatting>
  <conditionalFormatting sqref="H11:H33">
    <cfRule type="cellIs" dxfId="22" priority="23" operator="greaterThan">
      <formula>0.16</formula>
    </cfRule>
  </conditionalFormatting>
  <conditionalFormatting sqref="L11:L16">
    <cfRule type="cellIs" dxfId="21" priority="21" operator="greaterThan">
      <formula>0.15</formula>
    </cfRule>
  </conditionalFormatting>
  <conditionalFormatting sqref="D11:D33">
    <cfRule type="cellIs" dxfId="20" priority="24" operator="greaterThan">
      <formula>0.0025</formula>
    </cfRule>
  </conditionalFormatting>
  <conditionalFormatting sqref="J11:J16">
    <cfRule type="cellIs" dxfId="19" priority="22" operator="greaterThan">
      <formula>0.16</formula>
    </cfRule>
  </conditionalFormatting>
  <conditionalFormatting sqref="H17">
    <cfRule type="cellIs" dxfId="18" priority="19" operator="greaterThan">
      <formula>0.16</formula>
    </cfRule>
  </conditionalFormatting>
  <conditionalFormatting sqref="L4:L33">
    <cfRule type="cellIs" dxfId="17" priority="17" operator="greaterThan">
      <formula>0.15</formula>
    </cfRule>
  </conditionalFormatting>
  <conditionalFormatting sqref="D17">
    <cfRule type="cellIs" dxfId="16" priority="20" operator="greaterThan">
      <formula>0.0025</formula>
    </cfRule>
  </conditionalFormatting>
  <conditionalFormatting sqref="J17:J33">
    <cfRule type="cellIs" dxfId="15" priority="18" operator="greaterThan">
      <formula>0.16</formula>
    </cfRule>
  </conditionalFormatting>
  <conditionalFormatting sqref="H18:H33">
    <cfRule type="cellIs" dxfId="14" priority="15" operator="greaterThan">
      <formula>0.16</formula>
    </cfRule>
  </conditionalFormatting>
  <conditionalFormatting sqref="L18:L33">
    <cfRule type="cellIs" dxfId="13" priority="13" operator="greaterThan">
      <formula>0.15</formula>
    </cfRule>
  </conditionalFormatting>
  <conditionalFormatting sqref="D18:D33">
    <cfRule type="cellIs" dxfId="12" priority="16" operator="greaterThan">
      <formula>0.0025</formula>
    </cfRule>
  </conditionalFormatting>
  <conditionalFormatting sqref="J18:J33">
    <cfRule type="cellIs" dxfId="11" priority="14" operator="greaterThan">
      <formula>0.16</formula>
    </cfRule>
  </conditionalFormatting>
  <conditionalFormatting sqref="H24:H33">
    <cfRule type="cellIs" dxfId="10" priority="11" operator="greaterThan">
      <formula>0.16</formula>
    </cfRule>
  </conditionalFormatting>
  <conditionalFormatting sqref="D24">
    <cfRule type="cellIs" dxfId="9" priority="12" operator="greaterThan">
      <formula>0.0025</formula>
    </cfRule>
  </conditionalFormatting>
  <conditionalFormatting sqref="J24">
    <cfRule type="cellIs" dxfId="8" priority="10" operator="greaterThan">
      <formula>0.16</formula>
    </cfRule>
  </conditionalFormatting>
  <conditionalFormatting sqref="H4:H33">
    <cfRule type="cellIs" dxfId="7" priority="7" operator="greaterThan">
      <formula>0.16</formula>
    </cfRule>
  </conditionalFormatting>
  <conditionalFormatting sqref="L4:L33">
    <cfRule type="cellIs" dxfId="6" priority="5" operator="greaterThan">
      <formula>0.15</formula>
    </cfRule>
  </conditionalFormatting>
  <conditionalFormatting sqref="D4:D33">
    <cfRule type="cellIs" dxfId="5" priority="8" operator="greaterThan">
      <formula>0.0025</formula>
    </cfRule>
  </conditionalFormatting>
  <conditionalFormatting sqref="J4:J33">
    <cfRule type="cellIs" dxfId="4" priority="6" operator="greaterThan">
      <formula>0.16</formula>
    </cfRule>
  </conditionalFormatting>
  <conditionalFormatting sqref="H34:H35">
    <cfRule type="cellIs" dxfId="3" priority="3" operator="greaterThan">
      <formula>0.16</formula>
    </cfRule>
  </conditionalFormatting>
  <conditionalFormatting sqref="L34:L35">
    <cfRule type="cellIs" dxfId="2" priority="1" operator="greaterThan">
      <formula>0.15</formula>
    </cfRule>
  </conditionalFormatting>
  <conditionalFormatting sqref="D34:D35">
    <cfRule type="cellIs" dxfId="1" priority="4" operator="greaterThan">
      <formula>0.0025</formula>
    </cfRule>
  </conditionalFormatting>
  <conditionalFormatting sqref="J34:J35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24" t="s">
        <v>252</v>
      </c>
      <c r="C2" s="924"/>
      <c r="D2" s="924"/>
      <c r="E2" s="924"/>
      <c r="F2" s="924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2026-04-01T00:20:16Z</dcterms:modified>
</cp:coreProperties>
</file>