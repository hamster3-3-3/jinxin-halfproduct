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4490" windowHeight="11640" tabRatio="924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L21" i="48" l="1"/>
  <c r="L20" i="48"/>
  <c r="L19" i="48"/>
  <c r="L18" i="48"/>
  <c r="L17" i="48"/>
  <c r="L16" i="48"/>
  <c r="L15" i="48"/>
  <c r="L14" i="48"/>
  <c r="L13" i="48"/>
  <c r="L12" i="48"/>
  <c r="L11" i="48"/>
  <c r="L10" i="48"/>
  <c r="L9" i="48"/>
  <c r="L8" i="48"/>
  <c r="L7" i="48"/>
  <c r="L6" i="48"/>
  <c r="L5" i="48"/>
  <c r="J17" i="48"/>
  <c r="J16" i="48"/>
  <c r="J15" i="48"/>
  <c r="J14" i="48"/>
  <c r="J13" i="48"/>
  <c r="J12" i="48"/>
  <c r="J11" i="48"/>
  <c r="J10" i="48"/>
  <c r="J9" i="48"/>
  <c r="J8" i="48"/>
  <c r="J7" i="48"/>
  <c r="J6" i="48"/>
  <c r="J5" i="48"/>
  <c r="H16" i="48"/>
  <c r="H15" i="48"/>
  <c r="H14" i="48"/>
  <c r="H13" i="48"/>
  <c r="H12" i="48"/>
  <c r="H11" i="48"/>
  <c r="H10" i="48"/>
  <c r="H9" i="48"/>
  <c r="H8" i="48"/>
  <c r="H7" i="48"/>
  <c r="H6" i="48"/>
  <c r="H5" i="48"/>
  <c r="F15" i="48"/>
  <c r="F14" i="48"/>
  <c r="F13" i="48"/>
  <c r="F12" i="48"/>
  <c r="F11" i="48"/>
  <c r="F10" i="48"/>
  <c r="F9" i="48"/>
  <c r="F8" i="48"/>
  <c r="F7" i="48"/>
  <c r="F6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6" i="48"/>
  <c r="K27" i="8" l="1"/>
  <c r="J27" i="8"/>
  <c r="I27" i="8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B11" i="39"/>
  <c r="B10" i="39"/>
  <c r="B9" i="39"/>
  <c r="B8" i="39"/>
  <c r="B7" i="39"/>
  <c r="B6" i="39"/>
  <c r="O34" i="48" l="1"/>
  <c r="N34" i="48"/>
  <c r="M34" i="48"/>
  <c r="A34" i="48"/>
  <c r="A35" i="48" s="1"/>
  <c r="A36" i="48" s="1"/>
  <c r="A37" i="48" s="1"/>
  <c r="A38" i="48" s="1"/>
  <c r="A39" i="48" s="1"/>
  <c r="A40" i="48" s="1"/>
  <c r="L35" i="48"/>
  <c r="J35" i="48"/>
  <c r="H35" i="48"/>
  <c r="F35" i="48"/>
  <c r="D35" i="48"/>
  <c r="L34" i="48"/>
  <c r="J34" i="48"/>
  <c r="H34" i="48"/>
  <c r="F34" i="48"/>
  <c r="D34" i="48"/>
  <c r="L4" i="48"/>
  <c r="F5" i="48"/>
  <c r="D5" i="48"/>
  <c r="J4" i="48"/>
  <c r="H4" i="48"/>
  <c r="F4" i="48"/>
  <c r="D4" i="48"/>
  <c r="M392" i="41" l="1"/>
  <c r="K392" i="41"/>
  <c r="I392" i="41"/>
  <c r="G392" i="41"/>
  <c r="M391" i="41"/>
  <c r="K391" i="41"/>
  <c r="I391" i="41"/>
  <c r="G391" i="41"/>
  <c r="M387" i="41"/>
  <c r="K387" i="41"/>
  <c r="I387" i="41"/>
  <c r="G387" i="41"/>
  <c r="C387" i="41"/>
  <c r="M386" i="41"/>
  <c r="K386" i="41"/>
  <c r="I386" i="41"/>
  <c r="G386" i="41"/>
  <c r="C386" i="41"/>
  <c r="P22" i="32"/>
  <c r="U22" i="32" s="1"/>
  <c r="Z22" i="32" s="1"/>
  <c r="AE22" i="32" s="1"/>
  <c r="AJ22" i="32" s="1"/>
  <c r="AO22" i="32" s="1"/>
  <c r="AT22" i="32" s="1"/>
  <c r="U22" i="31"/>
  <c r="Z22" i="31" s="1"/>
  <c r="AE22" i="31" s="1"/>
  <c r="AJ22" i="31" s="1"/>
  <c r="AO22" i="31" s="1"/>
  <c r="AT22" i="31" s="1"/>
  <c r="P22" i="31"/>
  <c r="P22" i="34"/>
  <c r="U22" i="34" s="1"/>
  <c r="Z22" i="34" s="1"/>
  <c r="AE22" i="34" s="1"/>
  <c r="AJ22" i="34" s="1"/>
  <c r="AO22" i="34" s="1"/>
  <c r="AT22" i="34" s="1"/>
  <c r="U22" i="35"/>
  <c r="Z22" i="35" s="1"/>
  <c r="AE22" i="35" s="1"/>
  <c r="AJ22" i="35" s="1"/>
  <c r="AO22" i="35" s="1"/>
  <c r="AT22" i="35" s="1"/>
  <c r="P22" i="35"/>
  <c r="P22" i="36"/>
  <c r="U22" i="36" s="1"/>
  <c r="Z22" i="36" s="1"/>
  <c r="AE22" i="36" s="1"/>
  <c r="AJ22" i="36" s="1"/>
  <c r="AO22" i="36" s="1"/>
  <c r="AT22" i="36" s="1"/>
  <c r="U22" i="37"/>
  <c r="Z22" i="37" s="1"/>
  <c r="AE22" i="37" s="1"/>
  <c r="AJ22" i="37" s="1"/>
  <c r="AO22" i="37" s="1"/>
  <c r="AT22" i="37" s="1"/>
  <c r="P22" i="37"/>
  <c r="P22" i="30"/>
  <c r="U22" i="30" s="1"/>
  <c r="Z22" i="30" s="1"/>
  <c r="AE22" i="30" s="1"/>
  <c r="AJ22" i="30" s="1"/>
  <c r="AO22" i="30" s="1"/>
  <c r="AT22" i="30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0"/>
  <c r="Z2" i="30" s="1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AO2" i="8"/>
  <c r="AJ2" i="8"/>
  <c r="AE2" i="8"/>
  <c r="Z2" i="8"/>
  <c r="U2" i="8"/>
  <c r="AC8" i="6" l="1"/>
  <c r="S8" i="6"/>
  <c r="M8" i="6"/>
  <c r="AC7" i="6"/>
  <c r="S7" i="6"/>
  <c r="M7" i="6"/>
  <c r="AC8" i="7"/>
  <c r="S8" i="7"/>
  <c r="M8" i="7"/>
  <c r="AC7" i="7"/>
  <c r="S7" i="7"/>
  <c r="M7" i="7"/>
  <c r="D9" i="6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8" i="6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M379" i="41" l="1"/>
  <c r="K379" i="41"/>
  <c r="I379" i="41"/>
  <c r="G379" i="41"/>
  <c r="M378" i="41"/>
  <c r="K378" i="41"/>
  <c r="I378" i="41"/>
  <c r="G378" i="41"/>
  <c r="M374" i="41"/>
  <c r="K374" i="41"/>
  <c r="I374" i="41"/>
  <c r="G374" i="41"/>
  <c r="C374" i="41"/>
  <c r="M373" i="41"/>
  <c r="K373" i="41"/>
  <c r="I373" i="41"/>
  <c r="G373" i="41"/>
  <c r="C373" i="41"/>
  <c r="K91" i="30" l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K71" i="30"/>
  <c r="J71" i="30"/>
  <c r="I71" i="30"/>
  <c r="K70" i="30"/>
  <c r="J70" i="30"/>
  <c r="I70" i="30"/>
  <c r="K69" i="30"/>
  <c r="J69" i="30"/>
  <c r="I69" i="30"/>
  <c r="K68" i="30"/>
  <c r="J68" i="30"/>
  <c r="I68" i="30"/>
  <c r="K67" i="30"/>
  <c r="L67" i="30" s="1"/>
  <c r="J67" i="30"/>
  <c r="I67" i="30"/>
  <c r="K68" i="31"/>
  <c r="J68" i="31"/>
  <c r="I68" i="31"/>
  <c r="M366" i="41" l="1"/>
  <c r="K366" i="41"/>
  <c r="I366" i="41"/>
  <c r="G366" i="41"/>
  <c r="M365" i="41"/>
  <c r="K365" i="41"/>
  <c r="I365" i="41"/>
  <c r="G365" i="41"/>
  <c r="M361" i="41"/>
  <c r="K361" i="41"/>
  <c r="I361" i="41"/>
  <c r="G361" i="41"/>
  <c r="C361" i="41"/>
  <c r="M360" i="41"/>
  <c r="K360" i="41"/>
  <c r="I360" i="41"/>
  <c r="G360" i="41"/>
  <c r="C360" i="41"/>
  <c r="K106" i="33"/>
  <c r="J106" i="33"/>
  <c r="I106" i="33"/>
  <c r="K105" i="33"/>
  <c r="J105" i="33"/>
  <c r="I105" i="33"/>
  <c r="K48" i="31"/>
  <c r="J48" i="31"/>
  <c r="I48" i="31"/>
  <c r="M353" i="41" l="1"/>
  <c r="K353" i="41"/>
  <c r="I353" i="41"/>
  <c r="G353" i="41"/>
  <c r="M352" i="41"/>
  <c r="K352" i="41"/>
  <c r="I352" i="41"/>
  <c r="G352" i="41"/>
  <c r="M348" i="41"/>
  <c r="K348" i="41"/>
  <c r="I348" i="41"/>
  <c r="G348" i="41"/>
  <c r="C348" i="41"/>
  <c r="M347" i="41"/>
  <c r="K347" i="41"/>
  <c r="I347" i="41"/>
  <c r="G347" i="41"/>
  <c r="C347" i="41"/>
  <c r="K28" i="31" l="1"/>
  <c r="J28" i="31"/>
  <c r="I28" i="31"/>
  <c r="K62" i="8"/>
  <c r="J62" i="8"/>
  <c r="I62" i="8"/>
  <c r="K61" i="8"/>
  <c r="J61" i="8"/>
  <c r="I61" i="8"/>
  <c r="V28" i="5" l="1"/>
  <c r="V21" i="5"/>
  <c r="V14" i="5"/>
  <c r="V7" i="5"/>
  <c r="I11" i="39" s="1"/>
  <c r="V6" i="5"/>
  <c r="S28" i="5"/>
  <c r="S21" i="5"/>
  <c r="S14" i="5"/>
  <c r="S7" i="5"/>
  <c r="S6" i="5"/>
  <c r="P28" i="5"/>
  <c r="P21" i="5"/>
  <c r="P14" i="5"/>
  <c r="P7" i="5"/>
  <c r="I9" i="39" s="1"/>
  <c r="P6" i="5"/>
  <c r="M28" i="5"/>
  <c r="M21" i="5"/>
  <c r="M14" i="5"/>
  <c r="M7" i="5"/>
  <c r="I8" i="39" s="1"/>
  <c r="M6" i="5"/>
  <c r="G28" i="5"/>
  <c r="G21" i="5"/>
  <c r="G14" i="5"/>
  <c r="G7" i="5"/>
  <c r="I6" i="39" s="1"/>
  <c r="G6" i="5"/>
  <c r="O27" i="48" l="1"/>
  <c r="N27" i="48"/>
  <c r="M27" i="48"/>
  <c r="O20" i="48"/>
  <c r="N20" i="48"/>
  <c r="M20" i="48"/>
  <c r="O13" i="48"/>
  <c r="N13" i="48"/>
  <c r="M13" i="48"/>
  <c r="O6" i="48"/>
  <c r="N6" i="48"/>
  <c r="M6" i="48"/>
  <c r="O4" i="48"/>
  <c r="N4" i="48"/>
  <c r="M4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K7" i="31" l="1"/>
  <c r="J7" i="31"/>
  <c r="I7" i="31"/>
  <c r="K36" i="33" l="1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167" i="8"/>
  <c r="J167" i="8"/>
  <c r="I167" i="8"/>
  <c r="K28" i="8"/>
  <c r="J28" i="8"/>
  <c r="I28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U5" i="3"/>
  <c r="S28" i="3"/>
  <c r="S21" i="3"/>
  <c r="S14" i="3"/>
  <c r="S7" i="3"/>
  <c r="S6" i="3"/>
  <c r="M28" i="3"/>
  <c r="M21" i="3"/>
  <c r="M14" i="3"/>
  <c r="M7" i="3"/>
  <c r="M6" i="3"/>
  <c r="G6" i="3"/>
  <c r="J6" i="3"/>
  <c r="J28" i="3"/>
  <c r="J21" i="3"/>
  <c r="J14" i="3"/>
  <c r="J7" i="3"/>
  <c r="G28" i="3"/>
  <c r="G21" i="3"/>
  <c r="G14" i="3"/>
  <c r="G7" i="3"/>
  <c r="P28" i="3" l="1"/>
  <c r="V28" i="3"/>
  <c r="P14" i="3"/>
  <c r="V14" i="3"/>
  <c r="V6" i="3"/>
  <c r="P6" i="3"/>
  <c r="P21" i="3"/>
  <c r="V21" i="3"/>
  <c r="P7" i="3"/>
  <c r="V7" i="3"/>
  <c r="L7" i="8"/>
  <c r="B28" i="39" s="1"/>
  <c r="M340" i="41" l="1"/>
  <c r="K340" i="41"/>
  <c r="I340" i="41"/>
  <c r="G340" i="41"/>
  <c r="M339" i="41"/>
  <c r="K339" i="41"/>
  <c r="I339" i="41"/>
  <c r="G339" i="41"/>
  <c r="M335" i="41"/>
  <c r="K335" i="41"/>
  <c r="I335" i="41"/>
  <c r="G335" i="41"/>
  <c r="C335" i="41"/>
  <c r="M334" i="41"/>
  <c r="K334" i="41"/>
  <c r="I334" i="41"/>
  <c r="G334" i="41"/>
  <c r="C334" i="41"/>
  <c r="K176" i="33" l="1"/>
  <c r="J176" i="33"/>
  <c r="I176" i="33"/>
  <c r="K175" i="33"/>
  <c r="J175" i="33"/>
  <c r="I175" i="33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AW72" i="30"/>
  <c r="AR72" i="30"/>
  <c r="AM72" i="30"/>
  <c r="AH72" i="30"/>
  <c r="AC72" i="30"/>
  <c r="X72" i="30"/>
  <c r="S72" i="30"/>
  <c r="AW71" i="30"/>
  <c r="AR71" i="30"/>
  <c r="AM71" i="30"/>
  <c r="AH71" i="30"/>
  <c r="AC71" i="30"/>
  <c r="X71" i="30"/>
  <c r="S71" i="30"/>
  <c r="AW70" i="30"/>
  <c r="AR70" i="30"/>
  <c r="AM70" i="30"/>
  <c r="AH70" i="30"/>
  <c r="AC70" i="30"/>
  <c r="X70" i="30"/>
  <c r="S70" i="30"/>
  <c r="AW69" i="30"/>
  <c r="AR69" i="30"/>
  <c r="AM69" i="30"/>
  <c r="AH69" i="30"/>
  <c r="AC69" i="30"/>
  <c r="X69" i="30"/>
  <c r="S69" i="30"/>
  <c r="AW68" i="30"/>
  <c r="AR68" i="30"/>
  <c r="AM68" i="30"/>
  <c r="AH68" i="30"/>
  <c r="AC68" i="30"/>
  <c r="X68" i="30"/>
  <c r="S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H67" i="30"/>
  <c r="L107" i="37" l="1"/>
  <c r="L107" i="36"/>
  <c r="L107" i="35"/>
  <c r="L107" i="32" l="1"/>
  <c r="L107" i="30"/>
  <c r="L182" i="8"/>
  <c r="M327" i="41" l="1"/>
  <c r="K327" i="41"/>
  <c r="I327" i="41"/>
  <c r="G327" i="41"/>
  <c r="M326" i="41"/>
  <c r="K326" i="41"/>
  <c r="I326" i="41"/>
  <c r="G326" i="41"/>
  <c r="M322" i="41"/>
  <c r="K322" i="41"/>
  <c r="I322" i="41"/>
  <c r="G322" i="41"/>
  <c r="C322" i="41"/>
  <c r="M321" i="41"/>
  <c r="K321" i="41"/>
  <c r="I321" i="41"/>
  <c r="G321" i="41"/>
  <c r="C321" i="41"/>
  <c r="K132" i="8" l="1"/>
  <c r="J132" i="8"/>
  <c r="I132" i="8"/>
  <c r="K131" i="8"/>
  <c r="J131" i="8"/>
  <c r="I131" i="8"/>
  <c r="K104" i="33" l="1"/>
  <c r="J104" i="33"/>
  <c r="I104" i="33"/>
  <c r="K103" i="33"/>
  <c r="J103" i="33"/>
  <c r="I103" i="33"/>
  <c r="K102" i="33"/>
  <c r="J102" i="33"/>
  <c r="I102" i="33"/>
  <c r="AW61" i="32" l="1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AW55" i="32"/>
  <c r="AR55" i="32"/>
  <c r="AM55" i="32"/>
  <c r="AH55" i="32"/>
  <c r="AC55" i="32"/>
  <c r="X55" i="32"/>
  <c r="S55" i="32"/>
  <c r="AW54" i="32"/>
  <c r="AR54" i="32"/>
  <c r="AM54" i="32"/>
  <c r="AH54" i="32"/>
  <c r="AC54" i="32"/>
  <c r="X54" i="32"/>
  <c r="S54" i="32"/>
  <c r="AW53" i="32"/>
  <c r="AR53" i="32"/>
  <c r="AM53" i="32"/>
  <c r="AH53" i="32"/>
  <c r="AC53" i="32"/>
  <c r="X53" i="32"/>
  <c r="S53" i="32"/>
  <c r="AW52" i="32"/>
  <c r="AR52" i="32"/>
  <c r="AM52" i="32"/>
  <c r="AH52" i="32"/>
  <c r="AC52" i="32"/>
  <c r="X52" i="32"/>
  <c r="S52" i="32"/>
  <c r="AW51" i="32"/>
  <c r="AR51" i="32"/>
  <c r="AM51" i="32"/>
  <c r="AH51" i="32"/>
  <c r="AC51" i="32"/>
  <c r="X51" i="32"/>
  <c r="S51" i="32"/>
  <c r="AW50" i="32"/>
  <c r="AR50" i="32"/>
  <c r="AM50" i="32"/>
  <c r="AH50" i="32"/>
  <c r="AC50" i="32"/>
  <c r="X50" i="32"/>
  <c r="S50" i="32"/>
  <c r="AW49" i="32"/>
  <c r="AR49" i="32"/>
  <c r="AM49" i="32"/>
  <c r="AH49" i="32"/>
  <c r="AC49" i="32"/>
  <c r="X49" i="32"/>
  <c r="S49" i="32"/>
  <c r="AW48" i="32"/>
  <c r="AR48" i="32"/>
  <c r="AM48" i="32"/>
  <c r="AH48" i="32"/>
  <c r="AC48" i="32"/>
  <c r="X48" i="32"/>
  <c r="S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AW53" i="30"/>
  <c r="AR53" i="30"/>
  <c r="AM53" i="30"/>
  <c r="AH53" i="30"/>
  <c r="AC53" i="30"/>
  <c r="X53" i="30"/>
  <c r="S53" i="30"/>
  <c r="AW52" i="30"/>
  <c r="AR52" i="30"/>
  <c r="AM52" i="30"/>
  <c r="AH52" i="30"/>
  <c r="AC52" i="30"/>
  <c r="X52" i="30"/>
  <c r="S52" i="30"/>
  <c r="AW51" i="30"/>
  <c r="AR51" i="30"/>
  <c r="AM51" i="30"/>
  <c r="AH51" i="30"/>
  <c r="AC51" i="30"/>
  <c r="X51" i="30"/>
  <c r="S51" i="30"/>
  <c r="AW50" i="30"/>
  <c r="AR50" i="30"/>
  <c r="AM50" i="30"/>
  <c r="AH50" i="30"/>
  <c r="AC50" i="30"/>
  <c r="X50" i="30"/>
  <c r="S50" i="30"/>
  <c r="AW49" i="30"/>
  <c r="AR49" i="30"/>
  <c r="AM49" i="30"/>
  <c r="AH49" i="30"/>
  <c r="AC49" i="30"/>
  <c r="X49" i="30"/>
  <c r="S49" i="30"/>
  <c r="AW48" i="30"/>
  <c r="AR48" i="30"/>
  <c r="AM48" i="30"/>
  <c r="AH48" i="30"/>
  <c r="AC48" i="30"/>
  <c r="X48" i="30"/>
  <c r="S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AW61" i="34" l="1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AW52" i="34"/>
  <c r="AR52" i="34"/>
  <c r="AM52" i="34"/>
  <c r="AH52" i="34"/>
  <c r="AC52" i="34"/>
  <c r="X52" i="34"/>
  <c r="S52" i="34"/>
  <c r="AW51" i="34"/>
  <c r="AR51" i="34"/>
  <c r="AM51" i="34"/>
  <c r="AH51" i="34"/>
  <c r="AC51" i="34"/>
  <c r="X51" i="34"/>
  <c r="S51" i="34"/>
  <c r="AW50" i="34"/>
  <c r="AR50" i="34"/>
  <c r="AM50" i="34"/>
  <c r="AH50" i="34"/>
  <c r="AC50" i="34"/>
  <c r="X50" i="34"/>
  <c r="S50" i="34"/>
  <c r="AW49" i="34"/>
  <c r="AR49" i="34"/>
  <c r="AM49" i="34"/>
  <c r="AH49" i="34"/>
  <c r="AC49" i="34"/>
  <c r="X49" i="34"/>
  <c r="S49" i="34"/>
  <c r="AW48" i="34"/>
  <c r="AR48" i="34"/>
  <c r="AM48" i="34"/>
  <c r="AH48" i="34"/>
  <c r="AC48" i="34"/>
  <c r="X48" i="34"/>
  <c r="S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AW52" i="35"/>
  <c r="AR52" i="35"/>
  <c r="AM52" i="35"/>
  <c r="AH52" i="35"/>
  <c r="AC52" i="35"/>
  <c r="X52" i="35"/>
  <c r="S52" i="35"/>
  <c r="AW51" i="35"/>
  <c r="AR51" i="35"/>
  <c r="AM51" i="35"/>
  <c r="AH51" i="35"/>
  <c r="AC51" i="35"/>
  <c r="X51" i="35"/>
  <c r="S51" i="35"/>
  <c r="AW50" i="35"/>
  <c r="AR50" i="35"/>
  <c r="AM50" i="35"/>
  <c r="AH50" i="35"/>
  <c r="AC50" i="35"/>
  <c r="X50" i="35"/>
  <c r="S50" i="35"/>
  <c r="AW49" i="35"/>
  <c r="AR49" i="35"/>
  <c r="AM49" i="35"/>
  <c r="AH49" i="35"/>
  <c r="AC49" i="35"/>
  <c r="X49" i="35"/>
  <c r="S49" i="35"/>
  <c r="AW48" i="35"/>
  <c r="AR48" i="35"/>
  <c r="AM48" i="35"/>
  <c r="AH48" i="35"/>
  <c r="AC48" i="35"/>
  <c r="X48" i="35"/>
  <c r="S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AW49" i="36"/>
  <c r="AR49" i="36"/>
  <c r="AM49" i="36"/>
  <c r="AH49" i="36"/>
  <c r="AC49" i="36"/>
  <c r="X49" i="36"/>
  <c r="S49" i="36"/>
  <c r="AW48" i="36"/>
  <c r="AR48" i="36"/>
  <c r="AM48" i="36"/>
  <c r="AH48" i="36"/>
  <c r="AC48" i="36"/>
  <c r="X48" i="36"/>
  <c r="S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AW54" i="37"/>
  <c r="AR54" i="37"/>
  <c r="AM54" i="37"/>
  <c r="AH54" i="37"/>
  <c r="AC54" i="37"/>
  <c r="X54" i="37"/>
  <c r="S54" i="37"/>
  <c r="AW53" i="37"/>
  <c r="AR53" i="37"/>
  <c r="AM53" i="37"/>
  <c r="AH53" i="37"/>
  <c r="AC53" i="37"/>
  <c r="X53" i="37"/>
  <c r="S53" i="37"/>
  <c r="AW52" i="37"/>
  <c r="AR52" i="37"/>
  <c r="AM52" i="37"/>
  <c r="AH52" i="37"/>
  <c r="AC52" i="37"/>
  <c r="X52" i="37"/>
  <c r="S52" i="37"/>
  <c r="AW51" i="37"/>
  <c r="AR51" i="37"/>
  <c r="AM51" i="37"/>
  <c r="AH51" i="37"/>
  <c r="AC51" i="37"/>
  <c r="X51" i="37"/>
  <c r="S51" i="37"/>
  <c r="AW50" i="37"/>
  <c r="AR50" i="37"/>
  <c r="AM50" i="37"/>
  <c r="AH50" i="37"/>
  <c r="AC50" i="37"/>
  <c r="X50" i="37"/>
  <c r="S50" i="37"/>
  <c r="AW49" i="37"/>
  <c r="AR49" i="37"/>
  <c r="AM49" i="37"/>
  <c r="AH49" i="37"/>
  <c r="AC49" i="37"/>
  <c r="X49" i="37"/>
  <c r="S49" i="37"/>
  <c r="AW48" i="37"/>
  <c r="AR48" i="37"/>
  <c r="AM48" i="37"/>
  <c r="AH48" i="37"/>
  <c r="AC48" i="37"/>
  <c r="X48" i="37"/>
  <c r="S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AB45" i="6" l="1"/>
  <c r="AB44" i="6"/>
  <c r="AB43" i="6"/>
  <c r="AB42" i="6"/>
  <c r="AB41" i="6"/>
  <c r="AB40" i="6"/>
  <c r="R45" i="6"/>
  <c r="R44" i="6"/>
  <c r="R43" i="6"/>
  <c r="R42" i="6"/>
  <c r="R41" i="6"/>
  <c r="R40" i="6"/>
  <c r="L40" i="48" l="1"/>
  <c r="L39" i="48"/>
  <c r="L38" i="48"/>
  <c r="L37" i="48"/>
  <c r="L36" i="48"/>
  <c r="L33" i="48"/>
  <c r="L32" i="48"/>
  <c r="L31" i="48"/>
  <c r="L30" i="48"/>
  <c r="L29" i="48"/>
  <c r="L28" i="48"/>
  <c r="L27" i="48"/>
  <c r="L26" i="48"/>
  <c r="L24" i="48"/>
  <c r="L23" i="48"/>
  <c r="L22" i="48"/>
  <c r="D40" i="48"/>
  <c r="D39" i="48"/>
  <c r="D38" i="48"/>
  <c r="D37" i="48"/>
  <c r="D36" i="48"/>
  <c r="D33" i="48"/>
  <c r="D32" i="48"/>
  <c r="F40" i="48"/>
  <c r="F39" i="48"/>
  <c r="F38" i="48"/>
  <c r="F37" i="48"/>
  <c r="F36" i="48"/>
  <c r="F33" i="48"/>
  <c r="F32" i="48"/>
  <c r="H40" i="48"/>
  <c r="H39" i="48"/>
  <c r="H38" i="48"/>
  <c r="H37" i="48"/>
  <c r="H36" i="48"/>
  <c r="H33" i="48"/>
  <c r="H32" i="48"/>
  <c r="J40" i="48"/>
  <c r="J39" i="48"/>
  <c r="J38" i="48"/>
  <c r="J37" i="48"/>
  <c r="J36" i="48"/>
  <c r="J33" i="48"/>
  <c r="J32" i="48"/>
  <c r="J31" i="48"/>
  <c r="J30" i="48"/>
  <c r="J29" i="48"/>
  <c r="J28" i="48"/>
  <c r="J27" i="48"/>
  <c r="J26" i="48"/>
  <c r="J24" i="48"/>
  <c r="J23" i="48"/>
  <c r="J22" i="48"/>
  <c r="J21" i="48"/>
  <c r="J20" i="48"/>
  <c r="J19" i="48"/>
  <c r="J18" i="48"/>
  <c r="H24" i="48"/>
  <c r="H23" i="48"/>
  <c r="H22" i="48"/>
  <c r="H21" i="48"/>
  <c r="H20" i="48"/>
  <c r="H19" i="48"/>
  <c r="H18" i="48"/>
  <c r="H17" i="48"/>
  <c r="F24" i="48"/>
  <c r="F23" i="48"/>
  <c r="F22" i="48"/>
  <c r="F21" i="48"/>
  <c r="F20" i="48"/>
  <c r="F19" i="48"/>
  <c r="F18" i="48"/>
  <c r="F17" i="48"/>
  <c r="F16" i="48"/>
  <c r="D24" i="48"/>
  <c r="D23" i="48"/>
  <c r="D22" i="48"/>
  <c r="D21" i="48"/>
  <c r="D20" i="48"/>
  <c r="D19" i="48"/>
  <c r="M314" i="41"/>
  <c r="K314" i="41"/>
  <c r="I314" i="41"/>
  <c r="G314" i="41"/>
  <c r="M313" i="41"/>
  <c r="K313" i="41"/>
  <c r="I313" i="41"/>
  <c r="G313" i="41"/>
  <c r="M309" i="41"/>
  <c r="K309" i="41"/>
  <c r="I309" i="41"/>
  <c r="G309" i="41"/>
  <c r="C309" i="41"/>
  <c r="M308" i="41"/>
  <c r="K308" i="41"/>
  <c r="I308" i="41"/>
  <c r="G308" i="41"/>
  <c r="C308" i="4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2" i="48" l="1"/>
  <c r="K41" i="48"/>
  <c r="I42" i="48"/>
  <c r="I41" i="48"/>
  <c r="G42" i="48"/>
  <c r="G41" i="48"/>
  <c r="E41" i="48"/>
  <c r="E42" i="48"/>
  <c r="B42" i="48"/>
  <c r="C42" i="48"/>
  <c r="C41" i="48"/>
  <c r="B41" i="48"/>
  <c r="M301" i="41"/>
  <c r="K301" i="41"/>
  <c r="I301" i="41"/>
  <c r="G301" i="41"/>
  <c r="M300" i="41"/>
  <c r="K300" i="41"/>
  <c r="I300" i="41"/>
  <c r="G300" i="41"/>
  <c r="M296" i="41"/>
  <c r="K296" i="41"/>
  <c r="I296" i="41"/>
  <c r="G296" i="41"/>
  <c r="C296" i="41"/>
  <c r="M295" i="41"/>
  <c r="K295" i="41"/>
  <c r="I295" i="41"/>
  <c r="G295" i="41"/>
  <c r="C295" i="41"/>
  <c r="K70" i="33" l="1"/>
  <c r="J70" i="33"/>
  <c r="I70" i="33"/>
  <c r="K69" i="33"/>
  <c r="J69" i="33"/>
  <c r="I69" i="33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AM37" i="32"/>
  <c r="AH37" i="32"/>
  <c r="AC37" i="32"/>
  <c r="X37" i="32"/>
  <c r="S37" i="32"/>
  <c r="AM36" i="32"/>
  <c r="AH36" i="32"/>
  <c r="AC36" i="32"/>
  <c r="X36" i="32"/>
  <c r="S36" i="32"/>
  <c r="AM35" i="32"/>
  <c r="AH35" i="32"/>
  <c r="AC35" i="32"/>
  <c r="X35" i="32"/>
  <c r="S35" i="32"/>
  <c r="AM34" i="32"/>
  <c r="AH34" i="32"/>
  <c r="AC34" i="32"/>
  <c r="X34" i="32"/>
  <c r="S34" i="32"/>
  <c r="AM33" i="32"/>
  <c r="AH33" i="32"/>
  <c r="AC33" i="32"/>
  <c r="X33" i="32"/>
  <c r="S33" i="32"/>
  <c r="AM32" i="32"/>
  <c r="AH32" i="32"/>
  <c r="AC32" i="32"/>
  <c r="X32" i="32"/>
  <c r="S32" i="32"/>
  <c r="AM31" i="32"/>
  <c r="AH31" i="32"/>
  <c r="AC31" i="32"/>
  <c r="X31" i="32"/>
  <c r="S31" i="32"/>
  <c r="AM30" i="32"/>
  <c r="AH30" i="32"/>
  <c r="AC30" i="32"/>
  <c r="X30" i="32"/>
  <c r="S30" i="32"/>
  <c r="AM29" i="32"/>
  <c r="AH29" i="32"/>
  <c r="AC29" i="32"/>
  <c r="X29" i="32"/>
  <c r="S29" i="32"/>
  <c r="AM28" i="32"/>
  <c r="AH28" i="32"/>
  <c r="AC28" i="32"/>
  <c r="X28" i="32"/>
  <c r="S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38" i="32"/>
  <c r="J38" i="32"/>
  <c r="I38" i="32"/>
  <c r="K37" i="32"/>
  <c r="J37" i="32"/>
  <c r="I37" i="32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L27" i="30" s="1"/>
  <c r="J27" i="30"/>
  <c r="I27" i="30"/>
  <c r="M27" i="30" l="1"/>
  <c r="M28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AW21" i="35" l="1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5"/>
  <c r="S7" i="36"/>
  <c r="S7" i="37"/>
  <c r="S7" i="34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J7" i="36"/>
  <c r="I7" i="36"/>
  <c r="H7" i="36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AX7" i="33"/>
  <c r="AS7" i="33"/>
  <c r="AN7" i="33"/>
  <c r="AI7" i="33"/>
  <c r="AD7" i="33"/>
  <c r="Y7" i="33"/>
  <c r="T7" i="33"/>
  <c r="K7" i="33"/>
  <c r="J7" i="33"/>
  <c r="I7" i="33"/>
  <c r="H7" i="33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J7" i="32"/>
  <c r="I7" i="32"/>
  <c r="H7" i="32"/>
  <c r="L7" i="32" l="1"/>
  <c r="B30" i="39" s="1"/>
  <c r="M21" i="37"/>
  <c r="M12" i="37"/>
  <c r="M11" i="37"/>
  <c r="M10" i="37"/>
  <c r="M14" i="37"/>
  <c r="M9" i="37"/>
  <c r="M13" i="37"/>
  <c r="M18" i="37"/>
  <c r="L7" i="37"/>
  <c r="B36" i="39" s="1"/>
  <c r="M7" i="37"/>
  <c r="M15" i="37"/>
  <c r="M19" i="37"/>
  <c r="M8" i="37"/>
  <c r="M16" i="37"/>
  <c r="M20" i="37"/>
  <c r="M17" i="37"/>
  <c r="M9" i="36"/>
  <c r="M8" i="36"/>
  <c r="M11" i="36"/>
  <c r="M10" i="36"/>
  <c r="L7" i="36"/>
  <c r="B35" i="39" s="1"/>
  <c r="M14" i="36"/>
  <c r="M18" i="36"/>
  <c r="M15" i="36"/>
  <c r="M19" i="36"/>
  <c r="M12" i="36"/>
  <c r="M16" i="36"/>
  <c r="M20" i="36"/>
  <c r="M7" i="36"/>
  <c r="M13" i="36"/>
  <c r="M17" i="36"/>
  <c r="M21" i="36"/>
  <c r="M11" i="35"/>
  <c r="M9" i="35"/>
  <c r="M8" i="35"/>
  <c r="M12" i="35"/>
  <c r="M15" i="35"/>
  <c r="L7" i="35"/>
  <c r="B34" i="39" s="1"/>
  <c r="M10" i="35"/>
  <c r="M14" i="35"/>
  <c r="M13" i="35"/>
  <c r="M18" i="35"/>
  <c r="M7" i="35"/>
  <c r="M19" i="35"/>
  <c r="M16" i="35"/>
  <c r="M20" i="35"/>
  <c r="M17" i="35"/>
  <c r="M21" i="35"/>
  <c r="L7" i="34"/>
  <c r="B33" i="39" s="1"/>
  <c r="M8" i="34"/>
  <c r="M12" i="34"/>
  <c r="M16" i="34"/>
  <c r="M11" i="34"/>
  <c r="M15" i="34"/>
  <c r="M10" i="34"/>
  <c r="M14" i="34"/>
  <c r="M9" i="34"/>
  <c r="M13" i="34"/>
  <c r="M7" i="34"/>
  <c r="M20" i="34"/>
  <c r="M17" i="34"/>
  <c r="M21" i="34"/>
  <c r="M18" i="34"/>
  <c r="M19" i="34"/>
  <c r="M8" i="32"/>
  <c r="M12" i="32"/>
  <c r="M16" i="32"/>
  <c r="M11" i="32"/>
  <c r="M15" i="32"/>
  <c r="M10" i="32"/>
  <c r="M14" i="32"/>
  <c r="M9" i="32"/>
  <c r="M13" i="32"/>
  <c r="M17" i="32"/>
  <c r="M18" i="32"/>
  <c r="M7" i="32"/>
  <c r="M19" i="32"/>
  <c r="M20" i="32"/>
  <c r="M21" i="32"/>
  <c r="M35" i="33"/>
  <c r="M11" i="33"/>
  <c r="M15" i="33"/>
  <c r="M19" i="33"/>
  <c r="M23" i="33"/>
  <c r="M27" i="33"/>
  <c r="M10" i="33"/>
  <c r="M14" i="33"/>
  <c r="M18" i="33"/>
  <c r="M22" i="33"/>
  <c r="M26" i="33"/>
  <c r="M30" i="33"/>
  <c r="M9" i="33"/>
  <c r="M13" i="33"/>
  <c r="M17" i="33"/>
  <c r="M21" i="33"/>
  <c r="M25" i="33"/>
  <c r="M29" i="33"/>
  <c r="M8" i="33"/>
  <c r="M12" i="33"/>
  <c r="M16" i="33"/>
  <c r="M20" i="33"/>
  <c r="M24" i="33"/>
  <c r="M28" i="33"/>
  <c r="M33" i="33"/>
  <c r="M34" i="33"/>
  <c r="M7" i="33"/>
  <c r="M31" i="33"/>
  <c r="L7" i="33"/>
  <c r="B32" i="39" s="1"/>
  <c r="M32" i="33"/>
  <c r="M36" i="33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L7" i="30" l="1"/>
  <c r="B29" i="39" s="1"/>
  <c r="M21" i="30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D6" i="3"/>
  <c r="D7" i="3" s="1"/>
  <c r="D8" i="3" s="1"/>
  <c r="D9" i="3" s="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M288" i="41" l="1"/>
  <c r="K288" i="41"/>
  <c r="I288" i="41"/>
  <c r="G288" i="41"/>
  <c r="M287" i="41"/>
  <c r="K287" i="41"/>
  <c r="I287" i="41"/>
  <c r="G287" i="41"/>
  <c r="M283" i="41"/>
  <c r="K283" i="41"/>
  <c r="I283" i="41"/>
  <c r="G283" i="41"/>
  <c r="C283" i="41"/>
  <c r="M282" i="41"/>
  <c r="K282" i="41"/>
  <c r="I282" i="41"/>
  <c r="G282" i="41"/>
  <c r="C282" i="41"/>
  <c r="F42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K114" i="37"/>
  <c r="J114" i="37"/>
  <c r="I114" i="37"/>
  <c r="AW113" i="37"/>
  <c r="AR113" i="37"/>
  <c r="AM113" i="37"/>
  <c r="AH113" i="37"/>
  <c r="AC113" i="37"/>
  <c r="X113" i="37"/>
  <c r="S113" i="37"/>
  <c r="K113" i="37"/>
  <c r="J113" i="37"/>
  <c r="I113" i="37"/>
  <c r="AW112" i="37"/>
  <c r="AR112" i="37"/>
  <c r="AM112" i="37"/>
  <c r="AH112" i="37"/>
  <c r="AC112" i="37"/>
  <c r="X112" i="37"/>
  <c r="S112" i="37"/>
  <c r="K112" i="37"/>
  <c r="J112" i="37"/>
  <c r="I112" i="37"/>
  <c r="AW111" i="37"/>
  <c r="AR111" i="37"/>
  <c r="AM111" i="37"/>
  <c r="AH111" i="37"/>
  <c r="AC111" i="37"/>
  <c r="X111" i="37"/>
  <c r="S111" i="37"/>
  <c r="K111" i="37"/>
  <c r="J111" i="37"/>
  <c r="I111" i="37"/>
  <c r="AW110" i="37"/>
  <c r="AR110" i="37"/>
  <c r="AM110" i="37"/>
  <c r="AH110" i="37"/>
  <c r="AC110" i="37"/>
  <c r="X110" i="37"/>
  <c r="S110" i="37"/>
  <c r="K110" i="37"/>
  <c r="J110" i="37"/>
  <c r="I110" i="37"/>
  <c r="AW109" i="37"/>
  <c r="AR109" i="37"/>
  <c r="AM109" i="37"/>
  <c r="AH109" i="37"/>
  <c r="AC109" i="37"/>
  <c r="X109" i="37"/>
  <c r="S109" i="37"/>
  <c r="K109" i="37"/>
  <c r="J109" i="37"/>
  <c r="I109" i="37"/>
  <c r="AW108" i="37"/>
  <c r="AR108" i="37"/>
  <c r="AM108" i="37"/>
  <c r="AH108" i="37"/>
  <c r="AC108" i="37"/>
  <c r="X108" i="37"/>
  <c r="S108" i="37"/>
  <c r="K108" i="37"/>
  <c r="J108" i="37"/>
  <c r="I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K107" i="37"/>
  <c r="J107" i="37"/>
  <c r="I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J111" i="36"/>
  <c r="I111" i="36"/>
  <c r="AW110" i="36"/>
  <c r="AR110" i="36"/>
  <c r="AM110" i="36"/>
  <c r="AH110" i="36"/>
  <c r="AC110" i="36"/>
  <c r="X110" i="36"/>
  <c r="S110" i="36"/>
  <c r="K110" i="36"/>
  <c r="J110" i="36"/>
  <c r="I110" i="36"/>
  <c r="AW109" i="36"/>
  <c r="AR109" i="36"/>
  <c r="AM109" i="36"/>
  <c r="AH109" i="36"/>
  <c r="AC109" i="36"/>
  <c r="X109" i="36"/>
  <c r="S109" i="36"/>
  <c r="K109" i="36"/>
  <c r="J109" i="36"/>
  <c r="I109" i="36"/>
  <c r="AW108" i="36"/>
  <c r="AR108" i="36"/>
  <c r="AM108" i="36"/>
  <c r="AH108" i="36"/>
  <c r="AC108" i="36"/>
  <c r="X108" i="36"/>
  <c r="S108" i="36"/>
  <c r="K108" i="36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J107" i="35"/>
  <c r="I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J117" i="32"/>
  <c r="I117" i="32"/>
  <c r="AW116" i="32"/>
  <c r="AR116" i="32"/>
  <c r="AM116" i="32"/>
  <c r="AH116" i="32"/>
  <c r="AC116" i="32"/>
  <c r="X116" i="32"/>
  <c r="S116" i="32"/>
  <c r="K116" i="32"/>
  <c r="J116" i="32"/>
  <c r="I116" i="32"/>
  <c r="AW115" i="32"/>
  <c r="AR115" i="32"/>
  <c r="AM115" i="32"/>
  <c r="AH115" i="32"/>
  <c r="AC115" i="32"/>
  <c r="X115" i="32"/>
  <c r="S115" i="32"/>
  <c r="K115" i="32"/>
  <c r="J115" i="32"/>
  <c r="I115" i="32"/>
  <c r="AW114" i="32"/>
  <c r="AR114" i="32"/>
  <c r="AM114" i="32"/>
  <c r="AH114" i="32"/>
  <c r="AC114" i="32"/>
  <c r="X114" i="32"/>
  <c r="S114" i="32"/>
  <c r="K114" i="32"/>
  <c r="J114" i="32"/>
  <c r="I114" i="32"/>
  <c r="AW113" i="32"/>
  <c r="AR113" i="32"/>
  <c r="AM113" i="32"/>
  <c r="AH113" i="32"/>
  <c r="AC113" i="32"/>
  <c r="X113" i="32"/>
  <c r="S113" i="32"/>
  <c r="K113" i="32"/>
  <c r="J113" i="32"/>
  <c r="I113" i="32"/>
  <c r="AW112" i="32"/>
  <c r="AR112" i="32"/>
  <c r="AM112" i="32"/>
  <c r="AH112" i="32"/>
  <c r="AC112" i="32"/>
  <c r="X112" i="32"/>
  <c r="S112" i="32"/>
  <c r="K112" i="32"/>
  <c r="J112" i="32"/>
  <c r="I112" i="32"/>
  <c r="AW111" i="32"/>
  <c r="AR111" i="32"/>
  <c r="AM111" i="32"/>
  <c r="AH111" i="32"/>
  <c r="AC111" i="32"/>
  <c r="X111" i="32"/>
  <c r="S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J110" i="32"/>
  <c r="I110" i="32"/>
  <c r="AW109" i="32"/>
  <c r="AR109" i="32"/>
  <c r="AM109" i="32"/>
  <c r="AH109" i="32"/>
  <c r="AC109" i="32"/>
  <c r="X109" i="32"/>
  <c r="S109" i="32"/>
  <c r="K109" i="32"/>
  <c r="J109" i="32"/>
  <c r="I109" i="32"/>
  <c r="AW108" i="32"/>
  <c r="AR108" i="32"/>
  <c r="AM108" i="32"/>
  <c r="AH108" i="32"/>
  <c r="AC108" i="32"/>
  <c r="X108" i="32"/>
  <c r="S108" i="32"/>
  <c r="K108" i="32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K107" i="32"/>
  <c r="J107" i="32"/>
  <c r="I107" i="32"/>
  <c r="H107" i="32"/>
  <c r="K113" i="30"/>
  <c r="M113" i="30" s="1"/>
  <c r="J113" i="30"/>
  <c r="I113" i="30"/>
  <c r="K112" i="30"/>
  <c r="M112" i="30" s="1"/>
  <c r="J112" i="30"/>
  <c r="I112" i="30"/>
  <c r="K111" i="30"/>
  <c r="M111" i="30" s="1"/>
  <c r="J111" i="30"/>
  <c r="I111" i="30"/>
  <c r="K110" i="30"/>
  <c r="M110" i="30" s="1"/>
  <c r="J110" i="30"/>
  <c r="I110" i="30"/>
  <c r="K109" i="30"/>
  <c r="M109" i="30" s="1"/>
  <c r="J109" i="30"/>
  <c r="I109" i="30"/>
  <c r="K108" i="30"/>
  <c r="M108" i="30" s="1"/>
  <c r="J108" i="30"/>
  <c r="I108" i="30"/>
  <c r="AX107" i="30"/>
  <c r="AS107" i="30"/>
  <c r="AN107" i="30"/>
  <c r="AI107" i="30"/>
  <c r="AD107" i="30"/>
  <c r="Y107" i="30"/>
  <c r="T107" i="30"/>
  <c r="K107" i="30"/>
  <c r="M121" i="30" s="1"/>
  <c r="J107" i="30"/>
  <c r="I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J202" i="8"/>
  <c r="I202" i="8"/>
  <c r="AW201" i="8"/>
  <c r="AR201" i="8"/>
  <c r="AM201" i="8"/>
  <c r="AH201" i="8"/>
  <c r="AC201" i="8"/>
  <c r="X201" i="8"/>
  <c r="S201" i="8"/>
  <c r="K201" i="8"/>
  <c r="J201" i="8"/>
  <c r="I201" i="8"/>
  <c r="AW200" i="8"/>
  <c r="AR200" i="8"/>
  <c r="AM200" i="8"/>
  <c r="AH200" i="8"/>
  <c r="AC200" i="8"/>
  <c r="X200" i="8"/>
  <c r="S200" i="8"/>
  <c r="K200" i="8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J197" i="8"/>
  <c r="I197" i="8"/>
  <c r="AW196" i="8"/>
  <c r="AR196" i="8"/>
  <c r="AM196" i="8"/>
  <c r="AH196" i="8"/>
  <c r="AC196" i="8"/>
  <c r="X196" i="8"/>
  <c r="S196" i="8"/>
  <c r="K196" i="8"/>
  <c r="J196" i="8"/>
  <c r="I196" i="8"/>
  <c r="AW195" i="8"/>
  <c r="AR195" i="8"/>
  <c r="AM195" i="8"/>
  <c r="AH195" i="8"/>
  <c r="AC195" i="8"/>
  <c r="X195" i="8"/>
  <c r="S195" i="8"/>
  <c r="K195" i="8"/>
  <c r="J195" i="8"/>
  <c r="I195" i="8"/>
  <c r="AW194" i="8"/>
  <c r="AR194" i="8"/>
  <c r="AM194" i="8"/>
  <c r="AH194" i="8"/>
  <c r="AC194" i="8"/>
  <c r="X194" i="8"/>
  <c r="S194" i="8"/>
  <c r="K194" i="8"/>
  <c r="J194" i="8"/>
  <c r="I194" i="8"/>
  <c r="AW193" i="8"/>
  <c r="AR193" i="8"/>
  <c r="AM193" i="8"/>
  <c r="AH193" i="8"/>
  <c r="AC193" i="8"/>
  <c r="X193" i="8"/>
  <c r="S193" i="8"/>
  <c r="K193" i="8"/>
  <c r="J193" i="8"/>
  <c r="I193" i="8"/>
  <c r="AW192" i="8"/>
  <c r="AR192" i="8"/>
  <c r="AM192" i="8"/>
  <c r="AH192" i="8"/>
  <c r="AC192" i="8"/>
  <c r="X192" i="8"/>
  <c r="S192" i="8"/>
  <c r="K192" i="8"/>
  <c r="J192" i="8"/>
  <c r="I192" i="8"/>
  <c r="AW191" i="8"/>
  <c r="AR191" i="8"/>
  <c r="AM191" i="8"/>
  <c r="AH191" i="8"/>
  <c r="AC191" i="8"/>
  <c r="X191" i="8"/>
  <c r="S191" i="8"/>
  <c r="K191" i="8"/>
  <c r="J191" i="8"/>
  <c r="I191" i="8"/>
  <c r="AW190" i="8"/>
  <c r="AR190" i="8"/>
  <c r="AM190" i="8"/>
  <c r="AH190" i="8"/>
  <c r="AC190" i="8"/>
  <c r="X190" i="8"/>
  <c r="S190" i="8"/>
  <c r="K190" i="8"/>
  <c r="J190" i="8"/>
  <c r="I190" i="8"/>
  <c r="AW189" i="8"/>
  <c r="AR189" i="8"/>
  <c r="AM189" i="8"/>
  <c r="AH189" i="8"/>
  <c r="AC189" i="8"/>
  <c r="X189" i="8"/>
  <c r="S189" i="8"/>
  <c r="K189" i="8"/>
  <c r="J189" i="8"/>
  <c r="I189" i="8"/>
  <c r="AW188" i="8"/>
  <c r="AR188" i="8"/>
  <c r="AM188" i="8"/>
  <c r="AH188" i="8"/>
  <c r="AC188" i="8"/>
  <c r="X188" i="8"/>
  <c r="S188" i="8"/>
  <c r="K188" i="8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J185" i="8"/>
  <c r="I185" i="8"/>
  <c r="AW184" i="8"/>
  <c r="AR184" i="8"/>
  <c r="AM184" i="8"/>
  <c r="AH184" i="8"/>
  <c r="AC184" i="8"/>
  <c r="X184" i="8"/>
  <c r="S184" i="8"/>
  <c r="K184" i="8"/>
  <c r="J184" i="8"/>
  <c r="I184" i="8"/>
  <c r="AW183" i="8"/>
  <c r="AR183" i="8"/>
  <c r="AM183" i="8"/>
  <c r="AH183" i="8"/>
  <c r="AC183" i="8"/>
  <c r="X183" i="8"/>
  <c r="S183" i="8"/>
  <c r="K183" i="8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J182" i="8"/>
  <c r="I182" i="8"/>
  <c r="H182" i="8"/>
  <c r="M114" i="30" l="1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M275" i="41" l="1"/>
  <c r="K275" i="41"/>
  <c r="I275" i="41"/>
  <c r="G275" i="41"/>
  <c r="M274" i="41"/>
  <c r="K274" i="41"/>
  <c r="I274" i="41"/>
  <c r="G274" i="41"/>
  <c r="M270" i="41"/>
  <c r="K270" i="41"/>
  <c r="I270" i="41"/>
  <c r="G270" i="41"/>
  <c r="C270" i="41"/>
  <c r="M269" i="41"/>
  <c r="K269" i="41"/>
  <c r="I269" i="41"/>
  <c r="G269" i="41"/>
  <c r="C269" i="41"/>
  <c r="K174" i="33" l="1"/>
  <c r="J174" i="33"/>
  <c r="I174" i="33"/>
  <c r="K173" i="33"/>
  <c r="J173" i="33"/>
  <c r="I173" i="33"/>
  <c r="J97" i="32"/>
  <c r="K97" i="32" l="1"/>
  <c r="I97" i="32"/>
  <c r="M262" i="41" l="1"/>
  <c r="K262" i="41"/>
  <c r="I262" i="41"/>
  <c r="G262" i="41"/>
  <c r="M261" i="41"/>
  <c r="K261" i="41"/>
  <c r="I261" i="41"/>
  <c r="G261" i="41"/>
  <c r="M257" i="41"/>
  <c r="K257" i="41"/>
  <c r="I257" i="41"/>
  <c r="G257" i="41"/>
  <c r="C257" i="41"/>
  <c r="M256" i="41"/>
  <c r="K256" i="41"/>
  <c r="I256" i="41"/>
  <c r="G256" i="41"/>
  <c r="C256" i="41"/>
  <c r="I138" i="33" l="1"/>
  <c r="J138" i="33"/>
  <c r="J76" i="32"/>
  <c r="K76" i="32"/>
  <c r="K138" i="33" l="1"/>
  <c r="I76" i="32"/>
  <c r="D31" i="48" l="1"/>
  <c r="D30" i="48"/>
  <c r="D29" i="48"/>
  <c r="D28" i="48"/>
  <c r="D27" i="48"/>
  <c r="D26" i="48"/>
  <c r="D25" i="48"/>
  <c r="F31" i="48"/>
  <c r="F30" i="48"/>
  <c r="F29" i="48"/>
  <c r="F28" i="48"/>
  <c r="F27" i="48"/>
  <c r="F26" i="48"/>
  <c r="F25" i="48"/>
  <c r="J25" i="48"/>
  <c r="H31" i="48"/>
  <c r="H30" i="48"/>
  <c r="H29" i="48"/>
  <c r="H28" i="48"/>
  <c r="H27" i="48"/>
  <c r="H26" i="48"/>
  <c r="H25" i="48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66" i="33"/>
  <c r="J66" i="33"/>
  <c r="K68" i="33"/>
  <c r="J68" i="33"/>
  <c r="I67" i="33"/>
  <c r="K67" i="33"/>
  <c r="I66" i="33"/>
  <c r="I68" i="33" l="1"/>
  <c r="J67" i="33"/>
  <c r="O5" i="3" l="1"/>
  <c r="L25" i="48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AX87" i="31"/>
  <c r="AW87" i="31"/>
  <c r="AS87" i="31"/>
  <c r="AR87" i="31"/>
  <c r="AN87" i="31"/>
  <c r="AM87" i="31"/>
  <c r="AI87" i="31"/>
  <c r="AH87" i="31"/>
  <c r="AD87" i="31"/>
  <c r="AC87" i="31"/>
  <c r="Y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S43" i="6"/>
  <c r="M43" i="6"/>
  <c r="F43" i="6"/>
  <c r="AJ43" i="6" s="1"/>
  <c r="AK46" i="6"/>
  <c r="AI46" i="6"/>
  <c r="AG46" i="6"/>
  <c r="AE46" i="6"/>
  <c r="AA46" i="6"/>
  <c r="Y46" i="6"/>
  <c r="W46" i="6"/>
  <c r="U46" i="6"/>
  <c r="Q46" i="6"/>
  <c r="O46" i="6"/>
  <c r="K46" i="6"/>
  <c r="I46" i="6"/>
  <c r="L43" i="6" l="1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F7" i="7" l="1"/>
  <c r="F7" i="6"/>
  <c r="AF7" i="6" l="1"/>
  <c r="Z7" i="6"/>
  <c r="AL7" i="6"/>
  <c r="AD7" i="6"/>
  <c r="X7" i="6"/>
  <c r="R7" i="6"/>
  <c r="L7" i="6"/>
  <c r="AJ7" i="6"/>
  <c r="V7" i="6"/>
  <c r="P7" i="6"/>
  <c r="J7" i="6"/>
  <c r="AH7" i="6"/>
  <c r="AB7" i="6"/>
  <c r="T7" i="6"/>
  <c r="N7" i="6"/>
  <c r="AF7" i="7"/>
  <c r="Z7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J172" i="33"/>
  <c r="K172" i="33"/>
  <c r="I172" i="33" l="1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J71" i="36" l="1"/>
  <c r="K136" i="33"/>
  <c r="K137" i="33"/>
  <c r="J137" i="33"/>
  <c r="I137" i="33"/>
  <c r="J136" i="33"/>
  <c r="I136" i="33"/>
  <c r="I71" i="36" l="1"/>
  <c r="K71" i="36"/>
  <c r="M210" i="41" l="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J51" i="36" l="1"/>
  <c r="K51" i="36"/>
  <c r="I51" i="36"/>
  <c r="K101" i="33" l="1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M184" i="41" l="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K8" i="31"/>
  <c r="J8" i="31"/>
  <c r="I8" i="31"/>
  <c r="AX7" i="31"/>
  <c r="T7" i="31"/>
  <c r="H7" i="3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B10" i="13"/>
  <c r="B7" i="13"/>
  <c r="B6" i="13"/>
  <c r="M8" i="31" l="1"/>
  <c r="M20" i="31"/>
  <c r="L7" i="31"/>
  <c r="B31" i="39" s="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AZ36" i="33" l="1"/>
  <c r="F41" i="48"/>
  <c r="H41" i="48"/>
  <c r="J41" i="48"/>
  <c r="D41" i="48"/>
  <c r="L41" i="48"/>
  <c r="J42" i="48"/>
  <c r="H42" i="48"/>
  <c r="L42" i="48"/>
  <c r="D42" i="48"/>
  <c r="K93" i="37" l="1"/>
  <c r="J93" i="37"/>
  <c r="I93" i="37"/>
  <c r="J95" i="34" l="1"/>
  <c r="K96" i="34"/>
  <c r="I96" i="34"/>
  <c r="K171" i="33"/>
  <c r="I171" i="33"/>
  <c r="I88" i="31"/>
  <c r="K88" i="31"/>
  <c r="J88" i="31"/>
  <c r="K95" i="34" l="1"/>
  <c r="I95" i="34"/>
  <c r="J96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5" i="34"/>
  <c r="I54" i="34"/>
  <c r="I56" i="34"/>
  <c r="K54" i="34"/>
  <c r="J54" i="34"/>
  <c r="K56" i="34"/>
  <c r="J56" i="34"/>
  <c r="K55" i="34"/>
  <c r="I55" i="34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7" i="34" l="1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K11" i="39"/>
  <c r="K9" i="39"/>
  <c r="K8" i="39"/>
  <c r="K6" i="39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Z12" i="37" l="1"/>
  <c r="AZ15" i="35"/>
  <c r="AZ7" i="36"/>
  <c r="AZ9" i="37"/>
  <c r="AZ21" i="37"/>
  <c r="AZ18" i="34"/>
  <c r="AZ11" i="37"/>
  <c r="AZ9" i="34"/>
  <c r="AZ9" i="36"/>
  <c r="Q10" i="3"/>
  <c r="W10" i="3"/>
  <c r="AT2" i="8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H115" i="34" l="1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K205" i="33"/>
  <c r="M205" i="33" s="1"/>
  <c r="J205" i="33"/>
  <c r="I205" i="33"/>
  <c r="K204" i="33"/>
  <c r="M204" i="33" s="1"/>
  <c r="J204" i="33"/>
  <c r="I204" i="33"/>
  <c r="K203" i="33"/>
  <c r="M203" i="33" s="1"/>
  <c r="J203" i="33"/>
  <c r="I203" i="33"/>
  <c r="K202" i="33"/>
  <c r="M202" i="33" s="1"/>
  <c r="J202" i="33"/>
  <c r="I202" i="33"/>
  <c r="K201" i="33"/>
  <c r="M201" i="33" s="1"/>
  <c r="J201" i="33"/>
  <c r="I201" i="33"/>
  <c r="K200" i="33"/>
  <c r="J200" i="33"/>
  <c r="I200" i="33"/>
  <c r="K199" i="33"/>
  <c r="M199" i="33" s="1"/>
  <c r="J199" i="33"/>
  <c r="I199" i="33"/>
  <c r="K198" i="33"/>
  <c r="M198" i="33" s="1"/>
  <c r="J198" i="33"/>
  <c r="I198" i="33"/>
  <c r="K197" i="33"/>
  <c r="M197" i="33" s="1"/>
  <c r="J197" i="33"/>
  <c r="I197" i="33"/>
  <c r="K196" i="33"/>
  <c r="J196" i="33"/>
  <c r="I196" i="33"/>
  <c r="K195" i="33"/>
  <c r="M195" i="33" s="1"/>
  <c r="J195" i="33"/>
  <c r="I195" i="33"/>
  <c r="K194" i="33"/>
  <c r="J194" i="33"/>
  <c r="I194" i="33"/>
  <c r="K193" i="33"/>
  <c r="M193" i="33" s="1"/>
  <c r="J193" i="33"/>
  <c r="I193" i="33"/>
  <c r="K192" i="33"/>
  <c r="J192" i="33"/>
  <c r="I192" i="33"/>
  <c r="K191" i="33"/>
  <c r="M191" i="33" s="1"/>
  <c r="J191" i="33"/>
  <c r="I191" i="33"/>
  <c r="K190" i="33"/>
  <c r="M190" i="33" s="1"/>
  <c r="J190" i="33"/>
  <c r="I190" i="33"/>
  <c r="K189" i="33"/>
  <c r="M189" i="33" s="1"/>
  <c r="J189" i="33"/>
  <c r="I189" i="33"/>
  <c r="K188" i="33"/>
  <c r="M188" i="33" s="1"/>
  <c r="J188" i="33"/>
  <c r="I188" i="33"/>
  <c r="K187" i="33"/>
  <c r="M187" i="33" s="1"/>
  <c r="J187" i="33"/>
  <c r="I187" i="33"/>
  <c r="K186" i="33"/>
  <c r="J186" i="33"/>
  <c r="I186" i="33"/>
  <c r="K185" i="33"/>
  <c r="M185" i="33" s="1"/>
  <c r="J185" i="33"/>
  <c r="I185" i="33"/>
  <c r="K184" i="33"/>
  <c r="J184" i="33"/>
  <c r="I184" i="33"/>
  <c r="K183" i="33"/>
  <c r="M183" i="33" s="1"/>
  <c r="J183" i="33"/>
  <c r="I183" i="33"/>
  <c r="AX182" i="33"/>
  <c r="AS182" i="33"/>
  <c r="AN182" i="33"/>
  <c r="AI182" i="33"/>
  <c r="AD182" i="33"/>
  <c r="Y182" i="33"/>
  <c r="T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I30" i="5"/>
  <c r="I29" i="5"/>
  <c r="I28" i="5"/>
  <c r="J28" i="5" s="1"/>
  <c r="I135" i="33" l="1"/>
  <c r="J135" i="33"/>
  <c r="K135" i="33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S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S73" i="35"/>
  <c r="S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135" i="35"/>
  <c r="J135" i="35"/>
  <c r="I135" i="35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H87" i="30"/>
  <c r="M69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J7" i="5" s="1"/>
  <c r="I7" i="39" s="1"/>
  <c r="I10" i="13"/>
  <c r="K10" i="13" s="1"/>
  <c r="I6" i="5"/>
  <c r="J6" i="5" s="1"/>
  <c r="U41" i="3"/>
  <c r="O41" i="3"/>
  <c r="U40" i="3"/>
  <c r="O40" i="3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8" i="1" s="1"/>
  <c r="V48" i="1" s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4" i="1" s="1"/>
  <c r="V34" i="1" s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E11" i="1"/>
  <c r="C11" i="1"/>
  <c r="B11" i="1"/>
  <c r="U10" i="1"/>
  <c r="W10" i="1" s="1"/>
  <c r="O10" i="1"/>
  <c r="Q10" i="1" s="1"/>
  <c r="E10" i="1"/>
  <c r="D10" i="1"/>
  <c r="U9" i="1"/>
  <c r="Q9" i="1"/>
  <c r="O9" i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Q6" i="1" s="1"/>
  <c r="E6" i="1"/>
  <c r="D6" i="1"/>
  <c r="G8" i="6" l="1"/>
  <c r="AJ8" i="6"/>
  <c r="V8" i="6"/>
  <c r="P8" i="6"/>
  <c r="J8" i="6"/>
  <c r="AH8" i="6"/>
  <c r="AB8" i="6"/>
  <c r="T8" i="6"/>
  <c r="N8" i="6"/>
  <c r="AF8" i="6"/>
  <c r="Z8" i="6"/>
  <c r="AL8" i="6"/>
  <c r="AD8" i="6"/>
  <c r="X8" i="6"/>
  <c r="R8" i="6"/>
  <c r="L8" i="6"/>
  <c r="M27" i="8"/>
  <c r="J21" i="5"/>
  <c r="M121" i="37"/>
  <c r="J14" i="5"/>
  <c r="D9" i="39"/>
  <c r="M34" i="8"/>
  <c r="M30" i="8"/>
  <c r="M7" i="8"/>
  <c r="AZ36" i="8" s="1"/>
  <c r="M23" i="8"/>
  <c r="M22" i="8"/>
  <c r="M28" i="8"/>
  <c r="M25" i="8"/>
  <c r="M8" i="8"/>
  <c r="M24" i="8"/>
  <c r="M11" i="8"/>
  <c r="M10" i="8"/>
  <c r="M26" i="8"/>
  <c r="M9" i="8"/>
  <c r="M32" i="8"/>
  <c r="M12" i="8"/>
  <c r="M29" i="8"/>
  <c r="M15" i="8"/>
  <c r="M14" i="8"/>
  <c r="M31" i="8"/>
  <c r="M17" i="8"/>
  <c r="M36" i="8"/>
  <c r="M16" i="8"/>
  <c r="M33" i="8"/>
  <c r="M19" i="8"/>
  <c r="M18" i="8"/>
  <c r="M35" i="8"/>
  <c r="M21" i="8"/>
  <c r="M13" i="8"/>
  <c r="M20" i="8"/>
  <c r="AB12" i="6"/>
  <c r="R12" i="6"/>
  <c r="R9" i="6"/>
  <c r="AB9" i="6"/>
  <c r="R13" i="6"/>
  <c r="AB13" i="6"/>
  <c r="R10" i="6"/>
  <c r="AB10" i="6"/>
  <c r="R14" i="6"/>
  <c r="AB14" i="6"/>
  <c r="AB11" i="6"/>
  <c r="R11" i="6"/>
  <c r="M70" i="30"/>
  <c r="M79" i="30"/>
  <c r="M68" i="30"/>
  <c r="M75" i="30"/>
  <c r="M74" i="30"/>
  <c r="M72" i="30"/>
  <c r="M71" i="30"/>
  <c r="M81" i="30"/>
  <c r="M80" i="30"/>
  <c r="M78" i="30"/>
  <c r="M77" i="30"/>
  <c r="M76" i="30"/>
  <c r="M67" i="30"/>
  <c r="M73" i="30"/>
  <c r="AC46" i="6"/>
  <c r="AC47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46" i="6"/>
  <c r="S47" i="6" s="1"/>
  <c r="H16" i="13" s="1"/>
  <c r="M46" i="6"/>
  <c r="M47" i="6" s="1"/>
  <c r="F26" i="6"/>
  <c r="Z26" i="6" s="1"/>
  <c r="F20" i="6"/>
  <c r="V20" i="6" s="1"/>
  <c r="K10" i="5"/>
  <c r="K7" i="39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AF45" i="6" s="1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AJ41" i="6" s="1"/>
  <c r="M135" i="8"/>
  <c r="M138" i="8"/>
  <c r="M141" i="8"/>
  <c r="L47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F34" i="7"/>
  <c r="AD34" i="7" s="1"/>
  <c r="AC46" i="7"/>
  <c r="B19" i="13" s="1"/>
  <c r="C19" i="13" s="1"/>
  <c r="E19" i="13" s="1"/>
  <c r="F44" i="7"/>
  <c r="N44" i="7" s="1"/>
  <c r="AJ20" i="6"/>
  <c r="H23" i="13"/>
  <c r="F22" i="6"/>
  <c r="F32" i="6"/>
  <c r="F21" i="6"/>
  <c r="T23" i="6"/>
  <c r="AF23" i="6"/>
  <c r="AL23" i="6"/>
  <c r="X23" i="6"/>
  <c r="P23" i="6"/>
  <c r="AJ23" i="6"/>
  <c r="F25" i="6"/>
  <c r="F15" i="6"/>
  <c r="G9" i="6" s="1"/>
  <c r="J23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2"/>
  <c r="L27" i="34"/>
  <c r="M34" i="35"/>
  <c r="M35" i="35"/>
  <c r="M36" i="35"/>
  <c r="M37" i="35"/>
  <c r="M38" i="35"/>
  <c r="M39" i="35"/>
  <c r="M40" i="35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D10" i="39"/>
  <c r="I11" i="13"/>
  <c r="K11" i="13" s="1"/>
  <c r="F39" i="6"/>
  <c r="F38" i="6"/>
  <c r="F42" i="6"/>
  <c r="F40" i="6"/>
  <c r="N40" i="6" s="1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D20" i="6" l="1"/>
  <c r="G8" i="7"/>
  <c r="AJ8" i="7"/>
  <c r="V8" i="7"/>
  <c r="P8" i="7"/>
  <c r="J8" i="7"/>
  <c r="AH8" i="7"/>
  <c r="AB8" i="7"/>
  <c r="T8" i="7"/>
  <c r="N8" i="7"/>
  <c r="AF8" i="7"/>
  <c r="Z8" i="7"/>
  <c r="AL8" i="7"/>
  <c r="AD8" i="7"/>
  <c r="X8" i="7"/>
  <c r="R8" i="7"/>
  <c r="L8" i="7"/>
  <c r="G30" i="6"/>
  <c r="AD30" i="7"/>
  <c r="G30" i="7"/>
  <c r="AD23" i="6"/>
  <c r="G23" i="6"/>
  <c r="AH23" i="7"/>
  <c r="G23" i="7"/>
  <c r="G16" i="6"/>
  <c r="G16" i="7"/>
  <c r="G9" i="7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<sst xmlns="http://schemas.openxmlformats.org/spreadsheetml/2006/main" count="7449" uniqueCount="1071">
  <si>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</si>
  <si>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</si>
  <si>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</si>
  <si>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</si>
  <si>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</si>
  <si>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</si>
  <si>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</si>
  <si>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</si>
  <si>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</si>
  <si>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</si>
  <si>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</si>
  <si>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</si>
  <si>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</si>
  <si>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</si>
  <si>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</si>
  <si>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</si>
  <si>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</si>
  <si>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</si>
  <si>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</si>
  <si>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</si>
  <si>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</si>
  <si>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</si>
  <si>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</si>
  <si>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</si>
  <si>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</si>
  <si>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</si>
  <si>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</si>
  <si>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</si>
  <si>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</si>
  <si>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</si>
  <si>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</si>
  <si>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</si>
  <si>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</si>
  <si>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</si>
  <si>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</si>
  <si>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</si>
  <si>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</si>
  <si>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</si>
  <si>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</si>
  <si>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</si>
  <si>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</si>
  <si>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</si>
  <si>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</si>
  <si>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</si>
  <si>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</si>
  <si>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</si>
  <si>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</si>
  <si>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</si>
  <si>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</si>
  <si>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</si>
  <si>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</si>
  <si>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</si>
  <si>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</si>
  <si>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</si>
  <si>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</si>
  <si>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</si>
  <si>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</si>
  <si>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</si>
  <si>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</si>
  <si>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</si>
  <si>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</si>
  <si>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</si>
  <si>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</si>
  <si>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</si>
  <si>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</si>
  <si>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</si>
  <si>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</si>
  <si>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</si>
  <si>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</si>
  <si>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</si>
  <si>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</si>
  <si>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</si>
  <si>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</si>
  <si>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</si>
  <si>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</si>
  <si>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</si>
  <si>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</si>
  <si>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</si>
  <si>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</si>
  <si>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</si>
  <si>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</si>
  <si>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</si>
  <si>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</si>
  <si>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</si>
  <si>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</si>
  <si>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</si>
  <si>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</si>
  <si>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</si>
  <si>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</si>
  <si>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</si>
  <si>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</si>
  <si>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</si>
  <si>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</si>
  <si>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</si>
  <si>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</si>
  <si>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</si>
  <si>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</si>
  <si>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</si>
  <si>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</si>
  <si>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</si>
  <si>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</si>
  <si>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</si>
  <si>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</si>
  <si>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</si>
  <si>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</si>
  <si>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</si>
  <si>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</si>
  <si>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</si>
  <si>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</si>
  <si>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</si>
  <si>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</si>
  <si>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</si>
  <si>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</si>
  <si>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</si>
  <si>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</si>
  <si>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</si>
  <si>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</si>
  <si>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</si>
  <si>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</si>
  <si>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</si>
  <si>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</si>
  <si>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</si>
  <si>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</si>
  <si>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</si>
  <si>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</si>
  <si>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</si>
  <si>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</si>
  <si>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</si>
  <si>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</si>
  <si>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</si>
  <si>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</si>
  <si>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</si>
  <si>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</si>
  <si>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</si>
  <si>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</si>
  <si>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</si>
  <si>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</si>
  <si>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</si>
  <si>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</si>
  <si>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</si>
  <si>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</si>
  <si>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</si>
  <si>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</si>
  <si>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</si>
  <si>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</si>
  <si>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</si>
  <si>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</si>
  <si>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</si>
  <si>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</si>
  <si>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</si>
  <si>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</si>
  <si>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</si>
  <si>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</si>
  <si>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</si>
  <si>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</si>
  <si>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</si>
  <si>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</si>
  <si>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</si>
  <si>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</si>
  <si>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</si>
  <si>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</si>
  <si>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</si>
  <si>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</si>
  <si>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</si>
  <si>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</si>
  <si>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</si>
  <si>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</si>
  <si>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</si>
  <si>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</si>
  <si>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</si>
  <si>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</si>
  <si>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</si>
  <si>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</si>
  <si>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</si>
  <si>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</si>
  <si>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</si>
  <si>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</si>
  <si>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</si>
  <si>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</si>
  <si>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</si>
  <si>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</si>
  <si>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</si>
  <si>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</si>
  <si>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</si>
  <si>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</si>
  <si>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</si>
  <si>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</si>
  <si>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</si>
  <si>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</si>
  <si>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</si>
  <si>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</si>
  <si>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</si>
  <si>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</si>
  <si>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</si>
  <si>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</si>
  <si>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</si>
  <si>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</si>
  <si>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</si>
  <si>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</si>
  <si>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</si>
  <si>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</si>
  <si>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</si>
  <si>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</si>
  <si>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</si>
  <si>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</si>
  <si>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</si>
  <si>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</si>
  <si>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</si>
  <si>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</si>
  <si>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</si>
  <si>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</si>
  <si>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</si>
  <si>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</si>
  <si>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</si>
  <si>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</si>
  <si>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</si>
  <si>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</si>
  <si>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</si>
  <si>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</si>
  <si>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</si>
  <si>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</si>
  <si>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</si>
  <si>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</si>
  <si>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</si>
  <si>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</si>
  <si>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</si>
  <si>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</si>
  <si>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</si>
  <si>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</si>
  <si>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</si>
  <si>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</si>
  <si>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</si>
  <si>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</si>
  <si>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</si>
  <si>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</si>
  <si>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</si>
  <si>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</si>
  <si>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</si>
  <si>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</si>
  <si>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</si>
  <si>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</si>
  <si>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</si>
  <si>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</si>
  <si>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</si>
  <si>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</si>
  <si>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</si>
  <si>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</si>
  <si>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</si>
  <si>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</si>
  <si>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</si>
  <si>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</si>
  <si>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</si>
  <si>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</si>
  <si>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</si>
  <si>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</si>
  <si>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</si>
  <si>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</si>
  <si>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</si>
  <si>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</si>
  <si>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</si>
  <si>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</si>
  <si>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</si>
  <si>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</si>
  <si>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</si>
  <si>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</si>
  <si>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</si>
  <si>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</si>
  <si>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</si>
  <si>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</si>
  <si>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</si>
  <si>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</si>
  <si>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</si>
  <si>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</si>
  <si>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</si>
  <si>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</si>
  <si>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</si>
  <si>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</si>
  <si>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</si>
  <si>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</si>
  <si>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</si>
  <si>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</si>
  <si>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</si>
  <si>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</si>
  <si>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</si>
  <si>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</si>
  <si>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</si>
  <si>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</si>
  <si>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</si>
  <si>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</si>
  <si>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</si>
  <si>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</si>
  <si>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</si>
  <si>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</si>
  <si>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</si>
  <si>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</si>
  <si>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</si>
  <si>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</si>
  <si>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</si>
  <si>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</si>
  <si>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</si>
  <si>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</si>
  <si>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</si>
  <si>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</si>
  <si>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</si>
  <si>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</si>
  <si>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</si>
  <si>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</si>
  <si>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</si>
  <si>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</si>
  <si>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</si>
  <si>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</si>
  <si>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</si>
  <si>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</si>
  <si>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</si>
  <si>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</si>
  <si>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</si>
  <si>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</si>
  <si>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</si>
  <si>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</si>
  <si>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</si>
  <si>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</si>
  <si>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</si>
  <si>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</si>
  <si>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</si>
  <si>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</si>
  <si>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</si>
  <si>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</si>
  <si>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</si>
  <si>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</si>
  <si>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</si>
  <si>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</si>
  <si>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</si>
  <si>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</si>
  <si>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</si>
  <si>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</si>
  <si>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</si>
  <si>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</si>
  <si>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</si>
  <si>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</si>
  <si>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</si>
  <si>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</si>
  <si>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</si>
  <si>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</si>
  <si>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</si>
  <si>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</si>
  <si>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</si>
  <si>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</si>
  <si>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</si>
  <si>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</si>
  <si>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</si>
  <si>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</si>
  <si>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</si>
  <si>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</si>
  <si>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</si>
  <si>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</si>
  <si>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</si>
  <si>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</si>
  <si>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</si>
  <si>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</si>
  <si>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</si>
  <si>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</si>
  <si>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</si>
  <si>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</si>
  <si>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</si>
  <si>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</si>
  <si>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二配油蔥G絲飯糰</t>
  </si>
  <si>
    <t>海饌雙手卷</t>
  </si>
  <si>
    <t>優質池上飯</t>
  </si>
  <si>
    <t>壽喜燒牛丼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</si>
  <si>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</si>
  <si>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</si>
  <si>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</si>
  <si>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</si>
  <si>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</si>
  <si>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</si>
  <si>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</si>
  <si>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</si>
  <si>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</si>
  <si>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</si>
  <si>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</si>
  <si>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</si>
  <si>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</si>
  <si>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</si>
  <si>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</si>
  <si>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</si>
  <si>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</si>
  <si>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</si>
  <si>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</si>
  <si>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</si>
  <si>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</si>
  <si>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</si>
  <si>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</si>
  <si>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</si>
  <si>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</si>
  <si>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</si>
  <si>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</si>
  <si>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</si>
  <si>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粉絲煲湯凍</t>
  </si>
  <si>
    <t>準備課</t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</si>
  <si>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</si>
  <si>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</si>
  <si>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</si>
  <si>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</si>
  <si>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</si>
  <si>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</si>
  <si>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</si>
  <si>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</si>
  <si>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</si>
  <si>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</si>
  <si>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</si>
  <si>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</si>
  <si>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</si>
  <si>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</si>
  <si>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</si>
  <si>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</si>
  <si>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</si>
  <si>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</si>
  <si>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</si>
  <si>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</si>
  <si>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</si>
  <si>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</si>
  <si>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</si>
  <si>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</si>
  <si>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</si>
  <si>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</si>
  <si>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</si>
  <si>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</si>
  <si>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</si>
  <si>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</si>
  <si>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</si>
  <si>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</si>
  <si>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</si>
  <si>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</si>
  <si>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</si>
  <si>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</si>
  <si>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</si>
  <si>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</si>
  <si>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</si>
  <si>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</si>
  <si>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</si>
  <si>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</si>
  <si>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</si>
  <si>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</si>
  <si>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</si>
  <si>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</si>
  <si>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</si>
  <si>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</si>
  <si>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</si>
  <si>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</si>
  <si>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</si>
  <si>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</si>
  <si>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</si>
  <si>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</si>
  <si>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</si>
  <si>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</si>
  <si>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</si>
  <si>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</si>
  <si>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</si>
  <si>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</si>
  <si>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</si>
  <si>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</si>
  <si>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</si>
  <si>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</si>
  <si>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</si>
  <si>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</si>
  <si>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</si>
  <si>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</si>
  <si>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</si>
  <si>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</si>
  <si>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</si>
  <si>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</si>
  <si>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</si>
  <si>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</si>
  <si>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</si>
  <si>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</si>
  <si>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</si>
  <si>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</si>
  <si>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</si>
  <si>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</si>
  <si>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</si>
  <si>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</si>
  <si>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</si>
  <si>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</si>
  <si>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</si>
  <si>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</si>
  <si>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</si>
  <si>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</si>
  <si>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</si>
  <si>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</si>
  <si>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</si>
  <si>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</si>
  <si>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</si>
  <si>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</si>
  <si>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</si>
  <si>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</si>
  <si>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</si>
  <si>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</si>
  <si>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</si>
  <si>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</si>
  <si>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</si>
  <si>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</si>
  <si>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</si>
  <si>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</si>
  <si>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</si>
  <si>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</si>
  <si>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</si>
  <si>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</si>
  <si>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</si>
  <si>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</si>
  <si>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</si>
  <si>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</si>
  <si>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</si>
  <si>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</si>
  <si>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</si>
  <si>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</si>
  <si>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</si>
  <si>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</si>
  <si>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</si>
  <si>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</si>
  <si>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</si>
  <si>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</si>
  <si>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</si>
  <si>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</si>
  <si>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</si>
  <si>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</si>
  <si>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</si>
  <si>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</si>
  <si>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</si>
  <si>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</si>
  <si>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</si>
  <si>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</si>
  <si>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</si>
  <si>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</si>
  <si>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</si>
  <si>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</si>
  <si>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</si>
  <si>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</si>
  <si>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</si>
  <si>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</si>
  <si>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</si>
  <si>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</si>
  <si>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</si>
  <si>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</si>
  <si>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</si>
  <si>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</si>
  <si>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</si>
  <si>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</si>
  <si>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</si>
  <si>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</si>
  <si>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</si>
  <si>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</si>
  <si>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</si>
  <si>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</si>
  <si>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</si>
  <si>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</si>
  <si>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</si>
  <si>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</si>
  <si>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</si>
  <si>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</si>
  <si>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</si>
  <si>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</si>
  <si>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</si>
  <si>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</si>
  <si>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</si>
  <si>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</si>
  <si>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</si>
  <si>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</si>
  <si>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</si>
  <si>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</si>
  <si>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</si>
  <si>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</si>
  <si>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</si>
  <si>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</si>
  <si>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</si>
  <si>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</si>
  <si>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</si>
  <si>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</si>
  <si>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</si>
  <si>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</si>
  <si>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</si>
  <si>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</si>
  <si>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</si>
  <si>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</si>
  <si>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</si>
  <si>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</si>
  <si>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</si>
  <si>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</si>
  <si>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</si>
  <si>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</si>
  <si>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</si>
  <si>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</si>
  <si>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</si>
  <si>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</si>
  <si>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</si>
  <si>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</si>
  <si>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</si>
  <si>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</si>
  <si>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</si>
  <si>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</si>
  <si>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</si>
  <si>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</si>
  <si>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</si>
  <si>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</si>
  <si>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</si>
  <si>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</si>
  <si>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</si>
  <si>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</si>
  <si>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</si>
  <si>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</si>
  <si>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</si>
  <si>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</si>
  <si>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</si>
  <si>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</si>
  <si>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</si>
  <si>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</si>
  <si>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</si>
  <si>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</si>
  <si>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</si>
  <si>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</si>
  <si>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</si>
  <si>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</si>
  <si>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</si>
  <si>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</si>
  <si>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</si>
  <si>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</si>
  <si>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</si>
  <si>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</si>
  <si>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</si>
  <si>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</si>
  <si>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</si>
  <si>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</si>
  <si>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</si>
  <si>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</si>
  <si>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</si>
  <si>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</si>
  <si>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</si>
  <si>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</si>
  <si>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</si>
  <si>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</si>
  <si>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</si>
  <si>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</si>
  <si>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</si>
  <si>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</si>
  <si>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</si>
  <si>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</si>
  <si>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</si>
  <si>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</si>
  <si>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照燒雞肉飯糰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</si>
  <si>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</si>
  <si>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</si>
  <si>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</si>
  <si>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</si>
  <si>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</si>
  <si>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</si>
  <si>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</si>
  <si>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</si>
  <si>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</si>
  <si>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</si>
  <si>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</si>
  <si>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</si>
  <si>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</si>
  <si>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</si>
  <si>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</si>
  <si>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</si>
  <si>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</si>
  <si>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</si>
  <si>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</si>
  <si>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</si>
  <si>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</si>
  <si>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</si>
  <si>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</si>
  <si>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</si>
  <si>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</si>
  <si>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</si>
  <si>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</si>
  <si>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</si>
  <si>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</si>
  <si>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</si>
  <si>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</si>
  <si>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</si>
  <si>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</si>
  <si>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</si>
  <si>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</si>
  <si>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</si>
  <si>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</si>
  <si>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</si>
  <si>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</si>
  <si>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</si>
  <si>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</si>
  <si>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</si>
  <si>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</si>
  <si>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</si>
  <si>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</si>
  <si>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海陸雙拼肉肉餐盒</t>
  </si>
  <si>
    <t>經典鮪魚沙拉細卷</t>
  </si>
  <si>
    <t>取樣不穩</t>
  </si>
  <si>
    <t>蔬活腿排補力餐盒</t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</si>
  <si>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</si>
  <si>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</si>
  <si>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</si>
  <si>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</si>
  <si>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</si>
  <si>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</si>
  <si>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</si>
  <si>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</si>
  <si>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</si>
  <si>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</si>
  <si>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</si>
  <si>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</si>
  <si>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</si>
  <si>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</si>
  <si>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</si>
  <si>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</si>
  <si>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</si>
  <si>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</si>
  <si>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</si>
  <si>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</si>
  <si>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</si>
  <si>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</si>
  <si>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</si>
  <si>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</si>
  <si>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</si>
  <si>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</si>
  <si>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</si>
  <si>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</si>
  <si>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</si>
  <si>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</si>
  <si>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</si>
  <si>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</si>
  <si>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</si>
  <si>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</si>
  <si>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</si>
  <si>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</si>
  <si>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</si>
  <si>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</si>
  <si>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</si>
  <si>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</si>
  <si>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</si>
  <si>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</si>
  <si>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</si>
  <si>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</si>
  <si>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</si>
  <si>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</si>
  <si>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</si>
  <si>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</si>
  <si>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</si>
  <si>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</si>
  <si>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</si>
  <si>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</si>
  <si>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</si>
  <si>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</si>
  <si>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</si>
  <si>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</si>
  <si>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</si>
  <si>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</si>
  <si>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雙鬆細卷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</si>
  <si>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</si>
  <si>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</si>
  <si>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</si>
  <si>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</si>
  <si>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</si>
  <si>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</si>
  <si>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二配泰式綠咖哩雞</t>
  </si>
  <si>
    <t>香腸腿排雙拼便當</t>
  </si>
  <si>
    <t>日式蕎麥沾麵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</si>
  <si>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</si>
  <si>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</si>
  <si>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</si>
  <si>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</si>
  <si>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</si>
  <si>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</si>
  <si>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</si>
  <si>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</si>
  <si>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</si>
  <si>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</si>
  <si>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</si>
  <si>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</si>
  <si>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</si>
  <si>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</si>
  <si>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</si>
  <si>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</si>
  <si>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</si>
  <si>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</si>
  <si>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</si>
  <si>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</si>
  <si>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</si>
  <si>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</si>
  <si>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</si>
  <si>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</si>
  <si>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川燙青花菜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</si>
  <si>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</si>
  <si>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</si>
  <si>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</si>
  <si>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確認備料量是否正確，調整出料率</t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</si>
  <si>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</si>
  <si>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生產前及生產中確認設定及實際出料狀況</t>
  </si>
  <si>
    <t>回饋研發，後續開發列入考量，設定放料量範圍。</t>
  </si>
  <si>
    <t>蒜炒紅K高麗菜(111年)</t>
  </si>
  <si>
    <t>增加線上抽秤頻率，維持人員放料手感</t>
  </si>
  <si>
    <t>確認輔助工具型號，使用前先攪拌均勻。生產前及生產中確認設定及實際出料狀況</t>
  </si>
  <si>
    <t>大口起司熔岩白醬炸魚飯糰</t>
  </si>
  <si>
    <t>愛恨椒芝麵</t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</si>
  <si>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</si>
  <si>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t>冰杓放料，冰杓滿度差異</t>
  </si>
  <si>
    <t>二配蒙古風味烤肉飯</t>
  </si>
  <si>
    <t>二配麻油雞燴飯</t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</si>
  <si>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</si>
  <si>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t>壽喜燒牛五花</t>
  </si>
  <si>
    <t>二配炒蒙古烤肉蔬菜</t>
  </si>
  <si>
    <t>二配大飯糰滷肉飯加蛋</t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</si>
  <si>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</si>
  <si>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t>二配川燙枸杞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</si>
  <si>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</si>
  <si>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</si>
  <si>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</si>
  <si>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</si>
  <si>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</si>
  <si>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</si>
  <si>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</si>
  <si>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</si>
  <si>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</si>
  <si>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</si>
  <si>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</si>
  <si>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</si>
  <si>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</si>
  <si>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</si>
  <si>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</si>
  <si>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</si>
  <si>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</si>
  <si>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</si>
  <si>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</si>
  <si>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</si>
  <si>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</si>
  <si>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</si>
  <si>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</si>
  <si>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</si>
  <si>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</si>
  <si>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</si>
  <si>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</si>
  <si>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</si>
  <si>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</si>
  <si>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</si>
  <si>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</si>
  <si>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</si>
  <si>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</si>
  <si>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原因別分析(12/30-1/5)</t>
    </r>
    <phoneticPr fontId="11" type="noConversion"/>
  </si>
  <si>
    <t>解凍-醬油漬鮭魚卵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</si>
  <si>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</si>
  <si>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</si>
  <si>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</si>
  <si>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</si>
  <si>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</si>
  <si>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</si>
  <si>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</si>
  <si>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</si>
  <si>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</si>
  <si>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</si>
  <si>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</si>
  <si>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</si>
  <si>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</si>
  <si>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</si>
  <si>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</si>
  <si>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</si>
  <si>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</si>
  <si>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</si>
  <si>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</si>
  <si>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</si>
  <si>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</si>
  <si>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</si>
  <si>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</si>
  <si>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</si>
  <si>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</si>
  <si>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</si>
  <si>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</si>
  <si>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</si>
  <si>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</si>
  <si>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</si>
  <si>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</si>
  <si>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</si>
  <si>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二配香炒沙茶豬肉飯</t>
  </si>
  <si>
    <t>二配滷-大白菜(115年)</t>
  </si>
  <si>
    <t>二配歐姆蛋(111年版)</t>
  </si>
  <si>
    <t>切-究極燒肉片</t>
  </si>
  <si>
    <t>單價高</t>
  </si>
  <si>
    <t>烤飯糰1</t>
    <phoneticPr fontId="11" type="noConversion"/>
  </si>
  <si>
    <t>烤飯糰2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</si>
  <si>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原因別分析(1/13-1/19)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</si>
  <si>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原因別分析(1/6-1/12)</t>
    </r>
    <phoneticPr fontId="11" type="noConversion"/>
  </si>
  <si>
    <t>二配炒培根片</t>
  </si>
  <si>
    <t>二配煮麻油雞丁</t>
  </si>
  <si>
    <t>二配雞肉香料咖哩</t>
  </si>
  <si>
    <t>二配川燙醃嫩化淨零碳排牛肉片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</si>
  <si>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</si>
  <si>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</si>
  <si>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</si>
  <si>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</si>
  <si>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</si>
  <si>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</si>
  <si>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</si>
  <si>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</si>
  <si>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</si>
  <si>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</si>
  <si>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</si>
  <si>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</si>
  <si>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</si>
  <si>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</si>
  <si>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</si>
  <si>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原因別分析(1/20-1/26)</t>
    </r>
    <phoneticPr fontId="11" type="noConversion"/>
  </si>
  <si>
    <t>紅運烏魚子紹興飯糰</t>
  </si>
  <si>
    <t>撥碎-解凍烏魚子丁</t>
  </si>
  <si>
    <t>媽媽煮藝-(區)香滷牛肚絲</t>
  </si>
  <si>
    <r>
      <t>（７）</t>
    </r>
    <r>
      <rPr>
        <b/>
        <sz val="12"/>
        <color rgb="FF000000"/>
        <rFont val="Meiryo UI"/>
        <family val="2"/>
      </rPr>
      <t>原因別分析(1/27-2/2)</t>
    </r>
    <phoneticPr fontId="11" type="noConversion"/>
  </si>
  <si>
    <t>半成品結凍強度影響擠醬機出料量</t>
  </si>
  <si>
    <t>菜梗、葉差異及均勻度，影響人員放料手感</t>
  </si>
  <si>
    <t>好吃雞肉便當</t>
  </si>
  <si>
    <t>媽媽煮藝-鹹酥雞</t>
  </si>
  <si>
    <r>
      <t>（７）</t>
    </r>
    <r>
      <rPr>
        <b/>
        <sz val="12"/>
        <color rgb="FF000000"/>
        <rFont val="Meiryo UI"/>
        <family val="2"/>
      </rPr>
      <t>原因別分析(2/3-2/9)</t>
    </r>
    <phoneticPr fontId="11" type="noConversion"/>
  </si>
  <si>
    <t>二配蒸果香甘口咖哩腿丁</t>
  </si>
  <si>
    <r>
      <t>（７）</t>
    </r>
    <r>
      <rPr>
        <b/>
        <sz val="12"/>
        <color rgb="FF000000"/>
        <rFont val="Meiryo UI"/>
        <family val="2"/>
      </rPr>
      <t>原因別分析(2/10-2/16)</t>
    </r>
    <phoneticPr fontId="11" type="noConversion"/>
  </si>
  <si>
    <t>煮愛恨椒麻湯凍</t>
  </si>
  <si>
    <t>清洗蔥花</t>
  </si>
  <si>
    <t>大部分品項的單品用量少，取樣易有差異</t>
  </si>
  <si>
    <t>尋找設定使用的輔助工具，穩定取樣量</t>
  </si>
  <si>
    <t>二配炒解凍11N培根片</t>
  </si>
  <si>
    <t>蟹味可樂餅風炸飯糰</t>
  </si>
  <si>
    <t>二配川燙切片青江菜</t>
  </si>
  <si>
    <t>二配炒蒙古肉片</t>
  </si>
  <si>
    <t>二配辛口咖哩豬肉(114年)</t>
  </si>
  <si>
    <t>二配北海道秋鮭親子飯糰</t>
  </si>
  <si>
    <t>二配解凍-醬油漬鮭魚卵</t>
  </si>
  <si>
    <t>二配濃辛辣咖哩醬(114年)</t>
  </si>
  <si>
    <t>二配泰式椰香綠咖哩醬</t>
  </si>
  <si>
    <t>雞肉飯醬汁(113年)</t>
  </si>
  <si>
    <t>(SOHOT)蒜炒紅K高麗菜</t>
  </si>
  <si>
    <t>二配油亮後腿肉絲</t>
  </si>
  <si>
    <t>W1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</si>
  <si>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原因別分析(2/24-3/2)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</si>
  <si>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原因別分析(3/3-3/9)</t>
    </r>
    <phoneticPr fontId="11" type="noConversion"/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</si>
  <si>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</si>
  <si>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</si>
  <si>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</si>
  <si>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</si>
  <si>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</si>
  <si>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</si>
  <si>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</si>
  <si>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二配大飯糰鮪魚昆布</t>
  </si>
  <si>
    <t>煙燻培根飯糰(區)</t>
  </si>
  <si>
    <t>長野稻荷壽司</t>
  </si>
  <si>
    <t>雙饗雙手卷</t>
  </si>
  <si>
    <t>日式鮪魚美乃滋脆卷</t>
  </si>
  <si>
    <t>大口歐風焙煎咖哩漢堡排飯糰</t>
  </si>
  <si>
    <t>雙倍德腸飯卷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</si>
  <si>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</si>
  <si>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</si>
  <si>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</si>
  <si>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</si>
  <si>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二配美味蟹煲</t>
  </si>
  <si>
    <t>二配濃起司燻腸紅醬焗烤飯</t>
  </si>
  <si>
    <t>二配西班牙風味海鮮燉飯</t>
  </si>
  <si>
    <t>日式野菜烘蛋燴飯</t>
  </si>
  <si>
    <t>二配失控起司薯餅焗飯</t>
  </si>
  <si>
    <t>二配鮭魚蛋炒飯</t>
  </si>
  <si>
    <t>二配鐵板豆腐燴蛋蓋飯</t>
  </si>
  <si>
    <t>日式中濃醬炭火漢堡排飯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</si>
  <si>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</si>
  <si>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</si>
  <si>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</si>
  <si>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</si>
  <si>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</si>
  <si>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▲</t>
    <phoneticPr fontId="11" type="noConversion"/>
  </si>
  <si>
    <t>對比上週差異小</t>
    <phoneticPr fontId="11" type="noConversion"/>
  </si>
  <si>
    <t>▼</t>
    <phoneticPr fontId="11" type="noConversion"/>
  </si>
  <si>
    <t>鹽蔥燒肉飯糰</t>
    <phoneticPr fontId="11" type="noConversion"/>
  </si>
  <si>
    <r>
      <t>3/3</t>
    </r>
    <r>
      <rPr>
        <sz val="11"/>
        <color theme="1"/>
        <rFont val="細明體"/>
        <family val="3"/>
        <charset val="136"/>
      </rPr>
      <t>開始轉</t>
    </r>
    <r>
      <rPr>
        <sz val="11"/>
        <color theme="1"/>
        <rFont val="Meiryo UI"/>
        <family val="2"/>
      </rPr>
      <t>GKK</t>
    </r>
    <r>
      <rPr>
        <sz val="11"/>
        <color theme="1"/>
        <rFont val="細明體"/>
        <family val="3"/>
        <charset val="136"/>
      </rPr>
      <t>生產，且為單餡飯糰，產能及人時生產性對比上週提升</t>
    </r>
    <phoneticPr fontId="11" type="noConversion"/>
  </si>
  <si>
    <t>－</t>
    <phoneticPr fontId="11" type="noConversion"/>
  </si>
  <si>
    <r>
      <t>3/2</t>
    </r>
    <r>
      <rPr>
        <sz val="11"/>
        <color theme="1"/>
        <rFont val="細明體"/>
        <family val="3"/>
        <charset val="136"/>
      </rPr>
      <t>上市大飯糰商品，且為雙餡飯糰，產能及人時生產性較低。</t>
    </r>
    <phoneticPr fontId="11" type="noConversion"/>
  </si>
  <si>
    <t>稻荷壽司與雙手卷皆為手工放盒後入機台包裝，性質相近，人時生產性差異小。對比上週差異小</t>
    <phoneticPr fontId="11" type="noConversion"/>
  </si>
  <si>
    <r>
      <t>3/3</t>
    </r>
    <r>
      <rPr>
        <sz val="10"/>
        <color theme="1"/>
        <rFont val="細明體"/>
        <family val="3"/>
        <charset val="136"/>
      </rPr>
      <t>上市脆捲新品，為手工包裝商品，產能及人時生產性較低。</t>
    </r>
    <phoneticPr fontId="11" type="noConversion"/>
  </si>
  <si>
    <r>
      <t>炸飯</t>
    </r>
    <r>
      <rPr>
        <sz val="9"/>
        <color theme="1"/>
        <rFont val="細明體"/>
        <family val="3"/>
        <charset val="136"/>
      </rPr>
      <t>糰</t>
    </r>
    <r>
      <rPr>
        <sz val="9"/>
        <color theme="1"/>
        <rFont val="Meiryo UI"/>
        <family val="2"/>
      </rPr>
      <t>與</t>
    </r>
    <r>
      <rPr>
        <sz val="9"/>
        <color theme="1"/>
        <rFont val="細明體"/>
        <family val="3"/>
        <charset val="136"/>
      </rPr>
      <t>烤</t>
    </r>
    <r>
      <rPr>
        <sz val="9"/>
        <color theme="1"/>
        <rFont val="Meiryo UI"/>
        <family val="2"/>
      </rPr>
      <t>飯</t>
    </r>
    <r>
      <rPr>
        <sz val="9"/>
        <color theme="1"/>
        <rFont val="細明體"/>
        <family val="3"/>
        <charset val="136"/>
      </rPr>
      <t>糰</t>
    </r>
    <r>
      <rPr>
        <sz val="9"/>
        <color theme="1"/>
        <rFont val="Meiryo UI"/>
        <family val="2"/>
      </rPr>
      <t>商品，皆不須組裝，直接入機台包裝，人時生</t>
    </r>
    <r>
      <rPr>
        <sz val="9"/>
        <color theme="1"/>
        <rFont val="細明體"/>
        <family val="3"/>
        <charset val="136"/>
      </rPr>
      <t>產</t>
    </r>
    <r>
      <rPr>
        <sz val="9"/>
        <color theme="1"/>
        <rFont val="Meiryo UI"/>
        <family val="2"/>
      </rPr>
      <t>性差異小。</t>
    </r>
    <phoneticPr fontId="11" type="noConversion"/>
  </si>
  <si>
    <t>雙倍德腸飯卷</t>
    <phoneticPr fontId="11" type="noConversion"/>
  </si>
  <si>
    <t>當週更換組別生產，該組人員順手度高，對比上週產能及人時生產性提升</t>
    <phoneticPr fontId="11" type="noConversion"/>
  </si>
  <si>
    <t>二配鐵板豆腐燴蛋蓋飯</t>
    <phoneticPr fontId="11" type="noConversion"/>
  </si>
  <si>
    <t>3/2上市二配新品，為L型封膜商品，該品項半成品數少，產能較高，但該品項有賣相需求，使用人數較多，人時生產性較低。</t>
    <phoneticPr fontId="11" type="noConversion"/>
  </si>
  <si>
    <t>當週更換組別生產，對比上週產能及人時生產性提升</t>
    <phoneticPr fontId="11" type="noConversion"/>
  </si>
  <si>
    <t>辣腐乳麻醬拌麵</t>
  </si>
  <si>
    <t>該品項僅須貼標，人員順手度提升，產能及人時生產性提升。</t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</si>
  <si>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</si>
  <si>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</si>
  <si>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</si>
  <si>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</si>
  <si>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</si>
  <si>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</si>
  <si>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</si>
  <si>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</si>
  <si>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</si>
  <si>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</si>
  <si>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</si>
  <si>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t>類型</t>
    <phoneticPr fontId="11" type="noConversion"/>
  </si>
  <si>
    <t>排名</t>
    <phoneticPr fontId="8"/>
  </si>
  <si>
    <t>半成品名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</si>
  <si>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</si>
  <si>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烤冷凍蒜丁</t>
  </si>
  <si>
    <t>製程不穩</t>
    <phoneticPr fontId="11" type="noConversion"/>
  </si>
  <si>
    <t>確認備料量是否正確，調整出料率</t>
    <phoneticPr fontId="11" type="noConversion"/>
  </si>
  <si>
    <t>炒扁魚紅K白菜</t>
  </si>
  <si>
    <t>二配鼎泰豐-麻婆豆腐燴汁(113年)</t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</si>
  <si>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</si>
  <si>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</si>
  <si>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</si>
  <si>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</si>
  <si>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</si>
  <si>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增加放料抽秤頻率</t>
    <phoneticPr fontId="11" type="noConversion"/>
  </si>
  <si>
    <t>煮愛恨芝麻醬</t>
  </si>
  <si>
    <t>混合愛恨椒芝椒麻油</t>
  </si>
  <si>
    <t>二配蒸燻腸片</t>
  </si>
  <si>
    <t>前幾名合計比例</t>
    <phoneticPr fontId="8"/>
  </si>
  <si>
    <t>前幾名合計金額</t>
    <phoneticPr fontId="8"/>
  </si>
  <si>
    <t>二配川燙青花菜</t>
  </si>
  <si>
    <t>製程報廢</t>
    <phoneticPr fontId="11" type="noConversion"/>
  </si>
  <si>
    <t>賣相要求</t>
  </si>
  <si>
    <t>其他原因</t>
    <phoneticPr fontId="11" type="noConversion"/>
  </si>
  <si>
    <t>超用率</t>
    <phoneticPr fontId="8"/>
  </si>
  <si>
    <t>展開量高於１０5％</t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</si>
  <si>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</si>
  <si>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二配烤鹹蛋黃碎</t>
  </si>
  <si>
    <t>製程不穩</t>
    <phoneticPr fontId="11" type="noConversion"/>
  </si>
  <si>
    <t>賣相設定</t>
    <phoneticPr fontId="11" type="noConversion"/>
  </si>
  <si>
    <t>單價高</t>
    <phoneticPr fontId="11" type="noConversion"/>
  </si>
  <si>
    <t>二配解凍-伊藤忠銀鮭碎肉</t>
  </si>
  <si>
    <t>農產品原物料的大小差異</t>
  </si>
  <si>
    <t>蒜蒜燒豚飯</t>
  </si>
  <si>
    <t>原物料肉片的大小片及厚薄度差異</t>
  </si>
  <si>
    <t>訂單需求量少，小量備料不穩而導致多產</t>
  </si>
  <si>
    <t>連動調理幹部，確認人員備料流程及手法</t>
  </si>
  <si>
    <t>原物料的大小差異</t>
  </si>
  <si>
    <t>切3cm-炙烤牛五花(飯卷)</t>
  </si>
  <si>
    <t>備料多異常導致出料偏多，協調生產調整用量</t>
  </si>
  <si>
    <t>連動調理課級連續3天確認備料狀況並拍照留存</t>
  </si>
  <si>
    <t>因為白菜含水多，導致調理多產。協調生產課調整用量</t>
  </si>
  <si>
    <t>固定瀝水時間，以穩定出料量。收集數據調整出料率。</t>
  </si>
  <si>
    <t>半成品單價高。</t>
  </si>
  <si>
    <t>調整用量，以使用完為原則。收集數據，調整出料率。</t>
  </si>
  <si>
    <t>菜梗、葉差異，影響人員放料手感</t>
  </si>
  <si>
    <t>抓樣不穩</t>
  </si>
  <si>
    <t>川燙毛豆玉米</t>
  </si>
  <si>
    <t>手拿放料有調料的狀況，放料較不穩定</t>
  </si>
  <si>
    <t>半成品使用前先攪拌均勻，測試輔助器具(冰杓)放料</t>
  </si>
  <si>
    <t>農產品原物料大小，影響分切步留率</t>
  </si>
  <si>
    <t>收集數據，調整出料率。</t>
  </si>
  <si>
    <t>二配奶香起司醬</t>
  </si>
  <si>
    <t>糖鹽度在設定範圍內，但偏低，導致產出量多。協調調整用量</t>
  </si>
  <si>
    <t>確認糖鹽度判定範圍，以中線作為判定標準</t>
  </si>
  <si>
    <t>白菜易含水導致產出變多</t>
  </si>
  <si>
    <t>糖鹽度在設定範圍內，但偏低，導致產出量多</t>
  </si>
  <si>
    <t>擠醬機設定確認</t>
  </si>
  <si>
    <t>備料多異常導致出料偏多</t>
  </si>
  <si>
    <t>二配香炒沙茶豬肉飯</t>
    <phoneticPr fontId="11" type="noConversion"/>
  </si>
  <si>
    <r>
      <t>二配金</t>
    </r>
    <r>
      <rPr>
        <sz val="12"/>
        <color theme="1"/>
        <rFont val="細明體"/>
        <family val="3"/>
        <charset val="136"/>
      </rPr>
      <t>咖</t>
    </r>
    <r>
      <rPr>
        <sz val="12"/>
        <color theme="1"/>
        <rFont val="Meiryo UI"/>
        <family val="2"/>
        <charset val="128"/>
      </rPr>
      <t>哩果香甘口</t>
    </r>
    <r>
      <rPr>
        <sz val="12"/>
        <color theme="1"/>
        <rFont val="細明體"/>
        <family val="3"/>
        <charset val="136"/>
      </rPr>
      <t>咖</t>
    </r>
    <r>
      <rPr>
        <sz val="12"/>
        <color theme="1"/>
        <rFont val="Meiryo UI"/>
        <family val="2"/>
        <charset val="128"/>
      </rPr>
      <t>哩飯</t>
    </r>
    <phoneticPr fontId="11" type="noConversion"/>
  </si>
  <si>
    <r>
      <t>二配蒙古風味</t>
    </r>
    <r>
      <rPr>
        <sz val="12"/>
        <color theme="1"/>
        <rFont val="細明體"/>
        <family val="3"/>
        <charset val="136"/>
      </rPr>
      <t>烤</t>
    </r>
    <r>
      <rPr>
        <sz val="12"/>
        <color theme="1"/>
        <rFont val="Meiryo UI"/>
        <family val="2"/>
        <charset val="128"/>
      </rPr>
      <t>肉飯</t>
    </r>
    <phoneticPr fontId="11" type="noConversion"/>
  </si>
  <si>
    <r>
      <t>二配泰式綠</t>
    </r>
    <r>
      <rPr>
        <sz val="12"/>
        <color theme="1"/>
        <rFont val="細明體"/>
        <family val="3"/>
        <charset val="136"/>
      </rPr>
      <t>咖</t>
    </r>
    <r>
      <rPr>
        <sz val="12"/>
        <color theme="1"/>
        <rFont val="Meiryo UI"/>
        <family val="2"/>
        <charset val="128"/>
      </rPr>
      <t>哩</t>
    </r>
    <r>
      <rPr>
        <sz val="12"/>
        <color theme="1"/>
        <rFont val="細明體"/>
        <family val="3"/>
        <charset val="136"/>
      </rPr>
      <t>雞</t>
    </r>
    <phoneticPr fontId="11" type="noConversion"/>
  </si>
  <si>
    <r>
      <t>香辣</t>
    </r>
    <r>
      <rPr>
        <sz val="12"/>
        <color theme="1"/>
        <rFont val="細明體"/>
        <family val="3"/>
        <charset val="136"/>
      </rPr>
      <t>醬</t>
    </r>
    <r>
      <rPr>
        <sz val="12"/>
        <color theme="1"/>
        <rFont val="Meiryo UI"/>
        <family val="2"/>
        <charset val="128"/>
      </rPr>
      <t>粉絲</t>
    </r>
    <r>
      <rPr>
        <sz val="12"/>
        <color theme="1"/>
        <rFont val="細明體"/>
        <family val="3"/>
        <charset val="136"/>
      </rPr>
      <t>煲</t>
    </r>
    <phoneticPr fontId="11" type="noConversion"/>
  </si>
  <si>
    <r>
      <t>二配麻油</t>
    </r>
    <r>
      <rPr>
        <sz val="12"/>
        <color theme="1"/>
        <rFont val="細明體"/>
        <family val="3"/>
        <charset val="136"/>
      </rPr>
      <t>雞燴</t>
    </r>
    <r>
      <rPr>
        <sz val="12"/>
        <color theme="1"/>
        <rFont val="Meiryo UI"/>
        <family val="2"/>
        <charset val="128"/>
      </rPr>
      <t>飯</t>
    </r>
    <phoneticPr fontId="11" type="noConversion"/>
  </si>
  <si>
    <t>使用冰杓放料，半成品固液體不均，導致放料差異</t>
  </si>
  <si>
    <t>生產前預先將半成品攪拌均勻</t>
  </si>
  <si>
    <t>二配蒸燻腸片</t>
    <phoneticPr fontId="11" type="noConversion"/>
  </si>
  <si>
    <r>
      <t>二配</t>
    </r>
    <r>
      <rPr>
        <sz val="12"/>
        <color rgb="FF000000"/>
        <rFont val="細明體"/>
        <family val="3"/>
        <charset val="136"/>
      </rPr>
      <t>烤</t>
    </r>
    <r>
      <rPr>
        <sz val="12"/>
        <color rgb="FF000000"/>
        <rFont val="Meiryo UI"/>
        <family val="2"/>
      </rPr>
      <t>鹹蛋</t>
    </r>
    <r>
      <rPr>
        <sz val="12"/>
        <color rgb="FF000000"/>
        <rFont val="細明體"/>
        <family val="3"/>
        <charset val="136"/>
      </rPr>
      <t>黃</t>
    </r>
    <r>
      <rPr>
        <sz val="12"/>
        <color rgb="FF000000"/>
        <rFont val="Meiryo UI"/>
        <family val="2"/>
      </rPr>
      <t>碎</t>
    </r>
    <phoneticPr fontId="11" type="noConversion"/>
  </si>
  <si>
    <r>
      <t>二配美味蟹</t>
    </r>
    <r>
      <rPr>
        <sz val="12"/>
        <color theme="1"/>
        <rFont val="細明體"/>
        <family val="3"/>
        <charset val="136"/>
      </rPr>
      <t>煲</t>
    </r>
  </si>
  <si>
    <r>
      <t>二配辛口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哩豬肉(114年)</t>
    </r>
    <phoneticPr fontId="11" type="noConversion"/>
  </si>
  <si>
    <r>
      <t>二配金</t>
    </r>
    <r>
      <rPr>
        <sz val="12"/>
        <color theme="1"/>
        <rFont val="細明體"/>
        <family val="3"/>
        <charset val="136"/>
      </rPr>
      <t>咖</t>
    </r>
    <r>
      <rPr>
        <sz val="12"/>
        <color theme="1"/>
        <rFont val="Meiryo UI"/>
        <family val="2"/>
        <charset val="128"/>
      </rPr>
      <t>哩濃厚辛口</t>
    </r>
    <r>
      <rPr>
        <sz val="12"/>
        <color theme="1"/>
        <rFont val="細明體"/>
        <family val="3"/>
        <charset val="136"/>
      </rPr>
      <t>咖</t>
    </r>
    <r>
      <rPr>
        <sz val="12"/>
        <color theme="1"/>
        <rFont val="Meiryo UI"/>
        <family val="2"/>
        <charset val="128"/>
      </rPr>
      <t>哩飯</t>
    </r>
    <phoneticPr fontId="11" type="noConversion"/>
  </si>
  <si>
    <t>二配炒培根片</t>
    <phoneticPr fontId="11" type="noConversion"/>
  </si>
  <si>
    <r>
      <t>二配起司控培根白</t>
    </r>
    <r>
      <rPr>
        <sz val="12"/>
        <color theme="1"/>
        <rFont val="細明體"/>
        <family val="3"/>
        <charset val="136"/>
      </rPr>
      <t>醬焗烤</t>
    </r>
    <r>
      <rPr>
        <sz val="12"/>
        <color theme="1"/>
        <rFont val="Meiryo UI"/>
        <family val="2"/>
        <charset val="128"/>
      </rPr>
      <t>飯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</si>
</sst>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0"/>
      <name val="Meiryo UI"/>
      <family val="2"/>
      <charset val="128"/>
    </font>
    <font>
      <sz val="8"/>
      <color theme="1"/>
      <name val="細明體"/>
      <family val="3"/>
      <charset val="136"/>
    </font>
    <font>
      <sz val="9"/>
      <color theme="1"/>
      <name val="Meiryo UI"/>
      <family val="2"/>
    </font>
    <font>
      <sz val="9"/>
      <color theme="1"/>
      <name val="細明體"/>
      <family val="3"/>
      <charset val="136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6" fillId="0" borderId="0"/>
    <xf numFmtId="9" fontId="96" fillId="0" borderId="0" applyFont="0" applyFill="0" applyBorder="0" applyAlignment="0" applyProtection="0"/>
    <xf numFmtId="0" fontId="9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96" fontId="98" fillId="0" borderId="0"/>
    <xf numFmtId="0" fontId="7" fillId="0" borderId="0"/>
    <xf numFmtId="0" fontId="96" fillId="0" borderId="0">
      <alignment vertical="center"/>
    </xf>
    <xf numFmtId="0" fontId="99" fillId="0" borderId="0"/>
    <xf numFmtId="42" fontId="97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>
      <alignment vertical="top"/>
    </xf>
    <xf numFmtId="0" fontId="7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102" fillId="0" borderId="0"/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" fillId="0" borderId="0">
      <alignment vertical="center"/>
    </xf>
    <xf numFmtId="0" fontId="96" fillId="0" borderId="0"/>
    <xf numFmtId="0" fontId="96" fillId="0" borderId="0"/>
    <xf numFmtId="0" fontId="102" fillId="0" borderId="0"/>
    <xf numFmtId="0" fontId="1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/>
    <xf numFmtId="0" fontId="96" fillId="0" borderId="0"/>
    <xf numFmtId="0" fontId="1" fillId="0" borderId="0">
      <alignment vertical="center"/>
    </xf>
    <xf numFmtId="0" fontId="99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1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9" fillId="0" borderId="0" applyFont="0" applyFill="0" applyBorder="0" applyAlignment="0" applyProtection="0">
      <alignment vertical="center"/>
    </xf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44" fontId="102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925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79" fillId="11" borderId="22" xfId="0" applyNumberFormat="1" applyFont="1" applyFill="1" applyBorder="1" applyAlignment="1"/>
    <xf numFmtId="177" fontId="79" fillId="0" borderId="0" xfId="0" applyNumberFormat="1" applyFont="1" applyFill="1" applyAlignment="1"/>
    <xf numFmtId="10" fontId="79" fillId="0" borderId="0" xfId="0" applyNumberFormat="1" applyFont="1" applyFill="1" applyAlignment="1"/>
    <xf numFmtId="3" fontId="79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5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94" fontId="92" fillId="8" borderId="22" xfId="18" applyNumberFormat="1" applyFont="1" applyFill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95" fontId="92" fillId="8" borderId="22" xfId="15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88" fillId="15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8" borderId="22" xfId="2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9" fontId="92" fillId="0" borderId="54" xfId="3" applyNumberFormat="1" applyFont="1" applyBorder="1" applyAlignment="1">
      <alignment horizontal="center" vertical="center"/>
    </xf>
    <xf numFmtId="10" fontId="92" fillId="0" borderId="54" xfId="3" applyNumberFormat="1" applyFont="1" applyBorder="1" applyAlignment="1">
      <alignment horizontal="center" vertical="center"/>
    </xf>
    <xf numFmtId="194" fontId="92" fillId="8" borderId="54" xfId="3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89" fontId="92" fillId="0" borderId="22" xfId="4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94" fontId="92" fillId="8" borderId="54" xfId="4" applyNumberFormat="1" applyFont="1" applyFill="1" applyBorder="1" applyAlignment="1">
      <alignment horizontal="center" vertical="center"/>
    </xf>
    <xf numFmtId="189" fontId="92" fillId="0" borderId="54" xfId="4" applyNumberFormat="1" applyFont="1" applyBorder="1" applyAlignment="1">
      <alignment horizontal="center" vertical="center"/>
    </xf>
    <xf numFmtId="194" fontId="92" fillId="8" borderId="54" xfId="6" applyNumberFormat="1" applyFont="1" applyFill="1" applyBorder="1" applyAlignment="1">
      <alignment horizontal="center" vertical="center"/>
    </xf>
    <xf numFmtId="195" fontId="92" fillId="8" borderId="54" xfId="4" applyNumberFormat="1" applyFont="1" applyFill="1" applyBorder="1" applyAlignment="1">
      <alignment horizontal="center" vertical="center"/>
    </xf>
    <xf numFmtId="10" fontId="92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179" fontId="109" fillId="0" borderId="0" xfId="0" applyNumberFormat="1" applyFont="1" applyFill="1" applyAlignment="1">
      <alignment horizontal="center"/>
    </xf>
    <xf numFmtId="179" fontId="110" fillId="0" borderId="0" xfId="0" applyNumberFormat="1" applyFont="1" applyFill="1" applyAlignment="1">
      <alignment horizont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194" fontId="92" fillId="0" borderId="30" xfId="15" applyNumberFormat="1" applyFont="1" applyBorder="1" applyAlignment="1">
      <alignment horizontal="right" vertical="center"/>
    </xf>
    <xf numFmtId="194" fontId="35" fillId="0" borderId="30" xfId="15" applyNumberFormat="1" applyFont="1" applyBorder="1" applyAlignment="1">
      <alignment horizontal="right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111" fillId="0" borderId="31" xfId="0" applyFont="1" applyBorder="1" applyAlignment="1">
      <alignment horizontal="left" vertical="center" wrapText="1" shrinkToFit="1"/>
    </xf>
    <xf numFmtId="0" fontId="111" fillId="0" borderId="32" xfId="0" applyFont="1" applyBorder="1" applyAlignment="1">
      <alignment horizontal="left" vertical="center" wrapText="1" shrinkToFit="1"/>
    </xf>
    <xf numFmtId="0" fontId="111" fillId="0" borderId="33" xfId="0" applyFont="1" applyBorder="1" applyAlignment="1">
      <alignment horizontal="left" vertical="center" wrapText="1" shrinkToFit="1"/>
    </xf>
    <xf numFmtId="0" fontId="111" fillId="0" borderId="34" xfId="0" applyFont="1" applyBorder="1" applyAlignment="1">
      <alignment horizontal="left" vertical="center" wrapText="1" shrinkToFit="1"/>
    </xf>
    <xf numFmtId="0" fontId="111" fillId="0" borderId="35" xfId="0" applyFont="1" applyBorder="1" applyAlignment="1">
      <alignment horizontal="left" vertical="center" wrapText="1" shrinkToFit="1"/>
    </xf>
    <xf numFmtId="0" fontId="111" fillId="0" borderId="36" xfId="0" applyFont="1" applyBorder="1" applyAlignment="1">
      <alignment horizontal="left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112" fillId="0" borderId="31" xfId="0" applyFont="1" applyBorder="1" applyAlignment="1">
      <alignment horizontal="center" vertical="top" wrapText="1" shrinkToFit="1"/>
    </xf>
    <xf numFmtId="0" fontId="112" fillId="0" borderId="32" xfId="0" applyFont="1" applyBorder="1" applyAlignment="1">
      <alignment horizontal="center" vertical="top" wrapText="1" shrinkToFit="1"/>
    </xf>
    <xf numFmtId="0" fontId="112" fillId="0" borderId="33" xfId="0" applyFont="1" applyBorder="1" applyAlignment="1">
      <alignment horizontal="center" vertical="top" wrapText="1" shrinkToFit="1"/>
    </xf>
    <xf numFmtId="0" fontId="112" fillId="0" borderId="34" xfId="0" applyFont="1" applyBorder="1" applyAlignment="1">
      <alignment horizontal="center" vertical="top" wrapText="1" shrinkToFit="1"/>
    </xf>
    <xf numFmtId="0" fontId="112" fillId="0" borderId="35" xfId="0" applyFont="1" applyBorder="1" applyAlignment="1">
      <alignment horizontal="center" vertical="top" wrapText="1" shrinkToFit="1"/>
    </xf>
    <xf numFmtId="0" fontId="112" fillId="0" borderId="36" xfId="0" applyFont="1" applyBorder="1" applyAlignment="1">
      <alignment horizontal="center" vertical="top" wrapText="1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6" fillId="0" borderId="27" xfId="0" applyFont="1" applyBorder="1" applyAlignment="1">
      <alignment vertical="center" shrinkToFit="1"/>
    </xf>
    <xf numFmtId="0" fontId="26" fillId="0" borderId="25" xfId="0" applyFont="1" applyBorder="1" applyAlignment="1">
      <alignment vertical="center" shrinkToFit="1"/>
    </xf>
    <xf numFmtId="0" fontId="20" fillId="0" borderId="27" xfId="0" applyFont="1" applyBorder="1" applyAlignment="1">
      <alignment horizontal="center" vertical="center" shrinkToFit="1"/>
    </xf>
    <xf numFmtId="0" fontId="20" fillId="0" borderId="33" xfId="0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91" fillId="15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51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610" t="s">
        <v>12</v>
      </c>
      <c r="D21" s="593"/>
      <c r="E21" s="586"/>
      <c r="F21" s="50" t="s">
        <v>46</v>
      </c>
      <c r="G21" s="50" t="s">
        <v>48</v>
      </c>
      <c r="H21" s="50" t="s">
        <v>49</v>
      </c>
      <c r="I21" s="8" t="s">
        <v>13</v>
      </c>
      <c r="J21" s="602" t="s">
        <v>51</v>
      </c>
      <c r="K21" s="586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85" t="s">
        <v>14</v>
      </c>
      <c r="D22" s="593"/>
      <c r="E22" s="586"/>
      <c r="F22" s="4">
        <v>3</v>
      </c>
      <c r="G22" s="4">
        <v>3000</v>
      </c>
      <c r="H22" s="4">
        <v>1000</v>
      </c>
      <c r="I22" s="4">
        <v>10</v>
      </c>
      <c r="J22" s="592" t="s">
        <v>76</v>
      </c>
      <c r="K22" s="586"/>
      <c r="M22" s="53" t="s">
        <v>26</v>
      </c>
      <c r="N22" s="58" t="s">
        <v>47</v>
      </c>
      <c r="O22" s="598" t="s">
        <v>12</v>
      </c>
      <c r="P22" s="593"/>
      <c r="Q22" s="586"/>
      <c r="R22" s="604" t="s">
        <v>53</v>
      </c>
      <c r="S22" s="593"/>
      <c r="T22" s="586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602" t="s">
        <v>51</v>
      </c>
      <c r="AA22" s="586"/>
    </row>
    <row r="23" spans="1:27" ht="15.75" customHeight="1">
      <c r="A23" s="23"/>
      <c r="B23" s="6">
        <v>2</v>
      </c>
      <c r="C23" s="607"/>
      <c r="D23" s="593"/>
      <c r="E23" s="586"/>
      <c r="F23" s="4"/>
      <c r="G23" s="4"/>
      <c r="H23" s="4"/>
      <c r="I23" s="4"/>
      <c r="J23" s="607"/>
      <c r="K23" s="586"/>
      <c r="M23" s="57" t="s">
        <v>42</v>
      </c>
      <c r="N23" s="24">
        <v>1</v>
      </c>
      <c r="O23" s="592" t="s">
        <v>82</v>
      </c>
      <c r="P23" s="593"/>
      <c r="Q23" s="586"/>
      <c r="R23" s="592" t="s">
        <v>85</v>
      </c>
      <c r="S23" s="593"/>
      <c r="T23" s="58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92" t="s">
        <v>86</v>
      </c>
      <c r="AA23" s="586"/>
    </row>
    <row r="24" spans="1:27" ht="15.75" customHeight="1">
      <c r="A24" s="23"/>
      <c r="B24" s="6">
        <v>3</v>
      </c>
      <c r="C24" s="607"/>
      <c r="D24" s="593"/>
      <c r="E24" s="586"/>
      <c r="F24" s="4"/>
      <c r="G24" s="4"/>
      <c r="H24" s="4"/>
      <c r="I24" s="4"/>
      <c r="J24" s="607"/>
      <c r="K24" s="586"/>
      <c r="M24" s="25"/>
      <c r="N24" s="24">
        <v>2</v>
      </c>
      <c r="O24" s="585"/>
      <c r="P24" s="593"/>
      <c r="Q24" s="586"/>
      <c r="R24" s="585"/>
      <c r="S24" s="593"/>
      <c r="T24" s="586"/>
      <c r="U24" s="4"/>
      <c r="V24" s="14"/>
      <c r="W24" s="4"/>
      <c r="X24" s="16">
        <f>W24*U24</f>
        <v>0</v>
      </c>
      <c r="Y24" s="4"/>
      <c r="Z24" s="585"/>
      <c r="AA24" s="586"/>
    </row>
    <row r="25" spans="1:27" ht="15.75" customHeight="1">
      <c r="A25" s="23"/>
      <c r="B25" s="6">
        <v>4</v>
      </c>
      <c r="C25" s="607"/>
      <c r="D25" s="593"/>
      <c r="E25" s="586"/>
      <c r="F25" s="4"/>
      <c r="G25" s="4"/>
      <c r="H25" s="4"/>
      <c r="I25" s="4"/>
      <c r="J25" s="607"/>
      <c r="K25" s="586"/>
      <c r="M25" s="25"/>
      <c r="N25" s="24">
        <v>3</v>
      </c>
      <c r="O25" s="585"/>
      <c r="P25" s="593"/>
      <c r="Q25" s="586"/>
      <c r="R25" s="585"/>
      <c r="S25" s="593"/>
      <c r="T25" s="586"/>
      <c r="U25" s="4"/>
      <c r="V25" s="14"/>
      <c r="W25" s="4"/>
      <c r="X25" s="16">
        <f>W25*U25</f>
        <v>0</v>
      </c>
      <c r="Y25" s="4"/>
      <c r="Z25" s="585"/>
      <c r="AA25" s="586"/>
    </row>
    <row r="26" spans="1:27" ht="15.75" customHeight="1">
      <c r="A26" s="23"/>
      <c r="B26" s="26">
        <v>5</v>
      </c>
      <c r="C26" s="611"/>
      <c r="D26" s="594"/>
      <c r="E26" s="588"/>
      <c r="F26" s="27"/>
      <c r="G26" s="27"/>
      <c r="H26" s="27"/>
      <c r="I26" s="27"/>
      <c r="J26" s="611"/>
      <c r="K26" s="588"/>
      <c r="M26" s="25"/>
      <c r="N26" s="24">
        <v>4</v>
      </c>
      <c r="O26" s="585"/>
      <c r="P26" s="593"/>
      <c r="Q26" s="586"/>
      <c r="R26" s="585"/>
      <c r="S26" s="593"/>
      <c r="T26" s="586"/>
      <c r="U26" s="4"/>
      <c r="V26" s="14"/>
      <c r="W26" s="4"/>
      <c r="X26" s="16">
        <f>W26*U26</f>
        <v>0</v>
      </c>
      <c r="Y26" s="4"/>
      <c r="Z26" s="585"/>
      <c r="AA26" s="586"/>
    </row>
    <row r="27" spans="1:27" ht="15.75" customHeight="1">
      <c r="A27" s="23"/>
      <c r="B27" s="70" t="s">
        <v>101</v>
      </c>
      <c r="C27" s="595" t="s">
        <v>75</v>
      </c>
      <c r="D27" s="596"/>
      <c r="E27" s="597"/>
      <c r="F27" s="28">
        <v>4</v>
      </c>
      <c r="G27" s="28">
        <v>2800</v>
      </c>
      <c r="H27" s="28">
        <v>700</v>
      </c>
      <c r="I27" s="28" t="s">
        <v>15</v>
      </c>
      <c r="J27" s="595" t="s">
        <v>77</v>
      </c>
      <c r="K27" s="597"/>
      <c r="M27" s="25"/>
      <c r="N27" s="29">
        <v>5</v>
      </c>
      <c r="O27" s="587"/>
      <c r="P27" s="594"/>
      <c r="Q27" s="588"/>
      <c r="R27" s="587"/>
      <c r="S27" s="594"/>
      <c r="T27" s="588"/>
      <c r="U27" s="27"/>
      <c r="V27" s="30"/>
      <c r="W27" s="27"/>
      <c r="X27" s="31">
        <f>W27*U27</f>
        <v>0</v>
      </c>
      <c r="Y27" s="4"/>
      <c r="Z27" s="587"/>
      <c r="AA27" s="588"/>
    </row>
    <row r="28" spans="1:27" ht="15.75" customHeight="1">
      <c r="A28" s="23"/>
      <c r="B28" s="71" t="s">
        <v>102</v>
      </c>
      <c r="C28" s="607"/>
      <c r="D28" s="593"/>
      <c r="E28" s="586"/>
      <c r="F28" s="4"/>
      <c r="G28" s="4"/>
      <c r="H28" s="4"/>
      <c r="I28" s="4"/>
      <c r="J28" s="607"/>
      <c r="K28" s="586"/>
      <c r="M28" s="32"/>
      <c r="N28" s="56"/>
      <c r="O28" s="589"/>
      <c r="P28" s="593"/>
      <c r="Q28" s="593"/>
      <c r="R28" s="589"/>
      <c r="S28" s="593"/>
      <c r="T28" s="593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89"/>
      <c r="AA28" s="586"/>
    </row>
    <row r="29" spans="1:27" ht="15.75" customHeight="1">
      <c r="A29" s="23"/>
      <c r="B29" s="71" t="s">
        <v>100</v>
      </c>
      <c r="C29" s="607"/>
      <c r="D29" s="593"/>
      <c r="E29" s="586"/>
      <c r="F29" s="4"/>
      <c r="G29" s="4"/>
      <c r="H29" s="4"/>
      <c r="I29" s="4"/>
      <c r="J29" s="607"/>
      <c r="K29" s="586"/>
      <c r="M29" s="57" t="s">
        <v>43</v>
      </c>
      <c r="N29" s="24">
        <v>1</v>
      </c>
      <c r="O29" s="608" t="s">
        <v>16</v>
      </c>
      <c r="P29" s="609"/>
      <c r="Q29" s="591"/>
      <c r="R29" s="590" t="s">
        <v>87</v>
      </c>
      <c r="S29" s="609"/>
      <c r="T29" s="59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90" t="s">
        <v>88</v>
      </c>
      <c r="AA29" s="591"/>
    </row>
    <row r="30" spans="1:27" ht="15.75" customHeight="1">
      <c r="A30" s="23"/>
      <c r="B30" s="71" t="s">
        <v>99</v>
      </c>
      <c r="C30" s="607"/>
      <c r="D30" s="593"/>
      <c r="E30" s="586"/>
      <c r="F30" s="4"/>
      <c r="G30" s="4"/>
      <c r="H30" s="4"/>
      <c r="I30" s="4"/>
      <c r="J30" s="607"/>
      <c r="K30" s="586"/>
      <c r="M30" s="25"/>
      <c r="N30" s="24">
        <v>2</v>
      </c>
      <c r="O30" s="585"/>
      <c r="P30" s="593"/>
      <c r="Q30" s="586"/>
      <c r="R30" s="585"/>
      <c r="S30" s="593"/>
      <c r="T30" s="586"/>
      <c r="U30" s="4"/>
      <c r="V30" s="14"/>
      <c r="W30" s="4"/>
      <c r="X30" s="16">
        <f>W30*U30</f>
        <v>0</v>
      </c>
      <c r="Y30" s="4"/>
      <c r="Z30" s="585"/>
      <c r="AA30" s="586"/>
    </row>
    <row r="31" spans="1:27" ht="15.75" customHeight="1">
      <c r="A31" s="20"/>
      <c r="B31" s="71" t="s">
        <v>103</v>
      </c>
      <c r="C31" s="607"/>
      <c r="D31" s="593"/>
      <c r="E31" s="586"/>
      <c r="F31" s="4"/>
      <c r="G31" s="4"/>
      <c r="H31" s="4"/>
      <c r="I31" s="4"/>
      <c r="J31" s="607"/>
      <c r="K31" s="586"/>
      <c r="M31" s="25"/>
      <c r="N31" s="24">
        <v>3</v>
      </c>
      <c r="O31" s="585"/>
      <c r="P31" s="593"/>
      <c r="Q31" s="586"/>
      <c r="R31" s="585"/>
      <c r="S31" s="593"/>
      <c r="T31" s="586"/>
      <c r="U31" s="4"/>
      <c r="V31" s="14"/>
      <c r="W31" s="4"/>
      <c r="X31" s="16">
        <f>W31*U31</f>
        <v>0</v>
      </c>
      <c r="Y31" s="4"/>
      <c r="Z31" s="585"/>
      <c r="AA31" s="586"/>
    </row>
    <row r="32" spans="1:27" ht="15.75" customHeight="1">
      <c r="A32" s="68"/>
      <c r="M32" s="25"/>
      <c r="N32" s="24">
        <v>4</v>
      </c>
      <c r="O32" s="585"/>
      <c r="P32" s="593"/>
      <c r="Q32" s="586"/>
      <c r="R32" s="585"/>
      <c r="S32" s="593"/>
      <c r="T32" s="586"/>
      <c r="U32" s="4"/>
      <c r="V32" s="14"/>
      <c r="W32" s="4"/>
      <c r="X32" s="16">
        <f>W32*U32</f>
        <v>0</v>
      </c>
      <c r="Y32" s="4"/>
      <c r="Z32" s="585"/>
      <c r="AA32" s="586"/>
    </row>
    <row r="33" spans="1:27" ht="15.75" customHeight="1">
      <c r="A33" s="18"/>
      <c r="B33" s="50" t="s">
        <v>47</v>
      </c>
      <c r="C33" s="610" t="s">
        <v>12</v>
      </c>
      <c r="D33" s="593"/>
      <c r="E33" s="586"/>
      <c r="F33" s="50" t="s">
        <v>46</v>
      </c>
      <c r="G33" s="50" t="s">
        <v>48</v>
      </c>
      <c r="H33" s="50" t="s">
        <v>49</v>
      </c>
      <c r="I33" s="8" t="s">
        <v>13</v>
      </c>
      <c r="J33" s="602" t="s">
        <v>51</v>
      </c>
      <c r="K33" s="586"/>
      <c r="M33" s="25"/>
      <c r="N33" s="29">
        <v>5</v>
      </c>
      <c r="O33" s="585"/>
      <c r="P33" s="593"/>
      <c r="Q33" s="586"/>
      <c r="R33" s="585"/>
      <c r="S33" s="593"/>
      <c r="T33" s="586"/>
      <c r="U33" s="27"/>
      <c r="V33" s="30"/>
      <c r="W33" s="27"/>
      <c r="X33" s="31">
        <f>W33*U33</f>
        <v>0</v>
      </c>
      <c r="Y33" s="4"/>
      <c r="Z33" s="585"/>
      <c r="AA33" s="586"/>
    </row>
    <row r="34" spans="1:27" ht="15.75" customHeight="1">
      <c r="A34" s="53" t="s">
        <v>35</v>
      </c>
      <c r="B34" s="6">
        <v>1</v>
      </c>
      <c r="C34" s="592" t="s">
        <v>79</v>
      </c>
      <c r="D34" s="593"/>
      <c r="E34" s="586"/>
      <c r="F34" s="4">
        <v>3</v>
      </c>
      <c r="G34" s="4">
        <v>2500</v>
      </c>
      <c r="H34" s="4">
        <v>833.33</v>
      </c>
      <c r="I34" s="4">
        <v>20</v>
      </c>
      <c r="J34" s="592" t="s">
        <v>78</v>
      </c>
      <c r="K34" s="586"/>
      <c r="M34" s="69"/>
      <c r="N34" s="45"/>
      <c r="O34" s="589"/>
      <c r="P34" s="593"/>
      <c r="Q34" s="593"/>
      <c r="R34" s="589"/>
      <c r="S34" s="593"/>
      <c r="T34" s="593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89"/>
      <c r="AA34" s="586"/>
    </row>
    <row r="35" spans="1:27" ht="15.75" customHeight="1">
      <c r="A35" s="23"/>
      <c r="B35" s="6">
        <v>2</v>
      </c>
      <c r="C35" s="585"/>
      <c r="D35" s="593"/>
      <c r="E35" s="586"/>
      <c r="F35" s="4"/>
      <c r="G35" s="4"/>
      <c r="H35" s="4"/>
      <c r="I35" s="4"/>
      <c r="J35" s="585"/>
      <c r="K35" s="586"/>
      <c r="M35" s="1"/>
      <c r="N35" s="1"/>
      <c r="O35" s="600"/>
      <c r="P35" s="601"/>
      <c r="Q35" s="601"/>
      <c r="R35" s="600"/>
      <c r="S35" s="601"/>
      <c r="T35" s="601"/>
      <c r="U35" s="1"/>
      <c r="V35" s="38"/>
      <c r="W35" s="1"/>
      <c r="X35" s="1"/>
      <c r="Y35" s="600"/>
      <c r="Z35" s="601"/>
      <c r="AA35" s="601"/>
    </row>
    <row r="36" spans="1:27" ht="15.75" customHeight="1">
      <c r="A36" s="23"/>
      <c r="B36" s="6">
        <v>3</v>
      </c>
      <c r="C36" s="585"/>
      <c r="D36" s="593"/>
      <c r="E36" s="586"/>
      <c r="F36" s="4"/>
      <c r="G36" s="4"/>
      <c r="H36" s="4"/>
      <c r="I36" s="4"/>
      <c r="J36" s="585"/>
      <c r="K36" s="586"/>
      <c r="M36" s="53" t="s">
        <v>27</v>
      </c>
      <c r="N36" s="58" t="s">
        <v>47</v>
      </c>
      <c r="O36" s="598" t="s">
        <v>12</v>
      </c>
      <c r="P36" s="589"/>
      <c r="Q36" s="599"/>
      <c r="R36" s="604" t="s">
        <v>53</v>
      </c>
      <c r="S36" s="605"/>
      <c r="T36" s="606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602" t="s">
        <v>51</v>
      </c>
      <c r="AA36" s="603"/>
    </row>
    <row r="37" spans="1:27" ht="15.75" customHeight="1">
      <c r="A37" s="23"/>
      <c r="B37" s="6">
        <v>4</v>
      </c>
      <c r="C37" s="585"/>
      <c r="D37" s="593"/>
      <c r="E37" s="586"/>
      <c r="F37" s="4"/>
      <c r="G37" s="4"/>
      <c r="H37" s="4"/>
      <c r="I37" s="4"/>
      <c r="J37" s="585"/>
      <c r="K37" s="586"/>
      <c r="M37" s="57" t="s">
        <v>42</v>
      </c>
      <c r="N37" s="24">
        <v>1</v>
      </c>
      <c r="O37" s="592" t="s">
        <v>89</v>
      </c>
      <c r="P37" s="593"/>
      <c r="Q37" s="586"/>
      <c r="R37" s="592" t="s">
        <v>90</v>
      </c>
      <c r="S37" s="593"/>
      <c r="T37" s="58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92" t="s">
        <v>91</v>
      </c>
      <c r="AA37" s="586"/>
    </row>
    <row r="38" spans="1:27" ht="15.75" customHeight="1">
      <c r="A38" s="23"/>
      <c r="B38" s="26">
        <v>5</v>
      </c>
      <c r="C38" s="587"/>
      <c r="D38" s="594"/>
      <c r="E38" s="588"/>
      <c r="F38" s="27"/>
      <c r="G38" s="27"/>
      <c r="H38" s="27"/>
      <c r="I38" s="27"/>
      <c r="J38" s="587"/>
      <c r="K38" s="588"/>
      <c r="M38" s="25"/>
      <c r="N38" s="24">
        <v>2</v>
      </c>
      <c r="O38" s="585"/>
      <c r="P38" s="593"/>
      <c r="Q38" s="586"/>
      <c r="R38" s="585"/>
      <c r="S38" s="593"/>
      <c r="T38" s="586"/>
      <c r="U38" s="4"/>
      <c r="V38" s="14"/>
      <c r="W38" s="4"/>
      <c r="X38" s="16">
        <f>W38*U38</f>
        <v>0</v>
      </c>
      <c r="Y38" s="4"/>
      <c r="Z38" s="585"/>
      <c r="AA38" s="586"/>
    </row>
    <row r="39" spans="1:27" ht="14.25">
      <c r="A39" s="23"/>
      <c r="B39" s="70" t="s">
        <v>101</v>
      </c>
      <c r="C39" s="595" t="s">
        <v>80</v>
      </c>
      <c r="D39" s="596"/>
      <c r="E39" s="597"/>
      <c r="F39" s="28">
        <v>7</v>
      </c>
      <c r="G39" s="28">
        <v>2200</v>
      </c>
      <c r="H39" s="28">
        <v>314.29000000000002</v>
      </c>
      <c r="I39" s="28">
        <v>-15</v>
      </c>
      <c r="J39" s="595" t="s">
        <v>81</v>
      </c>
      <c r="K39" s="597"/>
      <c r="M39" s="25"/>
      <c r="N39" s="24">
        <v>3</v>
      </c>
      <c r="O39" s="585"/>
      <c r="P39" s="593"/>
      <c r="Q39" s="586"/>
      <c r="R39" s="585"/>
      <c r="S39" s="593"/>
      <c r="T39" s="586"/>
      <c r="U39" s="4"/>
      <c r="V39" s="14"/>
      <c r="W39" s="4"/>
      <c r="X39" s="16">
        <f>W39*U39</f>
        <v>0</v>
      </c>
      <c r="Y39" s="4"/>
      <c r="Z39" s="585"/>
      <c r="AA39" s="586"/>
    </row>
    <row r="40" spans="1:27" ht="14.25">
      <c r="A40" s="23"/>
      <c r="B40" s="71" t="s">
        <v>102</v>
      </c>
      <c r="C40" s="585"/>
      <c r="D40" s="593"/>
      <c r="E40" s="586"/>
      <c r="F40" s="4"/>
      <c r="G40" s="4"/>
      <c r="H40" s="4"/>
      <c r="I40" s="4"/>
      <c r="J40" s="585"/>
      <c r="K40" s="586"/>
      <c r="M40" s="25"/>
      <c r="N40" s="24">
        <v>4</v>
      </c>
      <c r="O40" s="585"/>
      <c r="P40" s="593"/>
      <c r="Q40" s="586"/>
      <c r="R40" s="585"/>
      <c r="S40" s="593"/>
      <c r="T40" s="586"/>
      <c r="U40" s="4"/>
      <c r="V40" s="14"/>
      <c r="W40" s="4"/>
      <c r="X40" s="16">
        <f>W40*U40</f>
        <v>0</v>
      </c>
      <c r="Y40" s="4"/>
      <c r="Z40" s="585"/>
      <c r="AA40" s="586"/>
    </row>
    <row r="41" spans="1:27" ht="14.25">
      <c r="A41" s="23"/>
      <c r="B41" s="71" t="s">
        <v>100</v>
      </c>
      <c r="C41" s="585"/>
      <c r="D41" s="593"/>
      <c r="E41" s="586"/>
      <c r="F41" s="4"/>
      <c r="G41" s="4"/>
      <c r="H41" s="4"/>
      <c r="I41" s="4"/>
      <c r="J41" s="585"/>
      <c r="K41" s="586"/>
      <c r="M41" s="25"/>
      <c r="N41" s="29">
        <v>5</v>
      </c>
      <c r="O41" s="587"/>
      <c r="P41" s="594"/>
      <c r="Q41" s="588"/>
      <c r="R41" s="587"/>
      <c r="S41" s="594"/>
      <c r="T41" s="588"/>
      <c r="U41" s="27"/>
      <c r="V41" s="30"/>
      <c r="W41" s="27"/>
      <c r="X41" s="31">
        <f>W41*U41</f>
        <v>0</v>
      </c>
      <c r="Y41" s="4"/>
      <c r="Z41" s="585"/>
      <c r="AA41" s="586"/>
    </row>
    <row r="42" spans="1:27" ht="14.25">
      <c r="A42" s="23"/>
      <c r="B42" s="71" t="s">
        <v>99</v>
      </c>
      <c r="C42" s="585"/>
      <c r="D42" s="593"/>
      <c r="E42" s="586"/>
      <c r="F42" s="4"/>
      <c r="G42" s="4"/>
      <c r="H42" s="4"/>
      <c r="I42" s="4"/>
      <c r="J42" s="585"/>
      <c r="K42" s="586"/>
      <c r="M42" s="32"/>
      <c r="N42" s="55"/>
      <c r="O42" s="589"/>
      <c r="P42" s="593"/>
      <c r="Q42" s="593"/>
      <c r="R42" s="589"/>
      <c r="S42" s="593"/>
      <c r="T42" s="593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89"/>
      <c r="AA42" s="586"/>
    </row>
    <row r="43" spans="1:27" ht="14.25">
      <c r="A43" s="20"/>
      <c r="B43" s="71" t="s">
        <v>103</v>
      </c>
      <c r="C43" s="585"/>
      <c r="D43" s="593"/>
      <c r="E43" s="586"/>
      <c r="F43" s="4"/>
      <c r="G43" s="4"/>
      <c r="H43" s="4"/>
      <c r="I43" s="4"/>
      <c r="J43" s="585"/>
      <c r="K43" s="586"/>
      <c r="M43" s="57" t="s">
        <v>43</v>
      </c>
      <c r="N43" s="24">
        <v>1</v>
      </c>
      <c r="O43" s="592" t="s">
        <v>89</v>
      </c>
      <c r="P43" s="593"/>
      <c r="Q43" s="586"/>
      <c r="R43" s="590" t="s">
        <v>93</v>
      </c>
      <c r="S43" s="609"/>
      <c r="T43" s="59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92" t="s">
        <v>92</v>
      </c>
      <c r="AA43" s="586"/>
    </row>
    <row r="44" spans="1:27" ht="14.25">
      <c r="A44" s="68"/>
      <c r="M44" s="25"/>
      <c r="N44" s="24">
        <v>2</v>
      </c>
      <c r="O44" s="585"/>
      <c r="P44" s="593"/>
      <c r="Q44" s="586"/>
      <c r="R44" s="585"/>
      <c r="S44" s="593"/>
      <c r="T44" s="586"/>
      <c r="U44" s="4"/>
      <c r="V44" s="14"/>
      <c r="W44" s="4"/>
      <c r="X44" s="37">
        <f>W44*U44</f>
        <v>0</v>
      </c>
      <c r="Y44" s="4"/>
      <c r="Z44" s="585"/>
      <c r="AA44" s="586"/>
    </row>
    <row r="45" spans="1:27" ht="14.25">
      <c r="A45" s="18"/>
      <c r="B45" s="50" t="s">
        <v>47</v>
      </c>
      <c r="C45" s="610" t="s">
        <v>12</v>
      </c>
      <c r="D45" s="593"/>
      <c r="E45" s="586"/>
      <c r="F45" s="50" t="s">
        <v>46</v>
      </c>
      <c r="G45" s="50" t="s">
        <v>48</v>
      </c>
      <c r="H45" s="50" t="s">
        <v>49</v>
      </c>
      <c r="I45" s="8" t="s">
        <v>13</v>
      </c>
      <c r="J45" s="602" t="s">
        <v>51</v>
      </c>
      <c r="K45" s="586"/>
      <c r="M45" s="25"/>
      <c r="N45" s="24">
        <v>3</v>
      </c>
      <c r="O45" s="585"/>
      <c r="P45" s="593"/>
      <c r="Q45" s="586"/>
      <c r="R45" s="585"/>
      <c r="S45" s="593"/>
      <c r="T45" s="586"/>
      <c r="U45" s="4"/>
      <c r="V45" s="14"/>
      <c r="W45" s="4"/>
      <c r="X45" s="37">
        <f>W45*U45</f>
        <v>0</v>
      </c>
      <c r="Y45" s="4"/>
      <c r="Z45" s="585"/>
      <c r="AA45" s="586"/>
    </row>
    <row r="46" spans="1:27" ht="14.25">
      <c r="A46" s="53" t="s">
        <v>36</v>
      </c>
      <c r="B46" s="6">
        <v>1</v>
      </c>
      <c r="C46" s="592" t="s">
        <v>82</v>
      </c>
      <c r="D46" s="593"/>
      <c r="E46" s="586"/>
      <c r="F46" s="4">
        <v>15</v>
      </c>
      <c r="G46" s="4">
        <v>1200</v>
      </c>
      <c r="H46" s="4">
        <v>80</v>
      </c>
      <c r="I46" s="4">
        <v>5</v>
      </c>
      <c r="J46" s="592" t="s">
        <v>83</v>
      </c>
      <c r="K46" s="586"/>
      <c r="M46" s="25"/>
      <c r="N46" s="24">
        <v>4</v>
      </c>
      <c r="O46" s="585"/>
      <c r="P46" s="593"/>
      <c r="Q46" s="586"/>
      <c r="R46" s="585"/>
      <c r="S46" s="593"/>
      <c r="T46" s="586"/>
      <c r="U46" s="4"/>
      <c r="V46" s="14"/>
      <c r="W46" s="4"/>
      <c r="X46" s="37">
        <f>W46*U46</f>
        <v>0</v>
      </c>
      <c r="Y46" s="4"/>
      <c r="Z46" s="585"/>
      <c r="AA46" s="586"/>
    </row>
    <row r="47" spans="1:27" ht="14.25">
      <c r="A47" s="23"/>
      <c r="B47" s="6">
        <v>2</v>
      </c>
      <c r="C47" s="585"/>
      <c r="D47" s="593"/>
      <c r="E47" s="586"/>
      <c r="F47" s="4"/>
      <c r="G47" s="4"/>
      <c r="H47" s="4"/>
      <c r="I47" s="4"/>
      <c r="J47" s="585"/>
      <c r="K47" s="586"/>
      <c r="M47" s="25"/>
      <c r="N47" s="29">
        <v>5</v>
      </c>
      <c r="O47" s="585"/>
      <c r="P47" s="593"/>
      <c r="Q47" s="586"/>
      <c r="R47" s="585"/>
      <c r="S47" s="593"/>
      <c r="T47" s="586"/>
      <c r="U47" s="27"/>
      <c r="V47" s="30"/>
      <c r="W47" s="27"/>
      <c r="X47" s="40">
        <f>W47*U47</f>
        <v>0</v>
      </c>
      <c r="Y47" s="4"/>
      <c r="Z47" s="585"/>
      <c r="AA47" s="586"/>
    </row>
    <row r="48" spans="1:27" ht="14.25">
      <c r="A48" s="23"/>
      <c r="B48" s="6">
        <v>3</v>
      </c>
      <c r="C48" s="585"/>
      <c r="D48" s="593"/>
      <c r="E48" s="586"/>
      <c r="F48" s="4"/>
      <c r="G48" s="4"/>
      <c r="H48" s="4"/>
      <c r="I48" s="4"/>
      <c r="J48" s="585"/>
      <c r="K48" s="586"/>
      <c r="M48" s="69"/>
      <c r="N48" s="45"/>
      <c r="O48" s="589"/>
      <c r="P48" s="593"/>
      <c r="Q48" s="593"/>
      <c r="R48" s="589"/>
      <c r="S48" s="593"/>
      <c r="T48" s="593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89"/>
      <c r="AA48" s="586"/>
    </row>
    <row r="49" spans="1:27" ht="14.25">
      <c r="A49" s="23"/>
      <c r="B49" s="6">
        <v>4</v>
      </c>
      <c r="C49" s="585"/>
      <c r="D49" s="593"/>
      <c r="E49" s="586"/>
      <c r="F49" s="4"/>
      <c r="G49" s="4"/>
      <c r="H49" s="4"/>
      <c r="I49" s="4"/>
      <c r="J49" s="585"/>
      <c r="K49" s="58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7"/>
      <c r="D50" s="594"/>
      <c r="E50" s="588"/>
      <c r="F50" s="27"/>
      <c r="G50" s="27"/>
      <c r="H50" s="27"/>
      <c r="I50" s="27"/>
      <c r="J50" s="587"/>
      <c r="K50" s="588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95" t="s">
        <v>89</v>
      </c>
      <c r="D51" s="596"/>
      <c r="E51" s="597"/>
      <c r="F51" s="28">
        <v>18</v>
      </c>
      <c r="G51" s="28">
        <v>800</v>
      </c>
      <c r="H51" s="28">
        <v>44.44</v>
      </c>
      <c r="I51" s="28">
        <v>-15</v>
      </c>
      <c r="J51" s="595" t="s">
        <v>84</v>
      </c>
      <c r="K51" s="597"/>
      <c r="M51" s="8"/>
      <c r="N51" s="8" t="s">
        <v>18</v>
      </c>
      <c r="O51" s="598" t="s">
        <v>12</v>
      </c>
      <c r="P51" s="589"/>
      <c r="Q51" s="599"/>
      <c r="R51" s="604" t="s">
        <v>53</v>
      </c>
      <c r="S51" s="605"/>
      <c r="T51" s="606"/>
      <c r="U51" s="58" t="s">
        <v>54</v>
      </c>
      <c r="V51" s="39" t="s">
        <v>19</v>
      </c>
      <c r="W51" s="58" t="s">
        <v>57</v>
      </c>
      <c r="X51" s="8" t="s">
        <v>2</v>
      </c>
      <c r="Y51" s="598" t="s">
        <v>50</v>
      </c>
      <c r="Z51" s="589"/>
      <c r="AA51" s="599"/>
    </row>
    <row r="52" spans="1:27" ht="14.25">
      <c r="A52" s="23"/>
      <c r="B52" s="71" t="s">
        <v>102</v>
      </c>
      <c r="C52" s="585"/>
      <c r="D52" s="593"/>
      <c r="E52" s="586"/>
      <c r="F52" s="4"/>
      <c r="G52" s="4"/>
      <c r="H52" s="4"/>
      <c r="I52" s="4"/>
      <c r="J52" s="585"/>
      <c r="K52" s="586"/>
      <c r="M52" s="57" t="s">
        <v>42</v>
      </c>
      <c r="N52" s="24">
        <v>1</v>
      </c>
      <c r="O52" s="592" t="s">
        <v>89</v>
      </c>
      <c r="P52" s="593"/>
      <c r="Q52" s="586"/>
      <c r="R52" s="590" t="s">
        <v>93</v>
      </c>
      <c r="S52" s="609"/>
      <c r="T52" s="59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92" t="s">
        <v>97</v>
      </c>
      <c r="Z52" s="593"/>
      <c r="AA52" s="586"/>
    </row>
    <row r="53" spans="1:27" ht="14.25">
      <c r="A53" s="23"/>
      <c r="B53" s="71" t="s">
        <v>100</v>
      </c>
      <c r="C53" s="585"/>
      <c r="D53" s="593"/>
      <c r="E53" s="586"/>
      <c r="F53" s="4"/>
      <c r="G53" s="4"/>
      <c r="H53" s="4"/>
      <c r="I53" s="4"/>
      <c r="J53" s="585"/>
      <c r="K53" s="586"/>
      <c r="M53" s="25"/>
      <c r="N53" s="29">
        <v>2</v>
      </c>
      <c r="O53" s="587"/>
      <c r="P53" s="594"/>
      <c r="Q53" s="588"/>
      <c r="R53" s="587"/>
      <c r="S53" s="594"/>
      <c r="T53" s="588"/>
      <c r="U53" s="27"/>
      <c r="V53" s="30"/>
      <c r="W53" s="30"/>
      <c r="X53" s="41">
        <f>W53-V53</f>
        <v>0</v>
      </c>
      <c r="Y53" s="587"/>
      <c r="Z53" s="594"/>
      <c r="AA53" s="588"/>
    </row>
    <row r="54" spans="1:27" ht="14.25">
      <c r="A54" s="23"/>
      <c r="B54" s="71" t="s">
        <v>99</v>
      </c>
      <c r="C54" s="585"/>
      <c r="D54" s="593"/>
      <c r="E54" s="586"/>
      <c r="F54" s="4"/>
      <c r="G54" s="4"/>
      <c r="H54" s="4"/>
      <c r="I54" s="4"/>
      <c r="J54" s="585"/>
      <c r="K54" s="586"/>
      <c r="M54" s="57" t="s">
        <v>43</v>
      </c>
      <c r="N54" s="42">
        <v>1</v>
      </c>
      <c r="O54" s="595" t="s">
        <v>94</v>
      </c>
      <c r="P54" s="596"/>
      <c r="Q54" s="597"/>
      <c r="R54" s="595" t="s">
        <v>95</v>
      </c>
      <c r="S54" s="596"/>
      <c r="T54" s="59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95" t="s">
        <v>96</v>
      </c>
      <c r="Z54" s="596"/>
      <c r="AA54" s="597"/>
    </row>
    <row r="55" spans="1:27" ht="14.25">
      <c r="A55" s="20"/>
      <c r="B55" s="71" t="s">
        <v>103</v>
      </c>
      <c r="C55" s="585"/>
      <c r="D55" s="593"/>
      <c r="E55" s="586"/>
      <c r="F55" s="4"/>
      <c r="G55" s="4"/>
      <c r="H55" s="4"/>
      <c r="I55" s="4"/>
      <c r="J55" s="585"/>
      <c r="K55" s="586"/>
      <c r="M55" s="22"/>
      <c r="N55" s="24">
        <v>2</v>
      </c>
      <c r="O55" s="585"/>
      <c r="P55" s="593"/>
      <c r="Q55" s="586"/>
      <c r="R55" s="585"/>
      <c r="S55" s="593"/>
      <c r="T55" s="586"/>
      <c r="U55" s="4"/>
      <c r="V55" s="14"/>
      <c r="W55" s="14"/>
      <c r="X55" s="13">
        <f>W55-V55</f>
        <v>0</v>
      </c>
      <c r="Y55" s="585"/>
      <c r="Z55" s="593"/>
      <c r="AA55" s="586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612" t="s">
        <v>393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120"/>
    </row>
    <row r="2" spans="1:12" s="121" customFormat="1" ht="15.75" customHeight="1">
      <c r="A2" s="612"/>
      <c r="B2" s="612"/>
      <c r="C2" s="612"/>
      <c r="D2" s="612"/>
      <c r="E2" s="612"/>
      <c r="F2" s="612"/>
      <c r="G2" s="612"/>
      <c r="H2" s="612"/>
      <c r="I2" s="612"/>
      <c r="J2" s="612"/>
      <c r="K2" s="612"/>
    </row>
    <row r="3" spans="1:12" ht="21.6" customHeight="1">
      <c r="A3" s="140" t="s">
        <v>325</v>
      </c>
      <c r="B3" s="141">
        <v>10</v>
      </c>
      <c r="C3" s="140" t="s">
        <v>20</v>
      </c>
      <c r="D3" s="613" t="s">
        <v>392</v>
      </c>
      <c r="E3" s="613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68659.02</v>
      </c>
      <c r="C6" s="296">
        <v>224463.48699999999</v>
      </c>
      <c r="D6" s="143">
        <f t="shared" ref="D6:D11" si="0">B6-C6</f>
        <v>-155804.467</v>
      </c>
      <c r="E6" s="143">
        <f t="shared" ref="E6:E11" si="1">B6</f>
        <v>68659.02</v>
      </c>
      <c r="F6" s="134"/>
      <c r="G6" s="129" t="s">
        <v>198</v>
      </c>
      <c r="H6" s="299">
        <v>266</v>
      </c>
      <c r="I6" s="145">
        <f>'（２）ＫＰＩ達成進度'!H6</f>
        <v>0</v>
      </c>
      <c r="J6" s="313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2113723</v>
      </c>
      <c r="C7" s="296">
        <v>6964636</v>
      </c>
      <c r="D7" s="143">
        <f t="shared" si="0"/>
        <v>-4850913</v>
      </c>
      <c r="E7" s="143">
        <f t="shared" si="1"/>
        <v>2113723</v>
      </c>
      <c r="F7" s="134"/>
      <c r="G7" s="129" t="s">
        <v>199</v>
      </c>
      <c r="H7" s="255">
        <v>0.8</v>
      </c>
      <c r="I7" s="144">
        <f>'（２）ＫＰＩ達成進度'!K6</f>
        <v>0</v>
      </c>
      <c r="J7" s="297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45023.692000000003</v>
      </c>
      <c r="C8" s="296">
        <v>150244.29199999999</v>
      </c>
      <c r="D8" s="143">
        <f>B8-C8</f>
        <v>-105220.59999999998</v>
      </c>
      <c r="E8" s="143">
        <f t="shared" si="1"/>
        <v>45023.692000000003</v>
      </c>
      <c r="F8" s="134"/>
      <c r="G8" s="129" t="s">
        <v>200</v>
      </c>
      <c r="H8" s="250">
        <v>2.5000000000000001E-3</v>
      </c>
      <c r="I8" s="250">
        <f>'（２）ＫＰＩ達成進度'!N6</f>
        <v>0</v>
      </c>
      <c r="J8" s="314">
        <v>2.4646256819628254E-3</v>
      </c>
      <c r="K8" s="250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0.65575785963737898</v>
      </c>
      <c r="C9" s="297">
        <v>0.66934847180735457</v>
      </c>
      <c r="D9" s="144">
        <f t="shared" si="0"/>
        <v>-1.3590612169975591E-2</v>
      </c>
      <c r="E9" s="144">
        <f t="shared" si="1"/>
        <v>0.65575785963737898</v>
      </c>
      <c r="F9" s="134"/>
      <c r="G9" s="129" t="s">
        <v>201</v>
      </c>
      <c r="H9" s="250">
        <v>2.5999999999999999E-3</v>
      </c>
      <c r="I9" s="250">
        <f>'（２）ＫＰＩ達成進度'!Q6</f>
        <v>0</v>
      </c>
      <c r="J9" s="314">
        <v>2.3405370745029669E-3</v>
      </c>
      <c r="K9" s="250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8701.0703408602221</v>
      </c>
      <c r="C10" s="296">
        <v>32105.786706827967</v>
      </c>
      <c r="D10" s="143">
        <f t="shared" si="0"/>
        <v>-23404.716365967746</v>
      </c>
      <c r="E10" s="143">
        <f t="shared" si="1"/>
        <v>8701.0703408602221</v>
      </c>
      <c r="F10" s="134"/>
      <c r="G10" s="129" t="s">
        <v>202</v>
      </c>
      <c r="H10" s="252">
        <v>0.8</v>
      </c>
      <c r="I10" s="252">
        <f>'（２）ＫＰＩ達成進度'!T6</f>
        <v>0</v>
      </c>
      <c r="J10" s="315">
        <v>0.91666666666666707</v>
      </c>
      <c r="K10" s="252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0.12672872902730364</v>
      </c>
      <c r="C11" s="297">
        <v>0.14303344894053066</v>
      </c>
      <c r="D11" s="144">
        <f t="shared" si="0"/>
        <v>-1.6304719913227017E-2</v>
      </c>
      <c r="E11" s="144">
        <f t="shared" si="1"/>
        <v>0.12672872902730364</v>
      </c>
      <c r="F11" s="134"/>
      <c r="G11" s="129" t="s">
        <v>203</v>
      </c>
      <c r="H11" s="252">
        <v>1</v>
      </c>
      <c r="I11" s="144">
        <f>'（２）ＫＰＩ達成進度'!W6</f>
        <v>0</v>
      </c>
      <c r="J11" s="297">
        <v>0.84941935483870945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10292.451604608725</v>
      </c>
      <c r="C15" s="144">
        <f>IFERROR(B15/$B$6,"")</f>
        <v>0.14990676541274145</v>
      </c>
      <c r="D15" s="297">
        <v>0.19061185820038584</v>
      </c>
      <c r="E15" s="144">
        <f>IFERROR(C15-D15,"")</f>
        <v>-4.0705092787644392E-2</v>
      </c>
      <c r="F15" s="134"/>
      <c r="G15" s="129" t="s">
        <v>232</v>
      </c>
      <c r="H15" s="143">
        <f>'（４）訂單數量構成比'!M46</f>
        <v>637577</v>
      </c>
      <c r="I15" s="144">
        <f t="shared" ref="I15:I23" si="3">IFERROR(H15/$B$7,"")</f>
        <v>0.30163696946099372</v>
      </c>
      <c r="J15" s="297">
        <v>0.33067557299476957</v>
      </c>
      <c r="K15" s="144">
        <f t="shared" ref="K15:K23" si="4">IFERROR(I15-J15,"")</f>
        <v>-2.9038603533775853E-2</v>
      </c>
    </row>
    <row r="16" spans="1:12" s="122" customFormat="1" ht="18" customHeight="1">
      <c r="A16" s="129" t="s">
        <v>222</v>
      </c>
      <c r="B16" s="143">
        <f>'（３）業績構成比'!S46/1000</f>
        <v>1944.794281169012</v>
      </c>
      <c r="C16" s="144">
        <f t="shared" ref="C16:C23" si="5">IFERROR(B16/$B$6,"")</f>
        <v>2.8325401107808006E-2</v>
      </c>
      <c r="D16" s="297">
        <v>4.2789233591899609E-2</v>
      </c>
      <c r="E16" s="144">
        <f t="shared" ref="E16:E23" si="6">IFERROR(C16-D16,"")</f>
        <v>-1.4463832484091603E-2</v>
      </c>
      <c r="F16" s="134"/>
      <c r="G16" s="129" t="s">
        <v>251</v>
      </c>
      <c r="H16" s="143">
        <f>'（４）訂單數量構成比'!S47</f>
        <v>87416</v>
      </c>
      <c r="I16" s="144">
        <f t="shared" si="3"/>
        <v>4.1356412358667619E-2</v>
      </c>
      <c r="J16" s="297">
        <v>6.1681041191528174E-2</v>
      </c>
      <c r="K16" s="144">
        <f t="shared" si="4"/>
        <v>-2.0324628832860556E-2</v>
      </c>
    </row>
    <row r="17" spans="1:18" s="122" customFormat="1" ht="18" customHeight="1">
      <c r="A17" s="129" t="s">
        <v>218</v>
      </c>
      <c r="B17" s="143">
        <f>'（３）業績構成比'!U46/1000</f>
        <v>10419.422195127809</v>
      </c>
      <c r="C17" s="144">
        <f t="shared" si="5"/>
        <v>0.15175605761818051</v>
      </c>
      <c r="D17" s="297">
        <v>8.6938303169141445E-2</v>
      </c>
      <c r="E17" s="144">
        <f t="shared" si="6"/>
        <v>6.4817754449039061E-2</v>
      </c>
      <c r="F17" s="134"/>
      <c r="G17" s="129" t="s">
        <v>233</v>
      </c>
      <c r="H17" s="143">
        <f>'（４）訂單數量構成比'!U46</f>
        <v>316690</v>
      </c>
      <c r="I17" s="144">
        <f t="shared" si="3"/>
        <v>0.14982568671486282</v>
      </c>
      <c r="J17" s="297">
        <v>8.2530228428305513E-2</v>
      </c>
      <c r="K17" s="144">
        <f t="shared" si="4"/>
        <v>6.7295458286557308E-2</v>
      </c>
    </row>
    <row r="18" spans="1:18" s="122" customFormat="1" ht="18" customHeight="1">
      <c r="A18" s="129" t="s">
        <v>220</v>
      </c>
      <c r="B18" s="143">
        <f>'（３）業績構成比'!W46/1000</f>
        <v>709.85842214563411</v>
      </c>
      <c r="C18" s="144">
        <f t="shared" si="5"/>
        <v>1.033889534318483E-2</v>
      </c>
      <c r="D18" s="297">
        <v>1.4659145993880142E-2</v>
      </c>
      <c r="E18" s="144">
        <f t="shared" si="6"/>
        <v>-4.3202506506953113E-3</v>
      </c>
      <c r="F18" s="134"/>
      <c r="G18" s="129" t="s">
        <v>219</v>
      </c>
      <c r="H18" s="143">
        <f>'（４）訂單數量構成比'!W46</f>
        <v>20582</v>
      </c>
      <c r="I18" s="144">
        <f t="shared" si="3"/>
        <v>9.737321304636417E-3</v>
      </c>
      <c r="J18" s="297">
        <v>1.6773740939224964E-2</v>
      </c>
      <c r="K18" s="144">
        <f t="shared" si="4"/>
        <v>-7.036419634588547E-3</v>
      </c>
    </row>
    <row r="19" spans="1:18" s="122" customFormat="1" ht="18" customHeight="1">
      <c r="A19" s="129" t="s">
        <v>224</v>
      </c>
      <c r="B19" s="143">
        <f>'（３）業績構成比'!AC46/1000</f>
        <v>17239.679719238462</v>
      </c>
      <c r="C19" s="144">
        <f t="shared" si="5"/>
        <v>0.25109125820960537</v>
      </c>
      <c r="D19" s="297">
        <v>0.24409177848792188</v>
      </c>
      <c r="E19" s="144">
        <f t="shared" si="6"/>
        <v>6.9994797216834936E-3</v>
      </c>
      <c r="F19" s="134"/>
      <c r="G19" s="129" t="s">
        <v>223</v>
      </c>
      <c r="H19" s="143">
        <f>'（４）訂單數量構成比'!AC46</f>
        <v>458235</v>
      </c>
      <c r="I19" s="144">
        <f t="shared" si="3"/>
        <v>0.21679046876057081</v>
      </c>
      <c r="J19" s="297">
        <v>0.19673059726308739</v>
      </c>
      <c r="K19" s="144">
        <f t="shared" si="4"/>
        <v>2.0059871497483422E-2</v>
      </c>
    </row>
    <row r="20" spans="1:18" s="122" customFormat="1" ht="18" customHeight="1">
      <c r="A20" s="129" t="s">
        <v>226</v>
      </c>
      <c r="B20" s="143">
        <f>'（３）業績構成比'!AE46/1000</f>
        <v>11417.257508012788</v>
      </c>
      <c r="C20" s="144">
        <f t="shared" si="5"/>
        <v>0.16628925825059529</v>
      </c>
      <c r="D20" s="297">
        <v>0.1397972381723295</v>
      </c>
      <c r="E20" s="144">
        <f t="shared" si="6"/>
        <v>2.6492020078265788E-2</v>
      </c>
      <c r="F20" s="134"/>
      <c r="G20" s="129" t="s">
        <v>225</v>
      </c>
      <c r="H20" s="143">
        <f>'（４）訂單數量構成比'!AE46</f>
        <v>205677</v>
      </c>
      <c r="I20" s="144">
        <f t="shared" si="3"/>
        <v>9.7305559905436989E-2</v>
      </c>
      <c r="J20" s="297">
        <v>7.9797709456746913E-2</v>
      </c>
      <c r="K20" s="144">
        <f t="shared" si="4"/>
        <v>1.7507850448690077E-2</v>
      </c>
    </row>
    <row r="21" spans="1:18" s="122" customFormat="1" ht="18" customHeight="1">
      <c r="A21" s="129" t="s">
        <v>228</v>
      </c>
      <c r="B21" s="143">
        <f>'（３）業績構成比'!AG46/1000</f>
        <v>2564.531431548809</v>
      </c>
      <c r="C21" s="144">
        <f>IFERROR(B21/$B$6,"")</f>
        <v>3.7351704576453447E-2</v>
      </c>
      <c r="D21" s="297">
        <v>0.13619626613806221</v>
      </c>
      <c r="E21" s="144">
        <f>IFERROR(C21-D21,"")</f>
        <v>-9.8844561561608757E-2</v>
      </c>
      <c r="F21" s="134"/>
      <c r="G21" s="129" t="s">
        <v>234</v>
      </c>
      <c r="H21" s="143">
        <f>'（４）訂單數量構成比'!AG46</f>
        <v>64962</v>
      </c>
      <c r="I21" s="144">
        <f>IFERROR(H21/$B$7,"")</f>
        <v>3.0733449936439165E-2</v>
      </c>
      <c r="J21" s="297">
        <v>9.0009011239065476E-2</v>
      </c>
      <c r="K21" s="144">
        <f>IFERROR(I21-J21,"")</f>
        <v>-5.927556130262631E-2</v>
      </c>
    </row>
    <row r="22" spans="1:18" s="122" customFormat="1" ht="18" customHeight="1">
      <c r="A22" s="129" t="s">
        <v>229</v>
      </c>
      <c r="B22" s="143">
        <f>'（３）業績構成比'!AI46/1000</f>
        <v>5997.2803241678621</v>
      </c>
      <c r="C22" s="144">
        <f t="shared" si="5"/>
        <v>8.7348760937279057E-2</v>
      </c>
      <c r="D22" s="297">
        <v>6.8175373790099608E-2</v>
      </c>
      <c r="E22" s="144">
        <f t="shared" si="6"/>
        <v>1.9173387147179449E-2</v>
      </c>
      <c r="F22" s="134"/>
      <c r="G22" s="129" t="s">
        <v>235</v>
      </c>
      <c r="H22" s="143">
        <f>'（４）訂單數量構成比'!AI46</f>
        <v>161685</v>
      </c>
      <c r="I22" s="144">
        <f t="shared" si="3"/>
        <v>7.6492993642024054E-2</v>
      </c>
      <c r="J22" s="297">
        <v>5.972113976954431E-2</v>
      </c>
      <c r="K22" s="144">
        <f t="shared" si="4"/>
        <v>1.6771853872479744E-2</v>
      </c>
    </row>
    <row r="23" spans="1:18" s="122" customFormat="1" ht="18" customHeight="1">
      <c r="A23" s="129" t="s">
        <v>231</v>
      </c>
      <c r="B23" s="143">
        <f>'（３）業績構成比'!AK46/1000</f>
        <v>4591.0910806591028</v>
      </c>
      <c r="C23" s="144">
        <f t="shared" si="5"/>
        <v>6.6867996086444323E-2</v>
      </c>
      <c r="D23" s="297">
        <v>7.674080245627983E-2</v>
      </c>
      <c r="E23" s="144">
        <f t="shared" si="6"/>
        <v>-9.8728063698355073E-3</v>
      </c>
      <c r="F23" s="134"/>
      <c r="G23" s="129" t="s">
        <v>230</v>
      </c>
      <c r="H23" s="143">
        <f>'（４）訂單數量構成比'!AK46</f>
        <v>160899</v>
      </c>
      <c r="I23" s="144">
        <f t="shared" si="3"/>
        <v>7.6121137916368417E-2</v>
      </c>
      <c r="J23" s="297">
        <v>8.2080958717727678E-2</v>
      </c>
      <c r="K23" s="144">
        <f t="shared" si="4"/>
        <v>-5.9598208013592613E-3</v>
      </c>
    </row>
    <row r="24" spans="1:18" s="122" customFormat="1" ht="15.75" customHeight="1">
      <c r="A24" s="134"/>
      <c r="B24" s="134"/>
      <c r="C24" s="138">
        <f>SUM(C15:C23)</f>
        <v>0.94927609754229225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496</v>
      </c>
      <c r="N27" s="136" t="s">
        <v>497</v>
      </c>
      <c r="O27" s="136" t="s">
        <v>498</v>
      </c>
      <c r="P27" s="136" t="s">
        <v>499</v>
      </c>
      <c r="Q27" s="136" t="s">
        <v>500</v>
      </c>
      <c r="R27" s="134"/>
    </row>
    <row r="28" spans="1:18" s="122" customFormat="1" ht="18" customHeight="1">
      <c r="A28" s="129" t="s">
        <v>232</v>
      </c>
      <c r="B28" s="298">
        <f>'（５-1）品群別人時生產性（18℃-飯糰）'!$C$1</f>
        <v>793.10158304582899</v>
      </c>
      <c r="C28" s="342">
        <v>756.20246993670457</v>
      </c>
      <c r="D28" s="245">
        <f t="shared" ref="D28:D36" si="7">B28-C28</f>
        <v>36.899113109124414</v>
      </c>
      <c r="E28" s="298">
        <f>R28</f>
        <v>755.31455898689433</v>
      </c>
      <c r="F28" s="134"/>
      <c r="G28" s="148"/>
      <c r="H28" s="148"/>
      <c r="I28" s="148"/>
      <c r="M28" s="298">
        <v>717.52753492795955</v>
      </c>
      <c r="N28" s="298">
        <f>B28</f>
        <v>793.10158304582899</v>
      </c>
      <c r="O28" s="298"/>
      <c r="P28" s="298"/>
      <c r="Q28" s="298"/>
      <c r="R28" s="316">
        <f>AVERAGE(M28:Q28)</f>
        <v>755.31455898689433</v>
      </c>
    </row>
    <row r="29" spans="1:18" s="122" customFormat="1" ht="18" customHeight="1">
      <c r="A29" s="129" t="s">
        <v>221</v>
      </c>
      <c r="B29" s="298">
        <f>'（５-2）品群別人時生產性（18-壽司手卷)'!$C$1</f>
        <v>182.60525037107632</v>
      </c>
      <c r="C29" s="342">
        <v>198.82982221081653</v>
      </c>
      <c r="D29" s="245">
        <f t="shared" si="7"/>
        <v>-16.224571839740207</v>
      </c>
      <c r="E29" s="298">
        <f t="shared" ref="E29:E36" si="8">R29</f>
        <v>190.11898362869221</v>
      </c>
      <c r="F29" s="134"/>
      <c r="G29" s="149"/>
      <c r="H29" s="149"/>
      <c r="I29" s="149"/>
      <c r="M29" s="298">
        <v>197.63271688630809</v>
      </c>
      <c r="N29" s="298">
        <f t="shared" ref="N29:N36" si="9">B29</f>
        <v>182.60525037107632</v>
      </c>
      <c r="O29" s="298"/>
      <c r="P29" s="298"/>
      <c r="Q29" s="298"/>
      <c r="R29" s="316">
        <f t="shared" ref="R29:R36" si="10">AVERAGE(M29:Q29)</f>
        <v>190.11898362869221</v>
      </c>
    </row>
    <row r="30" spans="1:18" s="122" customFormat="1" ht="18" customHeight="1">
      <c r="A30" s="129" t="s">
        <v>233</v>
      </c>
      <c r="B30" s="298">
        <f>'（５-3）品群別人時生產性（4℃-飯糰)'!$C$1</f>
        <v>257.59116520932349</v>
      </c>
      <c r="C30" s="342">
        <v>253.36933201602551</v>
      </c>
      <c r="D30" s="245">
        <f t="shared" si="7"/>
        <v>4.2218331932979822</v>
      </c>
      <c r="E30" s="298">
        <f t="shared" si="8"/>
        <v>249.02486829381337</v>
      </c>
      <c r="F30" s="134"/>
      <c r="G30" s="134"/>
      <c r="H30" s="134"/>
      <c r="I30" s="134"/>
      <c r="M30" s="298">
        <v>240.45857137830325</v>
      </c>
      <c r="N30" s="298">
        <f t="shared" si="9"/>
        <v>257.59116520932349</v>
      </c>
      <c r="O30" s="298"/>
      <c r="P30" s="298"/>
      <c r="Q30" s="298"/>
      <c r="R30" s="316">
        <f t="shared" si="10"/>
        <v>249.02486829381337</v>
      </c>
    </row>
    <row r="31" spans="1:18" s="122" customFormat="1" ht="18" customHeight="1">
      <c r="A31" s="129" t="s">
        <v>219</v>
      </c>
      <c r="B31" s="298">
        <f>'（５-4）品群別人時生產性（4℃-壽司手卷)'!$C$1</f>
        <v>126.0119667097608</v>
      </c>
      <c r="C31" s="342">
        <v>112.99131142028241</v>
      </c>
      <c r="D31" s="245">
        <f t="shared" si="7"/>
        <v>13.020655289478384</v>
      </c>
      <c r="E31" s="298">
        <f t="shared" si="8"/>
        <v>116.43854480894919</v>
      </c>
      <c r="F31" s="134"/>
      <c r="G31" s="134"/>
      <c r="H31" s="134"/>
      <c r="I31" s="134"/>
      <c r="M31" s="298">
        <v>106.86512290813759</v>
      </c>
      <c r="N31" s="298">
        <f t="shared" si="9"/>
        <v>126.0119667097608</v>
      </c>
      <c r="O31" s="298"/>
      <c r="P31" s="298"/>
      <c r="Q31" s="298"/>
      <c r="R31" s="316">
        <f t="shared" si="10"/>
        <v>116.43854480894919</v>
      </c>
    </row>
    <row r="32" spans="1:18" s="122" customFormat="1" ht="18" customHeight="1">
      <c r="A32" s="129" t="s">
        <v>223</v>
      </c>
      <c r="B32" s="298">
        <f>'（５-5）品群別人時生產性(主食) '!$C$1</f>
        <v>84.814846048052473</v>
      </c>
      <c r="C32" s="342">
        <v>85.495684450909806</v>
      </c>
      <c r="D32" s="245">
        <f t="shared" si="7"/>
        <v>-0.68083840285733288</v>
      </c>
      <c r="E32" s="298">
        <f t="shared" si="8"/>
        <v>87.06263722639288</v>
      </c>
      <c r="F32" s="134"/>
      <c r="G32" s="134"/>
      <c r="H32" s="134"/>
      <c r="I32" s="134"/>
      <c r="M32" s="298">
        <v>89.310428404733287</v>
      </c>
      <c r="N32" s="298">
        <f t="shared" si="9"/>
        <v>84.814846048052473</v>
      </c>
      <c r="O32" s="298"/>
      <c r="P32" s="298"/>
      <c r="Q32" s="298"/>
      <c r="R32" s="316">
        <f t="shared" si="10"/>
        <v>87.06263722639288</v>
      </c>
    </row>
    <row r="33" spans="1:18" s="122" customFormat="1" ht="18" customHeight="1">
      <c r="A33" s="129" t="s">
        <v>225</v>
      </c>
      <c r="B33" s="298">
        <f>'（５-6）品群別人時生產性(便當)'!$C$1</f>
        <v>71.54839030688504</v>
      </c>
      <c r="C33" s="342">
        <v>66.943613625537381</v>
      </c>
      <c r="D33" s="245">
        <f t="shared" si="7"/>
        <v>4.6047766813476585</v>
      </c>
      <c r="E33" s="298">
        <f t="shared" si="8"/>
        <v>68.6105663830824</v>
      </c>
      <c r="F33" s="134"/>
      <c r="G33" s="134"/>
      <c r="H33" s="134"/>
      <c r="I33" s="134"/>
      <c r="M33" s="298">
        <v>65.67274245927976</v>
      </c>
      <c r="N33" s="298">
        <f t="shared" si="9"/>
        <v>71.54839030688504</v>
      </c>
      <c r="O33" s="298"/>
      <c r="P33" s="298"/>
      <c r="Q33" s="298"/>
      <c r="R33" s="316">
        <f t="shared" si="10"/>
        <v>68.6105663830824</v>
      </c>
    </row>
    <row r="34" spans="1:18" s="122" customFormat="1" ht="18" customHeight="1">
      <c r="A34" s="129" t="s">
        <v>234</v>
      </c>
      <c r="B34" s="298">
        <f>'（５-7）品群別人時生產性(熱食義麵) '!$C$1</f>
        <v>83.877892489433421</v>
      </c>
      <c r="C34" s="342">
        <v>80.555861357885718</v>
      </c>
      <c r="D34" s="245">
        <f t="shared" si="7"/>
        <v>3.3220311315477034</v>
      </c>
      <c r="E34" s="298">
        <f t="shared" si="8"/>
        <v>79.678230755693107</v>
      </c>
      <c r="F34" s="134"/>
      <c r="G34" s="134"/>
      <c r="H34" s="134"/>
      <c r="I34" s="134"/>
      <c r="M34" s="298">
        <v>75.478569021952779</v>
      </c>
      <c r="N34" s="298">
        <f t="shared" si="9"/>
        <v>83.877892489433421</v>
      </c>
      <c r="O34" s="298"/>
      <c r="P34" s="298"/>
      <c r="Q34" s="298"/>
      <c r="R34" s="316">
        <f t="shared" si="10"/>
        <v>79.678230755693107</v>
      </c>
    </row>
    <row r="35" spans="1:18" s="122" customFormat="1" ht="18" customHeight="1">
      <c r="A35" s="129" t="s">
        <v>235</v>
      </c>
      <c r="B35" s="298">
        <f>'（５-8）品群別人時生產性(季節調理麵) '!$C$1</f>
        <v>126.65731759521148</v>
      </c>
      <c r="C35" s="342">
        <v>121.13262609451999</v>
      </c>
      <c r="D35" s="245">
        <f t="shared" si="7"/>
        <v>5.524691500691489</v>
      </c>
      <c r="E35" s="298">
        <f t="shared" si="8"/>
        <v>120.58144481090724</v>
      </c>
      <c r="F35" s="134"/>
      <c r="G35" s="134"/>
      <c r="H35" s="134"/>
      <c r="I35" s="134"/>
      <c r="M35" s="298">
        <v>114.50557202660302</v>
      </c>
      <c r="N35" s="298">
        <f t="shared" si="9"/>
        <v>126.65731759521148</v>
      </c>
      <c r="O35" s="298"/>
      <c r="P35" s="298"/>
      <c r="Q35" s="298"/>
      <c r="R35" s="316">
        <f t="shared" si="10"/>
        <v>120.58144481090724</v>
      </c>
    </row>
    <row r="36" spans="1:18" s="122" customFormat="1" ht="18" customHeight="1">
      <c r="A36" s="125" t="s">
        <v>230</v>
      </c>
      <c r="B36" s="298">
        <f>'（５-9）品群別人時生產性(微波小吃)'!$C$1</f>
        <v>173.33729823426933</v>
      </c>
      <c r="C36" s="342">
        <v>115.3662253913358</v>
      </c>
      <c r="D36" s="245">
        <f t="shared" si="7"/>
        <v>57.971072842933523</v>
      </c>
      <c r="E36" s="298">
        <f t="shared" si="8"/>
        <v>136.49282013806754</v>
      </c>
      <c r="F36" s="134"/>
      <c r="G36" s="134"/>
      <c r="H36" s="134"/>
      <c r="I36" s="134"/>
      <c r="M36" s="298">
        <v>99.648342041865732</v>
      </c>
      <c r="N36" s="298">
        <f t="shared" si="9"/>
        <v>173.33729823426933</v>
      </c>
      <c r="O36" s="298"/>
      <c r="P36" s="298"/>
      <c r="Q36" s="298"/>
      <c r="R36" s="316">
        <f t="shared" si="10"/>
        <v>136.49282013806754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90" zoomScaleNormal="90" zoomScaleSheetLayoutView="100" workbookViewId="0">
      <selection activeCell="G33" sqref="G33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612" t="s">
        <v>393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120"/>
    </row>
    <row r="2" spans="1:18" s="121" customFormat="1" ht="15.75" customHeight="1">
      <c r="A2" s="612"/>
      <c r="B2" s="612"/>
      <c r="C2" s="612"/>
      <c r="D2" s="612"/>
      <c r="E2" s="612"/>
      <c r="F2" s="612"/>
      <c r="G2" s="612"/>
      <c r="H2" s="612"/>
      <c r="I2" s="612"/>
      <c r="J2" s="612"/>
      <c r="K2" s="612"/>
    </row>
    <row r="3" spans="1:18" ht="21.6" customHeight="1">
      <c r="A3" s="140" t="s">
        <v>325</v>
      </c>
      <c r="B3" s="215">
        <v>3</v>
      </c>
      <c r="C3" s="218" t="s">
        <v>326</v>
      </c>
      <c r="D3" s="215" t="s">
        <v>935</v>
      </c>
      <c r="E3" s="140" t="s">
        <v>20</v>
      </c>
      <c r="F3" s="613" t="s">
        <v>392</v>
      </c>
      <c r="G3" s="613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5">
        <f>'（１）收支狀況'!G7/1000</f>
        <v>53050.900999999998</v>
      </c>
      <c r="C6" s="256">
        <v>49986.226000000002</v>
      </c>
      <c r="D6" s="143">
        <f t="shared" ref="D6:D11" si="0">B6-C6</f>
        <v>3064.6749999999956</v>
      </c>
      <c r="E6" s="237">
        <f>'（１）收支狀況'!H10/1000</f>
        <v>68659.02</v>
      </c>
      <c r="F6" s="134"/>
      <c r="G6" s="129" t="s">
        <v>198</v>
      </c>
      <c r="H6" s="239">
        <v>366</v>
      </c>
      <c r="I6" s="261">
        <f>'（２）ＫＰＩ達成進度'!G7</f>
        <v>353.64767096168481</v>
      </c>
      <c r="J6" s="262">
        <v>350.02175888794227</v>
      </c>
      <c r="K6" s="263">
        <f>'（２）ＫＰＩ達成進度'!H10</f>
        <v>354.10343222420977</v>
      </c>
      <c r="L6" s="123" t="s">
        <v>194</v>
      </c>
    </row>
    <row r="7" spans="1:18" s="122" customFormat="1" ht="18" customHeight="1">
      <c r="A7" s="129" t="s">
        <v>25</v>
      </c>
      <c r="B7" s="225">
        <f>'（１）收支狀況'!J7</f>
        <v>1631684</v>
      </c>
      <c r="C7" s="256">
        <v>1543577</v>
      </c>
      <c r="D7" s="143">
        <f t="shared" si="0"/>
        <v>88107</v>
      </c>
      <c r="E7" s="237">
        <f>'（１）收支狀況'!K10</f>
        <v>2113723</v>
      </c>
      <c r="F7" s="134"/>
      <c r="G7" s="129" t="s">
        <v>199</v>
      </c>
      <c r="H7" s="254">
        <v>0.8</v>
      </c>
      <c r="I7" s="252">
        <f>'（２）ＫＰＩ達成進度'!J7</f>
        <v>0.96625046710842832</v>
      </c>
      <c r="J7" s="259">
        <v>0.95634360351896819</v>
      </c>
      <c r="K7" s="255">
        <f>'（２）ＫＰＩ達成進度'!K10</f>
        <v>0.29024871493787685</v>
      </c>
      <c r="L7" s="123" t="s">
        <v>4</v>
      </c>
    </row>
    <row r="8" spans="1:18" s="122" customFormat="1" ht="18" customHeight="1">
      <c r="A8" s="129" t="s">
        <v>5</v>
      </c>
      <c r="B8" s="225">
        <f>'（１）收支狀況'!M7/1000</f>
        <v>34865.375</v>
      </c>
      <c r="C8" s="256">
        <v>33407.796000000002</v>
      </c>
      <c r="D8" s="143">
        <f>B8-C8</f>
        <v>1457.5789999999979</v>
      </c>
      <c r="E8" s="237">
        <f>'（１）收支狀況'!N10/1000</f>
        <v>45023.692000000003</v>
      </c>
      <c r="F8" s="134"/>
      <c r="G8" s="129" t="s">
        <v>200</v>
      </c>
      <c r="H8" s="238">
        <v>2.5000000000000001E-3</v>
      </c>
      <c r="I8" s="250">
        <f>'（２）ＫＰＩ達成進度'!M7</f>
        <v>2.4468439247250606E-3</v>
      </c>
      <c r="J8" s="258">
        <v>2.4357224042811888E-3</v>
      </c>
      <c r="K8" s="250">
        <f>'（２）ＫＰＩ達成進度'!N10</f>
        <v>2.4442214730221123E-3</v>
      </c>
      <c r="L8" s="123" t="s">
        <v>55</v>
      </c>
    </row>
    <row r="9" spans="1:18" s="122" customFormat="1" ht="18" customHeight="1">
      <c r="A9" s="129" t="s">
        <v>6</v>
      </c>
      <c r="B9" s="226">
        <f>'（１）收支狀況'!P7</f>
        <v>0.65720608590606222</v>
      </c>
      <c r="C9" s="257">
        <v>0.66834003431265243</v>
      </c>
      <c r="D9" s="144">
        <f t="shared" si="0"/>
        <v>-1.1133948406590211E-2</v>
      </c>
      <c r="E9" s="144">
        <f>'（１）收支狀況'!Q10</f>
        <v>0.65575785963737898</v>
      </c>
      <c r="F9" s="134"/>
      <c r="G9" s="129" t="s">
        <v>201</v>
      </c>
      <c r="H9" s="238">
        <v>2.5999999999999999E-3</v>
      </c>
      <c r="I9" s="250">
        <f>'（２）ＫＰＩ達成進度'!P7</f>
        <v>1.9402115417733029E-3</v>
      </c>
      <c r="J9" s="258">
        <v>1.8947480701545054E-3</v>
      </c>
      <c r="K9" s="250">
        <f>'（２）ＫＰＩ達成進度'!Q10</f>
        <v>1.9104947286041811E-3</v>
      </c>
      <c r="L9" s="123" t="s">
        <v>98</v>
      </c>
    </row>
    <row r="10" spans="1:18" s="122" customFormat="1" ht="18" customHeight="1">
      <c r="A10" s="129" t="s">
        <v>64</v>
      </c>
      <c r="B10" s="225">
        <f>'（１）收支狀況'!S7/1000</f>
        <v>6793.5354521505424</v>
      </c>
      <c r="C10" s="256">
        <v>7114.5085994777291</v>
      </c>
      <c r="D10" s="143">
        <f t="shared" si="0"/>
        <v>-320.97314732718678</v>
      </c>
      <c r="E10" s="237">
        <f>'（１）收支狀況'!T10/1000</f>
        <v>8701.0703408602221</v>
      </c>
      <c r="F10" s="134"/>
      <c r="G10" s="129" t="s">
        <v>202</v>
      </c>
      <c r="H10" s="251">
        <v>0.8</v>
      </c>
      <c r="I10" s="252">
        <v>0.91700000000000004</v>
      </c>
      <c r="J10" s="259">
        <v>0.91279999999999994</v>
      </c>
      <c r="K10" s="252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6">
        <f>'（１）收支狀況'!V7</f>
        <v>0.12805692880033351</v>
      </c>
      <c r="C11" s="257">
        <v>0.14232938088740144</v>
      </c>
      <c r="D11" s="144">
        <f t="shared" si="0"/>
        <v>-1.4272452087067927E-2</v>
      </c>
      <c r="E11" s="144">
        <f>'（１）收支狀況'!W10</f>
        <v>0.12672872902730364</v>
      </c>
      <c r="F11" s="134"/>
      <c r="G11" s="129" t="s">
        <v>203</v>
      </c>
      <c r="H11" s="251">
        <v>1</v>
      </c>
      <c r="I11" s="252">
        <f>'（２）ＫＰＩ達成進度'!V7</f>
        <v>0.16057142857142859</v>
      </c>
      <c r="J11" s="259">
        <v>0.14371428571428571</v>
      </c>
      <c r="K11" s="252">
        <f>'（２）ＫＰＩ達成進度'!W10</f>
        <v>0.15822222222222221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9" t="s">
        <v>328</v>
      </c>
      <c r="C14" s="146" t="s">
        <v>66</v>
      </c>
      <c r="D14" s="219" t="s">
        <v>331</v>
      </c>
      <c r="E14" s="146" t="s">
        <v>68</v>
      </c>
      <c r="F14" s="137"/>
      <c r="G14" s="146"/>
      <c r="H14" s="219" t="s">
        <v>328</v>
      </c>
      <c r="I14" s="146" t="s">
        <v>66</v>
      </c>
      <c r="J14" s="219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0">
        <f>SUM('（３）業績構成比'!I9:I15,'（３）業績構成比'!K9:K15)/1000</f>
        <v>8915.0460890372033</v>
      </c>
      <c r="C15" s="144">
        <f>IFERROR(B15/$B$6,"")</f>
        <v>0.16804702504557281</v>
      </c>
      <c r="D15" s="257">
        <v>0.17426441019861769</v>
      </c>
      <c r="E15" s="144">
        <f>IFERROR(C15-D15,"")</f>
        <v>-6.2173851530448743E-3</v>
      </c>
      <c r="F15" s="134"/>
      <c r="G15" s="129" t="s">
        <v>335</v>
      </c>
      <c r="H15" s="240">
        <f>SUM(,'（４）訂單數量構成比'!I9:I15,'（４）訂單數量構成比'!K9:K15)</f>
        <v>493006</v>
      </c>
      <c r="I15" s="144">
        <f t="shared" ref="I15:I23" si="1">IFERROR(H15/$B$7,"")</f>
        <v>0.30214551346951984</v>
      </c>
      <c r="J15" s="257">
        <v>0.30038216428464531</v>
      </c>
      <c r="K15" s="144">
        <f t="shared" ref="K15:K23" si="2">IFERROR(I15-J15,"")</f>
        <v>1.7633491848745297E-3</v>
      </c>
    </row>
    <row r="16" spans="1:18" s="122" customFormat="1" ht="18" customHeight="1">
      <c r="A16" s="129" t="s">
        <v>222</v>
      </c>
      <c r="B16" s="240">
        <f>SUM('（３）業績構成比'!O9:O15,'（３）業績構成比'!Q9:Q15)/1000</f>
        <v>1725.6265883208935</v>
      </c>
      <c r="C16" s="144">
        <f t="shared" ref="C16:C23" si="3">IFERROR(B16/$B$6,"")</f>
        <v>3.2527752701521383E-2</v>
      </c>
      <c r="D16" s="257">
        <v>3.1005931805803622E-2</v>
      </c>
      <c r="E16" s="144">
        <f t="shared" ref="E16:E23" si="4">IFERROR(C16-D16,"")</f>
        <v>1.5218208957177605E-3</v>
      </c>
      <c r="F16" s="134"/>
      <c r="G16" s="129" t="s">
        <v>251</v>
      </c>
      <c r="H16" s="240">
        <f>SUM('（４）訂單數量構成比'!O9:O15,'（４）訂單數量構成比'!Q9:Q15)</f>
        <v>70288</v>
      </c>
      <c r="I16" s="144">
        <f t="shared" si="1"/>
        <v>4.3076968334554974E-2</v>
      </c>
      <c r="J16" s="257">
        <v>3.842892191319254E-2</v>
      </c>
      <c r="K16" s="144">
        <f t="shared" si="2"/>
        <v>4.648046421362434E-3</v>
      </c>
    </row>
    <row r="17" spans="1:11" s="122" customFormat="1" ht="18" customHeight="1">
      <c r="A17" s="129" t="s">
        <v>218</v>
      </c>
      <c r="B17" s="240">
        <f>SUM('（３）業績構成比'!U9:U15)/1000</f>
        <v>7847.2899452563815</v>
      </c>
      <c r="C17" s="144">
        <f t="shared" si="3"/>
        <v>0.14792001261687115</v>
      </c>
      <c r="D17" s="257">
        <v>0.15726313810671072</v>
      </c>
      <c r="E17" s="144">
        <f t="shared" si="4"/>
        <v>-9.3431254898395655E-3</v>
      </c>
      <c r="F17" s="134"/>
      <c r="G17" s="129" t="s">
        <v>233</v>
      </c>
      <c r="H17" s="240">
        <f>SUM('（４）訂單數量構成比'!U9:U15)</f>
        <v>237898</v>
      </c>
      <c r="I17" s="144">
        <f t="shared" si="1"/>
        <v>0.14579906403445766</v>
      </c>
      <c r="J17" s="257">
        <v>0.15692511614257015</v>
      </c>
      <c r="K17" s="144">
        <f t="shared" si="2"/>
        <v>-1.1126052108112489E-2</v>
      </c>
    </row>
    <row r="18" spans="1:11" s="122" customFormat="1" ht="18" customHeight="1">
      <c r="A18" s="129" t="s">
        <v>220</v>
      </c>
      <c r="B18" s="240">
        <f>SUM('（３）業績構成比'!W9:W15)/1000</f>
        <v>544.18217490663278</v>
      </c>
      <c r="C18" s="144">
        <f t="shared" si="3"/>
        <v>1.0257736714153691E-2</v>
      </c>
      <c r="D18" s="257">
        <v>1.0384128213524463E-2</v>
      </c>
      <c r="E18" s="144">
        <f t="shared" si="4"/>
        <v>-1.2639149937077217E-4</v>
      </c>
      <c r="F18" s="134"/>
      <c r="G18" s="129" t="s">
        <v>219</v>
      </c>
      <c r="H18" s="240">
        <f>SUM('（４）訂單數量構成比'!W9:W15)</f>
        <v>15750</v>
      </c>
      <c r="I18" s="144">
        <f t="shared" si="1"/>
        <v>9.6526043032842141E-3</v>
      </c>
      <c r="J18" s="257">
        <v>9.8090344699357408E-3</v>
      </c>
      <c r="K18" s="144">
        <f t="shared" si="2"/>
        <v>-1.5643016665152672E-4</v>
      </c>
    </row>
    <row r="19" spans="1:11" s="122" customFormat="1" ht="18" customHeight="1">
      <c r="A19" s="129" t="s">
        <v>224</v>
      </c>
      <c r="B19" s="240">
        <f>SUM('（３）業績構成比'!Y9:Y15,'（３）業績構成比'!AA9:AA15)/1000</f>
        <v>15067.357329951956</v>
      </c>
      <c r="C19" s="144">
        <f t="shared" si="3"/>
        <v>0.28401699209504389</v>
      </c>
      <c r="D19" s="257">
        <v>0.2568013193013769</v>
      </c>
      <c r="E19" s="144">
        <f t="shared" si="4"/>
        <v>2.721567279366699E-2</v>
      </c>
      <c r="F19" s="134"/>
      <c r="G19" s="129" t="s">
        <v>223</v>
      </c>
      <c r="H19" s="240">
        <f>SUM('（４）訂單數量構成比'!Y9:Y15,'（４）訂單數量構成比'!AA9:AA15)</f>
        <v>356747</v>
      </c>
      <c r="I19" s="144">
        <f t="shared" si="1"/>
        <v>0.21863730967515768</v>
      </c>
      <c r="J19" s="257">
        <v>0.20697315391457632</v>
      </c>
      <c r="K19" s="144">
        <f t="shared" si="2"/>
        <v>1.1664155760581357E-2</v>
      </c>
    </row>
    <row r="20" spans="1:11" s="122" customFormat="1" ht="18" customHeight="1">
      <c r="A20" s="129" t="s">
        <v>226</v>
      </c>
      <c r="B20" s="240">
        <f>SUM('（３）業績構成比'!AE9:AE15)/1000</f>
        <v>8659.2565548166276</v>
      </c>
      <c r="C20" s="144">
        <f t="shared" si="3"/>
        <v>0.16322543805272277</v>
      </c>
      <c r="D20" s="257">
        <v>0.16925682423068833</v>
      </c>
      <c r="E20" s="144">
        <f t="shared" si="4"/>
        <v>-6.0313861779655586E-3</v>
      </c>
      <c r="F20" s="134"/>
      <c r="G20" s="129" t="s">
        <v>225</v>
      </c>
      <c r="H20" s="240">
        <f>SUM('（４）訂單數量構成比'!AE9:AE15)</f>
        <v>155513</v>
      </c>
      <c r="I20" s="144">
        <f t="shared" si="1"/>
        <v>9.530828273121511E-2</v>
      </c>
      <c r="J20" s="257">
        <v>9.9611486825730108E-2</v>
      </c>
      <c r="K20" s="144">
        <f t="shared" si="2"/>
        <v>-4.303204094514998E-3</v>
      </c>
    </row>
    <row r="21" spans="1:11" s="122" customFormat="1" ht="18" customHeight="1">
      <c r="A21" s="129" t="s">
        <v>228</v>
      </c>
      <c r="B21" s="240">
        <f>SUM('（３）業績構成比'!AG9:AG15)/1000</f>
        <v>2226.3029864533655</v>
      </c>
      <c r="C21" s="144">
        <f t="shared" si="3"/>
        <v>4.1965413300961006E-2</v>
      </c>
      <c r="D21" s="257">
        <v>3.6252826095545788E-2</v>
      </c>
      <c r="E21" s="144">
        <f t="shared" si="4"/>
        <v>5.7125872054152177E-3</v>
      </c>
      <c r="F21" s="134"/>
      <c r="G21" s="129" t="s">
        <v>234</v>
      </c>
      <c r="H21" s="240">
        <f>SUM('（４）訂單數量構成比'!AG9:AG15)</f>
        <v>56761</v>
      </c>
      <c r="I21" s="144">
        <f t="shared" si="1"/>
        <v>3.4786760181505734E-2</v>
      </c>
      <c r="J21" s="257">
        <v>2.5427302946338277E-2</v>
      </c>
      <c r="K21" s="144">
        <f t="shared" si="2"/>
        <v>9.3594572351674565E-3</v>
      </c>
    </row>
    <row r="22" spans="1:11" s="122" customFormat="1" ht="18" customHeight="1">
      <c r="A22" s="129" t="s">
        <v>229</v>
      </c>
      <c r="B22" s="240">
        <f>SUM('（３）業績構成比'!AI9:AI15)/1000</f>
        <v>4530.9882993378515</v>
      </c>
      <c r="C22" s="144">
        <f t="shared" si="3"/>
        <v>8.5408319442828159E-2</v>
      </c>
      <c r="D22" s="257">
        <v>9.7845160470504899E-2</v>
      </c>
      <c r="E22" s="144">
        <f t="shared" si="4"/>
        <v>-1.243684102767674E-2</v>
      </c>
      <c r="F22" s="134"/>
      <c r="G22" s="129" t="s">
        <v>235</v>
      </c>
      <c r="H22" s="240">
        <f>SUM('（４）訂單數量構成比'!AI9:AI15)</f>
        <v>121918</v>
      </c>
      <c r="I22" s="144">
        <f t="shared" si="1"/>
        <v>7.4719124536368559E-2</v>
      </c>
      <c r="J22" s="257">
        <v>8.5823382960487235E-2</v>
      </c>
      <c r="K22" s="144">
        <f t="shared" si="2"/>
        <v>-1.1104258424118676E-2</v>
      </c>
    </row>
    <row r="23" spans="1:11" s="122" customFormat="1" ht="18" customHeight="1">
      <c r="A23" s="129" t="s">
        <v>231</v>
      </c>
      <c r="B23" s="240">
        <f>SUM('（３）業績構成比'!AK9:AK15)/1000</f>
        <v>3534.8510319190809</v>
      </c>
      <c r="C23" s="144">
        <f t="shared" si="3"/>
        <v>6.6631310030325047E-2</v>
      </c>
      <c r="D23" s="257">
        <v>6.6926261577227517E-2</v>
      </c>
      <c r="E23" s="144">
        <f t="shared" si="4"/>
        <v>-2.9495154690246939E-4</v>
      </c>
      <c r="F23" s="134"/>
      <c r="G23" s="129" t="s">
        <v>230</v>
      </c>
      <c r="H23" s="240">
        <f>SUM('（４）訂單數量構成比'!AK9:AK15)</f>
        <v>123803</v>
      </c>
      <c r="I23" s="144">
        <f t="shared" si="1"/>
        <v>7.5874372733936227E-2</v>
      </c>
      <c r="J23" s="257">
        <v>7.6619436542524275E-2</v>
      </c>
      <c r="K23" s="144">
        <f t="shared" si="2"/>
        <v>-7.4506380858804788E-4</v>
      </c>
    </row>
    <row r="24" spans="1:11" s="122" customFormat="1" ht="15.75" customHeight="1">
      <c r="A24" s="134"/>
      <c r="B24" s="134"/>
      <c r="C24" s="138">
        <f>SUM(C15:C23)</f>
        <v>1</v>
      </c>
      <c r="D24" s="138">
        <f>SUM(D15:D23)</f>
        <v>1</v>
      </c>
      <c r="E24" s="134"/>
      <c r="F24" s="134"/>
      <c r="G24" s="134"/>
      <c r="H24" s="134"/>
      <c r="I24" s="138">
        <f>SUM(I15:I23)</f>
        <v>1</v>
      </c>
      <c r="J24" s="138">
        <f>SUM(J15:J23)</f>
        <v>0.99999999999999978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583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0" t="s">
        <v>328</v>
      </c>
      <c r="C27" s="220" t="s">
        <v>330</v>
      </c>
      <c r="D27" s="129" t="s">
        <v>2</v>
      </c>
      <c r="E27" s="129" t="s">
        <v>394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4">
        <f>'（５-1）品群別人時生產性（18℃-飯糰）'!L7</f>
        <v>793.10158304582899</v>
      </c>
      <c r="C28" s="260">
        <v>798.01519170179279</v>
      </c>
      <c r="D28" s="245">
        <f t="shared" ref="D28:D36" si="5">B28-C28</f>
        <v>-4.9136086559637988</v>
      </c>
      <c r="E28" s="130">
        <f>'（５-1）品群別人時生產性（18℃-飯糰）'!C1</f>
        <v>793.10158304582899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4">
        <f>'（５-2）品群別人時生產性（18-壽司手卷)'!L7</f>
        <v>182.60525037107632</v>
      </c>
      <c r="C29" s="260">
        <v>198.27907687730854</v>
      </c>
      <c r="D29" s="245">
        <f t="shared" si="5"/>
        <v>-15.673826506232217</v>
      </c>
      <c r="E29" s="130">
        <f>'（５-2）品群別人時生產性（18-壽司手卷)'!C1</f>
        <v>182.60525037107632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4">
        <f>'（５-3）品群別人時生產性（4℃-飯糰)'!L7</f>
        <v>257.59116520932349</v>
      </c>
      <c r="C30" s="260">
        <v>254.86066603570745</v>
      </c>
      <c r="D30" s="245">
        <f t="shared" si="5"/>
        <v>2.7304991736160389</v>
      </c>
      <c r="E30" s="130">
        <f>'（５-3）品群別人時生產性（4℃-飯糰)'!C1</f>
        <v>257.59116520932349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4">
        <f>'（５-4）品群別人時生產性（4℃-壽司手卷)'!L7</f>
        <v>126.0119667097608</v>
      </c>
      <c r="C31" s="260">
        <v>128.07469266844276</v>
      </c>
      <c r="D31" s="245">
        <f t="shared" si="5"/>
        <v>-2.0627259586819662</v>
      </c>
      <c r="E31" s="130">
        <f>'（５-4）品群別人時生產性（4℃-壽司手卷)'!C1</f>
        <v>126.0119667097608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4">
        <f>'（５-5）品群別人時生產性(主食) '!L7</f>
        <v>84.814846048052473</v>
      </c>
      <c r="C32" s="260">
        <v>80.922520733815176</v>
      </c>
      <c r="D32" s="245">
        <f t="shared" si="5"/>
        <v>3.8923253142372971</v>
      </c>
      <c r="E32" s="130">
        <f>'（５-5）品群別人時生產性(主食) '!C1</f>
        <v>84.814846048052473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4">
        <f>'（５-6）品群別人時生產性(便當)'!L7</f>
        <v>71.54839030688504</v>
      </c>
      <c r="C33" s="260">
        <v>66.844583235136241</v>
      </c>
      <c r="D33" s="245">
        <f t="shared" si="5"/>
        <v>4.7038070717487983</v>
      </c>
      <c r="E33" s="130">
        <f>'（５-6）品群別人時生產性(便當)'!C1</f>
        <v>71.54839030688504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4">
        <f>'（５-7）品群別人時生產性(熱食義麵) '!L7</f>
        <v>83.877892489433421</v>
      </c>
      <c r="C34" s="260">
        <v>76.554872809592652</v>
      </c>
      <c r="D34" s="245">
        <f t="shared" si="5"/>
        <v>7.323019679840769</v>
      </c>
      <c r="E34" s="130">
        <f>'（５-7）品群別人時生產性(熱食義麵) '!C1</f>
        <v>83.877892489433421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4">
        <f>'（５-8）品群別人時生產性(季節調理麵) '!L7</f>
        <v>126.65731759521148</v>
      </c>
      <c r="C35" s="260">
        <v>119.98695000242715</v>
      </c>
      <c r="D35" s="245">
        <f t="shared" si="5"/>
        <v>6.6703675927843307</v>
      </c>
      <c r="E35" s="130">
        <f>'（５-8）品群別人時生產性(季節調理麵) '!C1</f>
        <v>126.65731759521148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4">
        <f>'（５-9）品群別人時生產性(微波小吃)'!L7</f>
        <v>173.33729823426933</v>
      </c>
      <c r="C36" s="260">
        <v>160.72151738266612</v>
      </c>
      <c r="D36" s="245">
        <f t="shared" si="5"/>
        <v>12.615780851603205</v>
      </c>
      <c r="E36" s="130">
        <f>'（５-9）品群別人時生產性(微波小吃)'!C1</f>
        <v>173.33729823426933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29"/>
      <c r="F37" s="134"/>
    </row>
    <row r="38" spans="1:11" s="122" customFormat="1" ht="15.75" customHeight="1">
      <c r="F38" s="134"/>
    </row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H53" sqref="H53"/>
    </sheetView>
  </sheetViews>
  <sheetFormatPr defaultColWidth="8.85546875" defaultRowHeight="14.25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615" t="s">
        <v>121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  <c r="O2" s="615"/>
      <c r="P2" s="615"/>
      <c r="Q2" s="615"/>
      <c r="R2" s="615"/>
      <c r="S2" s="615"/>
      <c r="T2" s="615"/>
      <c r="U2" s="615"/>
      <c r="V2" s="615"/>
      <c r="W2" s="615"/>
    </row>
    <row r="3" spans="2:23" s="84" customFormat="1" ht="23.45" customHeight="1">
      <c r="B3" s="98"/>
      <c r="C3" s="619" t="s">
        <v>116</v>
      </c>
      <c r="D3" s="620" t="s">
        <v>105</v>
      </c>
      <c r="E3" s="620"/>
      <c r="F3" s="618" t="s">
        <v>356</v>
      </c>
      <c r="G3" s="618"/>
      <c r="H3" s="618"/>
      <c r="I3" s="616" t="s">
        <v>119</v>
      </c>
      <c r="J3" s="616"/>
      <c r="K3" s="616"/>
      <c r="L3" s="617" t="s">
        <v>120</v>
      </c>
      <c r="M3" s="617"/>
      <c r="N3" s="617"/>
      <c r="O3" s="614" t="s">
        <v>122</v>
      </c>
      <c r="P3" s="614"/>
      <c r="Q3" s="614"/>
      <c r="R3" s="621" t="s">
        <v>123</v>
      </c>
      <c r="S3" s="621"/>
      <c r="T3" s="621"/>
      <c r="U3" s="614" t="s">
        <v>124</v>
      </c>
      <c r="V3" s="614"/>
      <c r="W3" s="614"/>
    </row>
    <row r="4" spans="2:23" s="84" customFormat="1" ht="23.45" customHeight="1">
      <c r="B4" s="98"/>
      <c r="C4" s="619"/>
      <c r="D4" s="620"/>
      <c r="E4" s="620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33" t="s">
        <v>591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33" t="s">
        <v>591</v>
      </c>
    </row>
    <row r="5" spans="2:23">
      <c r="B5" s="98"/>
      <c r="C5" s="98"/>
      <c r="D5" s="86">
        <v>46082</v>
      </c>
      <c r="E5" s="86" t="s">
        <v>590</v>
      </c>
      <c r="F5" s="231">
        <v>7873403</v>
      </c>
      <c r="H5" s="366"/>
      <c r="I5" s="232">
        <v>243291</v>
      </c>
      <c r="K5" s="367"/>
      <c r="L5" s="231">
        <v>5037611</v>
      </c>
      <c r="M5" s="330"/>
      <c r="N5" s="366"/>
      <c r="O5" s="90">
        <f t="shared" ref="O5:O39" si="0">L5/F5</f>
        <v>0.63982638764966049</v>
      </c>
      <c r="P5" s="331"/>
      <c r="Q5" s="365"/>
      <c r="R5" s="231">
        <v>948399.6193548392</v>
      </c>
      <c r="S5" s="330"/>
      <c r="T5" s="366"/>
      <c r="U5" s="90">
        <f t="shared" ref="U5:U41" si="1">R5/F5</f>
        <v>0.12045612543328967</v>
      </c>
      <c r="V5" s="331"/>
      <c r="W5" s="365"/>
    </row>
    <row r="6" spans="2:23">
      <c r="B6" s="98"/>
      <c r="C6" s="98"/>
      <c r="D6" s="86">
        <f t="shared" ref="D6:D9" si="2">D5+1</f>
        <v>46083</v>
      </c>
      <c r="E6" s="519" t="s">
        <v>584</v>
      </c>
      <c r="F6" s="231">
        <v>7734716</v>
      </c>
      <c r="G6" s="330">
        <f>SUM(F5:F6)</f>
        <v>15608119</v>
      </c>
      <c r="H6" s="366"/>
      <c r="I6" s="232">
        <v>238748</v>
      </c>
      <c r="J6" s="88">
        <f>SUM(I5:I6)</f>
        <v>482039</v>
      </c>
      <c r="K6" s="367"/>
      <c r="L6" s="231">
        <v>5120706</v>
      </c>
      <c r="M6" s="330">
        <f>SUM(L5:L6)</f>
        <v>10158317</v>
      </c>
      <c r="N6" s="366"/>
      <c r="O6" s="90">
        <f t="shared" si="0"/>
        <v>0.66204189009654657</v>
      </c>
      <c r="P6" s="90">
        <f>M6/G6</f>
        <v>0.65083544019622097</v>
      </c>
      <c r="Q6" s="365"/>
      <c r="R6" s="231">
        <v>959135.26935483946</v>
      </c>
      <c r="S6" s="330">
        <f>SUM(R5:R6)</f>
        <v>1907534.8887096788</v>
      </c>
      <c r="T6" s="366"/>
      <c r="U6" s="90">
        <f t="shared" si="1"/>
        <v>0.12400394136705724</v>
      </c>
      <c r="V6" s="90">
        <f>S6/G6</f>
        <v>0.12221427122061786</v>
      </c>
      <c r="W6" s="365"/>
    </row>
    <row r="7" spans="2:23" ht="16.5" customHeight="1">
      <c r="B7" s="98"/>
      <c r="C7" s="98"/>
      <c r="D7" s="332">
        <f t="shared" si="2"/>
        <v>46084</v>
      </c>
      <c r="E7" s="332" t="s">
        <v>585</v>
      </c>
      <c r="F7" s="231">
        <v>8673470</v>
      </c>
      <c r="G7" s="330">
        <f>SUM(F7:F13)</f>
        <v>53050901</v>
      </c>
      <c r="I7" s="232">
        <v>261918</v>
      </c>
      <c r="J7" s="88">
        <f>SUM(I7:I13)</f>
        <v>1631684</v>
      </c>
      <c r="L7" s="231">
        <v>5797408</v>
      </c>
      <c r="M7" s="330">
        <f>SUM(L7:L13)</f>
        <v>34865375</v>
      </c>
      <c r="O7" s="90">
        <f t="shared" si="0"/>
        <v>0.66840699281832994</v>
      </c>
      <c r="P7" s="90">
        <f>M7/G7</f>
        <v>0.65720608590606222</v>
      </c>
      <c r="R7" s="233">
        <v>1003223.1193548394</v>
      </c>
      <c r="S7" s="330">
        <f>SUM(R7:R13)</f>
        <v>6793535.4521505423</v>
      </c>
      <c r="U7" s="90">
        <f t="shared" si="1"/>
        <v>0.11566571618450741</v>
      </c>
      <c r="V7" s="90">
        <f>S7/G7</f>
        <v>0.12805692880033351</v>
      </c>
    </row>
    <row r="8" spans="2:23" ht="16.5" customHeight="1">
      <c r="B8" s="98"/>
      <c r="C8" s="98"/>
      <c r="D8" s="553">
        <f t="shared" si="2"/>
        <v>46085</v>
      </c>
      <c r="E8" s="553" t="s">
        <v>586</v>
      </c>
      <c r="F8" s="231">
        <v>7833391</v>
      </c>
      <c r="G8" s="330"/>
      <c r="H8" s="366"/>
      <c r="I8" s="232">
        <v>240647</v>
      </c>
      <c r="K8" s="367"/>
      <c r="L8" s="231">
        <v>5353308</v>
      </c>
      <c r="M8" s="330"/>
      <c r="N8" s="366"/>
      <c r="O8" s="90">
        <f t="shared" si="0"/>
        <v>0.68339599031887976</v>
      </c>
      <c r="P8" s="331"/>
      <c r="Q8" s="365"/>
      <c r="R8" s="233">
        <v>955224.93602150574</v>
      </c>
      <c r="S8" s="330"/>
      <c r="T8" s="366"/>
      <c r="U8" s="90">
        <f t="shared" si="1"/>
        <v>0.12194271114789314</v>
      </c>
      <c r="V8" s="331"/>
      <c r="W8" s="365"/>
    </row>
    <row r="9" spans="2:23" ht="16.5" customHeight="1">
      <c r="B9" s="98"/>
      <c r="C9" s="98"/>
      <c r="D9" s="553">
        <f t="shared" si="2"/>
        <v>46086</v>
      </c>
      <c r="E9" s="553" t="s">
        <v>587</v>
      </c>
      <c r="F9" s="231">
        <v>7120934</v>
      </c>
      <c r="G9" s="330"/>
      <c r="H9" s="366"/>
      <c r="I9" s="232">
        <v>221012</v>
      </c>
      <c r="K9" s="367"/>
      <c r="L9" s="231">
        <v>4889169</v>
      </c>
      <c r="M9" s="330"/>
      <c r="N9" s="366"/>
      <c r="O9" s="90">
        <f t="shared" si="0"/>
        <v>0.68659097247636336</v>
      </c>
      <c r="P9" s="331"/>
      <c r="Q9" s="365"/>
      <c r="R9" s="233">
        <v>894039.65268817241</v>
      </c>
      <c r="S9" s="330"/>
      <c r="T9" s="366"/>
      <c r="U9" s="90">
        <f t="shared" si="1"/>
        <v>0.12555089721210341</v>
      </c>
      <c r="V9" s="331"/>
      <c r="W9" s="365"/>
    </row>
    <row r="10" spans="2:23" ht="16.5" customHeight="1">
      <c r="B10" s="98"/>
      <c r="C10" s="98"/>
      <c r="D10" s="553">
        <f t="shared" ref="D10:D34" si="3">D9+1</f>
        <v>46087</v>
      </c>
      <c r="E10" s="553" t="s">
        <v>588</v>
      </c>
      <c r="F10" s="231">
        <v>6319241</v>
      </c>
      <c r="H10" s="366">
        <f>SUM(F5:F35)</f>
        <v>68659020</v>
      </c>
      <c r="I10" s="232">
        <v>197754</v>
      </c>
      <c r="K10" s="367">
        <f>SUM(I5:I35)</f>
        <v>2113723</v>
      </c>
      <c r="L10" s="231">
        <v>4207688</v>
      </c>
      <c r="M10" s="330"/>
      <c r="N10" s="366">
        <f>SUM(L5:L35)</f>
        <v>45023692</v>
      </c>
      <c r="O10" s="90">
        <f t="shared" si="0"/>
        <v>0.66585338334144872</v>
      </c>
      <c r="P10" s="331"/>
      <c r="Q10" s="365">
        <f>N10/H10</f>
        <v>0.65575785963737898</v>
      </c>
      <c r="R10" s="233">
        <v>965267.2860215063</v>
      </c>
      <c r="S10" s="330"/>
      <c r="T10" s="366">
        <f>SUM(R5:R35)</f>
        <v>8701070.3408602215</v>
      </c>
      <c r="U10" s="90">
        <f t="shared" si="1"/>
        <v>0.15275051007257143</v>
      </c>
      <c r="V10" s="331"/>
      <c r="W10" s="365">
        <f>T10/H10</f>
        <v>0.12672872902730364</v>
      </c>
    </row>
    <row r="11" spans="2:23" ht="16.5" customHeight="1">
      <c r="B11" s="98"/>
      <c r="C11" s="98"/>
      <c r="D11" s="553">
        <f t="shared" si="3"/>
        <v>46088</v>
      </c>
      <c r="E11" s="553" t="s">
        <v>589</v>
      </c>
      <c r="F11" s="231">
        <v>6868140</v>
      </c>
      <c r="G11" s="330"/>
      <c r="H11" s="366"/>
      <c r="I11" s="232">
        <v>212051</v>
      </c>
      <c r="K11" s="367"/>
      <c r="L11" s="231">
        <v>4659781</v>
      </c>
      <c r="M11" s="330"/>
      <c r="N11" s="366"/>
      <c r="O11" s="90">
        <f t="shared" si="0"/>
        <v>0.67846331029944063</v>
      </c>
      <c r="P11" s="331"/>
      <c r="Q11" s="365"/>
      <c r="R11" s="233">
        <v>953389.18602150609</v>
      </c>
      <c r="S11" s="330"/>
      <c r="T11" s="366"/>
      <c r="U11" s="90">
        <f t="shared" si="1"/>
        <v>0.13881330112978274</v>
      </c>
      <c r="V11" s="331"/>
      <c r="W11" s="365"/>
    </row>
    <row r="12" spans="2:23" ht="16.5" customHeight="1">
      <c r="B12" s="98"/>
      <c r="C12" s="98"/>
      <c r="D12" s="553">
        <f t="shared" si="3"/>
        <v>46089</v>
      </c>
      <c r="E12" s="553" t="s">
        <v>590</v>
      </c>
      <c r="F12" s="231">
        <v>8317813</v>
      </c>
      <c r="G12" s="330"/>
      <c r="H12" s="366"/>
      <c r="I12" s="232">
        <v>253425</v>
      </c>
      <c r="K12" s="367"/>
      <c r="L12" s="231">
        <v>4675809</v>
      </c>
      <c r="M12" s="330"/>
      <c r="N12" s="366"/>
      <c r="O12" s="90">
        <f t="shared" si="0"/>
        <v>0.56214403954501024</v>
      </c>
      <c r="P12" s="331"/>
      <c r="Q12" s="365"/>
      <c r="R12" s="233">
        <v>1011083.1526881725</v>
      </c>
      <c r="S12" s="330"/>
      <c r="T12" s="366"/>
      <c r="U12" s="90">
        <f t="shared" si="1"/>
        <v>0.12155636976789122</v>
      </c>
      <c r="V12" s="331"/>
      <c r="W12" s="365"/>
    </row>
    <row r="13" spans="2:23" ht="16.5" customHeight="1">
      <c r="B13" s="98"/>
      <c r="C13" s="98"/>
      <c r="D13" s="553">
        <f t="shared" si="3"/>
        <v>46090</v>
      </c>
      <c r="E13" s="553" t="s">
        <v>584</v>
      </c>
      <c r="F13" s="231">
        <v>7917912</v>
      </c>
      <c r="H13" s="366"/>
      <c r="I13" s="232">
        <v>244877</v>
      </c>
      <c r="K13" s="367"/>
      <c r="L13" s="231">
        <v>5282212</v>
      </c>
      <c r="M13" s="330"/>
      <c r="N13" s="366"/>
      <c r="O13" s="90">
        <f t="shared" si="0"/>
        <v>0.66712183717121387</v>
      </c>
      <c r="P13" s="331"/>
      <c r="Q13" s="365"/>
      <c r="R13" s="231">
        <v>1011308.1193548394</v>
      </c>
      <c r="S13" s="330"/>
      <c r="T13" s="366"/>
      <c r="U13" s="90">
        <f t="shared" si="1"/>
        <v>0.12772409182557717</v>
      </c>
      <c r="V13" s="331"/>
      <c r="W13" s="365"/>
    </row>
    <row r="14" spans="2:23" ht="16.5" customHeight="1">
      <c r="B14" s="98"/>
      <c r="C14" s="98"/>
      <c r="D14" s="519">
        <f t="shared" si="3"/>
        <v>46091</v>
      </c>
      <c r="E14" s="519" t="s">
        <v>585</v>
      </c>
      <c r="F14" s="231"/>
      <c r="G14" s="330">
        <f>SUM(F14:F20)</f>
        <v>0</v>
      </c>
      <c r="H14" s="366"/>
      <c r="I14" s="232"/>
      <c r="J14" s="88">
        <f>SUM(I14:I20)</f>
        <v>0</v>
      </c>
      <c r="K14" s="367"/>
      <c r="L14" s="231"/>
      <c r="M14" s="330">
        <f>SUM(L14:L20)</f>
        <v>0</v>
      </c>
      <c r="N14" s="366"/>
      <c r="O14" s="90" t="e">
        <f t="shared" si="0"/>
        <v>#DIV/0!</v>
      </c>
      <c r="P14" s="90" t="e">
        <f>M14/G14</f>
        <v>#DIV/0!</v>
      </c>
      <c r="Q14" s="365"/>
      <c r="R14" s="231"/>
      <c r="S14" s="330">
        <f>SUM(R14:R20)</f>
        <v>0</v>
      </c>
      <c r="T14" s="366"/>
      <c r="U14" s="90" t="e">
        <f t="shared" si="1"/>
        <v>#DIV/0!</v>
      </c>
      <c r="V14" s="90" t="e">
        <f>S14/G14</f>
        <v>#DIV/0!</v>
      </c>
      <c r="W14" s="365"/>
    </row>
    <row r="15" spans="2:23" ht="16.5" customHeight="1">
      <c r="B15" s="98"/>
      <c r="C15" s="98"/>
      <c r="D15" s="554">
        <f t="shared" si="3"/>
        <v>46092</v>
      </c>
      <c r="E15" s="554" t="s">
        <v>586</v>
      </c>
      <c r="F15" s="231"/>
      <c r="G15" s="330"/>
      <c r="H15" s="366"/>
      <c r="I15" s="232"/>
      <c r="K15" s="367"/>
      <c r="L15" s="231"/>
      <c r="M15" s="330"/>
      <c r="N15" s="366"/>
      <c r="O15" s="90" t="e">
        <f t="shared" si="0"/>
        <v>#DIV/0!</v>
      </c>
      <c r="P15" s="331"/>
      <c r="Q15" s="365"/>
      <c r="R15" s="231"/>
      <c r="S15" s="330"/>
      <c r="T15" s="366"/>
      <c r="U15" s="90" t="e">
        <f t="shared" si="1"/>
        <v>#DIV/0!</v>
      </c>
      <c r="V15" s="331"/>
      <c r="W15" s="365"/>
    </row>
    <row r="16" spans="2:23" ht="16.5" customHeight="1">
      <c r="B16" s="98"/>
      <c r="C16" s="98"/>
      <c r="D16" s="554">
        <f t="shared" si="3"/>
        <v>46093</v>
      </c>
      <c r="E16" s="554" t="s">
        <v>587</v>
      </c>
      <c r="F16" s="231"/>
      <c r="G16" s="330"/>
      <c r="H16" s="366"/>
      <c r="I16" s="232"/>
      <c r="K16" s="367"/>
      <c r="L16" s="231"/>
      <c r="M16" s="330"/>
      <c r="N16" s="366"/>
      <c r="O16" s="90" t="e">
        <f t="shared" si="0"/>
        <v>#DIV/0!</v>
      </c>
      <c r="P16" s="331"/>
      <c r="Q16" s="365"/>
      <c r="R16" s="231"/>
      <c r="S16" s="330"/>
      <c r="T16" s="366"/>
      <c r="U16" s="90" t="e">
        <f t="shared" si="1"/>
        <v>#DIV/0!</v>
      </c>
      <c r="V16" s="331"/>
      <c r="W16" s="365"/>
    </row>
    <row r="17" spans="2:23" ht="16.5" customHeight="1">
      <c r="B17" s="98"/>
      <c r="C17" s="98"/>
      <c r="D17" s="554">
        <f t="shared" si="3"/>
        <v>46094</v>
      </c>
      <c r="E17" s="554" t="s">
        <v>588</v>
      </c>
      <c r="F17" s="231"/>
      <c r="H17" s="366"/>
      <c r="I17" s="232"/>
      <c r="K17" s="367"/>
      <c r="L17" s="231"/>
      <c r="M17" s="330"/>
      <c r="N17" s="366"/>
      <c r="O17" s="90" t="e">
        <f t="shared" si="0"/>
        <v>#DIV/0!</v>
      </c>
      <c r="P17" s="331"/>
      <c r="Q17" s="365"/>
      <c r="R17" s="231"/>
      <c r="S17" s="330"/>
      <c r="T17" s="366"/>
      <c r="U17" s="90" t="e">
        <f t="shared" si="1"/>
        <v>#DIV/0!</v>
      </c>
      <c r="V17" s="331"/>
      <c r="W17" s="365"/>
    </row>
    <row r="18" spans="2:23" ht="16.5" customHeight="1">
      <c r="B18" s="98"/>
      <c r="C18" s="98"/>
      <c r="D18" s="554">
        <f t="shared" si="3"/>
        <v>46095</v>
      </c>
      <c r="E18" s="554" t="s">
        <v>589</v>
      </c>
      <c r="F18" s="231"/>
      <c r="G18" s="330"/>
      <c r="H18" s="366"/>
      <c r="I18" s="232"/>
      <c r="K18" s="367"/>
      <c r="L18" s="231"/>
      <c r="M18" s="330"/>
      <c r="N18" s="366"/>
      <c r="O18" s="90" t="e">
        <f t="shared" si="0"/>
        <v>#DIV/0!</v>
      </c>
      <c r="P18" s="331"/>
      <c r="Q18" s="365"/>
      <c r="R18" s="231"/>
      <c r="S18" s="330"/>
      <c r="T18" s="366"/>
      <c r="U18" s="90" t="e">
        <f t="shared" si="1"/>
        <v>#DIV/0!</v>
      </c>
      <c r="V18" s="331"/>
      <c r="W18" s="365"/>
    </row>
    <row r="19" spans="2:23" ht="16.5" customHeight="1">
      <c r="B19" s="98"/>
      <c r="C19" s="98"/>
      <c r="D19" s="554">
        <f t="shared" si="3"/>
        <v>46096</v>
      </c>
      <c r="E19" s="554" t="s">
        <v>590</v>
      </c>
      <c r="F19" s="231"/>
      <c r="G19" s="330"/>
      <c r="H19" s="366"/>
      <c r="I19" s="232"/>
      <c r="K19" s="367"/>
      <c r="L19" s="231"/>
      <c r="M19" s="330"/>
      <c r="N19" s="366"/>
      <c r="O19" s="90" t="e">
        <f t="shared" si="0"/>
        <v>#DIV/0!</v>
      </c>
      <c r="P19" s="331"/>
      <c r="Q19" s="365"/>
      <c r="R19" s="231"/>
      <c r="S19" s="330"/>
      <c r="T19" s="366"/>
      <c r="U19" s="90" t="e">
        <f t="shared" si="1"/>
        <v>#DIV/0!</v>
      </c>
      <c r="V19" s="331"/>
      <c r="W19" s="365"/>
    </row>
    <row r="20" spans="2:23" ht="16.5" customHeight="1">
      <c r="B20" s="98"/>
      <c r="C20" s="98"/>
      <c r="D20" s="554">
        <f t="shared" si="3"/>
        <v>46097</v>
      </c>
      <c r="E20" s="554" t="s">
        <v>584</v>
      </c>
      <c r="F20" s="231"/>
      <c r="H20" s="366"/>
      <c r="I20" s="232"/>
      <c r="K20" s="367"/>
      <c r="L20" s="231"/>
      <c r="M20" s="330"/>
      <c r="N20" s="366"/>
      <c r="O20" s="90" t="e">
        <f t="shared" si="0"/>
        <v>#DIV/0!</v>
      </c>
      <c r="P20" s="331"/>
      <c r="Q20" s="365"/>
      <c r="R20" s="231"/>
      <c r="S20" s="330"/>
      <c r="T20" s="366"/>
      <c r="U20" s="90" t="e">
        <f t="shared" si="1"/>
        <v>#DIV/0!</v>
      </c>
      <c r="V20" s="331"/>
      <c r="W20" s="365"/>
    </row>
    <row r="21" spans="2:23" ht="16.5" customHeight="1">
      <c r="B21" s="98"/>
      <c r="C21" s="98"/>
      <c r="D21" s="332">
        <f t="shared" si="3"/>
        <v>46098</v>
      </c>
      <c r="E21" s="332" t="s">
        <v>585</v>
      </c>
      <c r="F21" s="231"/>
      <c r="G21" s="330">
        <f>SUM(F21:F27)</f>
        <v>0</v>
      </c>
      <c r="H21" s="366"/>
      <c r="I21" s="232"/>
      <c r="J21" s="88">
        <f>SUM(I21:I27)</f>
        <v>0</v>
      </c>
      <c r="K21" s="367"/>
      <c r="L21" s="231"/>
      <c r="M21" s="330">
        <f>SUM(L21:L27)</f>
        <v>0</v>
      </c>
      <c r="N21" s="366"/>
      <c r="O21" s="90" t="e">
        <f t="shared" si="0"/>
        <v>#DIV/0!</v>
      </c>
      <c r="P21" s="90" t="e">
        <f>M21/G21</f>
        <v>#DIV/0!</v>
      </c>
      <c r="Q21" s="365"/>
      <c r="R21" s="231"/>
      <c r="S21" s="330">
        <f>SUM(R21:R27)</f>
        <v>0</v>
      </c>
      <c r="T21" s="366"/>
      <c r="U21" s="90" t="e">
        <f t="shared" si="1"/>
        <v>#DIV/0!</v>
      </c>
      <c r="V21" s="90" t="e">
        <f>S21/G21</f>
        <v>#DIV/0!</v>
      </c>
      <c r="W21" s="365"/>
    </row>
    <row r="22" spans="2:23" ht="16.5" customHeight="1">
      <c r="B22" s="98"/>
      <c r="C22" s="98"/>
      <c r="D22" s="553">
        <f t="shared" si="3"/>
        <v>46099</v>
      </c>
      <c r="E22" s="553" t="s">
        <v>586</v>
      </c>
      <c r="F22" s="231"/>
      <c r="G22" s="330"/>
      <c r="H22" s="366"/>
      <c r="I22" s="232"/>
      <c r="K22" s="367"/>
      <c r="L22" s="231"/>
      <c r="M22" s="330"/>
      <c r="N22" s="366"/>
      <c r="O22" s="90" t="e">
        <f t="shared" si="0"/>
        <v>#DIV/0!</v>
      </c>
      <c r="P22" s="331"/>
      <c r="Q22" s="365"/>
      <c r="R22" s="231"/>
      <c r="S22" s="330"/>
      <c r="T22" s="366"/>
      <c r="U22" s="90" t="e">
        <f t="shared" si="1"/>
        <v>#DIV/0!</v>
      </c>
      <c r="V22" s="331"/>
      <c r="W22" s="365"/>
    </row>
    <row r="23" spans="2:23" ht="16.5" customHeight="1">
      <c r="B23" s="98"/>
      <c r="C23" s="98"/>
      <c r="D23" s="553">
        <f t="shared" si="3"/>
        <v>46100</v>
      </c>
      <c r="E23" s="553" t="s">
        <v>587</v>
      </c>
      <c r="F23" s="231"/>
      <c r="G23" s="330"/>
      <c r="H23" s="366"/>
      <c r="I23" s="232"/>
      <c r="K23" s="367"/>
      <c r="L23" s="231"/>
      <c r="M23" s="330"/>
      <c r="N23" s="366"/>
      <c r="O23" s="90" t="e">
        <f t="shared" si="0"/>
        <v>#DIV/0!</v>
      </c>
      <c r="P23" s="331"/>
      <c r="Q23" s="365"/>
      <c r="R23" s="231"/>
      <c r="S23" s="330"/>
      <c r="T23" s="366"/>
      <c r="U23" s="90" t="e">
        <f t="shared" si="1"/>
        <v>#DIV/0!</v>
      </c>
      <c r="V23" s="331"/>
      <c r="W23" s="365"/>
    </row>
    <row r="24" spans="2:23" ht="16.5" customHeight="1">
      <c r="B24" s="98"/>
      <c r="C24" s="98"/>
      <c r="D24" s="553">
        <f t="shared" si="3"/>
        <v>46101</v>
      </c>
      <c r="E24" s="553" t="s">
        <v>588</v>
      </c>
      <c r="F24" s="231"/>
      <c r="H24" s="366"/>
      <c r="I24" s="232"/>
      <c r="K24" s="367"/>
      <c r="L24" s="231"/>
      <c r="M24" s="330"/>
      <c r="N24" s="366"/>
      <c r="O24" s="90" t="e">
        <f t="shared" si="0"/>
        <v>#DIV/0!</v>
      </c>
      <c r="P24" s="331"/>
      <c r="Q24" s="365"/>
      <c r="R24" s="231"/>
      <c r="S24" s="330"/>
      <c r="T24" s="366"/>
      <c r="U24" s="90" t="e">
        <f t="shared" si="1"/>
        <v>#DIV/0!</v>
      </c>
      <c r="V24" s="331"/>
      <c r="W24" s="365"/>
    </row>
    <row r="25" spans="2:23" ht="16.5" customHeight="1">
      <c r="B25" s="98"/>
      <c r="C25" s="98"/>
      <c r="D25" s="553">
        <f t="shared" si="3"/>
        <v>46102</v>
      </c>
      <c r="E25" s="553" t="s">
        <v>589</v>
      </c>
      <c r="F25" s="231"/>
      <c r="G25" s="330"/>
      <c r="H25" s="366"/>
      <c r="I25" s="232"/>
      <c r="K25" s="367"/>
      <c r="L25" s="231"/>
      <c r="M25" s="330"/>
      <c r="N25" s="366"/>
      <c r="O25" s="90" t="e">
        <f t="shared" si="0"/>
        <v>#DIV/0!</v>
      </c>
      <c r="P25" s="331"/>
      <c r="Q25" s="365"/>
      <c r="R25" s="231"/>
      <c r="S25" s="330"/>
      <c r="T25" s="366"/>
      <c r="U25" s="90" t="e">
        <f t="shared" si="1"/>
        <v>#DIV/0!</v>
      </c>
      <c r="V25" s="331"/>
      <c r="W25" s="365"/>
    </row>
    <row r="26" spans="2:23" ht="16.5" customHeight="1">
      <c r="B26" s="98"/>
      <c r="C26" s="98"/>
      <c r="D26" s="553">
        <f t="shared" si="3"/>
        <v>46103</v>
      </c>
      <c r="E26" s="553" t="s">
        <v>590</v>
      </c>
      <c r="F26" s="231"/>
      <c r="G26" s="330"/>
      <c r="H26" s="366"/>
      <c r="I26" s="232"/>
      <c r="K26" s="367"/>
      <c r="L26" s="231"/>
      <c r="M26" s="330"/>
      <c r="N26" s="366"/>
      <c r="O26" s="90" t="e">
        <f t="shared" si="0"/>
        <v>#DIV/0!</v>
      </c>
      <c r="P26" s="331"/>
      <c r="Q26" s="365"/>
      <c r="R26" s="231"/>
      <c r="S26" s="330"/>
      <c r="T26" s="366"/>
      <c r="U26" s="90" t="e">
        <f t="shared" si="1"/>
        <v>#DIV/0!</v>
      </c>
      <c r="V26" s="331"/>
      <c r="W26" s="365"/>
    </row>
    <row r="27" spans="2:23">
      <c r="B27" s="98"/>
      <c r="C27" s="98"/>
      <c r="D27" s="553">
        <f t="shared" si="3"/>
        <v>46104</v>
      </c>
      <c r="E27" s="553" t="s">
        <v>584</v>
      </c>
      <c r="F27" s="231"/>
      <c r="H27" s="366"/>
      <c r="I27" s="232"/>
      <c r="K27" s="367"/>
      <c r="L27" s="231"/>
      <c r="M27" s="330"/>
      <c r="N27" s="366"/>
      <c r="O27" s="90" t="e">
        <f t="shared" si="0"/>
        <v>#DIV/0!</v>
      </c>
      <c r="P27" s="331"/>
      <c r="Q27" s="365"/>
      <c r="R27" s="231"/>
      <c r="S27" s="330"/>
      <c r="T27" s="366"/>
      <c r="U27" s="90" t="e">
        <f t="shared" si="1"/>
        <v>#DIV/0!</v>
      </c>
      <c r="V27" s="331"/>
      <c r="W27" s="365"/>
    </row>
    <row r="28" spans="2:23">
      <c r="B28" s="98"/>
      <c r="C28" s="98"/>
      <c r="D28" s="519">
        <f t="shared" si="3"/>
        <v>46105</v>
      </c>
      <c r="E28" s="519" t="s">
        <v>585</v>
      </c>
      <c r="F28" s="231"/>
      <c r="G28" s="330">
        <f>SUM(F28:F34)</f>
        <v>0</v>
      </c>
      <c r="H28" s="366"/>
      <c r="I28" s="232"/>
      <c r="J28" s="88">
        <f>SUM(I28:I34)</f>
        <v>0</v>
      </c>
      <c r="K28" s="367"/>
      <c r="L28" s="231"/>
      <c r="M28" s="330">
        <f>SUM(L28:L34)</f>
        <v>0</v>
      </c>
      <c r="N28" s="366"/>
      <c r="O28" s="90" t="e">
        <f t="shared" si="0"/>
        <v>#DIV/0!</v>
      </c>
      <c r="P28" s="90" t="e">
        <f>M28/G28</f>
        <v>#DIV/0!</v>
      </c>
      <c r="Q28" s="365"/>
      <c r="R28" s="231"/>
      <c r="S28" s="330">
        <f>SUM(R28:R34)</f>
        <v>0</v>
      </c>
      <c r="T28" s="366"/>
      <c r="U28" s="90" t="e">
        <f t="shared" si="1"/>
        <v>#DIV/0!</v>
      </c>
      <c r="V28" s="90" t="e">
        <f>S28/G28</f>
        <v>#DIV/0!</v>
      </c>
      <c r="W28" s="365"/>
    </row>
    <row r="29" spans="2:23">
      <c r="B29" s="98"/>
      <c r="C29" s="98"/>
      <c r="D29" s="554">
        <f t="shared" si="3"/>
        <v>46106</v>
      </c>
      <c r="E29" s="554" t="s">
        <v>586</v>
      </c>
      <c r="F29" s="231"/>
      <c r="G29" s="330"/>
      <c r="H29" s="366"/>
      <c r="I29" s="232"/>
      <c r="K29" s="367"/>
      <c r="L29" s="231"/>
      <c r="M29" s="330"/>
      <c r="N29" s="366"/>
      <c r="O29" s="90" t="e">
        <f t="shared" si="0"/>
        <v>#DIV/0!</v>
      </c>
      <c r="P29" s="331"/>
      <c r="Q29" s="365"/>
      <c r="R29" s="231"/>
      <c r="S29" s="330"/>
      <c r="T29" s="366"/>
      <c r="U29" s="90" t="e">
        <f t="shared" si="1"/>
        <v>#DIV/0!</v>
      </c>
      <c r="V29" s="331"/>
      <c r="W29" s="365"/>
    </row>
    <row r="30" spans="2:23">
      <c r="B30" s="98"/>
      <c r="C30" s="98"/>
      <c r="D30" s="554">
        <f t="shared" si="3"/>
        <v>46107</v>
      </c>
      <c r="E30" s="554" t="s">
        <v>587</v>
      </c>
      <c r="F30" s="231"/>
      <c r="G30" s="330"/>
      <c r="H30" s="366"/>
      <c r="I30" s="232"/>
      <c r="K30" s="367"/>
      <c r="L30" s="231"/>
      <c r="M30" s="330"/>
      <c r="N30" s="366"/>
      <c r="O30" s="90" t="e">
        <f t="shared" si="0"/>
        <v>#DIV/0!</v>
      </c>
      <c r="P30" s="331"/>
      <c r="Q30" s="365"/>
      <c r="R30" s="231"/>
      <c r="S30" s="330"/>
      <c r="T30" s="366"/>
      <c r="U30" s="90" t="e">
        <f t="shared" si="1"/>
        <v>#DIV/0!</v>
      </c>
      <c r="V30" s="331"/>
      <c r="W30" s="365"/>
    </row>
    <row r="31" spans="2:23">
      <c r="B31" s="98"/>
      <c r="C31" s="98"/>
      <c r="D31" s="554">
        <f t="shared" si="3"/>
        <v>46108</v>
      </c>
      <c r="E31" s="554" t="s">
        <v>588</v>
      </c>
      <c r="F31" s="231"/>
      <c r="H31" s="366"/>
      <c r="I31" s="232"/>
      <c r="K31" s="367"/>
      <c r="L31" s="231"/>
      <c r="M31" s="330"/>
      <c r="N31" s="366"/>
      <c r="O31" s="90" t="e">
        <f t="shared" si="0"/>
        <v>#DIV/0!</v>
      </c>
      <c r="P31" s="331"/>
      <c r="Q31" s="365"/>
      <c r="R31" s="231"/>
      <c r="S31" s="330"/>
      <c r="T31" s="366"/>
      <c r="U31" s="90" t="e">
        <f t="shared" si="1"/>
        <v>#DIV/0!</v>
      </c>
      <c r="V31" s="331"/>
      <c r="W31" s="365"/>
    </row>
    <row r="32" spans="2:23">
      <c r="B32" s="98"/>
      <c r="C32" s="98"/>
      <c r="D32" s="554">
        <f t="shared" si="3"/>
        <v>46109</v>
      </c>
      <c r="E32" s="554" t="s">
        <v>589</v>
      </c>
      <c r="F32" s="231"/>
      <c r="G32" s="330"/>
      <c r="H32" s="366"/>
      <c r="I32" s="232"/>
      <c r="K32" s="367"/>
      <c r="L32" s="231"/>
      <c r="M32" s="330"/>
      <c r="N32" s="366"/>
      <c r="O32" s="90" t="e">
        <f t="shared" si="0"/>
        <v>#DIV/0!</v>
      </c>
      <c r="P32" s="331"/>
      <c r="Q32" s="365"/>
      <c r="R32" s="231"/>
      <c r="S32" s="330"/>
      <c r="T32" s="366"/>
      <c r="U32" s="90" t="e">
        <f t="shared" si="1"/>
        <v>#DIV/0!</v>
      </c>
      <c r="V32" s="90"/>
      <c r="W32" s="365"/>
    </row>
    <row r="33" spans="2:23">
      <c r="B33" s="98"/>
      <c r="C33" s="98"/>
      <c r="D33" s="554">
        <f t="shared" si="3"/>
        <v>46110</v>
      </c>
      <c r="E33" s="554" t="s">
        <v>590</v>
      </c>
      <c r="F33" s="231"/>
      <c r="G33" s="330"/>
      <c r="H33" s="366"/>
      <c r="I33" s="232"/>
      <c r="K33" s="367"/>
      <c r="L33" s="231"/>
      <c r="M33" s="330"/>
      <c r="N33" s="366"/>
      <c r="O33" s="90" t="e">
        <f t="shared" si="0"/>
        <v>#DIV/0!</v>
      </c>
      <c r="Q33" s="365"/>
      <c r="R33" s="231"/>
      <c r="S33" s="330"/>
      <c r="T33" s="366"/>
      <c r="U33" s="90" t="e">
        <f t="shared" si="1"/>
        <v>#DIV/0!</v>
      </c>
      <c r="V33" s="90"/>
      <c r="W33" s="365"/>
    </row>
    <row r="34" spans="2:23">
      <c r="B34" s="98"/>
      <c r="C34" s="98"/>
      <c r="D34" s="554">
        <f t="shared" si="3"/>
        <v>46111</v>
      </c>
      <c r="E34" s="554" t="s">
        <v>584</v>
      </c>
      <c r="F34" s="231"/>
      <c r="H34" s="366"/>
      <c r="I34" s="232"/>
      <c r="K34" s="367"/>
      <c r="L34" s="231"/>
      <c r="M34" s="330"/>
      <c r="N34" s="366"/>
      <c r="O34" s="90" t="e">
        <f t="shared" si="0"/>
        <v>#DIV/0!</v>
      </c>
      <c r="Q34" s="365"/>
      <c r="R34" s="231"/>
      <c r="S34" s="330"/>
      <c r="T34" s="366"/>
      <c r="U34" s="90" t="e">
        <f t="shared" si="1"/>
        <v>#DIV/0!</v>
      </c>
      <c r="V34" s="90"/>
      <c r="W34" s="365"/>
    </row>
    <row r="35" spans="2:23">
      <c r="B35" s="98"/>
      <c r="D35" s="332">
        <f>D34+1</f>
        <v>46112</v>
      </c>
      <c r="E35" s="332" t="s">
        <v>585</v>
      </c>
      <c r="G35" s="330"/>
      <c r="M35" s="330"/>
      <c r="N35" s="87"/>
      <c r="Q35" s="87"/>
      <c r="S35" s="330"/>
      <c r="T35" s="87"/>
      <c r="V35" s="90"/>
      <c r="W35" s="87"/>
    </row>
    <row r="36" spans="2:23">
      <c r="B36" s="98"/>
      <c r="C36" s="98"/>
      <c r="D36" s="332">
        <f t="shared" ref="D36:D41" si="4">D35+1</f>
        <v>46113</v>
      </c>
      <c r="E36" s="553" t="s">
        <v>586</v>
      </c>
      <c r="F36" s="231"/>
      <c r="G36" s="330"/>
      <c r="H36" s="366"/>
      <c r="I36" s="232"/>
      <c r="K36" s="367"/>
      <c r="L36" s="231"/>
      <c r="M36" s="330"/>
      <c r="N36" s="366"/>
      <c r="O36" s="90" t="e">
        <f t="shared" si="0"/>
        <v>#DIV/0!</v>
      </c>
      <c r="Q36" s="365"/>
      <c r="R36" s="231"/>
      <c r="S36" s="330"/>
      <c r="T36" s="366"/>
      <c r="U36" s="90" t="e">
        <f t="shared" si="1"/>
        <v>#DIV/0!</v>
      </c>
      <c r="V36" s="90"/>
      <c r="W36" s="365"/>
    </row>
    <row r="37" spans="2:23">
      <c r="B37" s="98"/>
      <c r="D37" s="332">
        <f t="shared" si="4"/>
        <v>46114</v>
      </c>
      <c r="E37" s="553" t="s">
        <v>587</v>
      </c>
      <c r="F37" s="231"/>
      <c r="G37" s="330"/>
      <c r="I37" s="232"/>
      <c r="L37" s="231"/>
      <c r="M37" s="330"/>
      <c r="N37" s="87"/>
      <c r="O37" s="90" t="e">
        <f t="shared" si="0"/>
        <v>#DIV/0!</v>
      </c>
      <c r="Q37" s="87"/>
      <c r="R37" s="231"/>
      <c r="S37" s="330"/>
      <c r="T37" s="87"/>
      <c r="U37" s="90" t="e">
        <f t="shared" si="1"/>
        <v>#DIV/0!</v>
      </c>
      <c r="V37" s="90"/>
      <c r="W37" s="87"/>
    </row>
    <row r="38" spans="2:23">
      <c r="B38" s="98"/>
      <c r="D38" s="332">
        <f t="shared" si="4"/>
        <v>46115</v>
      </c>
      <c r="E38" s="553" t="s">
        <v>588</v>
      </c>
      <c r="F38" s="231"/>
      <c r="G38" s="330"/>
      <c r="I38" s="232"/>
      <c r="L38" s="231"/>
      <c r="M38" s="330"/>
      <c r="N38" s="87"/>
      <c r="O38" s="90" t="e">
        <f t="shared" si="0"/>
        <v>#DIV/0!</v>
      </c>
      <c r="Q38" s="87"/>
      <c r="R38" s="231"/>
      <c r="S38" s="330"/>
      <c r="T38" s="87"/>
      <c r="U38" s="90" t="e">
        <f t="shared" si="1"/>
        <v>#DIV/0!</v>
      </c>
      <c r="V38" s="90"/>
      <c r="W38" s="87"/>
    </row>
    <row r="39" spans="2:23">
      <c r="B39" s="98"/>
      <c r="D39" s="332">
        <f t="shared" si="4"/>
        <v>46116</v>
      </c>
      <c r="E39" s="553" t="s">
        <v>589</v>
      </c>
      <c r="F39" s="231"/>
      <c r="G39" s="330"/>
      <c r="I39" s="232"/>
      <c r="L39" s="231"/>
      <c r="M39" s="330"/>
      <c r="N39" s="87"/>
      <c r="O39" s="90" t="e">
        <f t="shared" si="0"/>
        <v>#DIV/0!</v>
      </c>
      <c r="Q39" s="87"/>
      <c r="R39" s="231"/>
      <c r="S39" s="330"/>
      <c r="T39" s="87"/>
      <c r="U39" s="90" t="e">
        <f t="shared" si="1"/>
        <v>#DIV/0!</v>
      </c>
      <c r="V39" s="90"/>
      <c r="W39" s="87"/>
    </row>
    <row r="40" spans="2:23">
      <c r="B40" s="98"/>
      <c r="D40" s="332">
        <f t="shared" si="4"/>
        <v>46117</v>
      </c>
      <c r="E40" s="553" t="s">
        <v>590</v>
      </c>
      <c r="F40" s="231"/>
      <c r="G40" s="330"/>
      <c r="I40" s="232"/>
      <c r="L40" s="231"/>
      <c r="M40" s="330"/>
      <c r="N40" s="87"/>
      <c r="O40" s="90" t="e">
        <f>L40/F40</f>
        <v>#DIV/0!</v>
      </c>
      <c r="Q40" s="87"/>
      <c r="R40" s="231"/>
      <c r="S40" s="330"/>
      <c r="T40" s="87"/>
      <c r="U40" s="90" t="e">
        <f t="shared" si="1"/>
        <v>#DIV/0!</v>
      </c>
      <c r="V40" s="90"/>
      <c r="W40" s="87"/>
    </row>
    <row r="41" spans="2:23">
      <c r="B41" s="98"/>
      <c r="D41" s="332">
        <f t="shared" si="4"/>
        <v>46118</v>
      </c>
      <c r="E41" s="553" t="s">
        <v>584</v>
      </c>
      <c r="F41" s="231"/>
      <c r="G41" s="330"/>
      <c r="I41" s="232"/>
      <c r="L41" s="231"/>
      <c r="M41" s="330"/>
      <c r="N41" s="87"/>
      <c r="O41" s="90" t="e">
        <f>L41/F41</f>
        <v>#DIV/0!</v>
      </c>
      <c r="Q41" s="87"/>
      <c r="R41" s="233"/>
      <c r="S41" s="330"/>
      <c r="T41" s="87"/>
      <c r="U41" s="90" t="e">
        <f t="shared" si="1"/>
        <v>#DIV/0!</v>
      </c>
      <c r="V41" s="90"/>
      <c r="W41" s="87"/>
    </row>
    <row r="42" spans="2:23">
      <c r="B42" s="98"/>
      <c r="D42" s="86"/>
      <c r="E42" s="86"/>
      <c r="G42" s="330"/>
      <c r="M42" s="330"/>
      <c r="N42" s="87"/>
      <c r="Q42" s="87"/>
      <c r="S42" s="330"/>
      <c r="T42" s="87"/>
      <c r="V42" s="90"/>
      <c r="W42" s="87"/>
    </row>
    <row r="43" spans="2:23">
      <c r="B43" s="98"/>
      <c r="D43" s="86"/>
      <c r="E43" s="86"/>
      <c r="G43" s="330"/>
      <c r="M43" s="330"/>
      <c r="N43" s="87"/>
      <c r="Q43" s="87"/>
      <c r="S43" s="330"/>
      <c r="T43" s="87"/>
      <c r="V43" s="90"/>
      <c r="W43" s="87"/>
    </row>
    <row r="44" spans="2:23">
      <c r="B44" s="98"/>
      <c r="D44" s="86"/>
      <c r="E44" s="86"/>
      <c r="G44" s="330"/>
      <c r="M44" s="330"/>
      <c r="N44" s="87"/>
      <c r="Q44" s="87"/>
      <c r="S44" s="330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H47" sqref="H47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334</v>
      </c>
      <c r="C1" s="83">
        <v>366</v>
      </c>
    </row>
    <row r="2" spans="2:23" ht="38.1" customHeight="1">
      <c r="B2" s="615" t="s">
        <v>126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</row>
    <row r="3" spans="2:23" s="72" customFormat="1" ht="23.45" customHeight="1">
      <c r="B3" s="98"/>
      <c r="C3" s="619" t="s">
        <v>116</v>
      </c>
      <c r="D3" s="620" t="s">
        <v>105</v>
      </c>
      <c r="E3" s="620"/>
      <c r="F3" s="623" t="s">
        <v>107</v>
      </c>
      <c r="G3" s="623"/>
      <c r="H3" s="623"/>
      <c r="I3" s="625" t="s">
        <v>108</v>
      </c>
      <c r="J3" s="625"/>
      <c r="K3" s="625"/>
      <c r="L3" s="624" t="s">
        <v>324</v>
      </c>
      <c r="M3" s="624"/>
      <c r="N3" s="624"/>
      <c r="O3" s="624" t="s">
        <v>106</v>
      </c>
      <c r="P3" s="624"/>
      <c r="Q3" s="624"/>
      <c r="R3" s="624" t="s">
        <v>109</v>
      </c>
      <c r="S3" s="624"/>
      <c r="T3" s="624"/>
      <c r="U3" s="624" t="s">
        <v>110</v>
      </c>
      <c r="V3" s="624"/>
      <c r="W3" s="624"/>
    </row>
    <row r="4" spans="2:23" ht="15.75">
      <c r="B4" s="98"/>
      <c r="C4" s="619"/>
      <c r="D4" s="620"/>
      <c r="E4" s="620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86">
        <v>46082</v>
      </c>
      <c r="E5" s="86" t="s">
        <v>590</v>
      </c>
      <c r="F5" s="230">
        <v>359.80916068260569</v>
      </c>
      <c r="G5" s="93"/>
      <c r="H5" s="93"/>
      <c r="I5" s="90">
        <f>F5/$C$1</f>
        <v>0.98308513847706469</v>
      </c>
      <c r="J5" s="214"/>
      <c r="K5" s="214"/>
      <c r="L5" s="249">
        <v>2.4201733354687928E-3</v>
      </c>
      <c r="M5" s="331"/>
      <c r="N5" s="331"/>
      <c r="O5" s="249">
        <v>1.6691286685492409E-3</v>
      </c>
      <c r="P5" s="331"/>
      <c r="Q5" s="331"/>
      <c r="R5" s="234">
        <v>0.91700000000000004</v>
      </c>
      <c r="S5" s="214"/>
      <c r="T5" s="331"/>
      <c r="U5" s="234">
        <v>0.15</v>
      </c>
      <c r="V5" s="214"/>
      <c r="W5" s="331"/>
    </row>
    <row r="6" spans="2:23" ht="14.45" customHeight="1">
      <c r="B6" s="98"/>
      <c r="C6" s="98"/>
      <c r="D6" s="86">
        <f t="shared" ref="D6:D34" si="0">D5+1</f>
        <v>46083</v>
      </c>
      <c r="E6" s="519" t="s">
        <v>584</v>
      </c>
      <c r="F6" s="230">
        <v>351.58803260348827</v>
      </c>
      <c r="G6" s="94">
        <f>AVERAGE(F5:F6)</f>
        <v>355.69859664304698</v>
      </c>
      <c r="H6" s="93"/>
      <c r="I6" s="90">
        <f>F6/$C$1</f>
        <v>0.96062303990024123</v>
      </c>
      <c r="J6" s="214">
        <f>AVERAGE(I5:I6)</f>
        <v>0.9718540891886529</v>
      </c>
      <c r="K6" s="214"/>
      <c r="L6" s="249">
        <v>2.4499124486547907E-3</v>
      </c>
      <c r="M6" s="331">
        <f>AVERAGE(L5:L6)</f>
        <v>2.4350428920617917E-3</v>
      </c>
      <c r="N6" s="331"/>
      <c r="O6" s="249">
        <v>1.9438430964752661E-3</v>
      </c>
      <c r="P6" s="331">
        <f>AVERAGE(O5:O6)</f>
        <v>1.8064858825122534E-3</v>
      </c>
      <c r="Q6" s="331"/>
      <c r="R6" s="234">
        <v>0.91700000000000004</v>
      </c>
      <c r="S6" s="214">
        <f>AVERAGE(R5:R6)</f>
        <v>0.91700000000000004</v>
      </c>
      <c r="T6" s="331"/>
      <c r="U6" s="234">
        <v>0.15</v>
      </c>
      <c r="V6" s="214">
        <f>AVERAGE(U5:U6)</f>
        <v>0.15</v>
      </c>
      <c r="W6" s="331"/>
    </row>
    <row r="7" spans="2:23" ht="14.45" customHeight="1">
      <c r="B7" s="98"/>
      <c r="C7" s="98"/>
      <c r="D7" s="332">
        <f t="shared" si="0"/>
        <v>46084</v>
      </c>
      <c r="E7" s="332" t="s">
        <v>585</v>
      </c>
      <c r="F7" s="230">
        <v>354.35193936548563</v>
      </c>
      <c r="G7" s="93">
        <f>AVERAGE(F7:F13)</f>
        <v>353.64767096168481</v>
      </c>
      <c r="I7" s="90">
        <f t="shared" ref="I7:I40" si="1">F7/$C$1</f>
        <v>0.96817469771990605</v>
      </c>
      <c r="J7" s="214">
        <f>AVERAGE(I7:I13)</f>
        <v>0.96625046710842832</v>
      </c>
      <c r="L7" s="249">
        <v>2.457493944176898E-3</v>
      </c>
      <c r="M7" s="331">
        <f>AVERAGE(L7:L13)</f>
        <v>2.4468439247250606E-3</v>
      </c>
      <c r="O7" s="249">
        <v>1.8232610477698084E-3</v>
      </c>
      <c r="P7" s="331">
        <f>AVERAGE(O7:O13)</f>
        <v>1.9402115417733029E-3</v>
      </c>
      <c r="R7" s="234">
        <v>0.91700000000000004</v>
      </c>
      <c r="S7" s="214">
        <f>AVERAGE(R7:R13)</f>
        <v>0.91699999999999993</v>
      </c>
      <c r="U7" s="234">
        <v>0.152</v>
      </c>
      <c r="V7" s="214">
        <f>AVERAGE(U7:U13)</f>
        <v>0.16057142857142859</v>
      </c>
    </row>
    <row r="8" spans="2:23" ht="14.45" customHeight="1">
      <c r="B8" s="98"/>
      <c r="C8" s="98"/>
      <c r="D8" s="553">
        <f t="shared" si="0"/>
        <v>46085</v>
      </c>
      <c r="E8" s="553" t="s">
        <v>586</v>
      </c>
      <c r="F8" s="230">
        <v>350.63524768390965</v>
      </c>
      <c r="G8" s="93"/>
      <c r="H8" s="93"/>
      <c r="I8" s="90">
        <f t="shared" si="1"/>
        <v>0.95801980241505369</v>
      </c>
      <c r="J8" s="214"/>
      <c r="K8" s="214"/>
      <c r="L8" s="249">
        <v>2.4520670549957229E-3</v>
      </c>
      <c r="M8" s="331"/>
      <c r="N8" s="331"/>
      <c r="O8" s="249">
        <v>1.8578161105452288E-3</v>
      </c>
      <c r="P8" s="331"/>
      <c r="Q8" s="331"/>
      <c r="R8" s="234">
        <v>0.91700000000000004</v>
      </c>
      <c r="S8" s="214"/>
      <c r="T8" s="331"/>
      <c r="U8" s="234">
        <v>0.156</v>
      </c>
      <c r="V8" s="214"/>
      <c r="W8" s="331"/>
    </row>
    <row r="9" spans="2:23" ht="14.45" customHeight="1">
      <c r="B9" s="98"/>
      <c r="C9" s="98"/>
      <c r="D9" s="553">
        <f t="shared" si="0"/>
        <v>46086</v>
      </c>
      <c r="E9" s="553" t="s">
        <v>587</v>
      </c>
      <c r="F9" s="230">
        <v>357.43895993814249</v>
      </c>
      <c r="G9" s="93"/>
      <c r="H9" s="93"/>
      <c r="I9" s="90">
        <f t="shared" si="1"/>
        <v>0.97660918015885922</v>
      </c>
      <c r="J9" s="214"/>
      <c r="K9" s="214"/>
      <c r="L9" s="249">
        <v>2.459087529809994E-3</v>
      </c>
      <c r="M9" s="331"/>
      <c r="N9" s="331"/>
      <c r="O9" s="249">
        <v>2.0575952536563322E-3</v>
      </c>
      <c r="P9" s="331"/>
      <c r="Q9" s="331"/>
      <c r="R9" s="234">
        <v>0.91700000000000004</v>
      </c>
      <c r="S9" s="214"/>
      <c r="T9" s="331"/>
      <c r="U9" s="234">
        <v>0.158</v>
      </c>
      <c r="V9" s="214"/>
      <c r="W9" s="331"/>
    </row>
    <row r="10" spans="2:23" ht="14.45" customHeight="1">
      <c r="B10" s="98"/>
      <c r="C10" s="98"/>
      <c r="D10" s="553">
        <f t="shared" si="0"/>
        <v>46087</v>
      </c>
      <c r="E10" s="553" t="s">
        <v>588</v>
      </c>
      <c r="F10" s="230">
        <v>352.16773145320383</v>
      </c>
      <c r="G10" s="93"/>
      <c r="H10" s="93">
        <f>AVERAGE(F5:F35)</f>
        <v>354.10343222420977</v>
      </c>
      <c r="I10" s="90">
        <f t="shared" si="1"/>
        <v>0.9622069165388083</v>
      </c>
      <c r="J10" s="214"/>
      <c r="K10" s="214">
        <f>AVERAGE(I5:I35)</f>
        <v>0.29024871493787685</v>
      </c>
      <c r="L10" s="249">
        <v>2.4188031442383667E-3</v>
      </c>
      <c r="M10" s="331"/>
      <c r="N10" s="331">
        <f>AVERAGE(L5:L35)</f>
        <v>2.4442214730221123E-3</v>
      </c>
      <c r="O10" s="249">
        <v>2.0654379220542466E-3</v>
      </c>
      <c r="P10" s="331"/>
      <c r="Q10" s="331">
        <f>AVERAGE(O5:O35)</f>
        <v>1.9104947286041811E-3</v>
      </c>
      <c r="R10" s="234">
        <v>0.91700000000000004</v>
      </c>
      <c r="S10" s="214"/>
      <c r="T10" s="214">
        <f>AVERAGE(R5:R35)</f>
        <v>0.91700000000000004</v>
      </c>
      <c r="U10" s="234">
        <v>0.16200000000000001</v>
      </c>
      <c r="V10" s="214"/>
      <c r="W10" s="214">
        <f>AVERAGE(U5:U35)</f>
        <v>0.15822222222222221</v>
      </c>
    </row>
    <row r="11" spans="2:23" ht="14.45" customHeight="1">
      <c r="B11" s="98"/>
      <c r="C11" s="98"/>
      <c r="D11" s="553">
        <f t="shared" si="0"/>
        <v>46088</v>
      </c>
      <c r="E11" s="553" t="s">
        <v>589</v>
      </c>
      <c r="F11" s="230">
        <v>354.59411988855641</v>
      </c>
      <c r="G11" s="93"/>
      <c r="H11" s="93"/>
      <c r="I11" s="90">
        <f t="shared" si="1"/>
        <v>0.9688363931381323</v>
      </c>
      <c r="J11" s="214"/>
      <c r="K11" s="214"/>
      <c r="L11" s="249">
        <v>2.4578706898811032E-3</v>
      </c>
      <c r="M11" s="331"/>
      <c r="N11" s="331"/>
      <c r="O11" s="249">
        <v>1.9299257149679534E-3</v>
      </c>
      <c r="P11" s="331"/>
      <c r="Q11" s="331"/>
      <c r="R11" s="234">
        <v>0.91700000000000004</v>
      </c>
      <c r="S11" s="214"/>
      <c r="T11" s="331"/>
      <c r="U11" s="234">
        <v>0.16200000000000001</v>
      </c>
      <c r="V11" s="214"/>
      <c r="W11" s="331"/>
    </row>
    <row r="12" spans="2:23" ht="14.45" customHeight="1">
      <c r="B12" s="98"/>
      <c r="C12" s="98"/>
      <c r="D12" s="553">
        <f t="shared" si="0"/>
        <v>46089</v>
      </c>
      <c r="E12" s="553" t="s">
        <v>590</v>
      </c>
      <c r="F12" s="230">
        <v>350.0942764294648</v>
      </c>
      <c r="G12" s="93"/>
      <c r="H12" s="93"/>
      <c r="I12" s="90">
        <f t="shared" si="1"/>
        <v>0.95654173887831917</v>
      </c>
      <c r="J12" s="214"/>
      <c r="K12" s="214"/>
      <c r="L12" s="249">
        <v>2.4409060410470877E-3</v>
      </c>
      <c r="M12" s="331"/>
      <c r="N12" s="331"/>
      <c r="O12" s="249">
        <v>1.8686402303105395E-3</v>
      </c>
      <c r="P12" s="331"/>
      <c r="Q12" s="331"/>
      <c r="R12" s="234">
        <v>0.91700000000000004</v>
      </c>
      <c r="S12" s="214"/>
      <c r="T12" s="331"/>
      <c r="U12" s="234">
        <v>0.16400000000000001</v>
      </c>
      <c r="V12" s="214"/>
      <c r="W12" s="331"/>
    </row>
    <row r="13" spans="2:23" ht="14.45" customHeight="1">
      <c r="B13" s="98"/>
      <c r="C13" s="98"/>
      <c r="D13" s="553">
        <f t="shared" si="0"/>
        <v>46090</v>
      </c>
      <c r="E13" s="553" t="s">
        <v>584</v>
      </c>
      <c r="F13" s="230">
        <v>356.25142197303063</v>
      </c>
      <c r="H13" s="93"/>
      <c r="I13" s="90">
        <f t="shared" si="1"/>
        <v>0.97336454090991975</v>
      </c>
      <c r="J13" s="214"/>
      <c r="K13" s="214"/>
      <c r="L13" s="249">
        <v>2.4416790689262523E-3</v>
      </c>
      <c r="M13" s="331"/>
      <c r="N13" s="331"/>
      <c r="O13" s="249">
        <v>1.9788045131090117E-3</v>
      </c>
      <c r="P13" s="331"/>
      <c r="Q13" s="331"/>
      <c r="R13" s="234">
        <v>0.91700000000000004</v>
      </c>
      <c r="S13" s="214"/>
      <c r="T13" s="331"/>
      <c r="U13" s="234">
        <v>0.17</v>
      </c>
      <c r="V13" s="214"/>
      <c r="W13" s="331"/>
    </row>
    <row r="14" spans="2:23" ht="14.45" customHeight="1">
      <c r="B14" s="98"/>
      <c r="C14" s="98"/>
      <c r="D14" s="519">
        <f t="shared" si="0"/>
        <v>46091</v>
      </c>
      <c r="E14" s="519" t="s">
        <v>585</v>
      </c>
      <c r="F14" s="230"/>
      <c r="G14" s="93" t="e">
        <f>AVERAGE(F14:F20)</f>
        <v>#DIV/0!</v>
      </c>
      <c r="H14" s="93"/>
      <c r="I14" s="90">
        <f t="shared" si="1"/>
        <v>0</v>
      </c>
      <c r="J14" s="214">
        <f>AVERAGE(I14:I20)</f>
        <v>0</v>
      </c>
      <c r="K14" s="214"/>
      <c r="L14" s="249"/>
      <c r="M14" s="331" t="e">
        <f>AVERAGE(L14:L20)</f>
        <v>#DIV/0!</v>
      </c>
      <c r="N14" s="331"/>
      <c r="O14" s="249"/>
      <c r="P14" s="331" t="e">
        <f>AVERAGE(O14:O20)</f>
        <v>#DIV/0!</v>
      </c>
      <c r="Q14" s="331"/>
      <c r="R14" s="234"/>
      <c r="S14" s="214" t="e">
        <f>AVERAGE(R14:R20)</f>
        <v>#DIV/0!</v>
      </c>
      <c r="T14" s="331"/>
      <c r="U14" s="234"/>
      <c r="V14" s="214" t="e">
        <f>AVERAGE(U14:U20)</f>
        <v>#DIV/0!</v>
      </c>
      <c r="W14" s="331"/>
    </row>
    <row r="15" spans="2:23" ht="14.45" customHeight="1">
      <c r="B15" s="98"/>
      <c r="C15" s="98"/>
      <c r="D15" s="554">
        <f t="shared" si="0"/>
        <v>46092</v>
      </c>
      <c r="E15" s="554" t="s">
        <v>586</v>
      </c>
      <c r="F15" s="230"/>
      <c r="G15" s="93"/>
      <c r="H15" s="93"/>
      <c r="I15" s="90">
        <f t="shared" si="1"/>
        <v>0</v>
      </c>
      <c r="J15" s="214"/>
      <c r="K15" s="214"/>
      <c r="L15" s="249"/>
      <c r="M15" s="331"/>
      <c r="N15" s="331"/>
      <c r="O15" s="249"/>
      <c r="P15" s="331"/>
      <c r="Q15" s="331"/>
      <c r="R15" s="234"/>
      <c r="S15" s="214"/>
      <c r="T15" s="331"/>
      <c r="U15" s="234"/>
      <c r="V15" s="214"/>
      <c r="W15" s="331"/>
    </row>
    <row r="16" spans="2:23" ht="14.45" customHeight="1">
      <c r="B16" s="98"/>
      <c r="C16" s="98"/>
      <c r="D16" s="554">
        <f t="shared" si="0"/>
        <v>46093</v>
      </c>
      <c r="E16" s="554" t="s">
        <v>587</v>
      </c>
      <c r="F16" s="230"/>
      <c r="G16" s="93"/>
      <c r="H16" s="93"/>
      <c r="I16" s="90">
        <f t="shared" si="1"/>
        <v>0</v>
      </c>
      <c r="J16" s="214"/>
      <c r="K16" s="214"/>
      <c r="L16" s="249"/>
      <c r="M16" s="331"/>
      <c r="N16" s="331"/>
      <c r="O16" s="249"/>
      <c r="P16" s="331"/>
      <c r="Q16" s="331"/>
      <c r="R16" s="234"/>
      <c r="S16" s="214"/>
      <c r="T16" s="331"/>
      <c r="U16" s="234"/>
      <c r="V16" s="214"/>
      <c r="W16" s="331"/>
    </row>
    <row r="17" spans="2:23" ht="14.45" customHeight="1">
      <c r="B17" s="98"/>
      <c r="C17" s="98"/>
      <c r="D17" s="554">
        <f t="shared" si="0"/>
        <v>46094</v>
      </c>
      <c r="E17" s="554" t="s">
        <v>588</v>
      </c>
      <c r="F17" s="230"/>
      <c r="G17" s="93"/>
      <c r="H17" s="93"/>
      <c r="I17" s="90">
        <f t="shared" si="1"/>
        <v>0</v>
      </c>
      <c r="J17" s="214"/>
      <c r="K17" s="214"/>
      <c r="L17" s="249"/>
      <c r="M17" s="331"/>
      <c r="N17" s="331"/>
      <c r="O17" s="249"/>
      <c r="P17" s="331"/>
      <c r="Q17" s="331"/>
      <c r="R17" s="234"/>
      <c r="S17" s="214"/>
      <c r="T17" s="331"/>
      <c r="U17" s="234"/>
      <c r="V17" s="214"/>
      <c r="W17" s="331"/>
    </row>
    <row r="18" spans="2:23" ht="14.45" customHeight="1">
      <c r="B18" s="98"/>
      <c r="C18" s="98"/>
      <c r="D18" s="554">
        <f t="shared" si="0"/>
        <v>46095</v>
      </c>
      <c r="E18" s="554" t="s">
        <v>589</v>
      </c>
      <c r="F18" s="230"/>
      <c r="G18" s="93"/>
      <c r="H18" s="93"/>
      <c r="I18" s="90">
        <f t="shared" si="1"/>
        <v>0</v>
      </c>
      <c r="J18" s="214"/>
      <c r="K18" s="214"/>
      <c r="L18" s="249"/>
      <c r="M18" s="331"/>
      <c r="N18" s="331"/>
      <c r="O18" s="249"/>
      <c r="P18" s="331"/>
      <c r="Q18" s="331"/>
      <c r="R18" s="234"/>
      <c r="S18" s="214"/>
      <c r="T18" s="331"/>
      <c r="U18" s="234"/>
      <c r="V18" s="214"/>
      <c r="W18" s="331"/>
    </row>
    <row r="19" spans="2:23" ht="14.45" customHeight="1">
      <c r="B19" s="98"/>
      <c r="C19" s="98"/>
      <c r="D19" s="554">
        <f t="shared" si="0"/>
        <v>46096</v>
      </c>
      <c r="E19" s="554" t="s">
        <v>590</v>
      </c>
      <c r="F19" s="230"/>
      <c r="G19" s="93"/>
      <c r="H19" s="93"/>
      <c r="I19" s="90">
        <f t="shared" si="1"/>
        <v>0</v>
      </c>
      <c r="J19" s="214"/>
      <c r="K19" s="214"/>
      <c r="L19" s="249"/>
      <c r="M19" s="331"/>
      <c r="N19" s="331"/>
      <c r="O19" s="249"/>
      <c r="P19" s="331"/>
      <c r="Q19" s="331"/>
      <c r="R19" s="234"/>
      <c r="S19" s="214"/>
      <c r="T19" s="331"/>
      <c r="U19" s="234"/>
      <c r="V19" s="214"/>
      <c r="W19" s="331"/>
    </row>
    <row r="20" spans="2:23" ht="14.45" customHeight="1">
      <c r="B20" s="98"/>
      <c r="C20" s="98"/>
      <c r="D20" s="554">
        <f t="shared" si="0"/>
        <v>46097</v>
      </c>
      <c r="E20" s="554" t="s">
        <v>584</v>
      </c>
      <c r="F20" s="230"/>
      <c r="G20" s="93"/>
      <c r="H20" s="93"/>
      <c r="I20" s="90">
        <f t="shared" si="1"/>
        <v>0</v>
      </c>
      <c r="J20" s="214"/>
      <c r="K20" s="214"/>
      <c r="L20" s="249"/>
      <c r="M20" s="331"/>
      <c r="N20" s="331"/>
      <c r="O20" s="249"/>
      <c r="P20" s="331"/>
      <c r="Q20" s="331"/>
      <c r="R20" s="234"/>
      <c r="S20" s="214"/>
      <c r="T20" s="331"/>
      <c r="U20" s="234"/>
      <c r="V20" s="214"/>
      <c r="W20" s="331"/>
    </row>
    <row r="21" spans="2:23" ht="14.45" customHeight="1">
      <c r="B21" s="98"/>
      <c r="C21" s="98"/>
      <c r="D21" s="332">
        <f t="shared" si="0"/>
        <v>46098</v>
      </c>
      <c r="E21" s="332" t="s">
        <v>585</v>
      </c>
      <c r="F21" s="230"/>
      <c r="G21" s="93" t="e">
        <f>AVERAGE(F21:F27)</f>
        <v>#DIV/0!</v>
      </c>
      <c r="H21" s="93"/>
      <c r="I21" s="90">
        <f t="shared" si="1"/>
        <v>0</v>
      </c>
      <c r="J21" s="214">
        <f>AVERAGE(I21:I27)</f>
        <v>0</v>
      </c>
      <c r="K21" s="214"/>
      <c r="L21" s="249"/>
      <c r="M21" s="331" t="e">
        <f>AVERAGE(L21:L27)</f>
        <v>#DIV/0!</v>
      </c>
      <c r="N21" s="331"/>
      <c r="O21" s="249"/>
      <c r="P21" s="331" t="e">
        <f>AVERAGE(O21:O27)</f>
        <v>#DIV/0!</v>
      </c>
      <c r="Q21" s="331"/>
      <c r="R21" s="234"/>
      <c r="S21" s="214" t="e">
        <f>AVERAGE(R21:R27)</f>
        <v>#DIV/0!</v>
      </c>
      <c r="T21" s="331"/>
      <c r="U21" s="234"/>
      <c r="V21" s="214" t="e">
        <f>AVERAGE(U21:U27)</f>
        <v>#DIV/0!</v>
      </c>
      <c r="W21" s="331"/>
    </row>
    <row r="22" spans="2:23" ht="14.45" customHeight="1">
      <c r="B22" s="98"/>
      <c r="C22" s="98"/>
      <c r="D22" s="553">
        <f t="shared" si="0"/>
        <v>46099</v>
      </c>
      <c r="E22" s="553" t="s">
        <v>586</v>
      </c>
      <c r="F22" s="230"/>
      <c r="G22" s="93"/>
      <c r="H22" s="93"/>
      <c r="I22" s="90">
        <f t="shared" si="1"/>
        <v>0</v>
      </c>
      <c r="J22" s="214"/>
      <c r="K22" s="214"/>
      <c r="L22" s="249"/>
      <c r="M22" s="331"/>
      <c r="N22" s="331"/>
      <c r="O22" s="249"/>
      <c r="P22" s="331"/>
      <c r="Q22" s="331"/>
      <c r="R22" s="234"/>
      <c r="S22" s="214"/>
      <c r="T22" s="331"/>
      <c r="U22" s="234"/>
      <c r="V22" s="214"/>
      <c r="W22" s="331"/>
    </row>
    <row r="23" spans="2:23" ht="14.45" customHeight="1">
      <c r="B23" s="98"/>
      <c r="C23" s="98"/>
      <c r="D23" s="553">
        <f t="shared" si="0"/>
        <v>46100</v>
      </c>
      <c r="E23" s="553" t="s">
        <v>587</v>
      </c>
      <c r="F23" s="230"/>
      <c r="G23" s="93"/>
      <c r="H23" s="93"/>
      <c r="I23" s="90">
        <f t="shared" si="1"/>
        <v>0</v>
      </c>
      <c r="J23" s="214"/>
      <c r="K23" s="214"/>
      <c r="L23" s="249"/>
      <c r="M23" s="331"/>
      <c r="N23" s="331"/>
      <c r="O23" s="249"/>
      <c r="P23" s="331"/>
      <c r="Q23" s="331"/>
      <c r="R23" s="234"/>
      <c r="S23" s="214"/>
      <c r="T23" s="331"/>
      <c r="U23" s="234"/>
      <c r="V23" s="214"/>
      <c r="W23" s="331"/>
    </row>
    <row r="24" spans="2:23" ht="14.45" customHeight="1">
      <c r="B24" s="98"/>
      <c r="C24" s="98"/>
      <c r="D24" s="553">
        <f t="shared" si="0"/>
        <v>46101</v>
      </c>
      <c r="E24" s="553" t="s">
        <v>588</v>
      </c>
      <c r="F24" s="230"/>
      <c r="G24" s="93"/>
      <c r="H24" s="93"/>
      <c r="I24" s="90">
        <f t="shared" si="1"/>
        <v>0</v>
      </c>
      <c r="J24" s="214"/>
      <c r="K24" s="214"/>
      <c r="L24" s="249"/>
      <c r="M24" s="331"/>
      <c r="N24" s="331"/>
      <c r="O24" s="249"/>
      <c r="P24" s="331"/>
      <c r="Q24" s="331"/>
      <c r="R24" s="234"/>
      <c r="S24" s="214"/>
      <c r="T24" s="331"/>
      <c r="U24" s="234"/>
      <c r="V24" s="214"/>
      <c r="W24" s="331"/>
    </row>
    <row r="25" spans="2:23" ht="14.45" customHeight="1">
      <c r="B25" s="98"/>
      <c r="C25" s="98"/>
      <c r="D25" s="553">
        <f t="shared" si="0"/>
        <v>46102</v>
      </c>
      <c r="E25" s="553" t="s">
        <v>589</v>
      </c>
      <c r="F25" s="230"/>
      <c r="G25" s="93"/>
      <c r="H25" s="93"/>
      <c r="I25" s="90">
        <f t="shared" si="1"/>
        <v>0</v>
      </c>
      <c r="J25" s="214"/>
      <c r="K25" s="214"/>
      <c r="L25" s="249"/>
      <c r="M25" s="331"/>
      <c r="N25" s="331"/>
      <c r="O25" s="249"/>
      <c r="P25" s="331"/>
      <c r="Q25" s="331"/>
      <c r="R25" s="234"/>
      <c r="S25" s="214"/>
      <c r="T25" s="331"/>
      <c r="U25" s="234"/>
      <c r="V25" s="214"/>
      <c r="W25" s="331"/>
    </row>
    <row r="26" spans="2:23" ht="14.45" customHeight="1">
      <c r="B26" s="98"/>
      <c r="C26" s="98"/>
      <c r="D26" s="553">
        <f t="shared" si="0"/>
        <v>46103</v>
      </c>
      <c r="E26" s="553" t="s">
        <v>590</v>
      </c>
      <c r="F26" s="230"/>
      <c r="G26" s="93"/>
      <c r="H26" s="93"/>
      <c r="I26" s="90">
        <f t="shared" si="1"/>
        <v>0</v>
      </c>
      <c r="J26" s="214"/>
      <c r="K26" s="214"/>
      <c r="L26" s="249"/>
      <c r="M26" s="331"/>
      <c r="N26" s="331"/>
      <c r="O26" s="249"/>
      <c r="P26" s="331"/>
      <c r="Q26" s="331"/>
      <c r="R26" s="234"/>
      <c r="S26" s="214"/>
      <c r="T26" s="331"/>
      <c r="U26" s="234"/>
      <c r="V26" s="214"/>
      <c r="W26" s="331"/>
    </row>
    <row r="27" spans="2:23" ht="14.45" customHeight="1">
      <c r="B27" s="98"/>
      <c r="C27" s="98"/>
      <c r="D27" s="553">
        <f t="shared" si="0"/>
        <v>46104</v>
      </c>
      <c r="E27" s="553" t="s">
        <v>584</v>
      </c>
      <c r="F27" s="230"/>
      <c r="G27" s="93"/>
      <c r="H27" s="93"/>
      <c r="I27" s="90">
        <f t="shared" si="1"/>
        <v>0</v>
      </c>
      <c r="J27" s="214"/>
      <c r="K27" s="214"/>
      <c r="L27" s="249"/>
      <c r="M27" s="331"/>
      <c r="N27" s="331"/>
      <c r="O27" s="249"/>
      <c r="P27" s="331"/>
      <c r="Q27" s="331"/>
      <c r="R27" s="234"/>
      <c r="S27" s="214"/>
      <c r="T27" s="331"/>
      <c r="U27" s="234"/>
      <c r="V27" s="214"/>
      <c r="W27" s="331"/>
    </row>
    <row r="28" spans="2:23" ht="14.45" customHeight="1">
      <c r="B28" s="98"/>
      <c r="C28" s="98"/>
      <c r="D28" s="519">
        <f t="shared" si="0"/>
        <v>46105</v>
      </c>
      <c r="E28" s="519" t="s">
        <v>585</v>
      </c>
      <c r="F28" s="230"/>
      <c r="G28" s="93" t="e">
        <f>AVERAGE(F28:F34)</f>
        <v>#DIV/0!</v>
      </c>
      <c r="H28" s="93"/>
      <c r="I28" s="90">
        <f t="shared" si="1"/>
        <v>0</v>
      </c>
      <c r="J28" s="214">
        <f>AVERAGE(I28:I34)</f>
        <v>0</v>
      </c>
      <c r="K28" s="214"/>
      <c r="L28" s="249"/>
      <c r="M28" s="331" t="e">
        <f>AVERAGE(L28:L34)</f>
        <v>#DIV/0!</v>
      </c>
      <c r="N28" s="331"/>
      <c r="O28" s="249"/>
      <c r="P28" s="331" t="e">
        <f>AVERAGE(O28:O34)</f>
        <v>#DIV/0!</v>
      </c>
      <c r="Q28" s="331"/>
      <c r="R28" s="234"/>
      <c r="S28" s="214" t="e">
        <f>AVERAGE(R28:R34)</f>
        <v>#DIV/0!</v>
      </c>
      <c r="T28" s="331"/>
      <c r="U28" s="234"/>
      <c r="V28" s="214" t="e">
        <f>AVERAGE(U28:U34)</f>
        <v>#DIV/0!</v>
      </c>
      <c r="W28" s="331"/>
    </row>
    <row r="29" spans="2:23" ht="14.45" customHeight="1">
      <c r="B29" s="98"/>
      <c r="C29" s="98"/>
      <c r="D29" s="554">
        <f t="shared" si="0"/>
        <v>46106</v>
      </c>
      <c r="E29" s="554" t="s">
        <v>586</v>
      </c>
      <c r="F29" s="230"/>
      <c r="G29" s="93"/>
      <c r="H29" s="93"/>
      <c r="I29" s="90">
        <f t="shared" si="1"/>
        <v>0</v>
      </c>
      <c r="J29" s="214"/>
      <c r="K29" s="214"/>
      <c r="L29" s="249"/>
      <c r="M29" s="331"/>
      <c r="N29" s="331"/>
      <c r="O29" s="249"/>
      <c r="P29" s="331"/>
      <c r="Q29" s="331"/>
      <c r="R29" s="234"/>
      <c r="S29" s="214"/>
      <c r="T29" s="331"/>
      <c r="U29" s="234"/>
      <c r="V29" s="214"/>
      <c r="W29" s="331"/>
    </row>
    <row r="30" spans="2:23" ht="14.45" customHeight="1">
      <c r="B30" s="98"/>
      <c r="C30" s="98"/>
      <c r="D30" s="554">
        <f t="shared" si="0"/>
        <v>46107</v>
      </c>
      <c r="E30" s="554" t="s">
        <v>587</v>
      </c>
      <c r="F30" s="230"/>
      <c r="G30" s="93"/>
      <c r="H30" s="93"/>
      <c r="I30" s="90">
        <f t="shared" si="1"/>
        <v>0</v>
      </c>
      <c r="J30" s="214"/>
      <c r="K30" s="214"/>
      <c r="L30" s="249"/>
      <c r="M30" s="331"/>
      <c r="N30" s="331"/>
      <c r="O30" s="249"/>
      <c r="P30" s="331"/>
      <c r="Q30" s="331"/>
      <c r="R30" s="234"/>
      <c r="S30" s="214"/>
      <c r="T30" s="331"/>
      <c r="U30" s="234"/>
      <c r="V30" s="214"/>
      <c r="W30" s="331"/>
    </row>
    <row r="31" spans="2:23" ht="14.45" customHeight="1">
      <c r="B31" s="98"/>
      <c r="C31" s="98"/>
      <c r="D31" s="554">
        <f t="shared" si="0"/>
        <v>46108</v>
      </c>
      <c r="E31" s="554" t="s">
        <v>588</v>
      </c>
      <c r="F31" s="230"/>
      <c r="G31" s="93"/>
      <c r="H31" s="93"/>
      <c r="I31" s="90">
        <f t="shared" si="1"/>
        <v>0</v>
      </c>
      <c r="J31" s="214"/>
      <c r="K31" s="214"/>
      <c r="L31" s="249"/>
      <c r="M31" s="331"/>
      <c r="N31" s="331"/>
      <c r="O31" s="249"/>
      <c r="P31" s="331"/>
      <c r="Q31" s="331"/>
      <c r="R31" s="234"/>
      <c r="S31" s="214"/>
      <c r="T31" s="331"/>
      <c r="U31" s="234"/>
      <c r="V31" s="214"/>
      <c r="W31" s="331"/>
    </row>
    <row r="32" spans="2:23" ht="14.45" customHeight="1">
      <c r="B32" s="98"/>
      <c r="C32" s="98"/>
      <c r="D32" s="554">
        <f t="shared" si="0"/>
        <v>46109</v>
      </c>
      <c r="E32" s="554" t="s">
        <v>589</v>
      </c>
      <c r="F32" s="230"/>
      <c r="G32" s="93"/>
      <c r="H32" s="93"/>
      <c r="I32" s="90">
        <f t="shared" si="1"/>
        <v>0</v>
      </c>
      <c r="J32" s="214"/>
      <c r="K32" s="214"/>
      <c r="L32" s="249"/>
      <c r="M32" s="331"/>
      <c r="N32" s="331"/>
      <c r="O32" s="249"/>
      <c r="P32" s="331"/>
      <c r="Q32" s="331"/>
      <c r="R32" s="234"/>
      <c r="S32" s="214"/>
      <c r="T32" s="331"/>
      <c r="U32" s="234"/>
      <c r="V32" s="214"/>
      <c r="W32" s="331"/>
    </row>
    <row r="33" spans="2:23" ht="14.45" customHeight="1">
      <c r="B33" s="98"/>
      <c r="C33" s="98"/>
      <c r="D33" s="554">
        <f t="shared" si="0"/>
        <v>46110</v>
      </c>
      <c r="E33" s="554" t="s">
        <v>590</v>
      </c>
      <c r="F33" s="230"/>
      <c r="G33" s="93"/>
      <c r="H33" s="93"/>
      <c r="I33" s="90">
        <f t="shared" si="1"/>
        <v>0</v>
      </c>
      <c r="J33" s="214"/>
      <c r="K33" s="214"/>
      <c r="L33" s="249"/>
      <c r="M33" s="331"/>
      <c r="N33" s="331"/>
      <c r="O33" s="249"/>
      <c r="P33" s="331"/>
      <c r="Q33" s="331"/>
      <c r="R33" s="234"/>
      <c r="S33" s="214"/>
      <c r="T33" s="331"/>
      <c r="U33" s="234"/>
      <c r="V33" s="214"/>
      <c r="W33" s="331"/>
    </row>
    <row r="34" spans="2:23" ht="14.45" customHeight="1">
      <c r="B34" s="98"/>
      <c r="C34" s="98"/>
      <c r="D34" s="554">
        <f t="shared" si="0"/>
        <v>46111</v>
      </c>
      <c r="E34" s="554" t="s">
        <v>584</v>
      </c>
      <c r="F34" s="230"/>
      <c r="G34" s="93"/>
      <c r="H34" s="93"/>
      <c r="I34" s="90">
        <f t="shared" si="1"/>
        <v>0</v>
      </c>
      <c r="J34" s="214"/>
      <c r="K34" s="214"/>
      <c r="L34" s="249"/>
      <c r="M34" s="331"/>
      <c r="N34" s="331"/>
      <c r="O34" s="249"/>
      <c r="P34" s="331"/>
      <c r="Q34" s="331"/>
      <c r="R34" s="234"/>
      <c r="S34" s="214"/>
      <c r="T34" s="331"/>
      <c r="U34" s="234"/>
      <c r="V34" s="214"/>
      <c r="W34" s="331"/>
    </row>
    <row r="35" spans="2:23">
      <c r="B35" s="98"/>
      <c r="D35" s="332">
        <f>D34+1</f>
        <v>46112</v>
      </c>
      <c r="E35" s="332" t="s">
        <v>585</v>
      </c>
    </row>
    <row r="36" spans="2:23">
      <c r="B36" s="98"/>
      <c r="C36" s="98"/>
      <c r="D36" s="332">
        <f t="shared" ref="D36:D41" si="2">D35+1</f>
        <v>46113</v>
      </c>
      <c r="E36" s="553" t="s">
        <v>586</v>
      </c>
      <c r="F36" s="230"/>
      <c r="G36" s="93"/>
      <c r="H36" s="93"/>
      <c r="I36" s="90">
        <f t="shared" si="1"/>
        <v>0</v>
      </c>
      <c r="J36" s="214"/>
      <c r="K36" s="214"/>
      <c r="L36" s="249"/>
      <c r="M36" s="214"/>
      <c r="N36" s="331"/>
      <c r="O36" s="249"/>
      <c r="P36" s="214"/>
      <c r="Q36" s="331"/>
      <c r="R36" s="234"/>
      <c r="S36" s="214"/>
      <c r="T36" s="214"/>
      <c r="U36" s="234"/>
      <c r="V36" s="214"/>
      <c r="W36" s="214"/>
    </row>
    <row r="37" spans="2:23">
      <c r="B37" s="98"/>
      <c r="D37" s="332">
        <f t="shared" si="2"/>
        <v>46114</v>
      </c>
      <c r="E37" s="553" t="s">
        <v>587</v>
      </c>
      <c r="F37" s="230"/>
      <c r="G37" s="93"/>
      <c r="H37" s="93"/>
      <c r="I37" s="90">
        <f t="shared" si="1"/>
        <v>0</v>
      </c>
      <c r="J37" s="214"/>
      <c r="K37" s="87"/>
      <c r="L37" s="249"/>
      <c r="M37" s="214"/>
      <c r="N37" s="90"/>
      <c r="O37" s="249"/>
      <c r="P37" s="214"/>
      <c r="Q37" s="90"/>
      <c r="R37" s="234"/>
      <c r="S37" s="214"/>
      <c r="T37" s="214"/>
      <c r="U37" s="234"/>
      <c r="V37" s="214"/>
      <c r="W37" s="214"/>
    </row>
    <row r="38" spans="2:23">
      <c r="B38" s="98"/>
      <c r="D38" s="332">
        <f t="shared" si="2"/>
        <v>46115</v>
      </c>
      <c r="E38" s="553" t="s">
        <v>588</v>
      </c>
      <c r="F38" s="230"/>
      <c r="G38" s="93"/>
      <c r="H38" s="93"/>
      <c r="I38" s="90">
        <f t="shared" si="1"/>
        <v>0</v>
      </c>
      <c r="J38" s="214"/>
      <c r="K38" s="87"/>
      <c r="L38" s="249"/>
      <c r="M38" s="214"/>
      <c r="N38" s="90"/>
      <c r="O38" s="249"/>
      <c r="P38" s="214"/>
      <c r="Q38" s="90"/>
      <c r="R38" s="234"/>
      <c r="S38" s="214"/>
      <c r="T38" s="214"/>
      <c r="U38" s="234"/>
      <c r="V38" s="214"/>
      <c r="W38" s="214"/>
    </row>
    <row r="39" spans="2:23">
      <c r="B39" s="98"/>
      <c r="D39" s="332">
        <f t="shared" si="2"/>
        <v>46116</v>
      </c>
      <c r="E39" s="553" t="s">
        <v>589</v>
      </c>
      <c r="F39" s="230"/>
      <c r="G39" s="93"/>
      <c r="H39" s="93"/>
      <c r="I39" s="90">
        <f t="shared" si="1"/>
        <v>0</v>
      </c>
      <c r="J39" s="214"/>
      <c r="K39" s="87"/>
      <c r="L39" s="249"/>
      <c r="M39" s="214"/>
      <c r="N39" s="90"/>
      <c r="O39" s="249"/>
      <c r="P39" s="214"/>
      <c r="Q39" s="90"/>
      <c r="R39" s="234"/>
      <c r="S39" s="214"/>
      <c r="T39" s="214"/>
      <c r="U39" s="234"/>
      <c r="V39" s="214"/>
      <c r="W39" s="214"/>
    </row>
    <row r="40" spans="2:23">
      <c r="B40" s="98"/>
      <c r="D40" s="332">
        <f t="shared" si="2"/>
        <v>46117</v>
      </c>
      <c r="E40" s="553" t="s">
        <v>590</v>
      </c>
      <c r="F40" s="230"/>
      <c r="G40" s="93"/>
      <c r="H40" s="93"/>
      <c r="I40" s="90">
        <f t="shared" si="1"/>
        <v>0</v>
      </c>
      <c r="J40" s="214"/>
      <c r="K40" s="87"/>
      <c r="L40" s="249"/>
      <c r="M40" s="214"/>
      <c r="N40" s="90"/>
      <c r="O40" s="249"/>
      <c r="P40" s="214"/>
      <c r="Q40" s="90"/>
      <c r="R40" s="234"/>
      <c r="S40" s="214"/>
      <c r="T40" s="214"/>
      <c r="U40" s="234"/>
      <c r="V40" s="214"/>
      <c r="W40" s="214"/>
    </row>
    <row r="41" spans="2:23">
      <c r="B41" s="98"/>
      <c r="D41" s="332">
        <f t="shared" si="2"/>
        <v>46118</v>
      </c>
      <c r="E41" s="553" t="s">
        <v>584</v>
      </c>
    </row>
    <row r="42" spans="2:23">
      <c r="B42" s="98"/>
      <c r="D42" s="86"/>
      <c r="E42" s="86"/>
      <c r="F42" s="312"/>
      <c r="G42" s="93"/>
      <c r="H42" s="93"/>
      <c r="I42" s="90"/>
      <c r="J42" s="214"/>
      <c r="K42" s="87"/>
      <c r="L42" s="318"/>
      <c r="M42" s="90"/>
      <c r="N42" s="90"/>
      <c r="O42" s="318"/>
      <c r="P42" s="90"/>
      <c r="Q42" s="90"/>
      <c r="R42" s="317"/>
      <c r="S42" s="214"/>
      <c r="T42" s="214"/>
      <c r="U42" s="317"/>
      <c r="V42" s="214"/>
      <c r="W42" s="214"/>
    </row>
    <row r="43" spans="2:23">
      <c r="B43" s="98"/>
      <c r="D43" s="86"/>
      <c r="E43" s="86"/>
      <c r="F43" s="312"/>
      <c r="G43" s="93"/>
      <c r="H43" s="93"/>
      <c r="I43" s="90"/>
      <c r="J43" s="214"/>
      <c r="K43" s="87"/>
      <c r="L43" s="318"/>
      <c r="M43" s="90"/>
      <c r="N43" s="90"/>
      <c r="O43" s="318"/>
      <c r="P43" s="90"/>
      <c r="Q43" s="90"/>
      <c r="R43" s="317"/>
      <c r="S43" s="214"/>
      <c r="T43" s="214"/>
      <c r="U43" s="317"/>
      <c r="V43" s="214"/>
      <c r="W43" s="214"/>
    </row>
    <row r="44" spans="2:23">
      <c r="B44" s="98"/>
      <c r="D44" s="86"/>
      <c r="E44" s="86"/>
      <c r="F44" s="312"/>
      <c r="G44" s="93"/>
      <c r="H44" s="93"/>
      <c r="I44" s="90"/>
      <c r="J44" s="214"/>
      <c r="K44" s="87"/>
      <c r="L44" s="318"/>
      <c r="M44" s="90"/>
      <c r="N44" s="90"/>
      <c r="O44" s="318"/>
      <c r="P44" s="90"/>
      <c r="Q44" s="90"/>
      <c r="R44" s="317"/>
      <c r="S44" s="214"/>
      <c r="T44" s="214"/>
      <c r="U44" s="317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I15" sqref="I15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29" t="s">
        <v>319</v>
      </c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629"/>
      <c r="Q2" s="629"/>
      <c r="R2" s="629"/>
      <c r="S2" s="629"/>
      <c r="T2" s="629"/>
      <c r="U2" s="629"/>
      <c r="V2" s="629"/>
      <c r="W2" s="629"/>
      <c r="X2" s="629"/>
      <c r="Y2" s="629"/>
      <c r="Z2" s="629"/>
      <c r="AA2" s="629"/>
      <c r="AB2" s="629"/>
      <c r="AC2" s="629"/>
      <c r="AD2" s="629"/>
      <c r="AE2" s="629"/>
      <c r="AF2" s="629"/>
      <c r="AG2" s="629"/>
      <c r="AH2" s="629"/>
      <c r="AI2" s="629"/>
      <c r="AJ2" s="629"/>
      <c r="AK2" s="629"/>
      <c r="AL2" s="629"/>
    </row>
    <row r="3" spans="1:38" ht="25.35" customHeight="1">
      <c r="B3" s="98"/>
      <c r="C3" s="630" t="s">
        <v>139</v>
      </c>
      <c r="D3" s="631" t="s">
        <v>105</v>
      </c>
      <c r="E3" s="631"/>
      <c r="F3" s="632" t="s">
        <v>357</v>
      </c>
      <c r="G3" s="632"/>
      <c r="H3" s="632"/>
      <c r="I3" s="633" t="s">
        <v>111</v>
      </c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A3" s="633"/>
      <c r="AB3" s="633"/>
      <c r="AC3" s="633"/>
      <c r="AD3" s="633"/>
      <c r="AE3" s="633"/>
      <c r="AF3" s="633"/>
      <c r="AG3" s="633"/>
      <c r="AH3" s="633"/>
      <c r="AI3" s="633"/>
      <c r="AJ3" s="633"/>
      <c r="AK3" s="633"/>
      <c r="AL3" s="633"/>
    </row>
    <row r="4" spans="1:38" ht="25.35" customHeight="1">
      <c r="B4" s="98"/>
      <c r="C4" s="630"/>
      <c r="D4" s="631"/>
      <c r="E4" s="631"/>
      <c r="F4" s="632"/>
      <c r="G4" s="632"/>
      <c r="H4" s="632"/>
      <c r="I4" s="627" t="s">
        <v>140</v>
      </c>
      <c r="J4" s="627"/>
      <c r="K4" s="627"/>
      <c r="L4" s="627"/>
      <c r="M4" s="627"/>
      <c r="N4" s="627"/>
      <c r="O4" s="627" t="s">
        <v>141</v>
      </c>
      <c r="P4" s="627"/>
      <c r="Q4" s="627"/>
      <c r="R4" s="627"/>
      <c r="S4" s="627"/>
      <c r="T4" s="627"/>
      <c r="U4" s="627" t="s">
        <v>343</v>
      </c>
      <c r="V4" s="627"/>
      <c r="W4" s="627" t="s">
        <v>143</v>
      </c>
      <c r="X4" s="627"/>
      <c r="Y4" s="627" t="s">
        <v>134</v>
      </c>
      <c r="Z4" s="627"/>
      <c r="AA4" s="627"/>
      <c r="AB4" s="627"/>
      <c r="AC4" s="627"/>
      <c r="AD4" s="627"/>
      <c r="AE4" s="627" t="s">
        <v>132</v>
      </c>
      <c r="AF4" s="627"/>
      <c r="AG4" s="627" t="s">
        <v>144</v>
      </c>
      <c r="AH4" s="627"/>
      <c r="AI4" s="627" t="s">
        <v>145</v>
      </c>
      <c r="AJ4" s="627"/>
      <c r="AK4" s="627" t="s">
        <v>138</v>
      </c>
      <c r="AL4" s="627"/>
    </row>
    <row r="5" spans="1:38" ht="25.35" customHeight="1">
      <c r="B5" s="98"/>
      <c r="C5" s="630"/>
      <c r="D5" s="631"/>
      <c r="E5" s="631"/>
      <c r="F5" s="626" t="s">
        <v>115</v>
      </c>
      <c r="G5" s="626" t="s">
        <v>117</v>
      </c>
      <c r="H5" s="626" t="s">
        <v>118</v>
      </c>
      <c r="I5" s="627" t="s">
        <v>129</v>
      </c>
      <c r="J5" s="627"/>
      <c r="K5" s="627" t="s">
        <v>130</v>
      </c>
      <c r="L5" s="627"/>
      <c r="M5" s="628" t="s">
        <v>146</v>
      </c>
      <c r="N5" s="627"/>
      <c r="O5" s="627" t="s">
        <v>129</v>
      </c>
      <c r="P5" s="627"/>
      <c r="Q5" s="627" t="s">
        <v>130</v>
      </c>
      <c r="R5" s="627"/>
      <c r="S5" s="628" t="s">
        <v>146</v>
      </c>
      <c r="T5" s="627"/>
      <c r="U5" s="627" t="s">
        <v>129</v>
      </c>
      <c r="V5" s="627"/>
      <c r="W5" s="627" t="s">
        <v>129</v>
      </c>
      <c r="X5" s="627"/>
      <c r="Y5" s="627" t="s">
        <v>129</v>
      </c>
      <c r="Z5" s="627"/>
      <c r="AA5" s="627" t="s">
        <v>130</v>
      </c>
      <c r="AB5" s="627"/>
      <c r="AC5" s="628" t="s">
        <v>146</v>
      </c>
      <c r="AD5" s="627"/>
      <c r="AE5" s="627" t="s">
        <v>129</v>
      </c>
      <c r="AF5" s="627"/>
      <c r="AG5" s="627" t="s">
        <v>129</v>
      </c>
      <c r="AH5" s="627"/>
      <c r="AI5" s="627" t="s">
        <v>129</v>
      </c>
      <c r="AJ5" s="627"/>
      <c r="AK5" s="627" t="s">
        <v>129</v>
      </c>
      <c r="AL5" s="627"/>
    </row>
    <row r="6" spans="1:38" s="80" customFormat="1" ht="23.45" customHeight="1">
      <c r="B6" s="98"/>
      <c r="C6" s="630"/>
      <c r="D6" s="631"/>
      <c r="E6" s="631"/>
      <c r="F6" s="626"/>
      <c r="G6" s="626"/>
      <c r="H6" s="626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83"/>
      <c r="D7" s="86">
        <v>46082</v>
      </c>
      <c r="E7" s="86" t="s">
        <v>590</v>
      </c>
      <c r="F7" s="229">
        <f t="shared" ref="F7" si="0">SUM(M7,S7,U7,W7,AC7,AE7,AG7,AI7,AK7)</f>
        <v>7873403.0000000009</v>
      </c>
      <c r="G7" s="330"/>
      <c r="I7" s="235">
        <v>581077.02022937452</v>
      </c>
      <c r="J7" s="101">
        <f t="shared" ref="J7:J8" si="1">I7/F7</f>
        <v>7.3802524807808578E-2</v>
      </c>
      <c r="K7" s="235">
        <v>761671.41180765233</v>
      </c>
      <c r="L7" s="101">
        <f t="shared" ref="L7:L8" si="2">K7/F7</f>
        <v>9.6739797493873014E-2</v>
      </c>
      <c r="M7" s="228">
        <f t="shared" ref="M7:M8" si="3">SUM(I7+K7)</f>
        <v>1342748.4320370269</v>
      </c>
      <c r="N7" s="101">
        <f t="shared" ref="N7:N8" si="4">M7/F7</f>
        <v>0.17054232230168159</v>
      </c>
      <c r="O7" s="235">
        <v>128878.24916162419</v>
      </c>
      <c r="P7" s="101">
        <f t="shared" ref="P7:P8" si="5">O7/F7</f>
        <v>1.6368811448064347E-2</v>
      </c>
      <c r="Q7" s="235">
        <v>99823.619415771827</v>
      </c>
      <c r="R7" s="101">
        <f t="shared" ref="R7:R8" si="6">Q7/$F7</f>
        <v>1.2678586300710356E-2</v>
      </c>
      <c r="S7" s="228">
        <f t="shared" ref="S7:S8" si="7">SUM(O7+Q7)</f>
        <v>228701.86857739603</v>
      </c>
      <c r="T7" s="101">
        <f t="shared" ref="T7:T8" si="8">S7/F7</f>
        <v>2.9047397748774705E-2</v>
      </c>
      <c r="U7" s="235">
        <v>1347015.3900154359</v>
      </c>
      <c r="V7" s="101">
        <f t="shared" ref="V7:V8" si="9">U7/F7</f>
        <v>0.17108426813862262</v>
      </c>
      <c r="W7" s="235">
        <v>78782.755408236248</v>
      </c>
      <c r="X7" s="101">
        <f t="shared" ref="X7:X8" si="10">W7/F7</f>
        <v>1.0006188608437322E-2</v>
      </c>
      <c r="Y7" s="235">
        <v>591977.98210719263</v>
      </c>
      <c r="Z7" s="101">
        <f t="shared" ref="Z7:Z8" si="11">Y7/F7</f>
        <v>7.5187054709023857E-2</v>
      </c>
      <c r="AA7" s="235">
        <v>1319225.1506001712</v>
      </c>
      <c r="AB7" s="101">
        <f t="shared" ref="AB7:AB8" si="12">AA7/$F7</f>
        <v>0.16755463306021184</v>
      </c>
      <c r="AC7" s="228">
        <f t="shared" ref="AC7:AC8" si="13">SUM(Y7+AA7)</f>
        <v>1911203.1327073639</v>
      </c>
      <c r="AD7" s="101">
        <f t="shared" ref="AD7:AD8" si="14">AC7/F7</f>
        <v>0.24274168776923571</v>
      </c>
      <c r="AE7" s="235">
        <v>1463964.178362913</v>
      </c>
      <c r="AF7" s="101">
        <f t="shared" ref="AF7:AF8" si="15">AE7/F7</f>
        <v>0.18593792015509847</v>
      </c>
      <c r="AG7" s="235">
        <v>171278.17978358612</v>
      </c>
      <c r="AH7" s="101">
        <f t="shared" ref="AH7:AH8" si="16">AG7/F7</f>
        <v>2.1754021708730788E-2</v>
      </c>
      <c r="AI7" s="235">
        <v>804735.61987731699</v>
      </c>
      <c r="AJ7" s="101">
        <f t="shared" ref="AJ7:AJ8" si="17">AI7/F7</f>
        <v>0.10220937755597127</v>
      </c>
      <c r="AK7" s="235">
        <v>524973.44323072582</v>
      </c>
      <c r="AL7" s="101">
        <f t="shared" ref="AL7:AL8" si="18">AK7/F7</f>
        <v>6.6676816013447521E-2</v>
      </c>
    </row>
    <row r="8" spans="1:38" ht="14.25">
      <c r="B8" s="98"/>
      <c r="C8" s="455"/>
      <c r="D8" s="86">
        <f t="shared" ref="D8:D36" si="19">D7+1</f>
        <v>46083</v>
      </c>
      <c r="E8" s="519" t="s">
        <v>584</v>
      </c>
      <c r="F8" s="229">
        <f>SUM(M8,S8,U8,W8,AC8,AE8,AG8,AI8,AK8)</f>
        <v>7734716</v>
      </c>
      <c r="G8" s="330">
        <f>SUM(F7:F8)</f>
        <v>15608119</v>
      </c>
      <c r="I8" s="235">
        <v>555949.32947180723</v>
      </c>
      <c r="J8" s="101">
        <f t="shared" si="1"/>
        <v>7.187714836224203E-2</v>
      </c>
      <c r="K8" s="235">
        <v>821456.18609971215</v>
      </c>
      <c r="L8" s="101">
        <f t="shared" si="2"/>
        <v>0.1062037941793483</v>
      </c>
      <c r="M8" s="228">
        <f t="shared" si="3"/>
        <v>1377405.5155715193</v>
      </c>
      <c r="N8" s="101">
        <f t="shared" si="4"/>
        <v>0.17808094254159032</v>
      </c>
      <c r="O8" s="235">
        <v>120636.15440372005</v>
      </c>
      <c r="P8" s="101">
        <f t="shared" si="5"/>
        <v>1.5596714139694341E-2</v>
      </c>
      <c r="Q8" s="235">
        <v>98531.538444398495</v>
      </c>
      <c r="R8" s="101">
        <f t="shared" si="6"/>
        <v>1.2738869590609209E-2</v>
      </c>
      <c r="S8" s="228">
        <f t="shared" si="7"/>
        <v>219167.69284811855</v>
      </c>
      <c r="T8" s="101">
        <f t="shared" si="8"/>
        <v>2.8335583730303548E-2</v>
      </c>
      <c r="U8" s="235">
        <v>1225116.8598559932</v>
      </c>
      <c r="V8" s="101">
        <f t="shared" si="9"/>
        <v>0.15839196421122548</v>
      </c>
      <c r="W8" s="235">
        <v>86893.491830765139</v>
      </c>
      <c r="X8" s="101">
        <f t="shared" si="10"/>
        <v>1.1234218791066813E-2</v>
      </c>
      <c r="Y8" s="235">
        <v>566172.94450137648</v>
      </c>
      <c r="Z8" s="101">
        <f t="shared" si="11"/>
        <v>7.3198931221440638E-2</v>
      </c>
      <c r="AA8" s="235">
        <v>1606149.4447851323</v>
      </c>
      <c r="AB8" s="101">
        <f t="shared" si="12"/>
        <v>0.20765461133739524</v>
      </c>
      <c r="AC8" s="228">
        <f t="shared" si="13"/>
        <v>2172322.3892865088</v>
      </c>
      <c r="AD8" s="101">
        <f t="shared" si="14"/>
        <v>0.28085354255883588</v>
      </c>
      <c r="AE8" s="235">
        <v>1294036.7748332473</v>
      </c>
      <c r="AF8" s="101">
        <f t="shared" si="15"/>
        <v>0.16730242905275997</v>
      </c>
      <c r="AG8" s="235">
        <v>166950.26531185745</v>
      </c>
      <c r="AH8" s="101">
        <f t="shared" si="16"/>
        <v>2.1584537210138997E-2</v>
      </c>
      <c r="AI8" s="235">
        <v>661556.40495269338</v>
      </c>
      <c r="AJ8" s="101">
        <f t="shared" si="17"/>
        <v>8.553079453113642E-2</v>
      </c>
      <c r="AK8" s="235">
        <v>531266.60550929571</v>
      </c>
      <c r="AL8" s="101">
        <f t="shared" si="18"/>
        <v>6.8685987372942417E-2</v>
      </c>
    </row>
    <row r="9" spans="1:38" ht="14.25">
      <c r="B9" s="98"/>
      <c r="C9" s="98"/>
      <c r="D9" s="332">
        <f t="shared" si="19"/>
        <v>46084</v>
      </c>
      <c r="E9" s="332" t="s">
        <v>585</v>
      </c>
      <c r="F9" s="229">
        <f t="shared" ref="F9:F45" si="20">SUM(M9,S9,U9,W9,AC9,AE9,AG9,AI9,AK9)</f>
        <v>8673469.9999999981</v>
      </c>
      <c r="G9" s="330">
        <f>SUM(F9:F15)</f>
        <v>53050900.999999993</v>
      </c>
      <c r="I9" s="235">
        <v>599048.48849725793</v>
      </c>
      <c r="J9" s="101">
        <f t="shared" ref="J9:J13" si="21">I9/F9</f>
        <v>6.906676203379479E-2</v>
      </c>
      <c r="K9" s="235">
        <v>807362.48109584197</v>
      </c>
      <c r="L9" s="101">
        <f t="shared" ref="L9:L13" si="22">K9/F9</f>
        <v>9.3084138308640277E-2</v>
      </c>
      <c r="M9" s="228">
        <f t="shared" ref="M9:M13" si="23">SUM(I9+K9)</f>
        <v>1406410.9695930998</v>
      </c>
      <c r="N9" s="101">
        <f t="shared" ref="N9:N13" si="24">M9/F9</f>
        <v>0.16215090034243504</v>
      </c>
      <c r="O9" s="235">
        <v>173855.49876054292</v>
      </c>
      <c r="P9" s="101">
        <f t="shared" ref="P9:P13" si="25">O9/F9</f>
        <v>2.0044514912779195E-2</v>
      </c>
      <c r="Q9" s="235">
        <v>101899.05385789051</v>
      </c>
      <c r="R9" s="101">
        <f t="shared" ref="R9:R14" si="26">Q9/$F9</f>
        <v>1.1748360674319567E-2</v>
      </c>
      <c r="S9" s="228">
        <f t="shared" ref="S9:S14" si="27">SUM(O9+Q9)</f>
        <v>275754.55261843343</v>
      </c>
      <c r="T9" s="101">
        <f t="shared" ref="T9:T13" si="28">S9/F9</f>
        <v>3.1792875587098764E-2</v>
      </c>
      <c r="U9" s="235">
        <v>1138944.8523112326</v>
      </c>
      <c r="V9" s="101">
        <f t="shared" ref="V9:V13" si="29">U9/F9</f>
        <v>0.13131363252668574</v>
      </c>
      <c r="W9" s="235">
        <v>85999.317990531345</v>
      </c>
      <c r="X9" s="101">
        <f t="shared" ref="X9:X13" si="30">W9/F9</f>
        <v>9.9152147860696316E-3</v>
      </c>
      <c r="Y9" s="235">
        <v>1049906.9457011053</v>
      </c>
      <c r="Z9" s="101">
        <f t="shared" ref="Z9:Z13" si="31">Y9/F9</f>
        <v>0.12104808637155666</v>
      </c>
      <c r="AA9" s="235">
        <v>1527770.9003060122</v>
      </c>
      <c r="AB9" s="101">
        <f t="shared" ref="AB9:AB14" si="32">AA9/$F9</f>
        <v>0.17614298548401189</v>
      </c>
      <c r="AC9" s="228">
        <f t="shared" ref="AC9:AC13" si="33">SUM(Y9+AA9)</f>
        <v>2577677.8460071175</v>
      </c>
      <c r="AD9" s="101">
        <f t="shared" ref="AD9:AD13" si="34">AC9/F9</f>
        <v>0.29719107185556853</v>
      </c>
      <c r="AE9" s="235">
        <v>1461909.8207019519</v>
      </c>
      <c r="AF9" s="101">
        <f t="shared" ref="AF9:AF13" si="35">AE9/F9</f>
        <v>0.16854959095978336</v>
      </c>
      <c r="AG9" s="235">
        <v>489805.47826294811</v>
      </c>
      <c r="AH9" s="101">
        <f t="shared" ref="AH9:AH13" si="36">AG9/F9</f>
        <v>5.6471686448785571E-2</v>
      </c>
      <c r="AI9" s="235">
        <v>714624.81751432107</v>
      </c>
      <c r="AJ9" s="101">
        <f t="shared" ref="AJ9:AJ13" si="37">AI9/F9</f>
        <v>8.2392031968095955E-2</v>
      </c>
      <c r="AK9" s="235">
        <v>522342.34500036342</v>
      </c>
      <c r="AL9" s="101">
        <f t="shared" ref="AL9:AL13" si="38">AK9/F9</f>
        <v>6.0222995525477524E-2</v>
      </c>
    </row>
    <row r="10" spans="1:38" ht="14.25">
      <c r="B10" s="98"/>
      <c r="C10" s="98"/>
      <c r="D10" s="553">
        <f t="shared" si="19"/>
        <v>46085</v>
      </c>
      <c r="E10" s="553" t="s">
        <v>586</v>
      </c>
      <c r="F10" s="229">
        <f t="shared" si="20"/>
        <v>7833391</v>
      </c>
      <c r="G10" s="330"/>
      <c r="H10" s="364"/>
      <c r="I10" s="235">
        <v>574500.59363147698</v>
      </c>
      <c r="J10" s="101">
        <f t="shared" si="21"/>
        <v>7.3339961407706697E-2</v>
      </c>
      <c r="K10" s="235">
        <v>791606.92655001755</v>
      </c>
      <c r="L10" s="101">
        <f t="shared" si="22"/>
        <v>0.1010554594491731</v>
      </c>
      <c r="M10" s="228">
        <f t="shared" si="23"/>
        <v>1366107.5201814945</v>
      </c>
      <c r="N10" s="101">
        <f t="shared" si="24"/>
        <v>0.17439542085687981</v>
      </c>
      <c r="O10" s="235">
        <v>161906.77587211499</v>
      </c>
      <c r="P10" s="101">
        <f t="shared" si="25"/>
        <v>2.0668797953799955E-2</v>
      </c>
      <c r="Q10" s="235">
        <v>104167.97226051525</v>
      </c>
      <c r="R10" s="101">
        <f t="shared" si="26"/>
        <v>1.3297941116499259E-2</v>
      </c>
      <c r="S10" s="228">
        <f t="shared" si="27"/>
        <v>266074.74813263025</v>
      </c>
      <c r="T10" s="101">
        <f t="shared" si="28"/>
        <v>3.3966739070299214E-2</v>
      </c>
      <c r="U10" s="235">
        <v>1103700.907123541</v>
      </c>
      <c r="V10" s="101">
        <f t="shared" si="29"/>
        <v>0.14089695090204754</v>
      </c>
      <c r="W10" s="235">
        <v>89672.202546484841</v>
      </c>
      <c r="X10" s="101">
        <f t="shared" si="30"/>
        <v>1.144743094612344E-2</v>
      </c>
      <c r="Y10" s="235">
        <v>742604.48224355641</v>
      </c>
      <c r="Z10" s="101">
        <f t="shared" si="31"/>
        <v>9.479987431286864E-2</v>
      </c>
      <c r="AA10" s="235">
        <v>1415014.9878923649</v>
      </c>
      <c r="AB10" s="101">
        <f t="shared" si="32"/>
        <v>0.18063888141066428</v>
      </c>
      <c r="AC10" s="228">
        <f t="shared" si="33"/>
        <v>2157619.4701359211</v>
      </c>
      <c r="AD10" s="101">
        <f t="shared" si="34"/>
        <v>0.27543875572353288</v>
      </c>
      <c r="AE10" s="235">
        <v>1245887.6697718054</v>
      </c>
      <c r="AF10" s="101">
        <f t="shared" si="35"/>
        <v>0.15904831889175522</v>
      </c>
      <c r="AG10" s="235">
        <v>333441.73953444569</v>
      </c>
      <c r="AH10" s="101">
        <f t="shared" si="36"/>
        <v>4.2566717215372717E-2</v>
      </c>
      <c r="AI10" s="235">
        <v>771766.93345524441</v>
      </c>
      <c r="AJ10" s="101">
        <f t="shared" si="37"/>
        <v>9.8522713018569408E-2</v>
      </c>
      <c r="AK10" s="235">
        <v>499119.80911843292</v>
      </c>
      <c r="AL10" s="101">
        <f t="shared" si="38"/>
        <v>6.3716953375419785E-2</v>
      </c>
    </row>
    <row r="11" spans="1:38" ht="14.25">
      <c r="B11" s="98"/>
      <c r="C11" s="98"/>
      <c r="D11" s="553">
        <f t="shared" si="19"/>
        <v>46086</v>
      </c>
      <c r="E11" s="553" t="s">
        <v>587</v>
      </c>
      <c r="F11" s="229">
        <f t="shared" si="20"/>
        <v>7120933.9999999981</v>
      </c>
      <c r="G11" s="330"/>
      <c r="H11" s="364"/>
      <c r="I11" s="235">
        <v>577258.23451066879</v>
      </c>
      <c r="J11" s="101">
        <f t="shared" si="21"/>
        <v>8.1064960651323112E-2</v>
      </c>
      <c r="K11" s="235">
        <v>380319.43557948014</v>
      </c>
      <c r="L11" s="101">
        <f t="shared" si="22"/>
        <v>5.3408644930493701E-2</v>
      </c>
      <c r="M11" s="228">
        <f t="shared" si="23"/>
        <v>957577.67009014892</v>
      </c>
      <c r="N11" s="101">
        <f t="shared" si="24"/>
        <v>0.13447360558181681</v>
      </c>
      <c r="O11" s="235">
        <v>156972.85470918118</v>
      </c>
      <c r="P11" s="101">
        <f t="shared" si="25"/>
        <v>2.2043857548627921E-2</v>
      </c>
      <c r="Q11" s="235">
        <v>103803.96147077481</v>
      </c>
      <c r="R11" s="101">
        <f t="shared" si="26"/>
        <v>1.4577295825347466E-2</v>
      </c>
      <c r="S11" s="228">
        <f t="shared" si="27"/>
        <v>260776.81617995599</v>
      </c>
      <c r="T11" s="101">
        <f t="shared" si="28"/>
        <v>3.6621153373975389E-2</v>
      </c>
      <c r="U11" s="235">
        <v>1092275.607590416</v>
      </c>
      <c r="V11" s="101">
        <f t="shared" si="29"/>
        <v>0.15338937386449816</v>
      </c>
      <c r="W11" s="235">
        <v>93297.763491465186</v>
      </c>
      <c r="X11" s="101">
        <f t="shared" si="30"/>
        <v>1.3101899763635671E-2</v>
      </c>
      <c r="Y11" s="235">
        <v>774871.93017307064</v>
      </c>
      <c r="Z11" s="101">
        <f t="shared" si="31"/>
        <v>0.10881605280614465</v>
      </c>
      <c r="AA11" s="235">
        <v>1231694.6968580561</v>
      </c>
      <c r="AB11" s="101">
        <f t="shared" si="32"/>
        <v>0.17296813828888968</v>
      </c>
      <c r="AC11" s="228">
        <f t="shared" si="33"/>
        <v>2006566.6270311268</v>
      </c>
      <c r="AD11" s="101">
        <f t="shared" si="34"/>
        <v>0.28178419109503433</v>
      </c>
      <c r="AE11" s="235">
        <v>1227772.3323042481</v>
      </c>
      <c r="AF11" s="101">
        <f t="shared" si="35"/>
        <v>0.17241731664754209</v>
      </c>
      <c r="AG11" s="235">
        <v>328809.91364091216</v>
      </c>
      <c r="AH11" s="101">
        <f t="shared" si="36"/>
        <v>4.6175110405588964E-2</v>
      </c>
      <c r="AI11" s="235">
        <v>629918.61034464196</v>
      </c>
      <c r="AJ11" s="101">
        <f t="shared" si="37"/>
        <v>8.8460110758594612E-2</v>
      </c>
      <c r="AK11" s="235">
        <v>523938.65932708321</v>
      </c>
      <c r="AL11" s="101">
        <f t="shared" si="38"/>
        <v>7.3577238509313997E-2</v>
      </c>
    </row>
    <row r="12" spans="1:38" ht="14.25">
      <c r="B12" s="98"/>
      <c r="C12" s="98"/>
      <c r="D12" s="553">
        <f t="shared" si="19"/>
        <v>46087</v>
      </c>
      <c r="E12" s="553" t="s">
        <v>588</v>
      </c>
      <c r="F12" s="229">
        <f t="shared" si="20"/>
        <v>6319241</v>
      </c>
      <c r="G12" s="330"/>
      <c r="H12" s="364">
        <f>SUM(F7:F37)</f>
        <v>68659020</v>
      </c>
      <c r="I12" s="235">
        <v>489690.28595399106</v>
      </c>
      <c r="J12" s="101">
        <f t="shared" si="21"/>
        <v>7.7491946573012657E-2</v>
      </c>
      <c r="K12" s="235">
        <v>685379.2668516062</v>
      </c>
      <c r="L12" s="101">
        <f t="shared" si="22"/>
        <v>0.10845911191733409</v>
      </c>
      <c r="M12" s="228">
        <f t="shared" si="23"/>
        <v>1175069.5528055972</v>
      </c>
      <c r="N12" s="101">
        <f t="shared" si="24"/>
        <v>0.18595105849034674</v>
      </c>
      <c r="O12" s="235">
        <v>127828.57294226866</v>
      </c>
      <c r="P12" s="101">
        <f t="shared" si="25"/>
        <v>2.0228469359258282E-2</v>
      </c>
      <c r="Q12" s="235">
        <v>80895.614115522068</v>
      </c>
      <c r="R12" s="101">
        <f t="shared" si="26"/>
        <v>1.2801476334819652E-2</v>
      </c>
      <c r="S12" s="228">
        <f t="shared" si="27"/>
        <v>208724.18705779072</v>
      </c>
      <c r="T12" s="101">
        <f t="shared" si="28"/>
        <v>3.3029945694077932E-2</v>
      </c>
      <c r="U12" s="235">
        <v>954950.41584585793</v>
      </c>
      <c r="V12" s="101">
        <f t="shared" si="29"/>
        <v>0.15111789783707535</v>
      </c>
      <c r="W12" s="235">
        <v>64510.228285708472</v>
      </c>
      <c r="X12" s="101">
        <f t="shared" si="30"/>
        <v>1.0208540596205852E-2</v>
      </c>
      <c r="Y12" s="235">
        <v>615058.356888982</v>
      </c>
      <c r="Z12" s="101">
        <f t="shared" si="31"/>
        <v>9.7331049233441491E-2</v>
      </c>
      <c r="AA12" s="235">
        <v>1233662.2966318505</v>
      </c>
      <c r="AB12" s="101">
        <f t="shared" si="32"/>
        <v>0.19522317579466436</v>
      </c>
      <c r="AC12" s="228">
        <f t="shared" si="33"/>
        <v>1848720.6535208325</v>
      </c>
      <c r="AD12" s="101">
        <f t="shared" si="34"/>
        <v>0.29255422502810585</v>
      </c>
      <c r="AE12" s="235">
        <v>955746.50489904091</v>
      </c>
      <c r="AF12" s="101">
        <f t="shared" si="35"/>
        <v>0.15124387642424794</v>
      </c>
      <c r="AG12" s="235">
        <v>204746.63282820967</v>
      </c>
      <c r="AH12" s="101">
        <f t="shared" si="36"/>
        <v>3.2400510255616091E-2</v>
      </c>
      <c r="AI12" s="235">
        <v>467834.97331038362</v>
      </c>
      <c r="AJ12" s="101">
        <f t="shared" si="37"/>
        <v>7.4033412131359388E-2</v>
      </c>
      <c r="AK12" s="235">
        <v>438937.85144657869</v>
      </c>
      <c r="AL12" s="101">
        <f t="shared" si="38"/>
        <v>6.9460533542964845E-2</v>
      </c>
    </row>
    <row r="13" spans="1:38" ht="14.25">
      <c r="B13" s="98"/>
      <c r="C13" s="98"/>
      <c r="D13" s="553">
        <f t="shared" si="19"/>
        <v>46088</v>
      </c>
      <c r="E13" s="553" t="s">
        <v>589</v>
      </c>
      <c r="F13" s="229">
        <f t="shared" si="20"/>
        <v>6868139.9999999981</v>
      </c>
      <c r="G13" s="330"/>
      <c r="H13" s="364"/>
      <c r="I13" s="235">
        <v>472783.93360303727</v>
      </c>
      <c r="J13" s="101">
        <f t="shared" si="21"/>
        <v>6.8837259229287323E-2</v>
      </c>
      <c r="K13" s="235">
        <v>749082.40974737646</v>
      </c>
      <c r="L13" s="101">
        <f t="shared" si="22"/>
        <v>0.10906626972475469</v>
      </c>
      <c r="M13" s="228">
        <f t="shared" si="23"/>
        <v>1221866.3433504137</v>
      </c>
      <c r="N13" s="101">
        <f t="shared" si="24"/>
        <v>0.17790352895404202</v>
      </c>
      <c r="O13" s="235">
        <v>125687.95222780659</v>
      </c>
      <c r="P13" s="101">
        <f t="shared" si="25"/>
        <v>1.8300144176997938E-2</v>
      </c>
      <c r="Q13" s="235">
        <v>76531.951754382739</v>
      </c>
      <c r="R13" s="101">
        <f t="shared" si="26"/>
        <v>1.1143038982079976E-2</v>
      </c>
      <c r="S13" s="228">
        <f t="shared" si="27"/>
        <v>202219.90398218931</v>
      </c>
      <c r="T13" s="101">
        <f t="shared" si="28"/>
        <v>2.9443183159077912E-2</v>
      </c>
      <c r="U13" s="235">
        <v>1051216.4498875891</v>
      </c>
      <c r="V13" s="101">
        <f t="shared" si="29"/>
        <v>0.15305693388422328</v>
      </c>
      <c r="W13" s="235">
        <v>68649.44770136624</v>
      </c>
      <c r="X13" s="101">
        <f t="shared" si="30"/>
        <v>9.9953477508271903E-3</v>
      </c>
      <c r="Y13" s="235">
        <v>693542.66225563677</v>
      </c>
      <c r="Z13" s="101">
        <f t="shared" si="31"/>
        <v>0.10097969206446533</v>
      </c>
      <c r="AA13" s="235">
        <v>1309634.6895607375</v>
      </c>
      <c r="AB13" s="101">
        <f t="shared" si="32"/>
        <v>0.19068258503186275</v>
      </c>
      <c r="AC13" s="228">
        <f t="shared" si="33"/>
        <v>2003177.3518163743</v>
      </c>
      <c r="AD13" s="101">
        <f t="shared" si="34"/>
        <v>0.29166227709632808</v>
      </c>
      <c r="AE13" s="235">
        <v>1082427.9927879472</v>
      </c>
      <c r="AF13" s="101">
        <f t="shared" si="35"/>
        <v>0.15760132914995145</v>
      </c>
      <c r="AG13" s="235">
        <v>248575.96137494352</v>
      </c>
      <c r="AH13" s="101">
        <f t="shared" si="36"/>
        <v>3.619261712413311E-2</v>
      </c>
      <c r="AI13" s="235">
        <v>505763.27934672171</v>
      </c>
      <c r="AJ13" s="101">
        <f t="shared" si="37"/>
        <v>7.3639046284251899E-2</v>
      </c>
      <c r="AK13" s="235">
        <v>484243.26975245384</v>
      </c>
      <c r="AL13" s="101">
        <f t="shared" si="38"/>
        <v>7.0505736597165164E-2</v>
      </c>
    </row>
    <row r="14" spans="1:38" ht="14.25">
      <c r="B14" s="98"/>
      <c r="C14" s="98"/>
      <c r="D14" s="553">
        <f t="shared" si="19"/>
        <v>46089</v>
      </c>
      <c r="E14" s="553" t="s">
        <v>590</v>
      </c>
      <c r="F14" s="229">
        <f t="shared" si="20"/>
        <v>8317812.9999999991</v>
      </c>
      <c r="G14" s="330"/>
      <c r="H14" s="364"/>
      <c r="I14" s="235">
        <v>608951.64733929129</v>
      </c>
      <c r="J14" s="101">
        <f>I14/F14</f>
        <v>7.3210547933608427E-2</v>
      </c>
      <c r="K14" s="235">
        <v>803243.20910682983</v>
      </c>
      <c r="L14" s="101">
        <f>K14/F14</f>
        <v>9.6569039134064436E-2</v>
      </c>
      <c r="M14" s="228">
        <f>SUM(I14+K14)</f>
        <v>1412194.8564461211</v>
      </c>
      <c r="N14" s="101">
        <f>M14/F14</f>
        <v>0.16977958706767288</v>
      </c>
      <c r="O14" s="235">
        <v>168147.7320932188</v>
      </c>
      <c r="P14" s="101">
        <f>O14/F14</f>
        <v>2.0215377779377684E-2</v>
      </c>
      <c r="Q14" s="235">
        <v>95145.066383164871</v>
      </c>
      <c r="R14" s="101">
        <f t="shared" si="26"/>
        <v>1.1438711880534568E-2</v>
      </c>
      <c r="S14" s="228">
        <f t="shared" si="27"/>
        <v>263292.79847638367</v>
      </c>
      <c r="T14" s="101">
        <f>S14/F14</f>
        <v>3.1654089659912253E-2</v>
      </c>
      <c r="U14" s="235">
        <v>1265231.9747126724</v>
      </c>
      <c r="V14" s="101">
        <f>U14/F14</f>
        <v>0.15211113482746877</v>
      </c>
      <c r="W14" s="235">
        <v>64403.775714438358</v>
      </c>
      <c r="X14" s="101">
        <f>W14/F14</f>
        <v>7.7428737234701431E-3</v>
      </c>
      <c r="Y14" s="235">
        <v>863927.60431761364</v>
      </c>
      <c r="Z14" s="101">
        <f>Y14/F14</f>
        <v>0.10386475439128215</v>
      </c>
      <c r="AA14" s="235">
        <v>1447241.6613516193</v>
      </c>
      <c r="AB14" s="101">
        <f t="shared" si="32"/>
        <v>0.17399305098006165</v>
      </c>
      <c r="AC14" s="228">
        <f>SUM(Y14+AA14)</f>
        <v>2311169.2656692332</v>
      </c>
      <c r="AD14" s="101">
        <f>AC14/F14</f>
        <v>0.2778578053713438</v>
      </c>
      <c r="AE14" s="235">
        <v>1440614.0462457032</v>
      </c>
      <c r="AF14" s="101">
        <f>AE14/F14</f>
        <v>0.17319625317925558</v>
      </c>
      <c r="AG14" s="235">
        <v>362695.10994929302</v>
      </c>
      <c r="AH14" s="101">
        <f>AG14/F14</f>
        <v>4.3604624190191947E-2</v>
      </c>
      <c r="AI14" s="235">
        <v>684369.00390873605</v>
      </c>
      <c r="AJ14" s="101">
        <f>AI14/F14</f>
        <v>8.2277517408570755E-2</v>
      </c>
      <c r="AK14" s="235">
        <v>513842.16887741839</v>
      </c>
      <c r="AL14" s="101">
        <f>AK14/F14</f>
        <v>6.1776114572113898E-2</v>
      </c>
    </row>
    <row r="15" spans="1:38" ht="14.25">
      <c r="B15" s="98"/>
      <c r="C15" s="98"/>
      <c r="D15" s="553">
        <f t="shared" si="19"/>
        <v>46090</v>
      </c>
      <c r="E15" s="553" t="s">
        <v>584</v>
      </c>
      <c r="F15" s="229">
        <f t="shared" si="20"/>
        <v>7917912.0000000009</v>
      </c>
      <c r="G15" s="330"/>
      <c r="H15" s="364"/>
      <c r="I15" s="235">
        <v>582501.40192617313</v>
      </c>
      <c r="J15" s="101">
        <f t="shared" ref="J15" si="39">I15/F15</f>
        <v>7.3567551890722338E-2</v>
      </c>
      <c r="K15" s="235">
        <v>793317.77464415669</v>
      </c>
      <c r="L15" s="101">
        <f t="shared" ref="L15" si="40">K15/F15</f>
        <v>0.10019280015288837</v>
      </c>
      <c r="M15" s="228">
        <f t="shared" ref="M15" si="41">SUM(I15+K15)</f>
        <v>1375819.1765703298</v>
      </c>
      <c r="N15" s="101">
        <f t="shared" ref="N15" si="42">M15/F15</f>
        <v>0.17376035204361071</v>
      </c>
      <c r="O15" s="235">
        <v>153311.00462881909</v>
      </c>
      <c r="P15" s="101">
        <f t="shared" ref="P15" si="43">O15/F15</f>
        <v>1.9362554752922118E-2</v>
      </c>
      <c r="Q15" s="235">
        <v>95472.577244691172</v>
      </c>
      <c r="R15" s="101">
        <f t="shared" ref="R15" si="44">Q15/$F15</f>
        <v>1.2057797212786801E-2</v>
      </c>
      <c r="S15" s="228">
        <f t="shared" ref="S15" si="45">SUM(O15+Q15)</f>
        <v>248783.58187351027</v>
      </c>
      <c r="T15" s="101">
        <f t="shared" ref="T15" si="46">S15/F15</f>
        <v>3.1420351965708922E-2</v>
      </c>
      <c r="U15" s="235">
        <v>1240969.737785073</v>
      </c>
      <c r="V15" s="101">
        <f t="shared" ref="V15" si="47">U15/F15</f>
        <v>0.15672941777896407</v>
      </c>
      <c r="W15" s="235">
        <v>77649.439176638305</v>
      </c>
      <c r="X15" s="101">
        <f t="shared" ref="X15" si="48">W15/F15</f>
        <v>9.8068075493436008E-3</v>
      </c>
      <c r="Y15" s="235">
        <v>725764.36329733266</v>
      </c>
      <c r="Z15" s="101">
        <f t="shared" ref="Z15" si="49">Y15/F15</f>
        <v>9.1661079751496677E-2</v>
      </c>
      <c r="AA15" s="235">
        <v>1436661.7524740177</v>
      </c>
      <c r="AB15" s="101">
        <f t="shared" ref="AB15" si="50">AA15/$F15</f>
        <v>0.18144452129223179</v>
      </c>
      <c r="AC15" s="228">
        <f t="shared" ref="AC15" si="51">SUM(Y15+AA15)</f>
        <v>2162426.1157713505</v>
      </c>
      <c r="AD15" s="101">
        <f t="shared" ref="AD15" si="52">AC15/F15</f>
        <v>0.2731056010437285</v>
      </c>
      <c r="AE15" s="235">
        <v>1244898.1881059313</v>
      </c>
      <c r="AF15" s="101">
        <f t="shared" ref="AF15" si="53">AE15/F15</f>
        <v>0.15722556503607657</v>
      </c>
      <c r="AG15" s="235">
        <v>258228.1508626134</v>
      </c>
      <c r="AH15" s="101">
        <f t="shared" ref="AH15" si="54">AG15/F15</f>
        <v>3.2613162518428267E-2</v>
      </c>
      <c r="AI15" s="235">
        <v>756710.68145780347</v>
      </c>
      <c r="AJ15" s="101">
        <f t="shared" ref="AJ15" si="55">AI15/F15</f>
        <v>9.5569473550325315E-2</v>
      </c>
      <c r="AK15" s="235">
        <v>552426.92839675013</v>
      </c>
      <c r="AL15" s="101">
        <f t="shared" ref="AL15" si="56">AK15/F15</f>
        <v>6.9769268513814001E-2</v>
      </c>
    </row>
    <row r="16" spans="1:38" ht="14.25">
      <c r="B16" s="98"/>
      <c r="C16" s="98"/>
      <c r="D16" s="519">
        <f t="shared" si="19"/>
        <v>46091</v>
      </c>
      <c r="E16" s="519" t="s">
        <v>585</v>
      </c>
      <c r="F16" s="229">
        <f t="shared" si="20"/>
        <v>0</v>
      </c>
      <c r="G16" s="330">
        <f>SUM(F16:F22)</f>
        <v>0</v>
      </c>
      <c r="H16" s="364"/>
      <c r="I16" s="235"/>
      <c r="J16" s="101" t="e">
        <f t="shared" ref="J16:J41" si="57">I16/F16</f>
        <v>#DIV/0!</v>
      </c>
      <c r="K16" s="235"/>
      <c r="L16" s="101" t="e">
        <f t="shared" ref="L16:L41" si="58">K16/F16</f>
        <v>#DIV/0!</v>
      </c>
      <c r="M16" s="228">
        <f t="shared" ref="M16:M41" si="59">SUM(I16+K16)</f>
        <v>0</v>
      </c>
      <c r="N16" s="101" t="e">
        <f t="shared" ref="N16:N41" si="60">M16/F16</f>
        <v>#DIV/0!</v>
      </c>
      <c r="O16" s="235"/>
      <c r="P16" s="101" t="e">
        <f t="shared" ref="P16:P41" si="61">O16/F16</f>
        <v>#DIV/0!</v>
      </c>
      <c r="Q16" s="235"/>
      <c r="R16" s="101" t="e">
        <f t="shared" ref="R16:R45" si="62">Q16/$F16</f>
        <v>#DIV/0!</v>
      </c>
      <c r="S16" s="228">
        <f t="shared" ref="S16:S45" si="63">SUM(O16+Q16)</f>
        <v>0</v>
      </c>
      <c r="T16" s="101" t="e">
        <f t="shared" ref="T16:T41" si="64">S16/F16</f>
        <v>#DIV/0!</v>
      </c>
      <c r="U16" s="235"/>
      <c r="V16" s="101" t="e">
        <f t="shared" ref="V16:V41" si="65">U16/F16</f>
        <v>#DIV/0!</v>
      </c>
      <c r="W16" s="235"/>
      <c r="X16" s="101" t="e">
        <f t="shared" ref="X16:X41" si="66">W16/F16</f>
        <v>#DIV/0!</v>
      </c>
      <c r="Y16" s="235"/>
      <c r="Z16" s="101" t="e">
        <f t="shared" ref="Z16:Z41" si="67">Y16/F16</f>
        <v>#DIV/0!</v>
      </c>
      <c r="AA16" s="235"/>
      <c r="AB16" s="101" t="e">
        <f t="shared" ref="AB16:AB45" si="68">AA16/$F16</f>
        <v>#DIV/0!</v>
      </c>
      <c r="AC16" s="228">
        <f t="shared" ref="AC16:AC41" si="69">SUM(Y16+AA16)</f>
        <v>0</v>
      </c>
      <c r="AD16" s="101" t="e">
        <f t="shared" ref="AD16:AD41" si="70">AC16/F16</f>
        <v>#DIV/0!</v>
      </c>
      <c r="AE16" s="235"/>
      <c r="AF16" s="101" t="e">
        <f t="shared" ref="AF16:AF41" si="71">AE16/F16</f>
        <v>#DIV/0!</v>
      </c>
      <c r="AG16" s="235"/>
      <c r="AH16" s="101" t="e">
        <f t="shared" ref="AH16:AH41" si="72">AG16/F16</f>
        <v>#DIV/0!</v>
      </c>
      <c r="AI16" s="235"/>
      <c r="AJ16" s="101" t="e">
        <f t="shared" ref="AJ16:AJ41" si="73">AI16/F16</f>
        <v>#DIV/0!</v>
      </c>
      <c r="AK16" s="235"/>
      <c r="AL16" s="101" t="e">
        <f t="shared" ref="AL16:AL41" si="74">AK16/F16</f>
        <v>#DIV/0!</v>
      </c>
    </row>
    <row r="17" spans="2:38" ht="14.25">
      <c r="B17" s="98"/>
      <c r="C17" s="98"/>
      <c r="D17" s="554">
        <f t="shared" si="19"/>
        <v>46092</v>
      </c>
      <c r="E17" s="554" t="s">
        <v>586</v>
      </c>
      <c r="F17" s="229">
        <f t="shared" si="20"/>
        <v>0</v>
      </c>
      <c r="G17" s="330"/>
      <c r="H17" s="364"/>
      <c r="I17" s="235"/>
      <c r="J17" s="101" t="e">
        <f t="shared" si="57"/>
        <v>#DIV/0!</v>
      </c>
      <c r="K17" s="235"/>
      <c r="L17" s="101" t="e">
        <f t="shared" si="58"/>
        <v>#DIV/0!</v>
      </c>
      <c r="M17" s="228">
        <f t="shared" si="59"/>
        <v>0</v>
      </c>
      <c r="N17" s="101" t="e">
        <f t="shared" si="60"/>
        <v>#DIV/0!</v>
      </c>
      <c r="O17" s="235"/>
      <c r="P17" s="101" t="e">
        <f t="shared" si="61"/>
        <v>#DIV/0!</v>
      </c>
      <c r="Q17" s="235"/>
      <c r="R17" s="101" t="e">
        <f t="shared" si="62"/>
        <v>#DIV/0!</v>
      </c>
      <c r="S17" s="228">
        <f t="shared" si="63"/>
        <v>0</v>
      </c>
      <c r="T17" s="101" t="e">
        <f t="shared" si="64"/>
        <v>#DIV/0!</v>
      </c>
      <c r="U17" s="235"/>
      <c r="V17" s="101" t="e">
        <f t="shared" si="65"/>
        <v>#DIV/0!</v>
      </c>
      <c r="W17" s="235"/>
      <c r="X17" s="101" t="e">
        <f t="shared" si="66"/>
        <v>#DIV/0!</v>
      </c>
      <c r="Y17" s="235"/>
      <c r="Z17" s="101" t="e">
        <f t="shared" si="67"/>
        <v>#DIV/0!</v>
      </c>
      <c r="AA17" s="235"/>
      <c r="AB17" s="101" t="e">
        <f t="shared" si="68"/>
        <v>#DIV/0!</v>
      </c>
      <c r="AC17" s="228">
        <f t="shared" si="69"/>
        <v>0</v>
      </c>
      <c r="AD17" s="101" t="e">
        <f t="shared" si="70"/>
        <v>#DIV/0!</v>
      </c>
      <c r="AE17" s="235"/>
      <c r="AF17" s="101" t="e">
        <f t="shared" si="71"/>
        <v>#DIV/0!</v>
      </c>
      <c r="AG17" s="235"/>
      <c r="AH17" s="101" t="e">
        <f t="shared" si="72"/>
        <v>#DIV/0!</v>
      </c>
      <c r="AI17" s="235"/>
      <c r="AJ17" s="101" t="e">
        <f t="shared" si="73"/>
        <v>#DIV/0!</v>
      </c>
      <c r="AK17" s="235"/>
      <c r="AL17" s="101" t="e">
        <f t="shared" si="74"/>
        <v>#DIV/0!</v>
      </c>
    </row>
    <row r="18" spans="2:38" ht="14.25">
      <c r="B18" s="98"/>
      <c r="C18" s="98"/>
      <c r="D18" s="554">
        <f t="shared" si="19"/>
        <v>46093</v>
      </c>
      <c r="E18" s="554" t="s">
        <v>587</v>
      </c>
      <c r="F18" s="229">
        <f t="shared" si="20"/>
        <v>0</v>
      </c>
      <c r="G18" s="330"/>
      <c r="H18" s="364"/>
      <c r="I18" s="235"/>
      <c r="J18" s="101" t="e">
        <f t="shared" si="57"/>
        <v>#DIV/0!</v>
      </c>
      <c r="K18" s="235"/>
      <c r="L18" s="101" t="e">
        <f t="shared" si="58"/>
        <v>#DIV/0!</v>
      </c>
      <c r="M18" s="228">
        <f t="shared" si="59"/>
        <v>0</v>
      </c>
      <c r="N18" s="101" t="e">
        <f t="shared" si="60"/>
        <v>#DIV/0!</v>
      </c>
      <c r="O18" s="235"/>
      <c r="P18" s="101" t="e">
        <f t="shared" si="61"/>
        <v>#DIV/0!</v>
      </c>
      <c r="Q18" s="235"/>
      <c r="R18" s="101" t="e">
        <f t="shared" si="62"/>
        <v>#DIV/0!</v>
      </c>
      <c r="S18" s="228">
        <f t="shared" si="63"/>
        <v>0</v>
      </c>
      <c r="T18" s="101" t="e">
        <f t="shared" si="64"/>
        <v>#DIV/0!</v>
      </c>
      <c r="U18" s="235"/>
      <c r="V18" s="101" t="e">
        <f t="shared" si="65"/>
        <v>#DIV/0!</v>
      </c>
      <c r="W18" s="235"/>
      <c r="X18" s="101" t="e">
        <f t="shared" si="66"/>
        <v>#DIV/0!</v>
      </c>
      <c r="Y18" s="235"/>
      <c r="Z18" s="101" t="e">
        <f t="shared" si="67"/>
        <v>#DIV/0!</v>
      </c>
      <c r="AA18" s="235"/>
      <c r="AB18" s="101" t="e">
        <f t="shared" si="68"/>
        <v>#DIV/0!</v>
      </c>
      <c r="AC18" s="228">
        <f t="shared" si="69"/>
        <v>0</v>
      </c>
      <c r="AD18" s="101" t="e">
        <f t="shared" si="70"/>
        <v>#DIV/0!</v>
      </c>
      <c r="AE18" s="235"/>
      <c r="AF18" s="101" t="e">
        <f t="shared" si="71"/>
        <v>#DIV/0!</v>
      </c>
      <c r="AG18" s="235"/>
      <c r="AH18" s="101" t="e">
        <f t="shared" si="72"/>
        <v>#DIV/0!</v>
      </c>
      <c r="AI18" s="235"/>
      <c r="AJ18" s="101" t="e">
        <f t="shared" si="73"/>
        <v>#DIV/0!</v>
      </c>
      <c r="AK18" s="235"/>
      <c r="AL18" s="101" t="e">
        <f t="shared" si="74"/>
        <v>#DIV/0!</v>
      </c>
    </row>
    <row r="19" spans="2:38" ht="14.25">
      <c r="B19" s="98"/>
      <c r="C19" s="98"/>
      <c r="D19" s="554">
        <f t="shared" si="19"/>
        <v>46094</v>
      </c>
      <c r="E19" s="554" t="s">
        <v>588</v>
      </c>
      <c r="F19" s="229">
        <f t="shared" si="20"/>
        <v>0</v>
      </c>
      <c r="G19" s="330"/>
      <c r="H19" s="364"/>
      <c r="I19" s="235"/>
      <c r="J19" s="101" t="e">
        <f t="shared" si="57"/>
        <v>#DIV/0!</v>
      </c>
      <c r="K19" s="235"/>
      <c r="L19" s="101" t="e">
        <f t="shared" si="58"/>
        <v>#DIV/0!</v>
      </c>
      <c r="M19" s="228">
        <f t="shared" si="59"/>
        <v>0</v>
      </c>
      <c r="N19" s="101" t="e">
        <f t="shared" si="60"/>
        <v>#DIV/0!</v>
      </c>
      <c r="O19" s="235"/>
      <c r="P19" s="101" t="e">
        <f t="shared" si="61"/>
        <v>#DIV/0!</v>
      </c>
      <c r="Q19" s="235"/>
      <c r="R19" s="101" t="e">
        <f t="shared" si="62"/>
        <v>#DIV/0!</v>
      </c>
      <c r="S19" s="228">
        <f t="shared" si="63"/>
        <v>0</v>
      </c>
      <c r="T19" s="101" t="e">
        <f t="shared" si="64"/>
        <v>#DIV/0!</v>
      </c>
      <c r="U19" s="235"/>
      <c r="V19" s="101" t="e">
        <f t="shared" si="65"/>
        <v>#DIV/0!</v>
      </c>
      <c r="W19" s="235"/>
      <c r="X19" s="101" t="e">
        <f t="shared" si="66"/>
        <v>#DIV/0!</v>
      </c>
      <c r="Y19" s="235"/>
      <c r="Z19" s="101" t="e">
        <f t="shared" si="67"/>
        <v>#DIV/0!</v>
      </c>
      <c r="AA19" s="235"/>
      <c r="AB19" s="101" t="e">
        <f t="shared" si="68"/>
        <v>#DIV/0!</v>
      </c>
      <c r="AC19" s="228">
        <f t="shared" si="69"/>
        <v>0</v>
      </c>
      <c r="AD19" s="101" t="e">
        <f t="shared" si="70"/>
        <v>#DIV/0!</v>
      </c>
      <c r="AE19" s="235"/>
      <c r="AF19" s="101" t="e">
        <f t="shared" si="71"/>
        <v>#DIV/0!</v>
      </c>
      <c r="AG19" s="235"/>
      <c r="AH19" s="101" t="e">
        <f t="shared" si="72"/>
        <v>#DIV/0!</v>
      </c>
      <c r="AI19" s="235"/>
      <c r="AJ19" s="101" t="e">
        <f t="shared" si="73"/>
        <v>#DIV/0!</v>
      </c>
      <c r="AK19" s="235"/>
      <c r="AL19" s="101" t="e">
        <f t="shared" si="74"/>
        <v>#DIV/0!</v>
      </c>
    </row>
    <row r="20" spans="2:38" ht="14.25">
      <c r="B20" s="98"/>
      <c r="C20" s="98"/>
      <c r="D20" s="554">
        <f t="shared" si="19"/>
        <v>46095</v>
      </c>
      <c r="E20" s="554" t="s">
        <v>589</v>
      </c>
      <c r="F20" s="229">
        <f t="shared" si="20"/>
        <v>0</v>
      </c>
      <c r="G20" s="330"/>
      <c r="H20" s="364"/>
      <c r="I20" s="235"/>
      <c r="J20" s="101" t="e">
        <f t="shared" si="57"/>
        <v>#DIV/0!</v>
      </c>
      <c r="K20" s="235"/>
      <c r="L20" s="101" t="e">
        <f t="shared" si="58"/>
        <v>#DIV/0!</v>
      </c>
      <c r="M20" s="228">
        <f t="shared" si="59"/>
        <v>0</v>
      </c>
      <c r="N20" s="101" t="e">
        <f t="shared" si="60"/>
        <v>#DIV/0!</v>
      </c>
      <c r="O20" s="235"/>
      <c r="P20" s="101" t="e">
        <f t="shared" si="61"/>
        <v>#DIV/0!</v>
      </c>
      <c r="Q20" s="235"/>
      <c r="R20" s="101" t="e">
        <f t="shared" si="62"/>
        <v>#DIV/0!</v>
      </c>
      <c r="S20" s="228">
        <f t="shared" si="63"/>
        <v>0</v>
      </c>
      <c r="T20" s="101" t="e">
        <f t="shared" si="64"/>
        <v>#DIV/0!</v>
      </c>
      <c r="U20" s="235"/>
      <c r="V20" s="101" t="e">
        <f t="shared" si="65"/>
        <v>#DIV/0!</v>
      </c>
      <c r="W20" s="235"/>
      <c r="X20" s="101" t="e">
        <f t="shared" si="66"/>
        <v>#DIV/0!</v>
      </c>
      <c r="Y20" s="235"/>
      <c r="Z20" s="101" t="e">
        <f t="shared" si="67"/>
        <v>#DIV/0!</v>
      </c>
      <c r="AA20" s="235"/>
      <c r="AB20" s="101" t="e">
        <f t="shared" si="68"/>
        <v>#DIV/0!</v>
      </c>
      <c r="AC20" s="228">
        <f t="shared" si="69"/>
        <v>0</v>
      </c>
      <c r="AD20" s="101" t="e">
        <f t="shared" si="70"/>
        <v>#DIV/0!</v>
      </c>
      <c r="AE20" s="235"/>
      <c r="AF20" s="101" t="e">
        <f t="shared" si="71"/>
        <v>#DIV/0!</v>
      </c>
      <c r="AG20" s="235"/>
      <c r="AH20" s="101" t="e">
        <f t="shared" si="72"/>
        <v>#DIV/0!</v>
      </c>
      <c r="AI20" s="235"/>
      <c r="AJ20" s="101" t="e">
        <f t="shared" si="73"/>
        <v>#DIV/0!</v>
      </c>
      <c r="AK20" s="235"/>
      <c r="AL20" s="101" t="e">
        <f t="shared" si="74"/>
        <v>#DIV/0!</v>
      </c>
    </row>
    <row r="21" spans="2:38" ht="14.25">
      <c r="B21" s="98"/>
      <c r="C21" s="98"/>
      <c r="D21" s="554">
        <f t="shared" si="19"/>
        <v>46096</v>
      </c>
      <c r="E21" s="554" t="s">
        <v>590</v>
      </c>
      <c r="F21" s="229">
        <f t="shared" si="20"/>
        <v>0</v>
      </c>
      <c r="G21" s="330"/>
      <c r="H21" s="364"/>
      <c r="I21" s="235"/>
      <c r="J21" s="101" t="e">
        <f t="shared" si="57"/>
        <v>#DIV/0!</v>
      </c>
      <c r="K21" s="235"/>
      <c r="L21" s="101" t="e">
        <f t="shared" si="58"/>
        <v>#DIV/0!</v>
      </c>
      <c r="M21" s="228">
        <f t="shared" si="59"/>
        <v>0</v>
      </c>
      <c r="N21" s="101" t="e">
        <f t="shared" si="60"/>
        <v>#DIV/0!</v>
      </c>
      <c r="O21" s="235"/>
      <c r="P21" s="101" t="e">
        <f t="shared" si="61"/>
        <v>#DIV/0!</v>
      </c>
      <c r="Q21" s="235"/>
      <c r="R21" s="101" t="e">
        <f t="shared" si="62"/>
        <v>#DIV/0!</v>
      </c>
      <c r="S21" s="228">
        <f t="shared" si="63"/>
        <v>0</v>
      </c>
      <c r="T21" s="101" t="e">
        <f t="shared" si="64"/>
        <v>#DIV/0!</v>
      </c>
      <c r="U21" s="235"/>
      <c r="V21" s="101" t="e">
        <f t="shared" si="65"/>
        <v>#DIV/0!</v>
      </c>
      <c r="W21" s="235"/>
      <c r="X21" s="101" t="e">
        <f t="shared" si="66"/>
        <v>#DIV/0!</v>
      </c>
      <c r="Y21" s="235"/>
      <c r="Z21" s="101" t="e">
        <f t="shared" si="67"/>
        <v>#DIV/0!</v>
      </c>
      <c r="AA21" s="235"/>
      <c r="AB21" s="101" t="e">
        <f t="shared" si="68"/>
        <v>#DIV/0!</v>
      </c>
      <c r="AC21" s="228">
        <f t="shared" si="69"/>
        <v>0</v>
      </c>
      <c r="AD21" s="101" t="e">
        <f t="shared" si="70"/>
        <v>#DIV/0!</v>
      </c>
      <c r="AE21" s="235"/>
      <c r="AF21" s="101" t="e">
        <f t="shared" si="71"/>
        <v>#DIV/0!</v>
      </c>
      <c r="AG21" s="235"/>
      <c r="AH21" s="101" t="e">
        <f t="shared" si="72"/>
        <v>#DIV/0!</v>
      </c>
      <c r="AI21" s="235"/>
      <c r="AJ21" s="101" t="e">
        <f t="shared" si="73"/>
        <v>#DIV/0!</v>
      </c>
      <c r="AK21" s="235"/>
      <c r="AL21" s="101" t="e">
        <f t="shared" si="74"/>
        <v>#DIV/0!</v>
      </c>
    </row>
    <row r="22" spans="2:38" ht="14.25">
      <c r="B22" s="98"/>
      <c r="C22" s="98"/>
      <c r="D22" s="554">
        <f t="shared" si="19"/>
        <v>46097</v>
      </c>
      <c r="E22" s="554" t="s">
        <v>584</v>
      </c>
      <c r="F22" s="229">
        <f t="shared" si="20"/>
        <v>0</v>
      </c>
      <c r="G22" s="330"/>
      <c r="H22" s="364"/>
      <c r="I22" s="235"/>
      <c r="J22" s="101" t="e">
        <f t="shared" si="57"/>
        <v>#DIV/0!</v>
      </c>
      <c r="K22" s="235"/>
      <c r="L22" s="101" t="e">
        <f t="shared" si="58"/>
        <v>#DIV/0!</v>
      </c>
      <c r="M22" s="228">
        <f t="shared" si="59"/>
        <v>0</v>
      </c>
      <c r="N22" s="101" t="e">
        <f t="shared" si="60"/>
        <v>#DIV/0!</v>
      </c>
      <c r="O22" s="235"/>
      <c r="P22" s="101" t="e">
        <f t="shared" si="61"/>
        <v>#DIV/0!</v>
      </c>
      <c r="Q22" s="235"/>
      <c r="R22" s="101" t="e">
        <f t="shared" si="62"/>
        <v>#DIV/0!</v>
      </c>
      <c r="S22" s="228">
        <f t="shared" si="63"/>
        <v>0</v>
      </c>
      <c r="T22" s="101" t="e">
        <f t="shared" si="64"/>
        <v>#DIV/0!</v>
      </c>
      <c r="U22" s="235"/>
      <c r="V22" s="101" t="e">
        <f t="shared" si="65"/>
        <v>#DIV/0!</v>
      </c>
      <c r="W22" s="235"/>
      <c r="X22" s="101" t="e">
        <f t="shared" si="66"/>
        <v>#DIV/0!</v>
      </c>
      <c r="Y22" s="235"/>
      <c r="Z22" s="101" t="e">
        <f t="shared" si="67"/>
        <v>#DIV/0!</v>
      </c>
      <c r="AA22" s="235"/>
      <c r="AB22" s="101" t="e">
        <f t="shared" si="68"/>
        <v>#DIV/0!</v>
      </c>
      <c r="AC22" s="228">
        <f t="shared" si="69"/>
        <v>0</v>
      </c>
      <c r="AD22" s="101" t="e">
        <f t="shared" si="70"/>
        <v>#DIV/0!</v>
      </c>
      <c r="AE22" s="235"/>
      <c r="AF22" s="101" t="e">
        <f t="shared" si="71"/>
        <v>#DIV/0!</v>
      </c>
      <c r="AG22" s="235"/>
      <c r="AH22" s="101" t="e">
        <f t="shared" si="72"/>
        <v>#DIV/0!</v>
      </c>
      <c r="AI22" s="235"/>
      <c r="AJ22" s="101" t="e">
        <f t="shared" si="73"/>
        <v>#DIV/0!</v>
      </c>
      <c r="AK22" s="235"/>
      <c r="AL22" s="101" t="e">
        <f t="shared" si="74"/>
        <v>#DIV/0!</v>
      </c>
    </row>
    <row r="23" spans="2:38" ht="14.25">
      <c r="B23" s="98"/>
      <c r="C23" s="98"/>
      <c r="D23" s="332">
        <f t="shared" si="19"/>
        <v>46098</v>
      </c>
      <c r="E23" s="332" t="s">
        <v>585</v>
      </c>
      <c r="F23" s="229">
        <f t="shared" si="20"/>
        <v>0</v>
      </c>
      <c r="G23" s="330">
        <f>SUM(F23:F29)</f>
        <v>0</v>
      </c>
      <c r="H23" s="364"/>
      <c r="I23" s="235"/>
      <c r="J23" s="101" t="e">
        <f t="shared" si="57"/>
        <v>#DIV/0!</v>
      </c>
      <c r="K23" s="235"/>
      <c r="L23" s="101" t="e">
        <f t="shared" si="58"/>
        <v>#DIV/0!</v>
      </c>
      <c r="M23" s="228">
        <f t="shared" si="59"/>
        <v>0</v>
      </c>
      <c r="N23" s="101" t="e">
        <f t="shared" si="60"/>
        <v>#DIV/0!</v>
      </c>
      <c r="O23" s="235"/>
      <c r="P23" s="101" t="e">
        <f t="shared" si="61"/>
        <v>#DIV/0!</v>
      </c>
      <c r="Q23" s="235"/>
      <c r="R23" s="101" t="e">
        <f t="shared" si="62"/>
        <v>#DIV/0!</v>
      </c>
      <c r="S23" s="228">
        <f t="shared" si="63"/>
        <v>0</v>
      </c>
      <c r="T23" s="101" t="e">
        <f t="shared" si="64"/>
        <v>#DIV/0!</v>
      </c>
      <c r="U23" s="235"/>
      <c r="V23" s="101" t="e">
        <f t="shared" si="65"/>
        <v>#DIV/0!</v>
      </c>
      <c r="W23" s="235"/>
      <c r="X23" s="101" t="e">
        <f t="shared" si="66"/>
        <v>#DIV/0!</v>
      </c>
      <c r="Y23" s="235"/>
      <c r="Z23" s="101" t="e">
        <f t="shared" si="67"/>
        <v>#DIV/0!</v>
      </c>
      <c r="AA23" s="235"/>
      <c r="AB23" s="101" t="e">
        <f t="shared" si="68"/>
        <v>#DIV/0!</v>
      </c>
      <c r="AC23" s="228">
        <f t="shared" si="69"/>
        <v>0</v>
      </c>
      <c r="AD23" s="101" t="e">
        <f t="shared" si="70"/>
        <v>#DIV/0!</v>
      </c>
      <c r="AE23" s="235"/>
      <c r="AF23" s="101" t="e">
        <f t="shared" si="71"/>
        <v>#DIV/0!</v>
      </c>
      <c r="AG23" s="235"/>
      <c r="AH23" s="101" t="e">
        <f t="shared" si="72"/>
        <v>#DIV/0!</v>
      </c>
      <c r="AI23" s="235"/>
      <c r="AJ23" s="101" t="e">
        <f t="shared" si="73"/>
        <v>#DIV/0!</v>
      </c>
      <c r="AK23" s="235"/>
      <c r="AL23" s="101" t="e">
        <f t="shared" si="74"/>
        <v>#DIV/0!</v>
      </c>
    </row>
    <row r="24" spans="2:38" ht="14.25">
      <c r="B24" s="98"/>
      <c r="C24" s="98"/>
      <c r="D24" s="553">
        <f t="shared" si="19"/>
        <v>46099</v>
      </c>
      <c r="E24" s="553" t="s">
        <v>586</v>
      </c>
      <c r="F24" s="229">
        <f t="shared" si="20"/>
        <v>0</v>
      </c>
      <c r="G24" s="330"/>
      <c r="H24" s="364"/>
      <c r="I24" s="235"/>
      <c r="J24" s="101" t="e">
        <f t="shared" si="57"/>
        <v>#DIV/0!</v>
      </c>
      <c r="K24" s="235"/>
      <c r="L24" s="101" t="e">
        <f t="shared" si="58"/>
        <v>#DIV/0!</v>
      </c>
      <c r="M24" s="228">
        <f t="shared" si="59"/>
        <v>0</v>
      </c>
      <c r="N24" s="101" t="e">
        <f t="shared" si="60"/>
        <v>#DIV/0!</v>
      </c>
      <c r="O24" s="235"/>
      <c r="P24" s="101" t="e">
        <f t="shared" si="61"/>
        <v>#DIV/0!</v>
      </c>
      <c r="Q24" s="235"/>
      <c r="R24" s="101" t="e">
        <f t="shared" si="62"/>
        <v>#DIV/0!</v>
      </c>
      <c r="S24" s="228">
        <f t="shared" si="63"/>
        <v>0</v>
      </c>
      <c r="T24" s="101" t="e">
        <f t="shared" si="64"/>
        <v>#DIV/0!</v>
      </c>
      <c r="U24" s="235"/>
      <c r="V24" s="101" t="e">
        <f t="shared" si="65"/>
        <v>#DIV/0!</v>
      </c>
      <c r="W24" s="235"/>
      <c r="X24" s="101" t="e">
        <f t="shared" si="66"/>
        <v>#DIV/0!</v>
      </c>
      <c r="Y24" s="235"/>
      <c r="Z24" s="101" t="e">
        <f t="shared" si="67"/>
        <v>#DIV/0!</v>
      </c>
      <c r="AA24" s="235"/>
      <c r="AB24" s="101" t="e">
        <f t="shared" si="68"/>
        <v>#DIV/0!</v>
      </c>
      <c r="AC24" s="228">
        <f t="shared" si="69"/>
        <v>0</v>
      </c>
      <c r="AD24" s="101" t="e">
        <f t="shared" si="70"/>
        <v>#DIV/0!</v>
      </c>
      <c r="AE24" s="235"/>
      <c r="AF24" s="101" t="e">
        <f t="shared" si="71"/>
        <v>#DIV/0!</v>
      </c>
      <c r="AG24" s="235"/>
      <c r="AH24" s="101" t="e">
        <f t="shared" si="72"/>
        <v>#DIV/0!</v>
      </c>
      <c r="AI24" s="235"/>
      <c r="AJ24" s="101" t="e">
        <f t="shared" si="73"/>
        <v>#DIV/0!</v>
      </c>
      <c r="AK24" s="235"/>
      <c r="AL24" s="101" t="e">
        <f t="shared" si="74"/>
        <v>#DIV/0!</v>
      </c>
    </row>
    <row r="25" spans="2:38" ht="14.25">
      <c r="B25" s="98"/>
      <c r="C25" s="98"/>
      <c r="D25" s="553">
        <f t="shared" si="19"/>
        <v>46100</v>
      </c>
      <c r="E25" s="553" t="s">
        <v>587</v>
      </c>
      <c r="F25" s="229">
        <f t="shared" si="20"/>
        <v>0</v>
      </c>
      <c r="G25" s="330"/>
      <c r="H25" s="364"/>
      <c r="I25" s="235"/>
      <c r="J25" s="101" t="e">
        <f t="shared" si="57"/>
        <v>#DIV/0!</v>
      </c>
      <c r="K25" s="235"/>
      <c r="L25" s="101" t="e">
        <f t="shared" si="58"/>
        <v>#DIV/0!</v>
      </c>
      <c r="M25" s="228">
        <f t="shared" si="59"/>
        <v>0</v>
      </c>
      <c r="N25" s="101" t="e">
        <f t="shared" si="60"/>
        <v>#DIV/0!</v>
      </c>
      <c r="O25" s="235"/>
      <c r="P25" s="101" t="e">
        <f t="shared" si="61"/>
        <v>#DIV/0!</v>
      </c>
      <c r="Q25" s="235"/>
      <c r="R25" s="101" t="e">
        <f t="shared" si="62"/>
        <v>#DIV/0!</v>
      </c>
      <c r="S25" s="228">
        <f t="shared" si="63"/>
        <v>0</v>
      </c>
      <c r="T25" s="101" t="e">
        <f t="shared" si="64"/>
        <v>#DIV/0!</v>
      </c>
      <c r="U25" s="235"/>
      <c r="V25" s="101" t="e">
        <f t="shared" si="65"/>
        <v>#DIV/0!</v>
      </c>
      <c r="W25" s="235"/>
      <c r="X25" s="101" t="e">
        <f t="shared" si="66"/>
        <v>#DIV/0!</v>
      </c>
      <c r="Y25" s="235"/>
      <c r="Z25" s="101" t="e">
        <f t="shared" si="67"/>
        <v>#DIV/0!</v>
      </c>
      <c r="AA25" s="235"/>
      <c r="AB25" s="101" t="e">
        <f t="shared" si="68"/>
        <v>#DIV/0!</v>
      </c>
      <c r="AC25" s="228">
        <f t="shared" si="69"/>
        <v>0</v>
      </c>
      <c r="AD25" s="101" t="e">
        <f t="shared" si="70"/>
        <v>#DIV/0!</v>
      </c>
      <c r="AE25" s="235"/>
      <c r="AF25" s="101" t="e">
        <f t="shared" si="71"/>
        <v>#DIV/0!</v>
      </c>
      <c r="AG25" s="235"/>
      <c r="AH25" s="101" t="e">
        <f t="shared" si="72"/>
        <v>#DIV/0!</v>
      </c>
      <c r="AI25" s="235"/>
      <c r="AJ25" s="101" t="e">
        <f t="shared" si="73"/>
        <v>#DIV/0!</v>
      </c>
      <c r="AK25" s="235"/>
      <c r="AL25" s="101" t="e">
        <f t="shared" si="74"/>
        <v>#DIV/0!</v>
      </c>
    </row>
    <row r="26" spans="2:38" ht="14.25">
      <c r="B26" s="98"/>
      <c r="C26" s="98"/>
      <c r="D26" s="553">
        <f t="shared" si="19"/>
        <v>46101</v>
      </c>
      <c r="E26" s="553" t="s">
        <v>588</v>
      </c>
      <c r="F26" s="229">
        <f t="shared" si="20"/>
        <v>0</v>
      </c>
      <c r="G26" s="330"/>
      <c r="H26" s="364"/>
      <c r="I26" s="235"/>
      <c r="J26" s="101" t="e">
        <f t="shared" si="57"/>
        <v>#DIV/0!</v>
      </c>
      <c r="K26" s="235"/>
      <c r="L26" s="101" t="e">
        <f t="shared" si="58"/>
        <v>#DIV/0!</v>
      </c>
      <c r="M26" s="228">
        <f t="shared" si="59"/>
        <v>0</v>
      </c>
      <c r="N26" s="101" t="e">
        <f t="shared" si="60"/>
        <v>#DIV/0!</v>
      </c>
      <c r="O26" s="235"/>
      <c r="P26" s="101" t="e">
        <f t="shared" si="61"/>
        <v>#DIV/0!</v>
      </c>
      <c r="Q26" s="235"/>
      <c r="R26" s="101" t="e">
        <f t="shared" si="62"/>
        <v>#DIV/0!</v>
      </c>
      <c r="S26" s="228">
        <f t="shared" si="63"/>
        <v>0</v>
      </c>
      <c r="T26" s="101" t="e">
        <f t="shared" si="64"/>
        <v>#DIV/0!</v>
      </c>
      <c r="U26" s="235"/>
      <c r="V26" s="101" t="e">
        <f t="shared" si="65"/>
        <v>#DIV/0!</v>
      </c>
      <c r="W26" s="235"/>
      <c r="X26" s="101" t="e">
        <f t="shared" si="66"/>
        <v>#DIV/0!</v>
      </c>
      <c r="Y26" s="235"/>
      <c r="Z26" s="101" t="e">
        <f t="shared" si="67"/>
        <v>#DIV/0!</v>
      </c>
      <c r="AA26" s="235"/>
      <c r="AB26" s="101" t="e">
        <f t="shared" si="68"/>
        <v>#DIV/0!</v>
      </c>
      <c r="AC26" s="228">
        <f t="shared" si="69"/>
        <v>0</v>
      </c>
      <c r="AD26" s="101" t="e">
        <f t="shared" si="70"/>
        <v>#DIV/0!</v>
      </c>
      <c r="AE26" s="235"/>
      <c r="AF26" s="101" t="e">
        <f t="shared" si="71"/>
        <v>#DIV/0!</v>
      </c>
      <c r="AG26" s="235"/>
      <c r="AH26" s="101" t="e">
        <f t="shared" si="72"/>
        <v>#DIV/0!</v>
      </c>
      <c r="AI26" s="235"/>
      <c r="AJ26" s="101" t="e">
        <f t="shared" si="73"/>
        <v>#DIV/0!</v>
      </c>
      <c r="AK26" s="235"/>
      <c r="AL26" s="101" t="e">
        <f t="shared" si="74"/>
        <v>#DIV/0!</v>
      </c>
    </row>
    <row r="27" spans="2:38" ht="14.25">
      <c r="B27" s="98"/>
      <c r="C27" s="98"/>
      <c r="D27" s="553">
        <f t="shared" si="19"/>
        <v>46102</v>
      </c>
      <c r="E27" s="553" t="s">
        <v>589</v>
      </c>
      <c r="F27" s="229">
        <f t="shared" si="20"/>
        <v>0</v>
      </c>
      <c r="G27" s="330"/>
      <c r="H27" s="364"/>
      <c r="I27" s="235"/>
      <c r="J27" s="101" t="e">
        <f t="shared" si="57"/>
        <v>#DIV/0!</v>
      </c>
      <c r="K27" s="235"/>
      <c r="L27" s="101" t="e">
        <f t="shared" si="58"/>
        <v>#DIV/0!</v>
      </c>
      <c r="M27" s="228">
        <f t="shared" si="59"/>
        <v>0</v>
      </c>
      <c r="N27" s="101" t="e">
        <f t="shared" si="60"/>
        <v>#DIV/0!</v>
      </c>
      <c r="O27" s="235"/>
      <c r="P27" s="101" t="e">
        <f t="shared" si="61"/>
        <v>#DIV/0!</v>
      </c>
      <c r="Q27" s="235"/>
      <c r="R27" s="101" t="e">
        <f t="shared" si="62"/>
        <v>#DIV/0!</v>
      </c>
      <c r="S27" s="228">
        <f t="shared" si="63"/>
        <v>0</v>
      </c>
      <c r="T27" s="101" t="e">
        <f t="shared" si="64"/>
        <v>#DIV/0!</v>
      </c>
      <c r="U27" s="235"/>
      <c r="V27" s="101" t="e">
        <f t="shared" si="65"/>
        <v>#DIV/0!</v>
      </c>
      <c r="W27" s="235"/>
      <c r="X27" s="101" t="e">
        <f t="shared" si="66"/>
        <v>#DIV/0!</v>
      </c>
      <c r="Y27" s="235"/>
      <c r="Z27" s="101" t="e">
        <f t="shared" si="67"/>
        <v>#DIV/0!</v>
      </c>
      <c r="AA27" s="235"/>
      <c r="AB27" s="101" t="e">
        <f t="shared" si="68"/>
        <v>#DIV/0!</v>
      </c>
      <c r="AC27" s="228">
        <f t="shared" si="69"/>
        <v>0</v>
      </c>
      <c r="AD27" s="101" t="e">
        <f t="shared" si="70"/>
        <v>#DIV/0!</v>
      </c>
      <c r="AE27" s="235"/>
      <c r="AF27" s="101" t="e">
        <f t="shared" si="71"/>
        <v>#DIV/0!</v>
      </c>
      <c r="AG27" s="235"/>
      <c r="AH27" s="101" t="e">
        <f t="shared" si="72"/>
        <v>#DIV/0!</v>
      </c>
      <c r="AI27" s="235"/>
      <c r="AJ27" s="101" t="e">
        <f t="shared" si="73"/>
        <v>#DIV/0!</v>
      </c>
      <c r="AK27" s="235"/>
      <c r="AL27" s="101" t="e">
        <f t="shared" si="74"/>
        <v>#DIV/0!</v>
      </c>
    </row>
    <row r="28" spans="2:38" ht="14.25">
      <c r="B28" s="98"/>
      <c r="C28" s="98"/>
      <c r="D28" s="553">
        <f t="shared" si="19"/>
        <v>46103</v>
      </c>
      <c r="E28" s="553" t="s">
        <v>590</v>
      </c>
      <c r="F28" s="229">
        <f t="shared" si="20"/>
        <v>0</v>
      </c>
      <c r="G28" s="330"/>
      <c r="H28" s="364"/>
      <c r="I28" s="235"/>
      <c r="J28" s="101" t="e">
        <f t="shared" si="57"/>
        <v>#DIV/0!</v>
      </c>
      <c r="K28" s="235"/>
      <c r="L28" s="101" t="e">
        <f t="shared" si="58"/>
        <v>#DIV/0!</v>
      </c>
      <c r="M28" s="228">
        <f t="shared" si="59"/>
        <v>0</v>
      </c>
      <c r="N28" s="101" t="e">
        <f t="shared" si="60"/>
        <v>#DIV/0!</v>
      </c>
      <c r="O28" s="235"/>
      <c r="P28" s="101" t="e">
        <f t="shared" si="61"/>
        <v>#DIV/0!</v>
      </c>
      <c r="Q28" s="235"/>
      <c r="R28" s="101" t="e">
        <f t="shared" si="62"/>
        <v>#DIV/0!</v>
      </c>
      <c r="S28" s="228">
        <f t="shared" si="63"/>
        <v>0</v>
      </c>
      <c r="T28" s="101" t="e">
        <f t="shared" si="64"/>
        <v>#DIV/0!</v>
      </c>
      <c r="U28" s="235"/>
      <c r="V28" s="101" t="e">
        <f t="shared" si="65"/>
        <v>#DIV/0!</v>
      </c>
      <c r="W28" s="235"/>
      <c r="X28" s="101" t="e">
        <f t="shared" si="66"/>
        <v>#DIV/0!</v>
      </c>
      <c r="Y28" s="235"/>
      <c r="Z28" s="101" t="e">
        <f t="shared" si="67"/>
        <v>#DIV/0!</v>
      </c>
      <c r="AA28" s="235"/>
      <c r="AB28" s="101" t="e">
        <f t="shared" si="68"/>
        <v>#DIV/0!</v>
      </c>
      <c r="AC28" s="228">
        <f t="shared" si="69"/>
        <v>0</v>
      </c>
      <c r="AD28" s="101" t="e">
        <f t="shared" si="70"/>
        <v>#DIV/0!</v>
      </c>
      <c r="AE28" s="235"/>
      <c r="AF28" s="101" t="e">
        <f t="shared" si="71"/>
        <v>#DIV/0!</v>
      </c>
      <c r="AG28" s="235"/>
      <c r="AH28" s="101" t="e">
        <f t="shared" si="72"/>
        <v>#DIV/0!</v>
      </c>
      <c r="AI28" s="235"/>
      <c r="AJ28" s="101" t="e">
        <f t="shared" si="73"/>
        <v>#DIV/0!</v>
      </c>
      <c r="AK28" s="235"/>
      <c r="AL28" s="101" t="e">
        <f t="shared" si="74"/>
        <v>#DIV/0!</v>
      </c>
    </row>
    <row r="29" spans="2:38" ht="14.25">
      <c r="B29" s="98"/>
      <c r="C29" s="98"/>
      <c r="D29" s="553">
        <f t="shared" si="19"/>
        <v>46104</v>
      </c>
      <c r="E29" s="553" t="s">
        <v>584</v>
      </c>
      <c r="F29" s="229">
        <f t="shared" si="20"/>
        <v>0</v>
      </c>
      <c r="G29" s="330"/>
      <c r="H29" s="364"/>
      <c r="I29" s="235"/>
      <c r="J29" s="101" t="e">
        <f t="shared" si="57"/>
        <v>#DIV/0!</v>
      </c>
      <c r="K29" s="235"/>
      <c r="L29" s="101" t="e">
        <f t="shared" si="58"/>
        <v>#DIV/0!</v>
      </c>
      <c r="M29" s="228">
        <f t="shared" si="59"/>
        <v>0</v>
      </c>
      <c r="N29" s="101" t="e">
        <f t="shared" si="60"/>
        <v>#DIV/0!</v>
      </c>
      <c r="O29" s="235"/>
      <c r="P29" s="101" t="e">
        <f t="shared" si="61"/>
        <v>#DIV/0!</v>
      </c>
      <c r="Q29" s="235"/>
      <c r="R29" s="101" t="e">
        <f t="shared" si="62"/>
        <v>#DIV/0!</v>
      </c>
      <c r="S29" s="228">
        <f t="shared" si="63"/>
        <v>0</v>
      </c>
      <c r="T29" s="101" t="e">
        <f t="shared" si="64"/>
        <v>#DIV/0!</v>
      </c>
      <c r="U29" s="235"/>
      <c r="V29" s="101" t="e">
        <f t="shared" si="65"/>
        <v>#DIV/0!</v>
      </c>
      <c r="W29" s="235"/>
      <c r="X29" s="101" t="e">
        <f t="shared" si="66"/>
        <v>#DIV/0!</v>
      </c>
      <c r="Y29" s="235"/>
      <c r="Z29" s="101" t="e">
        <f t="shared" si="67"/>
        <v>#DIV/0!</v>
      </c>
      <c r="AA29" s="235"/>
      <c r="AB29" s="101" t="e">
        <f t="shared" si="68"/>
        <v>#DIV/0!</v>
      </c>
      <c r="AC29" s="228">
        <f t="shared" si="69"/>
        <v>0</v>
      </c>
      <c r="AD29" s="101" t="e">
        <f t="shared" si="70"/>
        <v>#DIV/0!</v>
      </c>
      <c r="AE29" s="235"/>
      <c r="AF29" s="101" t="e">
        <f t="shared" si="71"/>
        <v>#DIV/0!</v>
      </c>
      <c r="AG29" s="235"/>
      <c r="AH29" s="101" t="e">
        <f t="shared" si="72"/>
        <v>#DIV/0!</v>
      </c>
      <c r="AI29" s="235"/>
      <c r="AJ29" s="101" t="e">
        <f t="shared" si="73"/>
        <v>#DIV/0!</v>
      </c>
      <c r="AK29" s="235"/>
      <c r="AL29" s="101" t="e">
        <f t="shared" si="74"/>
        <v>#DIV/0!</v>
      </c>
    </row>
    <row r="30" spans="2:38" ht="14.25">
      <c r="B30" s="98"/>
      <c r="C30" s="98"/>
      <c r="D30" s="519">
        <f t="shared" si="19"/>
        <v>46105</v>
      </c>
      <c r="E30" s="519" t="s">
        <v>585</v>
      </c>
      <c r="F30" s="229">
        <f t="shared" si="20"/>
        <v>0</v>
      </c>
      <c r="G30" s="330">
        <f>SUM(F30:F36)</f>
        <v>0</v>
      </c>
      <c r="H30" s="364"/>
      <c r="I30" s="235"/>
      <c r="J30" s="101" t="e">
        <f t="shared" si="57"/>
        <v>#DIV/0!</v>
      </c>
      <c r="K30" s="235"/>
      <c r="L30" s="101" t="e">
        <f t="shared" si="58"/>
        <v>#DIV/0!</v>
      </c>
      <c r="M30" s="228">
        <f t="shared" si="59"/>
        <v>0</v>
      </c>
      <c r="N30" s="101" t="e">
        <f t="shared" si="60"/>
        <v>#DIV/0!</v>
      </c>
      <c r="O30" s="235"/>
      <c r="P30" s="101" t="e">
        <f t="shared" si="61"/>
        <v>#DIV/0!</v>
      </c>
      <c r="Q30" s="235"/>
      <c r="R30" s="101" t="e">
        <f t="shared" si="62"/>
        <v>#DIV/0!</v>
      </c>
      <c r="S30" s="228">
        <f t="shared" si="63"/>
        <v>0</v>
      </c>
      <c r="T30" s="101" t="e">
        <f t="shared" si="64"/>
        <v>#DIV/0!</v>
      </c>
      <c r="U30" s="235"/>
      <c r="V30" s="101" t="e">
        <f t="shared" si="65"/>
        <v>#DIV/0!</v>
      </c>
      <c r="W30" s="235"/>
      <c r="X30" s="101" t="e">
        <f t="shared" si="66"/>
        <v>#DIV/0!</v>
      </c>
      <c r="Y30" s="235"/>
      <c r="Z30" s="101" t="e">
        <f t="shared" si="67"/>
        <v>#DIV/0!</v>
      </c>
      <c r="AA30" s="235"/>
      <c r="AB30" s="101" t="e">
        <f t="shared" si="68"/>
        <v>#DIV/0!</v>
      </c>
      <c r="AC30" s="228">
        <f t="shared" si="69"/>
        <v>0</v>
      </c>
      <c r="AD30" s="101" t="e">
        <f t="shared" si="70"/>
        <v>#DIV/0!</v>
      </c>
      <c r="AE30" s="235"/>
      <c r="AF30" s="101" t="e">
        <f t="shared" si="71"/>
        <v>#DIV/0!</v>
      </c>
      <c r="AG30" s="235"/>
      <c r="AH30" s="101" t="e">
        <f t="shared" si="72"/>
        <v>#DIV/0!</v>
      </c>
      <c r="AI30" s="235"/>
      <c r="AJ30" s="101" t="e">
        <f t="shared" si="73"/>
        <v>#DIV/0!</v>
      </c>
      <c r="AK30" s="235"/>
      <c r="AL30" s="101" t="e">
        <f t="shared" si="74"/>
        <v>#DIV/0!</v>
      </c>
    </row>
    <row r="31" spans="2:38" ht="14.25">
      <c r="B31" s="98"/>
      <c r="C31" s="98"/>
      <c r="D31" s="554">
        <f t="shared" si="19"/>
        <v>46106</v>
      </c>
      <c r="E31" s="554" t="s">
        <v>586</v>
      </c>
      <c r="F31" s="229">
        <f t="shared" si="20"/>
        <v>0</v>
      </c>
      <c r="G31" s="330"/>
      <c r="H31" s="364"/>
      <c r="I31" s="235"/>
      <c r="J31" s="101" t="e">
        <f t="shared" si="57"/>
        <v>#DIV/0!</v>
      </c>
      <c r="K31" s="235"/>
      <c r="L31" s="101" t="e">
        <f t="shared" si="58"/>
        <v>#DIV/0!</v>
      </c>
      <c r="M31" s="228">
        <f t="shared" si="59"/>
        <v>0</v>
      </c>
      <c r="N31" s="101" t="e">
        <f t="shared" si="60"/>
        <v>#DIV/0!</v>
      </c>
      <c r="O31" s="235"/>
      <c r="P31" s="101" t="e">
        <f t="shared" si="61"/>
        <v>#DIV/0!</v>
      </c>
      <c r="Q31" s="235"/>
      <c r="R31" s="101" t="e">
        <f t="shared" si="62"/>
        <v>#DIV/0!</v>
      </c>
      <c r="S31" s="228">
        <f t="shared" si="63"/>
        <v>0</v>
      </c>
      <c r="T31" s="101" t="e">
        <f t="shared" si="64"/>
        <v>#DIV/0!</v>
      </c>
      <c r="U31" s="235"/>
      <c r="V31" s="101" t="e">
        <f t="shared" si="65"/>
        <v>#DIV/0!</v>
      </c>
      <c r="W31" s="235"/>
      <c r="X31" s="101" t="e">
        <f t="shared" si="66"/>
        <v>#DIV/0!</v>
      </c>
      <c r="Y31" s="235"/>
      <c r="Z31" s="101" t="e">
        <f t="shared" si="67"/>
        <v>#DIV/0!</v>
      </c>
      <c r="AA31" s="235"/>
      <c r="AB31" s="101" t="e">
        <f t="shared" si="68"/>
        <v>#DIV/0!</v>
      </c>
      <c r="AC31" s="228">
        <f t="shared" si="69"/>
        <v>0</v>
      </c>
      <c r="AD31" s="101" t="e">
        <f t="shared" si="70"/>
        <v>#DIV/0!</v>
      </c>
      <c r="AE31" s="235"/>
      <c r="AF31" s="101" t="e">
        <f t="shared" si="71"/>
        <v>#DIV/0!</v>
      </c>
      <c r="AG31" s="235"/>
      <c r="AH31" s="101" t="e">
        <f t="shared" si="72"/>
        <v>#DIV/0!</v>
      </c>
      <c r="AI31" s="235"/>
      <c r="AJ31" s="101" t="e">
        <f t="shared" si="73"/>
        <v>#DIV/0!</v>
      </c>
      <c r="AK31" s="235"/>
      <c r="AL31" s="101" t="e">
        <f t="shared" si="74"/>
        <v>#DIV/0!</v>
      </c>
    </row>
    <row r="32" spans="2:38" ht="14.25">
      <c r="B32" s="98"/>
      <c r="C32" s="98"/>
      <c r="D32" s="554">
        <f t="shared" si="19"/>
        <v>46107</v>
      </c>
      <c r="E32" s="554" t="s">
        <v>587</v>
      </c>
      <c r="F32" s="229">
        <f t="shared" si="20"/>
        <v>0</v>
      </c>
      <c r="G32" s="330"/>
      <c r="H32" s="364"/>
      <c r="I32" s="235"/>
      <c r="J32" s="101" t="e">
        <f t="shared" si="57"/>
        <v>#DIV/0!</v>
      </c>
      <c r="K32" s="235"/>
      <c r="L32" s="101" t="e">
        <f t="shared" si="58"/>
        <v>#DIV/0!</v>
      </c>
      <c r="M32" s="228">
        <f t="shared" si="59"/>
        <v>0</v>
      </c>
      <c r="N32" s="101" t="e">
        <f t="shared" si="60"/>
        <v>#DIV/0!</v>
      </c>
      <c r="O32" s="235"/>
      <c r="P32" s="101" t="e">
        <f t="shared" si="61"/>
        <v>#DIV/0!</v>
      </c>
      <c r="Q32" s="235"/>
      <c r="R32" s="101" t="e">
        <f t="shared" si="62"/>
        <v>#DIV/0!</v>
      </c>
      <c r="S32" s="228">
        <f t="shared" si="63"/>
        <v>0</v>
      </c>
      <c r="T32" s="101" t="e">
        <f t="shared" si="64"/>
        <v>#DIV/0!</v>
      </c>
      <c r="U32" s="235"/>
      <c r="V32" s="101" t="e">
        <f t="shared" si="65"/>
        <v>#DIV/0!</v>
      </c>
      <c r="W32" s="235"/>
      <c r="X32" s="101" t="e">
        <f t="shared" si="66"/>
        <v>#DIV/0!</v>
      </c>
      <c r="Y32" s="235"/>
      <c r="Z32" s="101" t="e">
        <f t="shared" si="67"/>
        <v>#DIV/0!</v>
      </c>
      <c r="AA32" s="235"/>
      <c r="AB32" s="101" t="e">
        <f t="shared" si="68"/>
        <v>#DIV/0!</v>
      </c>
      <c r="AC32" s="228">
        <f t="shared" si="69"/>
        <v>0</v>
      </c>
      <c r="AD32" s="101" t="e">
        <f t="shared" si="70"/>
        <v>#DIV/0!</v>
      </c>
      <c r="AE32" s="235"/>
      <c r="AF32" s="101" t="e">
        <f t="shared" si="71"/>
        <v>#DIV/0!</v>
      </c>
      <c r="AG32" s="235"/>
      <c r="AH32" s="101" t="e">
        <f t="shared" si="72"/>
        <v>#DIV/0!</v>
      </c>
      <c r="AI32" s="235"/>
      <c r="AJ32" s="101" t="e">
        <f t="shared" si="73"/>
        <v>#DIV/0!</v>
      </c>
      <c r="AK32" s="235"/>
      <c r="AL32" s="101" t="e">
        <f t="shared" si="74"/>
        <v>#DIV/0!</v>
      </c>
    </row>
    <row r="33" spans="2:38" ht="14.25">
      <c r="B33" s="98"/>
      <c r="C33" s="98"/>
      <c r="D33" s="554">
        <f t="shared" si="19"/>
        <v>46108</v>
      </c>
      <c r="E33" s="554" t="s">
        <v>588</v>
      </c>
      <c r="F33" s="229">
        <f t="shared" si="20"/>
        <v>0</v>
      </c>
      <c r="G33" s="330"/>
      <c r="H33" s="364"/>
      <c r="I33" s="235"/>
      <c r="J33" s="101" t="e">
        <f t="shared" si="57"/>
        <v>#DIV/0!</v>
      </c>
      <c r="K33" s="235"/>
      <c r="L33" s="101" t="e">
        <f t="shared" si="58"/>
        <v>#DIV/0!</v>
      </c>
      <c r="M33" s="228">
        <f t="shared" si="59"/>
        <v>0</v>
      </c>
      <c r="N33" s="101" t="e">
        <f t="shared" si="60"/>
        <v>#DIV/0!</v>
      </c>
      <c r="O33" s="235"/>
      <c r="P33" s="101" t="e">
        <f t="shared" si="61"/>
        <v>#DIV/0!</v>
      </c>
      <c r="Q33" s="235"/>
      <c r="R33" s="101" t="e">
        <f t="shared" si="62"/>
        <v>#DIV/0!</v>
      </c>
      <c r="S33" s="228">
        <f t="shared" si="63"/>
        <v>0</v>
      </c>
      <c r="T33" s="101" t="e">
        <f t="shared" si="64"/>
        <v>#DIV/0!</v>
      </c>
      <c r="U33" s="235"/>
      <c r="V33" s="101" t="e">
        <f t="shared" si="65"/>
        <v>#DIV/0!</v>
      </c>
      <c r="W33" s="235"/>
      <c r="X33" s="101" t="e">
        <f t="shared" si="66"/>
        <v>#DIV/0!</v>
      </c>
      <c r="Y33" s="235"/>
      <c r="Z33" s="101" t="e">
        <f t="shared" si="67"/>
        <v>#DIV/0!</v>
      </c>
      <c r="AA33" s="235"/>
      <c r="AB33" s="101" t="e">
        <f t="shared" si="68"/>
        <v>#DIV/0!</v>
      </c>
      <c r="AC33" s="228">
        <f t="shared" si="69"/>
        <v>0</v>
      </c>
      <c r="AD33" s="101" t="e">
        <f t="shared" si="70"/>
        <v>#DIV/0!</v>
      </c>
      <c r="AE33" s="235"/>
      <c r="AF33" s="101" t="e">
        <f t="shared" si="71"/>
        <v>#DIV/0!</v>
      </c>
      <c r="AG33" s="235"/>
      <c r="AH33" s="101" t="e">
        <f t="shared" si="72"/>
        <v>#DIV/0!</v>
      </c>
      <c r="AI33" s="235"/>
      <c r="AJ33" s="101" t="e">
        <f t="shared" si="73"/>
        <v>#DIV/0!</v>
      </c>
      <c r="AK33" s="235"/>
      <c r="AL33" s="101" t="e">
        <f t="shared" si="74"/>
        <v>#DIV/0!</v>
      </c>
    </row>
    <row r="34" spans="2:38" ht="14.25">
      <c r="B34" s="98"/>
      <c r="C34" s="98"/>
      <c r="D34" s="554">
        <f t="shared" si="19"/>
        <v>46109</v>
      </c>
      <c r="E34" s="554" t="s">
        <v>589</v>
      </c>
      <c r="F34" s="229">
        <f t="shared" si="20"/>
        <v>0</v>
      </c>
      <c r="G34" s="330"/>
      <c r="H34" s="364"/>
      <c r="I34" s="235"/>
      <c r="J34" s="101" t="e">
        <f t="shared" si="57"/>
        <v>#DIV/0!</v>
      </c>
      <c r="K34" s="235"/>
      <c r="L34" s="101" t="e">
        <f t="shared" si="58"/>
        <v>#DIV/0!</v>
      </c>
      <c r="M34" s="228">
        <f t="shared" si="59"/>
        <v>0</v>
      </c>
      <c r="N34" s="101" t="e">
        <f t="shared" si="60"/>
        <v>#DIV/0!</v>
      </c>
      <c r="O34" s="235"/>
      <c r="P34" s="101" t="e">
        <f t="shared" si="61"/>
        <v>#DIV/0!</v>
      </c>
      <c r="Q34" s="235"/>
      <c r="R34" s="101" t="e">
        <f t="shared" si="62"/>
        <v>#DIV/0!</v>
      </c>
      <c r="S34" s="228">
        <f t="shared" si="63"/>
        <v>0</v>
      </c>
      <c r="T34" s="101" t="e">
        <f t="shared" si="64"/>
        <v>#DIV/0!</v>
      </c>
      <c r="U34" s="235"/>
      <c r="V34" s="101" t="e">
        <f t="shared" si="65"/>
        <v>#DIV/0!</v>
      </c>
      <c r="W34" s="235"/>
      <c r="X34" s="101" t="e">
        <f t="shared" si="66"/>
        <v>#DIV/0!</v>
      </c>
      <c r="Y34" s="235"/>
      <c r="Z34" s="101" t="e">
        <f t="shared" si="67"/>
        <v>#DIV/0!</v>
      </c>
      <c r="AA34" s="235"/>
      <c r="AB34" s="101" t="e">
        <f t="shared" si="68"/>
        <v>#DIV/0!</v>
      </c>
      <c r="AC34" s="228">
        <f t="shared" si="69"/>
        <v>0</v>
      </c>
      <c r="AD34" s="101" t="e">
        <f t="shared" si="70"/>
        <v>#DIV/0!</v>
      </c>
      <c r="AE34" s="235"/>
      <c r="AF34" s="101" t="e">
        <f t="shared" si="71"/>
        <v>#DIV/0!</v>
      </c>
      <c r="AG34" s="235"/>
      <c r="AH34" s="101" t="e">
        <f t="shared" si="72"/>
        <v>#DIV/0!</v>
      </c>
      <c r="AI34" s="235"/>
      <c r="AJ34" s="101" t="e">
        <f t="shared" si="73"/>
        <v>#DIV/0!</v>
      </c>
      <c r="AK34" s="235"/>
      <c r="AL34" s="101" t="e">
        <f t="shared" si="74"/>
        <v>#DIV/0!</v>
      </c>
    </row>
    <row r="35" spans="2:38" ht="14.25">
      <c r="B35" s="98"/>
      <c r="C35" s="98"/>
      <c r="D35" s="554">
        <f t="shared" si="19"/>
        <v>46110</v>
      </c>
      <c r="E35" s="554" t="s">
        <v>590</v>
      </c>
      <c r="F35" s="229">
        <f t="shared" si="20"/>
        <v>0</v>
      </c>
      <c r="G35" s="330"/>
      <c r="H35" s="364"/>
      <c r="I35" s="235"/>
      <c r="J35" s="101" t="e">
        <f t="shared" si="57"/>
        <v>#DIV/0!</v>
      </c>
      <c r="K35" s="235"/>
      <c r="L35" s="101" t="e">
        <f t="shared" si="58"/>
        <v>#DIV/0!</v>
      </c>
      <c r="M35" s="228">
        <f t="shared" si="59"/>
        <v>0</v>
      </c>
      <c r="N35" s="101" t="e">
        <f t="shared" si="60"/>
        <v>#DIV/0!</v>
      </c>
      <c r="O35" s="235"/>
      <c r="P35" s="101" t="e">
        <f t="shared" si="61"/>
        <v>#DIV/0!</v>
      </c>
      <c r="Q35" s="235"/>
      <c r="R35" s="101" t="e">
        <f t="shared" si="62"/>
        <v>#DIV/0!</v>
      </c>
      <c r="S35" s="228">
        <f t="shared" si="63"/>
        <v>0</v>
      </c>
      <c r="T35" s="101" t="e">
        <f t="shared" si="64"/>
        <v>#DIV/0!</v>
      </c>
      <c r="U35" s="235"/>
      <c r="V35" s="101" t="e">
        <f t="shared" si="65"/>
        <v>#DIV/0!</v>
      </c>
      <c r="W35" s="235"/>
      <c r="X35" s="101" t="e">
        <f t="shared" si="66"/>
        <v>#DIV/0!</v>
      </c>
      <c r="Y35" s="235"/>
      <c r="Z35" s="101" t="e">
        <f t="shared" si="67"/>
        <v>#DIV/0!</v>
      </c>
      <c r="AA35" s="235"/>
      <c r="AB35" s="101" t="e">
        <f t="shared" si="68"/>
        <v>#DIV/0!</v>
      </c>
      <c r="AC35" s="228">
        <f t="shared" si="69"/>
        <v>0</v>
      </c>
      <c r="AD35" s="101" t="e">
        <f t="shared" si="70"/>
        <v>#DIV/0!</v>
      </c>
      <c r="AE35" s="235"/>
      <c r="AF35" s="101" t="e">
        <f t="shared" si="71"/>
        <v>#DIV/0!</v>
      </c>
      <c r="AG35" s="235"/>
      <c r="AH35" s="101" t="e">
        <f t="shared" si="72"/>
        <v>#DIV/0!</v>
      </c>
      <c r="AI35" s="235"/>
      <c r="AJ35" s="101" t="e">
        <f t="shared" si="73"/>
        <v>#DIV/0!</v>
      </c>
      <c r="AK35" s="235"/>
      <c r="AL35" s="101" t="e">
        <f t="shared" si="74"/>
        <v>#DIV/0!</v>
      </c>
    </row>
    <row r="36" spans="2:38" ht="14.25">
      <c r="B36" s="98"/>
      <c r="C36" s="98"/>
      <c r="D36" s="554">
        <f t="shared" si="19"/>
        <v>46111</v>
      </c>
      <c r="E36" s="554" t="s">
        <v>584</v>
      </c>
      <c r="F36" s="229">
        <f t="shared" si="20"/>
        <v>0</v>
      </c>
      <c r="G36" s="330"/>
      <c r="H36" s="364"/>
      <c r="I36" s="235"/>
      <c r="J36" s="101" t="e">
        <f t="shared" si="57"/>
        <v>#DIV/0!</v>
      </c>
      <c r="K36" s="235"/>
      <c r="L36" s="101" t="e">
        <f t="shared" si="58"/>
        <v>#DIV/0!</v>
      </c>
      <c r="M36" s="228">
        <f t="shared" si="59"/>
        <v>0</v>
      </c>
      <c r="N36" s="101" t="e">
        <f t="shared" si="60"/>
        <v>#DIV/0!</v>
      </c>
      <c r="O36" s="235"/>
      <c r="P36" s="101" t="e">
        <f t="shared" si="61"/>
        <v>#DIV/0!</v>
      </c>
      <c r="Q36" s="235"/>
      <c r="R36" s="101" t="e">
        <f t="shared" si="62"/>
        <v>#DIV/0!</v>
      </c>
      <c r="S36" s="228">
        <f t="shared" si="63"/>
        <v>0</v>
      </c>
      <c r="T36" s="101" t="e">
        <f t="shared" si="64"/>
        <v>#DIV/0!</v>
      </c>
      <c r="U36" s="235"/>
      <c r="V36" s="101" t="e">
        <f t="shared" si="65"/>
        <v>#DIV/0!</v>
      </c>
      <c r="W36" s="235"/>
      <c r="X36" s="101" t="e">
        <f t="shared" si="66"/>
        <v>#DIV/0!</v>
      </c>
      <c r="Y36" s="235"/>
      <c r="Z36" s="101" t="e">
        <f t="shared" si="67"/>
        <v>#DIV/0!</v>
      </c>
      <c r="AA36" s="235"/>
      <c r="AB36" s="101" t="e">
        <f t="shared" si="68"/>
        <v>#DIV/0!</v>
      </c>
      <c r="AC36" s="228">
        <f t="shared" si="69"/>
        <v>0</v>
      </c>
      <c r="AD36" s="101" t="e">
        <f t="shared" si="70"/>
        <v>#DIV/0!</v>
      </c>
      <c r="AE36" s="235"/>
      <c r="AF36" s="101" t="e">
        <f t="shared" si="71"/>
        <v>#DIV/0!</v>
      </c>
      <c r="AG36" s="235"/>
      <c r="AH36" s="101" t="e">
        <f t="shared" si="72"/>
        <v>#DIV/0!</v>
      </c>
      <c r="AI36" s="235"/>
      <c r="AJ36" s="101" t="e">
        <f t="shared" si="73"/>
        <v>#DIV/0!</v>
      </c>
      <c r="AK36" s="235"/>
      <c r="AL36" s="101" t="e">
        <f t="shared" si="74"/>
        <v>#DIV/0!</v>
      </c>
    </row>
    <row r="37" spans="2:38" ht="14.25">
      <c r="B37" s="98"/>
      <c r="C37" s="98"/>
      <c r="D37" s="332">
        <f>D36+1</f>
        <v>46112</v>
      </c>
      <c r="E37" s="332" t="s">
        <v>585</v>
      </c>
      <c r="F37" s="229">
        <f t="shared" si="20"/>
        <v>0</v>
      </c>
      <c r="G37" s="330"/>
      <c r="H37" s="364"/>
      <c r="I37" s="235"/>
      <c r="J37" s="101" t="e">
        <f t="shared" si="57"/>
        <v>#DIV/0!</v>
      </c>
      <c r="K37" s="235"/>
      <c r="L37" s="101" t="e">
        <f t="shared" si="58"/>
        <v>#DIV/0!</v>
      </c>
      <c r="M37" s="228">
        <f t="shared" si="59"/>
        <v>0</v>
      </c>
      <c r="N37" s="101" t="e">
        <f t="shared" si="60"/>
        <v>#DIV/0!</v>
      </c>
      <c r="O37" s="235"/>
      <c r="P37" s="101" t="e">
        <f t="shared" si="61"/>
        <v>#DIV/0!</v>
      </c>
      <c r="Q37" s="235"/>
      <c r="R37" s="101" t="e">
        <f t="shared" si="62"/>
        <v>#DIV/0!</v>
      </c>
      <c r="S37" s="228">
        <f t="shared" si="63"/>
        <v>0</v>
      </c>
      <c r="T37" s="101" t="e">
        <f t="shared" si="64"/>
        <v>#DIV/0!</v>
      </c>
      <c r="U37" s="235"/>
      <c r="V37" s="101" t="e">
        <f t="shared" si="65"/>
        <v>#DIV/0!</v>
      </c>
      <c r="W37" s="235"/>
      <c r="X37" s="101" t="e">
        <f t="shared" si="66"/>
        <v>#DIV/0!</v>
      </c>
      <c r="Y37" s="235"/>
      <c r="Z37" s="101" t="e">
        <f t="shared" si="67"/>
        <v>#DIV/0!</v>
      </c>
      <c r="AA37" s="235"/>
      <c r="AB37" s="101" t="e">
        <f t="shared" si="68"/>
        <v>#DIV/0!</v>
      </c>
      <c r="AC37" s="228">
        <f t="shared" si="69"/>
        <v>0</v>
      </c>
      <c r="AD37" s="101" t="e">
        <f t="shared" si="70"/>
        <v>#DIV/0!</v>
      </c>
      <c r="AE37" s="235"/>
      <c r="AF37" s="101" t="e">
        <f t="shared" si="71"/>
        <v>#DIV/0!</v>
      </c>
      <c r="AG37" s="235"/>
      <c r="AH37" s="101" t="e">
        <f t="shared" si="72"/>
        <v>#DIV/0!</v>
      </c>
      <c r="AI37" s="235"/>
      <c r="AJ37" s="101" t="e">
        <f t="shared" si="73"/>
        <v>#DIV/0!</v>
      </c>
      <c r="AK37" s="235"/>
      <c r="AL37" s="101" t="e">
        <f t="shared" si="74"/>
        <v>#DIV/0!</v>
      </c>
    </row>
    <row r="38" spans="2:38" ht="14.25">
      <c r="B38" s="98"/>
      <c r="C38" s="98"/>
      <c r="D38" s="332">
        <f t="shared" ref="D38:D43" si="75">D37+1</f>
        <v>46113</v>
      </c>
      <c r="E38" s="553" t="s">
        <v>586</v>
      </c>
      <c r="F38" s="229">
        <f t="shared" si="20"/>
        <v>0</v>
      </c>
      <c r="G38" s="330"/>
      <c r="H38" s="364"/>
      <c r="I38" s="235"/>
      <c r="J38" s="101" t="e">
        <f t="shared" si="57"/>
        <v>#DIV/0!</v>
      </c>
      <c r="K38" s="235"/>
      <c r="L38" s="101" t="e">
        <f t="shared" si="58"/>
        <v>#DIV/0!</v>
      </c>
      <c r="M38" s="228">
        <f t="shared" si="59"/>
        <v>0</v>
      </c>
      <c r="N38" s="101" t="e">
        <f t="shared" si="60"/>
        <v>#DIV/0!</v>
      </c>
      <c r="O38" s="235"/>
      <c r="P38" s="101" t="e">
        <f t="shared" si="61"/>
        <v>#DIV/0!</v>
      </c>
      <c r="Q38" s="235"/>
      <c r="R38" s="101" t="e">
        <f t="shared" si="62"/>
        <v>#DIV/0!</v>
      </c>
      <c r="S38" s="228">
        <f t="shared" si="63"/>
        <v>0</v>
      </c>
      <c r="T38" s="101" t="e">
        <f t="shared" si="64"/>
        <v>#DIV/0!</v>
      </c>
      <c r="U38" s="235"/>
      <c r="V38" s="101" t="e">
        <f t="shared" si="65"/>
        <v>#DIV/0!</v>
      </c>
      <c r="W38" s="235"/>
      <c r="X38" s="101" t="e">
        <f t="shared" si="66"/>
        <v>#DIV/0!</v>
      </c>
      <c r="Y38" s="235"/>
      <c r="Z38" s="101" t="e">
        <f t="shared" si="67"/>
        <v>#DIV/0!</v>
      </c>
      <c r="AA38" s="235"/>
      <c r="AB38" s="101" t="e">
        <f t="shared" si="68"/>
        <v>#DIV/0!</v>
      </c>
      <c r="AC38" s="228">
        <f t="shared" si="69"/>
        <v>0</v>
      </c>
      <c r="AD38" s="101" t="e">
        <f t="shared" si="70"/>
        <v>#DIV/0!</v>
      </c>
      <c r="AE38" s="235"/>
      <c r="AF38" s="101" t="e">
        <f t="shared" si="71"/>
        <v>#DIV/0!</v>
      </c>
      <c r="AG38" s="235"/>
      <c r="AH38" s="101" t="e">
        <f t="shared" si="72"/>
        <v>#DIV/0!</v>
      </c>
      <c r="AI38" s="235"/>
      <c r="AJ38" s="101" t="e">
        <f t="shared" si="73"/>
        <v>#DIV/0!</v>
      </c>
      <c r="AK38" s="235"/>
      <c r="AL38" s="101" t="e">
        <f t="shared" si="74"/>
        <v>#DIV/0!</v>
      </c>
    </row>
    <row r="39" spans="2:38" ht="14.25">
      <c r="B39" s="98"/>
      <c r="C39" s="83"/>
      <c r="D39" s="332">
        <f t="shared" si="75"/>
        <v>46114</v>
      </c>
      <c r="E39" s="553" t="s">
        <v>587</v>
      </c>
      <c r="F39" s="229">
        <f t="shared" si="20"/>
        <v>0</v>
      </c>
      <c r="G39" s="330"/>
      <c r="H39" s="97"/>
      <c r="I39" s="235"/>
      <c r="J39" s="101" t="e">
        <f t="shared" si="57"/>
        <v>#DIV/0!</v>
      </c>
      <c r="K39" s="235"/>
      <c r="L39" s="101" t="e">
        <f t="shared" si="58"/>
        <v>#DIV/0!</v>
      </c>
      <c r="M39" s="228">
        <f t="shared" si="59"/>
        <v>0</v>
      </c>
      <c r="N39" s="101" t="e">
        <f t="shared" si="60"/>
        <v>#DIV/0!</v>
      </c>
      <c r="O39" s="235"/>
      <c r="P39" s="101" t="e">
        <f t="shared" si="61"/>
        <v>#DIV/0!</v>
      </c>
      <c r="Q39" s="235"/>
      <c r="R39" s="101" t="e">
        <f t="shared" si="62"/>
        <v>#DIV/0!</v>
      </c>
      <c r="S39" s="228">
        <f t="shared" si="63"/>
        <v>0</v>
      </c>
      <c r="T39" s="101" t="e">
        <f t="shared" si="64"/>
        <v>#DIV/0!</v>
      </c>
      <c r="U39" s="235"/>
      <c r="V39" s="101" t="e">
        <f t="shared" si="65"/>
        <v>#DIV/0!</v>
      </c>
      <c r="W39" s="235"/>
      <c r="X39" s="101" t="e">
        <f t="shared" si="66"/>
        <v>#DIV/0!</v>
      </c>
      <c r="Y39" s="235"/>
      <c r="Z39" s="101" t="e">
        <f t="shared" si="67"/>
        <v>#DIV/0!</v>
      </c>
      <c r="AA39" s="235"/>
      <c r="AB39" s="101" t="e">
        <f t="shared" si="68"/>
        <v>#DIV/0!</v>
      </c>
      <c r="AC39" s="228">
        <f t="shared" si="69"/>
        <v>0</v>
      </c>
      <c r="AD39" s="101" t="e">
        <f t="shared" si="70"/>
        <v>#DIV/0!</v>
      </c>
      <c r="AE39" s="235"/>
      <c r="AF39" s="101" t="e">
        <f t="shared" si="71"/>
        <v>#DIV/0!</v>
      </c>
      <c r="AG39" s="235"/>
      <c r="AH39" s="101" t="e">
        <f t="shared" si="72"/>
        <v>#DIV/0!</v>
      </c>
      <c r="AI39" s="235"/>
      <c r="AJ39" s="101" t="e">
        <f t="shared" si="73"/>
        <v>#DIV/0!</v>
      </c>
      <c r="AK39" s="235"/>
      <c r="AL39" s="101" t="e">
        <f t="shared" si="74"/>
        <v>#DIV/0!</v>
      </c>
    </row>
    <row r="40" spans="2:38" ht="14.25">
      <c r="B40" s="98"/>
      <c r="C40" s="83"/>
      <c r="D40" s="332">
        <f t="shared" si="75"/>
        <v>46115</v>
      </c>
      <c r="E40" s="553" t="s">
        <v>588</v>
      </c>
      <c r="F40" s="229">
        <f t="shared" si="20"/>
        <v>0</v>
      </c>
      <c r="G40" s="330"/>
      <c r="H40" s="97"/>
      <c r="I40" s="235"/>
      <c r="J40" s="101" t="e">
        <f t="shared" si="57"/>
        <v>#DIV/0!</v>
      </c>
      <c r="K40" s="235"/>
      <c r="L40" s="101" t="e">
        <f t="shared" si="58"/>
        <v>#DIV/0!</v>
      </c>
      <c r="M40" s="228">
        <f t="shared" si="59"/>
        <v>0</v>
      </c>
      <c r="N40" s="101" t="e">
        <f t="shared" si="60"/>
        <v>#DIV/0!</v>
      </c>
      <c r="O40" s="235"/>
      <c r="P40" s="101" t="e">
        <f t="shared" si="61"/>
        <v>#DIV/0!</v>
      </c>
      <c r="Q40" s="235"/>
      <c r="R40" s="101" t="e">
        <f t="shared" si="62"/>
        <v>#DIV/0!</v>
      </c>
      <c r="S40" s="228">
        <f t="shared" si="63"/>
        <v>0</v>
      </c>
      <c r="T40" s="101" t="e">
        <f t="shared" si="64"/>
        <v>#DIV/0!</v>
      </c>
      <c r="U40" s="235"/>
      <c r="V40" s="101" t="e">
        <f t="shared" si="65"/>
        <v>#DIV/0!</v>
      </c>
      <c r="W40" s="235"/>
      <c r="X40" s="101" t="e">
        <f t="shared" si="66"/>
        <v>#DIV/0!</v>
      </c>
      <c r="Y40" s="235"/>
      <c r="Z40" s="101" t="e">
        <f t="shared" si="67"/>
        <v>#DIV/0!</v>
      </c>
      <c r="AA40" s="235"/>
      <c r="AB40" s="101" t="e">
        <f t="shared" si="68"/>
        <v>#DIV/0!</v>
      </c>
      <c r="AC40" s="228">
        <f t="shared" si="69"/>
        <v>0</v>
      </c>
      <c r="AD40" s="101" t="e">
        <f t="shared" si="70"/>
        <v>#DIV/0!</v>
      </c>
      <c r="AE40" s="235"/>
      <c r="AF40" s="101" t="e">
        <f t="shared" si="71"/>
        <v>#DIV/0!</v>
      </c>
      <c r="AG40" s="235"/>
      <c r="AH40" s="101" t="e">
        <f t="shared" si="72"/>
        <v>#DIV/0!</v>
      </c>
      <c r="AI40" s="235"/>
      <c r="AJ40" s="101" t="e">
        <f t="shared" si="73"/>
        <v>#DIV/0!</v>
      </c>
      <c r="AK40" s="235"/>
      <c r="AL40" s="101" t="e">
        <f t="shared" si="74"/>
        <v>#DIV/0!</v>
      </c>
    </row>
    <row r="41" spans="2:38" ht="14.25">
      <c r="B41" s="98"/>
      <c r="C41" s="83"/>
      <c r="D41" s="332">
        <f t="shared" si="75"/>
        <v>46116</v>
      </c>
      <c r="E41" s="553" t="s">
        <v>589</v>
      </c>
      <c r="F41" s="229">
        <f t="shared" si="20"/>
        <v>0</v>
      </c>
      <c r="G41" s="330"/>
      <c r="H41" s="97"/>
      <c r="I41" s="235"/>
      <c r="J41" s="101" t="e">
        <f t="shared" si="57"/>
        <v>#DIV/0!</v>
      </c>
      <c r="K41" s="235"/>
      <c r="L41" s="101" t="e">
        <f t="shared" si="58"/>
        <v>#DIV/0!</v>
      </c>
      <c r="M41" s="228">
        <f t="shared" si="59"/>
        <v>0</v>
      </c>
      <c r="N41" s="101" t="e">
        <f t="shared" si="60"/>
        <v>#DIV/0!</v>
      </c>
      <c r="O41" s="235"/>
      <c r="P41" s="101" t="e">
        <f t="shared" si="61"/>
        <v>#DIV/0!</v>
      </c>
      <c r="Q41" s="235"/>
      <c r="R41" s="101" t="e">
        <f t="shared" si="62"/>
        <v>#DIV/0!</v>
      </c>
      <c r="S41" s="228">
        <f t="shared" si="63"/>
        <v>0</v>
      </c>
      <c r="T41" s="101" t="e">
        <f t="shared" si="64"/>
        <v>#DIV/0!</v>
      </c>
      <c r="U41" s="235"/>
      <c r="V41" s="101" t="e">
        <f t="shared" si="65"/>
        <v>#DIV/0!</v>
      </c>
      <c r="W41" s="235"/>
      <c r="X41" s="101" t="e">
        <f t="shared" si="66"/>
        <v>#DIV/0!</v>
      </c>
      <c r="Y41" s="235"/>
      <c r="Z41" s="101" t="e">
        <f t="shared" si="67"/>
        <v>#DIV/0!</v>
      </c>
      <c r="AA41" s="235"/>
      <c r="AB41" s="101" t="e">
        <f t="shared" si="68"/>
        <v>#DIV/0!</v>
      </c>
      <c r="AC41" s="228">
        <f t="shared" si="69"/>
        <v>0</v>
      </c>
      <c r="AD41" s="101" t="e">
        <f t="shared" si="70"/>
        <v>#DIV/0!</v>
      </c>
      <c r="AE41" s="235"/>
      <c r="AF41" s="101" t="e">
        <f t="shared" si="71"/>
        <v>#DIV/0!</v>
      </c>
      <c r="AG41" s="235"/>
      <c r="AH41" s="101" t="e">
        <f t="shared" si="72"/>
        <v>#DIV/0!</v>
      </c>
      <c r="AI41" s="235"/>
      <c r="AJ41" s="101" t="e">
        <f t="shared" si="73"/>
        <v>#DIV/0!</v>
      </c>
      <c r="AK41" s="235"/>
      <c r="AL41" s="101" t="e">
        <f t="shared" si="74"/>
        <v>#DIV/0!</v>
      </c>
    </row>
    <row r="42" spans="2:38" ht="14.25">
      <c r="B42" s="98"/>
      <c r="C42" s="83"/>
      <c r="D42" s="332">
        <f t="shared" si="75"/>
        <v>46117</v>
      </c>
      <c r="E42" s="553" t="s">
        <v>590</v>
      </c>
      <c r="F42" s="229">
        <f t="shared" si="20"/>
        <v>0</v>
      </c>
      <c r="G42" s="330"/>
      <c r="H42" s="97"/>
      <c r="I42" s="235"/>
      <c r="J42" s="101" t="e">
        <f>I42/F42</f>
        <v>#DIV/0!</v>
      </c>
      <c r="K42" s="235"/>
      <c r="L42" s="101" t="e">
        <f>K42/F42</f>
        <v>#DIV/0!</v>
      </c>
      <c r="M42" s="228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62"/>
        <v>#DIV/0!</v>
      </c>
      <c r="S42" s="228">
        <f t="shared" si="63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68"/>
        <v>#DIV/0!</v>
      </c>
      <c r="AC42" s="228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4.25">
      <c r="B43" s="98"/>
      <c r="C43" s="83"/>
      <c r="D43" s="332">
        <f t="shared" si="75"/>
        <v>46118</v>
      </c>
      <c r="E43" s="553" t="s">
        <v>584</v>
      </c>
      <c r="F43" s="229">
        <f t="shared" si="20"/>
        <v>0</v>
      </c>
      <c r="G43" s="330"/>
      <c r="H43" s="97"/>
      <c r="I43" s="235"/>
      <c r="J43" s="101" t="e">
        <f>I43/F43</f>
        <v>#DIV/0!</v>
      </c>
      <c r="K43" s="235"/>
      <c r="L43" s="101" t="e">
        <f>K43/F43</f>
        <v>#DIV/0!</v>
      </c>
      <c r="M43" s="228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62"/>
        <v>#DIV/0!</v>
      </c>
      <c r="S43" s="228">
        <f t="shared" si="63"/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68"/>
        <v>#DIV/0!</v>
      </c>
      <c r="AC43" s="228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4.25">
      <c r="B44" s="98"/>
      <c r="C44" s="83"/>
      <c r="D44" s="86"/>
      <c r="E44" s="86"/>
      <c r="F44" s="229">
        <f t="shared" si="20"/>
        <v>0</v>
      </c>
      <c r="G44" s="229"/>
      <c r="H44" s="97"/>
      <c r="I44" s="235"/>
      <c r="J44" s="101" t="e">
        <f>I44/F44</f>
        <v>#DIV/0!</v>
      </c>
      <c r="K44" s="235"/>
      <c r="L44" s="101" t="e">
        <f>K44/F44</f>
        <v>#DIV/0!</v>
      </c>
      <c r="M44" s="228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62"/>
        <v>#DIV/0!</v>
      </c>
      <c r="S44" s="228">
        <f t="shared" si="63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68"/>
        <v>#DIV/0!</v>
      </c>
      <c r="AC44" s="228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4.25">
      <c r="B45" s="98"/>
      <c r="C45" s="83"/>
      <c r="D45" s="86"/>
      <c r="E45" s="86"/>
      <c r="F45" s="229">
        <f t="shared" si="20"/>
        <v>0</v>
      </c>
      <c r="G45" s="229"/>
      <c r="H45" s="97"/>
      <c r="I45" s="235"/>
      <c r="J45" s="101" t="e">
        <f>I45/F45</f>
        <v>#DIV/0!</v>
      </c>
      <c r="K45" s="235"/>
      <c r="L45" s="101" t="e">
        <f>K45/F45</f>
        <v>#DIV/0!</v>
      </c>
      <c r="M45" s="228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62"/>
        <v>#DIV/0!</v>
      </c>
      <c r="S45" s="228">
        <f t="shared" si="63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68"/>
        <v>#DIV/0!</v>
      </c>
      <c r="AC45" s="228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295">
        <f>SUM(I7:I45)</f>
        <v>5041760.9351630779</v>
      </c>
      <c r="J46" s="291">
        <f>I46/$H$12</f>
        <v>7.3431880256419016E-2</v>
      </c>
      <c r="K46" s="295">
        <f>SUM(K7:K45)</f>
        <v>6593439.1014826735</v>
      </c>
      <c r="L46" s="291">
        <f>K46/$H$12</f>
        <v>9.6031651798739237E-2</v>
      </c>
      <c r="M46" s="295">
        <f>SUM(M8:M45)</f>
        <v>10292451.604608724</v>
      </c>
      <c r="N46" s="291" t="e">
        <f>M46/$H$8</f>
        <v>#DIV/0!</v>
      </c>
      <c r="O46" s="295">
        <f>SUM(O7:O45)</f>
        <v>1317224.7947992964</v>
      </c>
      <c r="P46" s="291">
        <f>O46/$H$12</f>
        <v>1.9185021790280379E-2</v>
      </c>
      <c r="Q46" s="295">
        <f>SUM(Q7:Q45)</f>
        <v>856271.3549471118</v>
      </c>
      <c r="R46" s="291">
        <f>Q46/$H$12</f>
        <v>1.2471359989512111E-2</v>
      </c>
      <c r="S46" s="295">
        <f>SUM(S8:S45)</f>
        <v>1944794.281169012</v>
      </c>
      <c r="T46" s="291" t="e">
        <f>S46/$H$8</f>
        <v>#DIV/0!</v>
      </c>
      <c r="U46" s="295">
        <f>SUM(U7:U45)</f>
        <v>10419422.195127809</v>
      </c>
      <c r="V46" s="291">
        <f>U46/$H$12</f>
        <v>0.15175605761818053</v>
      </c>
      <c r="W46" s="295">
        <f>SUM(W7:W45)</f>
        <v>709858.42214563407</v>
      </c>
      <c r="X46" s="291">
        <f>W46/$H$12</f>
        <v>1.033889534318483E-2</v>
      </c>
      <c r="Y46" s="295">
        <f>SUM(Y7:Y45)</f>
        <v>6623827.271485867</v>
      </c>
      <c r="Z46" s="291">
        <f>Y46/$H$12</f>
        <v>9.6474247250920089E-2</v>
      </c>
      <c r="AA46" s="295">
        <f>SUM(AA7:AA45)</f>
        <v>12527055.580459962</v>
      </c>
      <c r="AB46" s="291">
        <f>AA46/$H$12</f>
        <v>0.18245316610199158</v>
      </c>
      <c r="AC46" s="295">
        <f>SUM(AC8:AC45)</f>
        <v>17239679.719238464</v>
      </c>
      <c r="AD46" s="291" t="e">
        <f>AC46/$H$8</f>
        <v>#DIV/0!</v>
      </c>
      <c r="AE46" s="295">
        <f>SUM(AE7:AE45)</f>
        <v>11417257.508012788</v>
      </c>
      <c r="AF46" s="291">
        <f>AE46/$H$12</f>
        <v>0.16628925825059532</v>
      </c>
      <c r="AG46" s="295">
        <f>SUM(AG7:AG45)</f>
        <v>2564531.4315488092</v>
      </c>
      <c r="AH46" s="291">
        <f>AG46/$H$12</f>
        <v>3.7351704576453454E-2</v>
      </c>
      <c r="AI46" s="295">
        <f>SUM(AI7:AI45)</f>
        <v>5997280.3241678625</v>
      </c>
      <c r="AJ46" s="291">
        <f>AI46/$H$12</f>
        <v>8.7348760937279071E-2</v>
      </c>
      <c r="AK46" s="295">
        <f>SUM(AK7:AK45)</f>
        <v>4591091.0806591026</v>
      </c>
      <c r="AL46" s="291">
        <f>AK46/$H$12</f>
        <v>6.6867996086444323E-2</v>
      </c>
    </row>
    <row r="47" spans="2:38" ht="14.25">
      <c r="B47" s="98"/>
      <c r="C47" s="83"/>
      <c r="D47" s="84"/>
      <c r="F47" s="97"/>
      <c r="G47" s="97"/>
      <c r="H47" s="97"/>
      <c r="I47" s="292"/>
      <c r="J47" s="293"/>
      <c r="K47" s="292"/>
      <c r="L47" s="293"/>
      <c r="M47" s="294">
        <f>M46</f>
        <v>10292451.604608724</v>
      </c>
      <c r="N47" s="293"/>
      <c r="O47" s="292"/>
      <c r="P47" s="293"/>
      <c r="Q47" s="292"/>
      <c r="R47" s="293"/>
      <c r="S47" s="294">
        <f>S46</f>
        <v>1944794.281169012</v>
      </c>
      <c r="T47" s="293"/>
      <c r="U47" s="294">
        <f>U46</f>
        <v>10419422.195127809</v>
      </c>
      <c r="V47" s="293"/>
      <c r="W47" s="294">
        <f>W46</f>
        <v>709858.42214563407</v>
      </c>
      <c r="X47" s="293"/>
      <c r="Y47" s="292"/>
      <c r="Z47" s="293"/>
      <c r="AA47" s="292"/>
      <c r="AB47" s="293"/>
      <c r="AC47" s="294">
        <f>AC46</f>
        <v>17239679.719238464</v>
      </c>
      <c r="AD47" s="293"/>
      <c r="AE47" s="294">
        <f>AE46</f>
        <v>11417257.508012788</v>
      </c>
      <c r="AF47" s="293"/>
      <c r="AG47" s="294">
        <f>AG46</f>
        <v>2564531.4315488092</v>
      </c>
      <c r="AH47" s="293"/>
      <c r="AI47" s="294">
        <f>AI46</f>
        <v>5997280.3241678625</v>
      </c>
      <c r="AJ47" s="293"/>
      <c r="AK47" s="294">
        <f>AK46</f>
        <v>4591091.0806591026</v>
      </c>
      <c r="AL47" s="293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H15" sqref="H15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29" t="s">
        <v>320</v>
      </c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629"/>
      <c r="Q2" s="629"/>
      <c r="R2" s="629"/>
      <c r="S2" s="629"/>
      <c r="T2" s="629"/>
      <c r="U2" s="629"/>
      <c r="V2" s="629"/>
      <c r="W2" s="629"/>
      <c r="X2" s="629"/>
      <c r="Y2" s="629"/>
      <c r="Z2" s="629"/>
      <c r="AA2" s="629"/>
      <c r="AB2" s="629"/>
      <c r="AC2" s="629"/>
      <c r="AD2" s="629"/>
      <c r="AE2" s="629"/>
      <c r="AF2" s="629"/>
      <c r="AG2" s="629"/>
      <c r="AH2" s="629"/>
      <c r="AI2" s="629"/>
      <c r="AJ2" s="629"/>
      <c r="AK2" s="629"/>
      <c r="AL2" s="629"/>
    </row>
    <row r="3" spans="1:38" ht="25.35" customHeight="1">
      <c r="B3" s="98"/>
      <c r="C3" s="630" t="s">
        <v>139</v>
      </c>
      <c r="D3" s="631" t="s">
        <v>105</v>
      </c>
      <c r="E3" s="631"/>
      <c r="F3" s="638" t="s">
        <v>148</v>
      </c>
      <c r="G3" s="639"/>
      <c r="H3" s="639"/>
      <c r="I3" s="637" t="s">
        <v>318</v>
      </c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637"/>
      <c r="AA3" s="637"/>
      <c r="AB3" s="637"/>
      <c r="AC3" s="637"/>
      <c r="AD3" s="637"/>
      <c r="AE3" s="637"/>
      <c r="AF3" s="637"/>
      <c r="AG3" s="637"/>
      <c r="AH3" s="637"/>
      <c r="AI3" s="637"/>
      <c r="AJ3" s="637"/>
      <c r="AK3" s="637"/>
      <c r="AL3" s="637"/>
    </row>
    <row r="4" spans="1:38" ht="25.35" customHeight="1">
      <c r="B4" s="98"/>
      <c r="C4" s="630"/>
      <c r="D4" s="631"/>
      <c r="E4" s="631"/>
      <c r="F4" s="639"/>
      <c r="G4" s="639"/>
      <c r="H4" s="639"/>
      <c r="I4" s="634" t="s">
        <v>140</v>
      </c>
      <c r="J4" s="634"/>
      <c r="K4" s="634"/>
      <c r="L4" s="634"/>
      <c r="M4" s="634"/>
      <c r="N4" s="634"/>
      <c r="O4" s="634" t="s">
        <v>141</v>
      </c>
      <c r="P4" s="634"/>
      <c r="Q4" s="634"/>
      <c r="R4" s="634"/>
      <c r="S4" s="634"/>
      <c r="T4" s="634"/>
      <c r="U4" s="634" t="s">
        <v>142</v>
      </c>
      <c r="V4" s="634"/>
      <c r="W4" s="634" t="s">
        <v>143</v>
      </c>
      <c r="X4" s="634"/>
      <c r="Y4" s="634" t="s">
        <v>134</v>
      </c>
      <c r="Z4" s="634"/>
      <c r="AA4" s="634"/>
      <c r="AB4" s="634"/>
      <c r="AC4" s="634"/>
      <c r="AD4" s="634"/>
      <c r="AE4" s="634" t="s">
        <v>132</v>
      </c>
      <c r="AF4" s="634"/>
      <c r="AG4" s="634" t="s">
        <v>144</v>
      </c>
      <c r="AH4" s="634"/>
      <c r="AI4" s="634" t="s">
        <v>145</v>
      </c>
      <c r="AJ4" s="634"/>
      <c r="AK4" s="634" t="s">
        <v>138</v>
      </c>
      <c r="AL4" s="634"/>
    </row>
    <row r="5" spans="1:38" ht="25.35" customHeight="1">
      <c r="B5" s="98"/>
      <c r="C5" s="630"/>
      <c r="D5" s="631"/>
      <c r="E5" s="631"/>
      <c r="F5" s="636" t="s">
        <v>115</v>
      </c>
      <c r="G5" s="636" t="s">
        <v>117</v>
      </c>
      <c r="H5" s="636" t="s">
        <v>118</v>
      </c>
      <c r="I5" s="634" t="s">
        <v>129</v>
      </c>
      <c r="J5" s="634"/>
      <c r="K5" s="634" t="s">
        <v>130</v>
      </c>
      <c r="L5" s="634"/>
      <c r="M5" s="635" t="s">
        <v>146</v>
      </c>
      <c r="N5" s="634"/>
      <c r="O5" s="634" t="s">
        <v>129</v>
      </c>
      <c r="P5" s="634"/>
      <c r="Q5" s="634" t="s">
        <v>130</v>
      </c>
      <c r="R5" s="634"/>
      <c r="S5" s="635" t="s">
        <v>146</v>
      </c>
      <c r="T5" s="634"/>
      <c r="U5" s="634" t="s">
        <v>129</v>
      </c>
      <c r="V5" s="634"/>
      <c r="W5" s="634" t="s">
        <v>129</v>
      </c>
      <c r="X5" s="634"/>
      <c r="Y5" s="634" t="s">
        <v>129</v>
      </c>
      <c r="Z5" s="634"/>
      <c r="AA5" s="634" t="s">
        <v>130</v>
      </c>
      <c r="AB5" s="634"/>
      <c r="AC5" s="635" t="s">
        <v>146</v>
      </c>
      <c r="AD5" s="634"/>
      <c r="AE5" s="634" t="s">
        <v>129</v>
      </c>
      <c r="AF5" s="634"/>
      <c r="AG5" s="634" t="s">
        <v>129</v>
      </c>
      <c r="AH5" s="634"/>
      <c r="AI5" s="634" t="s">
        <v>129</v>
      </c>
      <c r="AJ5" s="634"/>
      <c r="AK5" s="634" t="s">
        <v>129</v>
      </c>
      <c r="AL5" s="634"/>
    </row>
    <row r="6" spans="1:38" s="80" customFormat="1" ht="23.45" customHeight="1">
      <c r="B6" s="98"/>
      <c r="C6" s="630"/>
      <c r="D6" s="631"/>
      <c r="E6" s="631"/>
      <c r="F6" s="636"/>
      <c r="G6" s="636"/>
      <c r="H6" s="636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4.25">
      <c r="B7" s="98"/>
      <c r="C7" s="83"/>
      <c r="D7" s="86">
        <v>46082</v>
      </c>
      <c r="E7" s="86" t="s">
        <v>590</v>
      </c>
      <c r="F7" s="88">
        <f t="shared" ref="F7" si="0">SUM(M7,S7,U7,W7,AC7,AE7,AG7,AI7,AK7)</f>
        <v>243291</v>
      </c>
      <c r="G7" s="340"/>
      <c r="H7" s="88"/>
      <c r="I7" s="236">
        <v>30510</v>
      </c>
      <c r="J7" s="101">
        <f t="shared" ref="J7:J8" si="1">I7/F7</f>
        <v>0.12540537874397326</v>
      </c>
      <c r="K7" s="236">
        <v>41020</v>
      </c>
      <c r="L7" s="101">
        <f t="shared" ref="L7:L8" si="2">K7/F7</f>
        <v>0.16860467505990767</v>
      </c>
      <c r="M7" s="106">
        <f t="shared" ref="M7:M8" si="3">SUM(I7+K7)</f>
        <v>71530</v>
      </c>
      <c r="N7" s="101">
        <f t="shared" ref="N7:N8" si="4">M7/F7</f>
        <v>0.29401005380388096</v>
      </c>
      <c r="O7" s="236">
        <v>5288</v>
      </c>
      <c r="P7" s="101">
        <f t="shared" ref="P7:P8" si="5">O7/F7</f>
        <v>2.1735288193973471E-2</v>
      </c>
      <c r="Q7" s="236">
        <v>3473</v>
      </c>
      <c r="R7" s="101">
        <f t="shared" ref="R7:R8" si="6">Q7/F7</f>
        <v>1.4275086213628947E-2</v>
      </c>
      <c r="S7" s="106">
        <f t="shared" ref="S7:S8" si="7">SUM(O7+Q7)</f>
        <v>8761</v>
      </c>
      <c r="T7" s="101">
        <f t="shared" ref="T7:T8" si="8">S7/F7</f>
        <v>3.6010374407602422E-2</v>
      </c>
      <c r="U7" s="236">
        <v>41380</v>
      </c>
      <c r="V7" s="101">
        <f t="shared" ref="V7:V8" si="9">U7/F7</f>
        <v>0.17008438454361238</v>
      </c>
      <c r="W7" s="236">
        <v>2293</v>
      </c>
      <c r="X7" s="101">
        <f t="shared" ref="X7:X8" si="10">W7/F7</f>
        <v>9.4249273503746542E-3</v>
      </c>
      <c r="Y7" s="236">
        <v>23569</v>
      </c>
      <c r="Z7" s="101">
        <f t="shared" ref="Z7:Z8" si="11">Y7/F7</f>
        <v>9.6875757837322385E-2</v>
      </c>
      <c r="AA7" s="236">
        <v>24769</v>
      </c>
      <c r="AB7" s="101">
        <f t="shared" ref="AB7:AB8" si="12">AA7/F7</f>
        <v>0.10180812278300472</v>
      </c>
      <c r="AC7" s="106">
        <f t="shared" ref="AC7:AC8" si="13">SUM(Y7+AA7)</f>
        <v>48338</v>
      </c>
      <c r="AD7" s="101">
        <f t="shared" ref="AD7:AD8" si="14">AC7/F7</f>
        <v>0.1986838806203271</v>
      </c>
      <c r="AE7" s="236">
        <v>26558</v>
      </c>
      <c r="AF7" s="101">
        <f t="shared" ref="AF7:AF8" si="15">AE7/F7</f>
        <v>0.10916145685619279</v>
      </c>
      <c r="AG7" s="236">
        <v>4154</v>
      </c>
      <c r="AH7" s="101">
        <f t="shared" ref="AH7:AH8" si="16">AG7/F7</f>
        <v>1.7074203320303669E-2</v>
      </c>
      <c r="AI7" s="236">
        <v>21805</v>
      </c>
      <c r="AJ7" s="101">
        <f t="shared" ref="AJ7:AJ8" si="17">AI7/F7</f>
        <v>8.9625181367169363E-2</v>
      </c>
      <c r="AK7" s="236">
        <v>18472</v>
      </c>
      <c r="AL7" s="101">
        <f t="shared" ref="AL7:AL8" si="18">AK7/F7</f>
        <v>7.5925537730536688E-2</v>
      </c>
    </row>
    <row r="8" spans="1:38" ht="14.25">
      <c r="B8" s="98"/>
      <c r="C8" s="83"/>
      <c r="D8" s="86">
        <f t="shared" ref="D8:D36" si="19">D7+1</f>
        <v>46083</v>
      </c>
      <c r="E8" s="519" t="s">
        <v>584</v>
      </c>
      <c r="F8" s="88">
        <f>SUM(M8,S8,U8,W8,AC8,AE8,AG8,AI8,AK8)</f>
        <v>238748</v>
      </c>
      <c r="G8" s="340">
        <f>SUM(F7:F8)</f>
        <v>482039</v>
      </c>
      <c r="H8" s="363"/>
      <c r="I8" s="236">
        <v>29254</v>
      </c>
      <c r="J8" s="101">
        <f t="shared" si="1"/>
        <v>0.12253086936853921</v>
      </c>
      <c r="K8" s="236">
        <v>43787</v>
      </c>
      <c r="L8" s="101">
        <f t="shared" si="2"/>
        <v>0.18340258347713909</v>
      </c>
      <c r="M8" s="106">
        <f t="shared" si="3"/>
        <v>73041</v>
      </c>
      <c r="N8" s="101">
        <f t="shared" si="4"/>
        <v>0.3059334528456783</v>
      </c>
      <c r="O8" s="236">
        <v>4932</v>
      </c>
      <c r="P8" s="101">
        <f t="shared" si="5"/>
        <v>2.0657764672374217E-2</v>
      </c>
      <c r="Q8" s="236">
        <v>3435</v>
      </c>
      <c r="R8" s="101">
        <f t="shared" si="6"/>
        <v>1.4387555078995426E-2</v>
      </c>
      <c r="S8" s="106">
        <f t="shared" si="7"/>
        <v>8367</v>
      </c>
      <c r="T8" s="101">
        <f t="shared" si="8"/>
        <v>3.5045319751369645E-2</v>
      </c>
      <c r="U8" s="236">
        <v>37412</v>
      </c>
      <c r="V8" s="101">
        <f t="shared" si="9"/>
        <v>0.15670078911655805</v>
      </c>
      <c r="W8" s="236">
        <v>2539</v>
      </c>
      <c r="X8" s="101">
        <f t="shared" si="10"/>
        <v>1.0634644059845528E-2</v>
      </c>
      <c r="Y8" s="236">
        <v>21847</v>
      </c>
      <c r="Z8" s="101">
        <f t="shared" si="11"/>
        <v>9.1506525709115882E-2</v>
      </c>
      <c r="AA8" s="236">
        <v>31303</v>
      </c>
      <c r="AB8" s="101">
        <f t="shared" si="12"/>
        <v>0.13111314021478715</v>
      </c>
      <c r="AC8" s="106">
        <f t="shared" si="13"/>
        <v>53150</v>
      </c>
      <c r="AD8" s="101">
        <f t="shared" si="14"/>
        <v>0.22261966592390303</v>
      </c>
      <c r="AE8" s="236">
        <v>23606</v>
      </c>
      <c r="AF8" s="101">
        <f t="shared" si="15"/>
        <v>9.8874126694255035E-2</v>
      </c>
      <c r="AG8" s="236">
        <v>4047</v>
      </c>
      <c r="AH8" s="101">
        <f t="shared" si="16"/>
        <v>1.6950927337611204E-2</v>
      </c>
      <c r="AI8" s="236">
        <v>17962</v>
      </c>
      <c r="AJ8" s="101">
        <f t="shared" si="17"/>
        <v>7.5234138087020619E-2</v>
      </c>
      <c r="AK8" s="236">
        <v>18624</v>
      </c>
      <c r="AL8" s="101">
        <f t="shared" si="18"/>
        <v>7.8006936183758604E-2</v>
      </c>
    </row>
    <row r="9" spans="1:38" ht="14.25">
      <c r="B9" s="98"/>
      <c r="C9" s="83"/>
      <c r="D9" s="332">
        <f t="shared" si="19"/>
        <v>46084</v>
      </c>
      <c r="E9" s="332" t="s">
        <v>585</v>
      </c>
      <c r="F9" s="88">
        <f t="shared" ref="F9:F45" si="20">SUM(M9,S9,U9,W9,AC9,AE9,AG9,AI9,AK9)</f>
        <v>261918</v>
      </c>
      <c r="G9" s="340">
        <f>SUM(F9:F15)</f>
        <v>1631684</v>
      </c>
      <c r="I9" s="236">
        <v>32191</v>
      </c>
      <c r="J9" s="101">
        <f t="shared" ref="J9:J13" si="21">I9/F9</f>
        <v>0.1229048786261349</v>
      </c>
      <c r="K9" s="236">
        <v>43002</v>
      </c>
      <c r="L9" s="101">
        <f t="shared" ref="L9:L13" si="22">K9/F9</f>
        <v>0.16418115593430005</v>
      </c>
      <c r="M9" s="106">
        <f t="shared" ref="M9:M13" si="23">SUM(I9+K9)</f>
        <v>75193</v>
      </c>
      <c r="N9" s="101">
        <f t="shared" ref="N9:N13" si="24">M9/F9</f>
        <v>0.28708603456043497</v>
      </c>
      <c r="O9" s="236">
        <v>8107</v>
      </c>
      <c r="P9" s="101">
        <f t="shared" ref="P9:P13" si="25">O9/F9</f>
        <v>3.0952435495078614E-2</v>
      </c>
      <c r="Q9" s="236">
        <v>3551</v>
      </c>
      <c r="R9" s="101">
        <f t="shared" ref="R9:R45" si="26">Q9/F9</f>
        <v>1.3557678357348482E-2</v>
      </c>
      <c r="S9" s="106">
        <f t="shared" ref="S9:S14" si="27">SUM(O9+Q9)</f>
        <v>11658</v>
      </c>
      <c r="T9" s="101">
        <f t="shared" ref="T9:T13" si="28">S9/F9</f>
        <v>4.4510113852427098E-2</v>
      </c>
      <c r="U9" s="236">
        <v>34801</v>
      </c>
      <c r="V9" s="101">
        <f t="shared" ref="V9:V13" si="29">U9/F9</f>
        <v>0.13286982948861858</v>
      </c>
      <c r="W9" s="236">
        <v>2516</v>
      </c>
      <c r="X9" s="101">
        <f t="shared" ref="X9:X13" si="30">W9/F9</f>
        <v>9.6060599118808175E-3</v>
      </c>
      <c r="Y9" s="236">
        <v>30991</v>
      </c>
      <c r="Z9" s="101">
        <f t="shared" ref="Z9:Z13" si="31">Y9/F9</f>
        <v>0.11832329202269412</v>
      </c>
      <c r="AA9" s="236">
        <v>29578</v>
      </c>
      <c r="AB9" s="101">
        <f t="shared" ref="AB9:AB45" si="32">AA9/F9</f>
        <v>0.11292847379714262</v>
      </c>
      <c r="AC9" s="106">
        <f t="shared" ref="AC9:AC13" si="33">SUM(Y9+AA9)</f>
        <v>60569</v>
      </c>
      <c r="AD9" s="101">
        <f t="shared" ref="AD9:AD13" si="34">AC9/F9</f>
        <v>0.23125176581983675</v>
      </c>
      <c r="AE9" s="236">
        <v>26414</v>
      </c>
      <c r="AF9" s="101">
        <f t="shared" ref="AF9:AF13" si="35">AE9/F9</f>
        <v>0.10084835711940378</v>
      </c>
      <c r="AG9" s="236">
        <v>12994</v>
      </c>
      <c r="AH9" s="101">
        <f t="shared" ref="AH9:AH13" si="36">AG9/F9</f>
        <v>4.9610946937591154E-2</v>
      </c>
      <c r="AI9" s="236">
        <v>19396</v>
      </c>
      <c r="AJ9" s="101">
        <f t="shared" ref="AJ9:AJ13" si="37">AI9/F9</f>
        <v>7.4053711466947669E-2</v>
      </c>
      <c r="AK9" s="236">
        <v>18377</v>
      </c>
      <c r="AL9" s="101">
        <f t="shared" ref="AL9:AL13" si="38">AK9/F9</f>
        <v>7.0163180842859219E-2</v>
      </c>
    </row>
    <row r="10" spans="1:38" ht="14.25">
      <c r="B10" s="98"/>
      <c r="C10" s="83"/>
      <c r="D10" s="553">
        <f t="shared" si="19"/>
        <v>46085</v>
      </c>
      <c r="E10" s="553" t="s">
        <v>586</v>
      </c>
      <c r="F10" s="88">
        <f t="shared" si="20"/>
        <v>240647</v>
      </c>
      <c r="G10" s="340"/>
      <c r="H10" s="456"/>
      <c r="I10" s="236">
        <v>30498</v>
      </c>
      <c r="J10" s="101">
        <f t="shared" si="21"/>
        <v>0.12673334801597361</v>
      </c>
      <c r="K10" s="236">
        <v>42133</v>
      </c>
      <c r="L10" s="101">
        <f t="shared" si="22"/>
        <v>0.17508217430510251</v>
      </c>
      <c r="M10" s="106">
        <f t="shared" si="23"/>
        <v>72631</v>
      </c>
      <c r="N10" s="101">
        <f t="shared" si="24"/>
        <v>0.30181552232107611</v>
      </c>
      <c r="O10" s="236">
        <v>7242</v>
      </c>
      <c r="P10" s="101">
        <f t="shared" si="25"/>
        <v>3.0093871936903431E-2</v>
      </c>
      <c r="Q10" s="236">
        <v>3635</v>
      </c>
      <c r="R10" s="101">
        <f t="shared" si="26"/>
        <v>1.5105112467639322E-2</v>
      </c>
      <c r="S10" s="106">
        <f t="shared" si="27"/>
        <v>10877</v>
      </c>
      <c r="T10" s="101">
        <f t="shared" si="28"/>
        <v>4.5198984404542751E-2</v>
      </c>
      <c r="U10" s="236">
        <v>33685</v>
      </c>
      <c r="V10" s="101">
        <f t="shared" si="29"/>
        <v>0.1399768125096095</v>
      </c>
      <c r="W10" s="236">
        <v>2608</v>
      </c>
      <c r="X10" s="101">
        <f t="shared" si="30"/>
        <v>1.08374507058056E-2</v>
      </c>
      <c r="Y10" s="236">
        <v>23785</v>
      </c>
      <c r="Z10" s="101">
        <f t="shared" si="31"/>
        <v>9.8837716655516175E-2</v>
      </c>
      <c r="AA10" s="236">
        <v>27377</v>
      </c>
      <c r="AB10" s="101">
        <f t="shared" si="32"/>
        <v>0.11376414416136499</v>
      </c>
      <c r="AC10" s="106">
        <f t="shared" si="33"/>
        <v>51162</v>
      </c>
      <c r="AD10" s="101">
        <f t="shared" si="34"/>
        <v>0.21260186081688115</v>
      </c>
      <c r="AE10" s="236">
        <v>22427</v>
      </c>
      <c r="AF10" s="101">
        <f t="shared" si="35"/>
        <v>9.3194596234318319E-2</v>
      </c>
      <c r="AG10" s="236">
        <v>8748</v>
      </c>
      <c r="AH10" s="101">
        <f t="shared" si="36"/>
        <v>3.6352001063798843E-2</v>
      </c>
      <c r="AI10" s="236">
        <v>20944</v>
      </c>
      <c r="AJ10" s="101">
        <f t="shared" si="37"/>
        <v>8.7032042784659688E-2</v>
      </c>
      <c r="AK10" s="236">
        <v>17565</v>
      </c>
      <c r="AL10" s="101">
        <f t="shared" si="38"/>
        <v>7.2990729159308029E-2</v>
      </c>
    </row>
    <row r="11" spans="1:38" ht="14.25">
      <c r="B11" s="98"/>
      <c r="C11" s="83"/>
      <c r="D11" s="553">
        <f t="shared" si="19"/>
        <v>46086</v>
      </c>
      <c r="E11" s="553" t="s">
        <v>587</v>
      </c>
      <c r="F11" s="88">
        <f t="shared" si="20"/>
        <v>221012</v>
      </c>
      <c r="G11" s="340"/>
      <c r="H11" s="456"/>
      <c r="I11" s="440">
        <v>29102</v>
      </c>
      <c r="J11" s="441">
        <f t="shared" si="21"/>
        <v>0.1316761080846289</v>
      </c>
      <c r="K11" s="440">
        <v>38579</v>
      </c>
      <c r="L11" s="441">
        <f t="shared" si="22"/>
        <v>0.17455613269867701</v>
      </c>
      <c r="M11" s="442">
        <f t="shared" si="23"/>
        <v>67681</v>
      </c>
      <c r="N11" s="441">
        <f t="shared" si="24"/>
        <v>0.30623224078330591</v>
      </c>
      <c r="O11" s="440">
        <v>6512</v>
      </c>
      <c r="P11" s="441">
        <f t="shared" si="25"/>
        <v>2.9464463468046983E-2</v>
      </c>
      <c r="Q11" s="440">
        <v>3443</v>
      </c>
      <c r="R11" s="441">
        <f t="shared" si="26"/>
        <v>1.5578339637666734E-2</v>
      </c>
      <c r="S11" s="442">
        <f t="shared" si="27"/>
        <v>9955</v>
      </c>
      <c r="T11" s="441">
        <f t="shared" si="28"/>
        <v>4.5042803105713715E-2</v>
      </c>
      <c r="U11" s="440">
        <v>31718</v>
      </c>
      <c r="V11" s="441">
        <f t="shared" si="29"/>
        <v>0.14351256945324237</v>
      </c>
      <c r="W11" s="440">
        <v>2575</v>
      </c>
      <c r="X11" s="441">
        <f t="shared" si="30"/>
        <v>1.165095107957939E-2</v>
      </c>
      <c r="Y11" s="440">
        <v>23781</v>
      </c>
      <c r="Z11" s="441">
        <f t="shared" si="31"/>
        <v>0.10760049228096212</v>
      </c>
      <c r="AA11" s="440">
        <v>22529</v>
      </c>
      <c r="AB11" s="441">
        <f t="shared" si="32"/>
        <v>0.10193564150362876</v>
      </c>
      <c r="AC11" s="442">
        <f t="shared" si="33"/>
        <v>46310</v>
      </c>
      <c r="AD11" s="441">
        <f t="shared" si="34"/>
        <v>0.20953613378459088</v>
      </c>
      <c r="AE11" s="440">
        <v>20996</v>
      </c>
      <c r="AF11" s="441">
        <f t="shared" si="35"/>
        <v>9.499936655023257E-2</v>
      </c>
      <c r="AG11" s="440">
        <v>7982</v>
      </c>
      <c r="AH11" s="441">
        <f t="shared" si="36"/>
        <v>3.6115686026098132E-2</v>
      </c>
      <c r="AI11" s="440">
        <v>16193</v>
      </c>
      <c r="AJ11" s="441">
        <f t="shared" si="37"/>
        <v>7.3267514886069529E-2</v>
      </c>
      <c r="AK11" s="440">
        <v>17602</v>
      </c>
      <c r="AL11" s="441">
        <f t="shared" si="38"/>
        <v>7.9642734331167545E-2</v>
      </c>
    </row>
    <row r="12" spans="1:38" ht="14.25">
      <c r="B12" s="98"/>
      <c r="C12" s="83"/>
      <c r="D12" s="553">
        <f t="shared" si="19"/>
        <v>46087</v>
      </c>
      <c r="E12" s="553" t="s">
        <v>588</v>
      </c>
      <c r="F12" s="88">
        <f t="shared" si="20"/>
        <v>197754</v>
      </c>
      <c r="G12" s="340"/>
      <c r="H12" s="456">
        <f>SUM(F7:F37)</f>
        <v>2113723</v>
      </c>
      <c r="I12" s="236">
        <v>26261</v>
      </c>
      <c r="J12" s="101">
        <f t="shared" si="21"/>
        <v>0.13279630247681462</v>
      </c>
      <c r="K12" s="236">
        <v>36509</v>
      </c>
      <c r="L12" s="101">
        <f t="shared" si="22"/>
        <v>0.18461826309455182</v>
      </c>
      <c r="M12" s="106">
        <f t="shared" si="23"/>
        <v>62770</v>
      </c>
      <c r="N12" s="101">
        <f t="shared" si="24"/>
        <v>0.31741456557136644</v>
      </c>
      <c r="O12" s="236">
        <v>5721</v>
      </c>
      <c r="P12" s="101">
        <f t="shared" si="25"/>
        <v>2.8929882581389E-2</v>
      </c>
      <c r="Q12" s="236">
        <v>2822</v>
      </c>
      <c r="R12" s="101">
        <f t="shared" si="26"/>
        <v>1.4270254963237153E-2</v>
      </c>
      <c r="S12" s="106">
        <f t="shared" si="27"/>
        <v>8543</v>
      </c>
      <c r="T12" s="101">
        <f t="shared" si="28"/>
        <v>4.3200137544626149E-2</v>
      </c>
      <c r="U12" s="236">
        <v>29166</v>
      </c>
      <c r="V12" s="101">
        <f t="shared" si="29"/>
        <v>0.14748627082132346</v>
      </c>
      <c r="W12" s="236">
        <v>1877</v>
      </c>
      <c r="X12" s="101">
        <f t="shared" si="30"/>
        <v>9.4915905620113882E-3</v>
      </c>
      <c r="Y12" s="236">
        <v>21001</v>
      </c>
      <c r="Z12" s="101">
        <f t="shared" si="31"/>
        <v>0.10619759903718762</v>
      </c>
      <c r="AA12" s="236">
        <v>23666</v>
      </c>
      <c r="AB12" s="101">
        <f t="shared" si="32"/>
        <v>0.11967393832741689</v>
      </c>
      <c r="AC12" s="106">
        <f t="shared" si="33"/>
        <v>44667</v>
      </c>
      <c r="AD12" s="101">
        <f t="shared" si="34"/>
        <v>0.2258715373646045</v>
      </c>
      <c r="AE12" s="236">
        <v>17352</v>
      </c>
      <c r="AF12" s="101">
        <f t="shared" si="35"/>
        <v>8.7745380624412145E-2</v>
      </c>
      <c r="AG12" s="236">
        <v>5110</v>
      </c>
      <c r="AH12" s="101">
        <f t="shared" si="36"/>
        <v>2.5840185280702286E-2</v>
      </c>
      <c r="AI12" s="236">
        <v>12659</v>
      </c>
      <c r="AJ12" s="101">
        <f t="shared" si="37"/>
        <v>6.4013875825520594E-2</v>
      </c>
      <c r="AK12" s="236">
        <v>15610</v>
      </c>
      <c r="AL12" s="101">
        <f t="shared" si="38"/>
        <v>7.8936456405433009E-2</v>
      </c>
    </row>
    <row r="13" spans="1:38" ht="14.25">
      <c r="B13" s="98"/>
      <c r="C13" s="83"/>
      <c r="D13" s="553">
        <f t="shared" si="19"/>
        <v>46088</v>
      </c>
      <c r="E13" s="553" t="s">
        <v>589</v>
      </c>
      <c r="F13" s="88">
        <f t="shared" si="20"/>
        <v>212051</v>
      </c>
      <c r="G13" s="340"/>
      <c r="H13" s="456"/>
      <c r="I13" s="236">
        <v>25388</v>
      </c>
      <c r="J13" s="101">
        <f t="shared" si="21"/>
        <v>0.11972591499214812</v>
      </c>
      <c r="K13" s="236">
        <v>40045</v>
      </c>
      <c r="L13" s="101">
        <f t="shared" si="22"/>
        <v>0.18884607948087959</v>
      </c>
      <c r="M13" s="106">
        <f t="shared" si="23"/>
        <v>65433</v>
      </c>
      <c r="N13" s="101">
        <f t="shared" si="24"/>
        <v>0.30857199447302769</v>
      </c>
      <c r="O13" s="236">
        <v>5597</v>
      </c>
      <c r="P13" s="101">
        <f t="shared" si="25"/>
        <v>2.6394593753389515E-2</v>
      </c>
      <c r="Q13" s="236">
        <v>2665</v>
      </c>
      <c r="R13" s="101">
        <f t="shared" si="26"/>
        <v>1.25677313476475E-2</v>
      </c>
      <c r="S13" s="106">
        <f t="shared" si="27"/>
        <v>8262</v>
      </c>
      <c r="T13" s="101">
        <f t="shared" si="28"/>
        <v>3.8962325101037018E-2</v>
      </c>
      <c r="U13" s="236">
        <v>32111</v>
      </c>
      <c r="V13" s="101">
        <f t="shared" si="29"/>
        <v>0.15143055208416842</v>
      </c>
      <c r="W13" s="236">
        <v>2019</v>
      </c>
      <c r="X13" s="101">
        <f t="shared" si="30"/>
        <v>9.5212944055911072E-3</v>
      </c>
      <c r="Y13" s="236">
        <v>22387</v>
      </c>
      <c r="Z13" s="101">
        <f t="shared" si="31"/>
        <v>0.10557365916689852</v>
      </c>
      <c r="AA13" s="236">
        <v>25117</v>
      </c>
      <c r="AB13" s="101">
        <f t="shared" si="32"/>
        <v>0.11844792054741549</v>
      </c>
      <c r="AC13" s="106">
        <f t="shared" si="33"/>
        <v>47504</v>
      </c>
      <c r="AD13" s="101">
        <f t="shared" si="34"/>
        <v>0.22402157971431402</v>
      </c>
      <c r="AE13" s="236">
        <v>19668</v>
      </c>
      <c r="AF13" s="101">
        <f t="shared" si="35"/>
        <v>9.2751272099636406E-2</v>
      </c>
      <c r="AG13" s="236">
        <v>6238</v>
      </c>
      <c r="AH13" s="101">
        <f t="shared" si="36"/>
        <v>2.9417451462148258E-2</v>
      </c>
      <c r="AI13" s="236">
        <v>13710</v>
      </c>
      <c r="AJ13" s="101">
        <f t="shared" si="37"/>
        <v>6.4654257702156562E-2</v>
      </c>
      <c r="AK13" s="236">
        <v>17106</v>
      </c>
      <c r="AL13" s="101">
        <f t="shared" si="38"/>
        <v>8.0669272957920507E-2</v>
      </c>
    </row>
    <row r="14" spans="1:38" ht="14.25">
      <c r="B14" s="98"/>
      <c r="C14" s="83"/>
      <c r="D14" s="553">
        <f t="shared" si="19"/>
        <v>46089</v>
      </c>
      <c r="E14" s="553" t="s">
        <v>590</v>
      </c>
      <c r="F14" s="88">
        <f t="shared" si="20"/>
        <v>253425</v>
      </c>
      <c r="G14" s="340"/>
      <c r="H14" s="456"/>
      <c r="I14" s="236">
        <v>32711</v>
      </c>
      <c r="J14" s="101">
        <f>I14/F14</f>
        <v>0.12907566341126567</v>
      </c>
      <c r="K14" s="236">
        <v>42876</v>
      </c>
      <c r="L14" s="101">
        <f>K14/F14</f>
        <v>0.16918614974844629</v>
      </c>
      <c r="M14" s="106">
        <f>SUM(I14+K14)</f>
        <v>75587</v>
      </c>
      <c r="N14" s="101">
        <f>M14/F14</f>
        <v>0.29826181315971195</v>
      </c>
      <c r="O14" s="236">
        <v>7558</v>
      </c>
      <c r="P14" s="101">
        <f>O14/F14</f>
        <v>2.9823419157541678E-2</v>
      </c>
      <c r="Q14" s="236">
        <v>3312</v>
      </c>
      <c r="R14" s="101">
        <f t="shared" si="26"/>
        <v>1.3068955312222552E-2</v>
      </c>
      <c r="S14" s="106">
        <f t="shared" si="27"/>
        <v>10870</v>
      </c>
      <c r="T14" s="101">
        <f>S14/F14</f>
        <v>4.2892374469764231E-2</v>
      </c>
      <c r="U14" s="236">
        <v>38522</v>
      </c>
      <c r="V14" s="101">
        <f>U14/F14</f>
        <v>0.15200552431685904</v>
      </c>
      <c r="W14" s="236">
        <v>1880</v>
      </c>
      <c r="X14" s="101">
        <f>W14/F14</f>
        <v>7.4183683535562787E-3</v>
      </c>
      <c r="Y14" s="236">
        <v>27093</v>
      </c>
      <c r="Z14" s="101">
        <f>Y14/F14</f>
        <v>0.10690736904409588</v>
      </c>
      <c r="AA14" s="236">
        <v>27748</v>
      </c>
      <c r="AB14" s="101">
        <f t="shared" si="32"/>
        <v>0.10949196014599981</v>
      </c>
      <c r="AC14" s="106">
        <f>SUM(Y14+AA14)</f>
        <v>54841</v>
      </c>
      <c r="AD14" s="101">
        <f>AC14/F14</f>
        <v>0.21639932919009569</v>
      </c>
      <c r="AE14" s="236">
        <v>25896</v>
      </c>
      <c r="AF14" s="101">
        <f>AE14/F14</f>
        <v>0.10218407812962414</v>
      </c>
      <c r="AG14" s="236">
        <v>9235</v>
      </c>
      <c r="AH14" s="101">
        <f>AG14/F14</f>
        <v>3.6440761566538422E-2</v>
      </c>
      <c r="AI14" s="236">
        <v>18522</v>
      </c>
      <c r="AJ14" s="101">
        <f>AI14/F14</f>
        <v>7.3086712044983723E-2</v>
      </c>
      <c r="AK14" s="236">
        <v>18072</v>
      </c>
      <c r="AL14" s="101">
        <f>AK14/F14</f>
        <v>7.1311038768866533E-2</v>
      </c>
    </row>
    <row r="15" spans="1:38" ht="14.25">
      <c r="B15" s="98"/>
      <c r="C15" s="83"/>
      <c r="D15" s="553">
        <f t="shared" si="19"/>
        <v>46090</v>
      </c>
      <c r="E15" s="553" t="s">
        <v>584</v>
      </c>
      <c r="F15" s="88">
        <f t="shared" si="20"/>
        <v>244877</v>
      </c>
      <c r="G15" s="340"/>
      <c r="H15" s="456"/>
      <c r="I15" s="236">
        <v>31274</v>
      </c>
      <c r="J15" s="101">
        <f t="shared" ref="J15" si="39">I15/F15</f>
        <v>0.12771309677919934</v>
      </c>
      <c r="K15" s="236">
        <v>42437</v>
      </c>
      <c r="L15" s="101">
        <f t="shared" ref="L15" si="40">K15/F15</f>
        <v>0.17329924819399126</v>
      </c>
      <c r="M15" s="106">
        <f t="shared" ref="M15" si="41">SUM(I15+K15)</f>
        <v>73711</v>
      </c>
      <c r="N15" s="101">
        <f t="shared" ref="N15" si="42">M15/F15</f>
        <v>0.30101234497319063</v>
      </c>
      <c r="O15" s="236">
        <v>6797</v>
      </c>
      <c r="P15" s="101">
        <f t="shared" ref="P15" si="43">O15/F15</f>
        <v>2.7756792185464538E-2</v>
      </c>
      <c r="Q15" s="236">
        <v>3326</v>
      </c>
      <c r="R15" s="101">
        <f t="shared" si="26"/>
        <v>1.358232908766442E-2</v>
      </c>
      <c r="S15" s="106">
        <f t="shared" ref="S15" si="44">SUM(O15+Q15)</f>
        <v>10123</v>
      </c>
      <c r="T15" s="101">
        <f t="shared" ref="T15" si="45">S15/F15</f>
        <v>4.1339121273128956E-2</v>
      </c>
      <c r="U15" s="236">
        <v>37895</v>
      </c>
      <c r="V15" s="101">
        <f t="shared" ref="V15" si="46">U15/F15</f>
        <v>0.15475116078684401</v>
      </c>
      <c r="W15" s="236">
        <v>2275</v>
      </c>
      <c r="X15" s="101">
        <f t="shared" ref="X15" si="47">W15/F15</f>
        <v>9.2903784348877198E-3</v>
      </c>
      <c r="Y15" s="236">
        <v>24139</v>
      </c>
      <c r="Z15" s="101">
        <f t="shared" ref="Z15" si="48">Y15/F15</f>
        <v>9.8576019797694356E-2</v>
      </c>
      <c r="AA15" s="236">
        <v>27555</v>
      </c>
      <c r="AB15" s="101">
        <f t="shared" si="32"/>
        <v>0.11252588033992576</v>
      </c>
      <c r="AC15" s="106">
        <f t="shared" ref="AC15" si="49">SUM(Y15+AA15)</f>
        <v>51694</v>
      </c>
      <c r="AD15" s="101">
        <f t="shared" ref="AD15" si="50">AC15/F15</f>
        <v>0.21110190013762012</v>
      </c>
      <c r="AE15" s="236">
        <v>22760</v>
      </c>
      <c r="AF15" s="101">
        <f t="shared" ref="AF15" si="51">AE15/F15</f>
        <v>9.2944621177162415E-2</v>
      </c>
      <c r="AG15" s="236">
        <v>6454</v>
      </c>
      <c r="AH15" s="101">
        <f t="shared" ref="AH15" si="52">AG15/F15</f>
        <v>2.6356088975281466E-2</v>
      </c>
      <c r="AI15" s="236">
        <v>20494</v>
      </c>
      <c r="AJ15" s="101">
        <f t="shared" ref="AJ15" si="53">AI15/F15</f>
        <v>8.3690995887731393E-2</v>
      </c>
      <c r="AK15" s="236">
        <v>19471</v>
      </c>
      <c r="AL15" s="101">
        <f t="shared" ref="AL15" si="54">AK15/F15</f>
        <v>7.9513388354153308E-2</v>
      </c>
    </row>
    <row r="16" spans="1:38" ht="14.25">
      <c r="B16" s="98"/>
      <c r="C16" s="83"/>
      <c r="D16" s="519">
        <f t="shared" si="19"/>
        <v>46091</v>
      </c>
      <c r="E16" s="519" t="s">
        <v>585</v>
      </c>
      <c r="F16" s="88">
        <f t="shared" si="20"/>
        <v>0</v>
      </c>
      <c r="G16" s="340">
        <f>SUM(F16:F22)</f>
        <v>0</v>
      </c>
      <c r="H16" s="456"/>
      <c r="I16" s="236"/>
      <c r="J16" s="101" t="e">
        <f t="shared" ref="J16:J41" si="55">I16/F16</f>
        <v>#DIV/0!</v>
      </c>
      <c r="K16" s="236"/>
      <c r="L16" s="101" t="e">
        <f t="shared" ref="L16:L41" si="56">K16/F16</f>
        <v>#DIV/0!</v>
      </c>
      <c r="M16" s="106">
        <f t="shared" ref="M16:M41" si="57">SUM(I16+K16)</f>
        <v>0</v>
      </c>
      <c r="N16" s="101" t="e">
        <f t="shared" ref="N16:N41" si="58">M16/F16</f>
        <v>#DIV/0!</v>
      </c>
      <c r="O16" s="236"/>
      <c r="P16" s="101" t="e">
        <f t="shared" ref="P16:P41" si="59">O16/F16</f>
        <v>#DIV/0!</v>
      </c>
      <c r="Q16" s="236"/>
      <c r="R16" s="101" t="e">
        <f t="shared" si="26"/>
        <v>#DIV/0!</v>
      </c>
      <c r="S16" s="106">
        <f t="shared" ref="S16:S45" si="60">SUM(O16+Q16)</f>
        <v>0</v>
      </c>
      <c r="T16" s="101" t="e">
        <f t="shared" ref="T16:T41" si="61">S16/F16</f>
        <v>#DIV/0!</v>
      </c>
      <c r="U16" s="236"/>
      <c r="V16" s="101" t="e">
        <f t="shared" ref="V16:V41" si="62">U16/F16</f>
        <v>#DIV/0!</v>
      </c>
      <c r="W16" s="236"/>
      <c r="X16" s="101" t="e">
        <f t="shared" ref="X16:X41" si="63">W16/F16</f>
        <v>#DIV/0!</v>
      </c>
      <c r="Y16" s="236"/>
      <c r="Z16" s="101" t="e">
        <f t="shared" ref="Z16:Z41" si="64">Y16/F16</f>
        <v>#DIV/0!</v>
      </c>
      <c r="AA16" s="236"/>
      <c r="AB16" s="101" t="e">
        <f t="shared" si="32"/>
        <v>#DIV/0!</v>
      </c>
      <c r="AC16" s="106">
        <f t="shared" ref="AC16:AC41" si="65">SUM(Y16+AA16)</f>
        <v>0</v>
      </c>
      <c r="AD16" s="101" t="e">
        <f t="shared" ref="AD16:AD41" si="66">AC16/F16</f>
        <v>#DIV/0!</v>
      </c>
      <c r="AE16" s="236"/>
      <c r="AF16" s="101" t="e">
        <f t="shared" ref="AF16:AF41" si="67">AE16/F16</f>
        <v>#DIV/0!</v>
      </c>
      <c r="AG16" s="236"/>
      <c r="AH16" s="101" t="e">
        <f t="shared" ref="AH16:AH41" si="68">AG16/F16</f>
        <v>#DIV/0!</v>
      </c>
      <c r="AI16" s="236"/>
      <c r="AJ16" s="101" t="e">
        <f t="shared" ref="AJ16:AJ41" si="69">AI16/F16</f>
        <v>#DIV/0!</v>
      </c>
      <c r="AK16" s="236"/>
      <c r="AL16" s="101" t="e">
        <f t="shared" ref="AL16:AL41" si="70">AK16/F16</f>
        <v>#DIV/0!</v>
      </c>
    </row>
    <row r="17" spans="2:38" ht="14.25">
      <c r="B17" s="98"/>
      <c r="C17" s="83"/>
      <c r="D17" s="554">
        <f t="shared" si="19"/>
        <v>46092</v>
      </c>
      <c r="E17" s="554" t="s">
        <v>586</v>
      </c>
      <c r="F17" s="88">
        <f t="shared" si="20"/>
        <v>0</v>
      </c>
      <c r="G17" s="340"/>
      <c r="H17" s="456"/>
      <c r="I17" s="236"/>
      <c r="J17" s="101" t="e">
        <f t="shared" si="55"/>
        <v>#DIV/0!</v>
      </c>
      <c r="K17" s="236"/>
      <c r="L17" s="101" t="e">
        <f t="shared" si="56"/>
        <v>#DIV/0!</v>
      </c>
      <c r="M17" s="106">
        <f t="shared" si="57"/>
        <v>0</v>
      </c>
      <c r="N17" s="101" t="e">
        <f t="shared" si="58"/>
        <v>#DIV/0!</v>
      </c>
      <c r="O17" s="236"/>
      <c r="P17" s="101" t="e">
        <f t="shared" si="59"/>
        <v>#DIV/0!</v>
      </c>
      <c r="Q17" s="236"/>
      <c r="R17" s="101" t="e">
        <f t="shared" si="26"/>
        <v>#DIV/0!</v>
      </c>
      <c r="S17" s="106">
        <f t="shared" si="60"/>
        <v>0</v>
      </c>
      <c r="T17" s="101" t="e">
        <f t="shared" si="61"/>
        <v>#DIV/0!</v>
      </c>
      <c r="U17" s="236"/>
      <c r="V17" s="101" t="e">
        <f t="shared" si="62"/>
        <v>#DIV/0!</v>
      </c>
      <c r="W17" s="236"/>
      <c r="X17" s="101" t="e">
        <f t="shared" si="63"/>
        <v>#DIV/0!</v>
      </c>
      <c r="Y17" s="236"/>
      <c r="Z17" s="101" t="e">
        <f t="shared" si="64"/>
        <v>#DIV/0!</v>
      </c>
      <c r="AA17" s="236"/>
      <c r="AB17" s="101" t="e">
        <f t="shared" si="32"/>
        <v>#DIV/0!</v>
      </c>
      <c r="AC17" s="106">
        <f t="shared" si="65"/>
        <v>0</v>
      </c>
      <c r="AD17" s="101" t="e">
        <f t="shared" si="66"/>
        <v>#DIV/0!</v>
      </c>
      <c r="AE17" s="236"/>
      <c r="AF17" s="101" t="e">
        <f t="shared" si="67"/>
        <v>#DIV/0!</v>
      </c>
      <c r="AG17" s="236"/>
      <c r="AH17" s="101" t="e">
        <f t="shared" si="68"/>
        <v>#DIV/0!</v>
      </c>
      <c r="AI17" s="236"/>
      <c r="AJ17" s="101" t="e">
        <f t="shared" si="69"/>
        <v>#DIV/0!</v>
      </c>
      <c r="AK17" s="236"/>
      <c r="AL17" s="101" t="e">
        <f t="shared" si="70"/>
        <v>#DIV/0!</v>
      </c>
    </row>
    <row r="18" spans="2:38" ht="14.25">
      <c r="B18" s="98"/>
      <c r="C18" s="83"/>
      <c r="D18" s="554">
        <f t="shared" si="19"/>
        <v>46093</v>
      </c>
      <c r="E18" s="554" t="s">
        <v>587</v>
      </c>
      <c r="F18" s="88">
        <f t="shared" si="20"/>
        <v>0</v>
      </c>
      <c r="G18" s="340"/>
      <c r="H18" s="456"/>
      <c r="I18" s="236"/>
      <c r="J18" s="101" t="e">
        <f t="shared" si="55"/>
        <v>#DIV/0!</v>
      </c>
      <c r="K18" s="236"/>
      <c r="L18" s="101" t="e">
        <f t="shared" si="56"/>
        <v>#DIV/0!</v>
      </c>
      <c r="M18" s="106">
        <f t="shared" si="57"/>
        <v>0</v>
      </c>
      <c r="N18" s="101" t="e">
        <f t="shared" si="58"/>
        <v>#DIV/0!</v>
      </c>
      <c r="O18" s="236"/>
      <c r="P18" s="101" t="e">
        <f t="shared" si="59"/>
        <v>#DIV/0!</v>
      </c>
      <c r="Q18" s="236"/>
      <c r="R18" s="101" t="e">
        <f t="shared" si="26"/>
        <v>#DIV/0!</v>
      </c>
      <c r="S18" s="106">
        <f t="shared" si="60"/>
        <v>0</v>
      </c>
      <c r="T18" s="101" t="e">
        <f t="shared" si="61"/>
        <v>#DIV/0!</v>
      </c>
      <c r="U18" s="236"/>
      <c r="V18" s="101" t="e">
        <f t="shared" si="62"/>
        <v>#DIV/0!</v>
      </c>
      <c r="W18" s="236"/>
      <c r="X18" s="101" t="e">
        <f t="shared" si="63"/>
        <v>#DIV/0!</v>
      </c>
      <c r="Y18" s="236"/>
      <c r="Z18" s="101" t="e">
        <f t="shared" si="64"/>
        <v>#DIV/0!</v>
      </c>
      <c r="AA18" s="236"/>
      <c r="AB18" s="101" t="e">
        <f t="shared" si="32"/>
        <v>#DIV/0!</v>
      </c>
      <c r="AC18" s="106">
        <f t="shared" si="65"/>
        <v>0</v>
      </c>
      <c r="AD18" s="101" t="e">
        <f t="shared" si="66"/>
        <v>#DIV/0!</v>
      </c>
      <c r="AE18" s="236"/>
      <c r="AF18" s="101" t="e">
        <f t="shared" si="67"/>
        <v>#DIV/0!</v>
      </c>
      <c r="AG18" s="236"/>
      <c r="AH18" s="101" t="e">
        <f t="shared" si="68"/>
        <v>#DIV/0!</v>
      </c>
      <c r="AI18" s="236"/>
      <c r="AJ18" s="101" t="e">
        <f t="shared" si="69"/>
        <v>#DIV/0!</v>
      </c>
      <c r="AK18" s="236"/>
      <c r="AL18" s="101" t="e">
        <f t="shared" si="70"/>
        <v>#DIV/0!</v>
      </c>
    </row>
    <row r="19" spans="2:38" ht="14.25">
      <c r="B19" s="98"/>
      <c r="C19" s="83"/>
      <c r="D19" s="554">
        <f t="shared" si="19"/>
        <v>46094</v>
      </c>
      <c r="E19" s="554" t="s">
        <v>588</v>
      </c>
      <c r="F19" s="88">
        <f t="shared" si="20"/>
        <v>0</v>
      </c>
      <c r="G19" s="340"/>
      <c r="H19" s="456"/>
      <c r="I19" s="236"/>
      <c r="J19" s="101" t="e">
        <f t="shared" si="55"/>
        <v>#DIV/0!</v>
      </c>
      <c r="K19" s="236"/>
      <c r="L19" s="101" t="e">
        <f t="shared" si="56"/>
        <v>#DIV/0!</v>
      </c>
      <c r="M19" s="106">
        <f t="shared" si="57"/>
        <v>0</v>
      </c>
      <c r="N19" s="101" t="e">
        <f t="shared" si="58"/>
        <v>#DIV/0!</v>
      </c>
      <c r="O19" s="236"/>
      <c r="P19" s="101" t="e">
        <f t="shared" si="59"/>
        <v>#DIV/0!</v>
      </c>
      <c r="Q19" s="236"/>
      <c r="R19" s="101" t="e">
        <f t="shared" si="26"/>
        <v>#DIV/0!</v>
      </c>
      <c r="S19" s="106">
        <f t="shared" si="60"/>
        <v>0</v>
      </c>
      <c r="T19" s="101" t="e">
        <f t="shared" si="61"/>
        <v>#DIV/0!</v>
      </c>
      <c r="U19" s="236"/>
      <c r="V19" s="101" t="e">
        <f t="shared" si="62"/>
        <v>#DIV/0!</v>
      </c>
      <c r="W19" s="236"/>
      <c r="X19" s="101" t="e">
        <f t="shared" si="63"/>
        <v>#DIV/0!</v>
      </c>
      <c r="Y19" s="236"/>
      <c r="Z19" s="101" t="e">
        <f t="shared" si="64"/>
        <v>#DIV/0!</v>
      </c>
      <c r="AA19" s="236"/>
      <c r="AB19" s="101" t="e">
        <f t="shared" si="32"/>
        <v>#DIV/0!</v>
      </c>
      <c r="AC19" s="106">
        <f t="shared" si="65"/>
        <v>0</v>
      </c>
      <c r="AD19" s="101" t="e">
        <f t="shared" si="66"/>
        <v>#DIV/0!</v>
      </c>
      <c r="AE19" s="236"/>
      <c r="AF19" s="101" t="e">
        <f t="shared" si="67"/>
        <v>#DIV/0!</v>
      </c>
      <c r="AG19" s="236"/>
      <c r="AH19" s="101" t="e">
        <f t="shared" si="68"/>
        <v>#DIV/0!</v>
      </c>
      <c r="AI19" s="236"/>
      <c r="AJ19" s="101" t="e">
        <f t="shared" si="69"/>
        <v>#DIV/0!</v>
      </c>
      <c r="AK19" s="236"/>
      <c r="AL19" s="101" t="e">
        <f t="shared" si="70"/>
        <v>#DIV/0!</v>
      </c>
    </row>
    <row r="20" spans="2:38" ht="14.25">
      <c r="B20" s="98"/>
      <c r="C20" s="83"/>
      <c r="D20" s="554">
        <f t="shared" si="19"/>
        <v>46095</v>
      </c>
      <c r="E20" s="554" t="s">
        <v>589</v>
      </c>
      <c r="F20" s="88">
        <f t="shared" si="20"/>
        <v>0</v>
      </c>
      <c r="G20" s="340"/>
      <c r="H20" s="456"/>
      <c r="I20" s="236"/>
      <c r="J20" s="101" t="e">
        <f t="shared" si="55"/>
        <v>#DIV/0!</v>
      </c>
      <c r="K20" s="236"/>
      <c r="L20" s="101" t="e">
        <f t="shared" si="56"/>
        <v>#DIV/0!</v>
      </c>
      <c r="M20" s="106">
        <f t="shared" si="57"/>
        <v>0</v>
      </c>
      <c r="N20" s="101" t="e">
        <f t="shared" si="58"/>
        <v>#DIV/0!</v>
      </c>
      <c r="O20" s="236"/>
      <c r="P20" s="101" t="e">
        <f t="shared" si="59"/>
        <v>#DIV/0!</v>
      </c>
      <c r="Q20" s="236"/>
      <c r="R20" s="101" t="e">
        <f t="shared" si="26"/>
        <v>#DIV/0!</v>
      </c>
      <c r="S20" s="106">
        <f t="shared" si="60"/>
        <v>0</v>
      </c>
      <c r="T20" s="101" t="e">
        <f t="shared" si="61"/>
        <v>#DIV/0!</v>
      </c>
      <c r="U20" s="236"/>
      <c r="V20" s="101" t="e">
        <f t="shared" si="62"/>
        <v>#DIV/0!</v>
      </c>
      <c r="W20" s="236"/>
      <c r="X20" s="101" t="e">
        <f t="shared" si="63"/>
        <v>#DIV/0!</v>
      </c>
      <c r="Y20" s="236"/>
      <c r="Z20" s="101" t="e">
        <f t="shared" si="64"/>
        <v>#DIV/0!</v>
      </c>
      <c r="AA20" s="236"/>
      <c r="AB20" s="101" t="e">
        <f t="shared" si="32"/>
        <v>#DIV/0!</v>
      </c>
      <c r="AC20" s="106">
        <f t="shared" si="65"/>
        <v>0</v>
      </c>
      <c r="AD20" s="101" t="e">
        <f t="shared" si="66"/>
        <v>#DIV/0!</v>
      </c>
      <c r="AE20" s="236"/>
      <c r="AF20" s="101" t="e">
        <f t="shared" si="67"/>
        <v>#DIV/0!</v>
      </c>
      <c r="AG20" s="236"/>
      <c r="AH20" s="101" t="e">
        <f t="shared" si="68"/>
        <v>#DIV/0!</v>
      </c>
      <c r="AI20" s="236"/>
      <c r="AJ20" s="101" t="e">
        <f t="shared" si="69"/>
        <v>#DIV/0!</v>
      </c>
      <c r="AK20" s="236"/>
      <c r="AL20" s="101" t="e">
        <f t="shared" si="70"/>
        <v>#DIV/0!</v>
      </c>
    </row>
    <row r="21" spans="2:38" ht="14.25">
      <c r="B21" s="98"/>
      <c r="C21" s="83"/>
      <c r="D21" s="554">
        <f t="shared" si="19"/>
        <v>46096</v>
      </c>
      <c r="E21" s="554" t="s">
        <v>590</v>
      </c>
      <c r="F21" s="88">
        <f t="shared" si="20"/>
        <v>0</v>
      </c>
      <c r="G21" s="340"/>
      <c r="H21" s="456"/>
      <c r="I21" s="236"/>
      <c r="J21" s="101" t="e">
        <f t="shared" si="55"/>
        <v>#DIV/0!</v>
      </c>
      <c r="K21" s="236"/>
      <c r="L21" s="101" t="e">
        <f t="shared" si="56"/>
        <v>#DIV/0!</v>
      </c>
      <c r="M21" s="106">
        <f t="shared" si="57"/>
        <v>0</v>
      </c>
      <c r="N21" s="101" t="e">
        <f t="shared" si="58"/>
        <v>#DIV/0!</v>
      </c>
      <c r="O21" s="236"/>
      <c r="P21" s="101" t="e">
        <f t="shared" si="59"/>
        <v>#DIV/0!</v>
      </c>
      <c r="Q21" s="236"/>
      <c r="R21" s="101" t="e">
        <f t="shared" si="26"/>
        <v>#DIV/0!</v>
      </c>
      <c r="S21" s="106">
        <f t="shared" si="60"/>
        <v>0</v>
      </c>
      <c r="T21" s="101" t="e">
        <f t="shared" si="61"/>
        <v>#DIV/0!</v>
      </c>
      <c r="U21" s="236"/>
      <c r="V21" s="101" t="e">
        <f t="shared" si="62"/>
        <v>#DIV/0!</v>
      </c>
      <c r="W21" s="236"/>
      <c r="X21" s="101" t="e">
        <f t="shared" si="63"/>
        <v>#DIV/0!</v>
      </c>
      <c r="Y21" s="236"/>
      <c r="Z21" s="101" t="e">
        <f t="shared" si="64"/>
        <v>#DIV/0!</v>
      </c>
      <c r="AA21" s="236"/>
      <c r="AB21" s="101" t="e">
        <f t="shared" si="32"/>
        <v>#DIV/0!</v>
      </c>
      <c r="AC21" s="106">
        <f t="shared" si="65"/>
        <v>0</v>
      </c>
      <c r="AD21" s="101" t="e">
        <f t="shared" si="66"/>
        <v>#DIV/0!</v>
      </c>
      <c r="AE21" s="236"/>
      <c r="AF21" s="101" t="e">
        <f t="shared" si="67"/>
        <v>#DIV/0!</v>
      </c>
      <c r="AG21" s="236"/>
      <c r="AH21" s="101" t="e">
        <f t="shared" si="68"/>
        <v>#DIV/0!</v>
      </c>
      <c r="AI21" s="236"/>
      <c r="AJ21" s="101" t="e">
        <f t="shared" si="69"/>
        <v>#DIV/0!</v>
      </c>
      <c r="AK21" s="236"/>
      <c r="AL21" s="101" t="e">
        <f t="shared" si="70"/>
        <v>#DIV/0!</v>
      </c>
    </row>
    <row r="22" spans="2:38" ht="14.25">
      <c r="B22" s="98"/>
      <c r="C22" s="83"/>
      <c r="D22" s="554">
        <f t="shared" si="19"/>
        <v>46097</v>
      </c>
      <c r="E22" s="554" t="s">
        <v>584</v>
      </c>
      <c r="F22" s="88">
        <f t="shared" si="20"/>
        <v>0</v>
      </c>
      <c r="G22" s="340"/>
      <c r="H22" s="456"/>
      <c r="I22" s="236"/>
      <c r="J22" s="101" t="e">
        <f t="shared" si="55"/>
        <v>#DIV/0!</v>
      </c>
      <c r="K22" s="236"/>
      <c r="L22" s="101" t="e">
        <f t="shared" si="56"/>
        <v>#DIV/0!</v>
      </c>
      <c r="M22" s="106">
        <f t="shared" si="57"/>
        <v>0</v>
      </c>
      <c r="N22" s="101" t="e">
        <f t="shared" si="58"/>
        <v>#DIV/0!</v>
      </c>
      <c r="O22" s="236"/>
      <c r="P22" s="101" t="e">
        <f t="shared" si="59"/>
        <v>#DIV/0!</v>
      </c>
      <c r="Q22" s="236"/>
      <c r="R22" s="101" t="e">
        <f t="shared" si="26"/>
        <v>#DIV/0!</v>
      </c>
      <c r="S22" s="106">
        <f t="shared" si="60"/>
        <v>0</v>
      </c>
      <c r="T22" s="101" t="e">
        <f t="shared" si="61"/>
        <v>#DIV/0!</v>
      </c>
      <c r="U22" s="236"/>
      <c r="V22" s="101" t="e">
        <f t="shared" si="62"/>
        <v>#DIV/0!</v>
      </c>
      <c r="W22" s="236"/>
      <c r="X22" s="101" t="e">
        <f t="shared" si="63"/>
        <v>#DIV/0!</v>
      </c>
      <c r="Y22" s="236"/>
      <c r="Z22" s="101" t="e">
        <f t="shared" si="64"/>
        <v>#DIV/0!</v>
      </c>
      <c r="AA22" s="236"/>
      <c r="AB22" s="101" t="e">
        <f t="shared" si="32"/>
        <v>#DIV/0!</v>
      </c>
      <c r="AC22" s="106">
        <f t="shared" si="65"/>
        <v>0</v>
      </c>
      <c r="AD22" s="101" t="e">
        <f t="shared" si="66"/>
        <v>#DIV/0!</v>
      </c>
      <c r="AE22" s="236"/>
      <c r="AF22" s="101" t="e">
        <f t="shared" si="67"/>
        <v>#DIV/0!</v>
      </c>
      <c r="AG22" s="236"/>
      <c r="AH22" s="101" t="e">
        <f t="shared" si="68"/>
        <v>#DIV/0!</v>
      </c>
      <c r="AI22" s="236"/>
      <c r="AJ22" s="101" t="e">
        <f t="shared" si="69"/>
        <v>#DIV/0!</v>
      </c>
      <c r="AK22" s="236"/>
      <c r="AL22" s="101" t="e">
        <f t="shared" si="70"/>
        <v>#DIV/0!</v>
      </c>
    </row>
    <row r="23" spans="2:38" ht="14.25">
      <c r="B23" s="98"/>
      <c r="C23" s="83"/>
      <c r="D23" s="332">
        <f t="shared" si="19"/>
        <v>46098</v>
      </c>
      <c r="E23" s="332" t="s">
        <v>585</v>
      </c>
      <c r="F23" s="88">
        <f t="shared" si="20"/>
        <v>0</v>
      </c>
      <c r="G23" s="340">
        <f>SUM(F23:F29)</f>
        <v>0</v>
      </c>
      <c r="H23" s="456"/>
      <c r="I23" s="236"/>
      <c r="J23" s="101" t="e">
        <f t="shared" si="55"/>
        <v>#DIV/0!</v>
      </c>
      <c r="K23" s="236"/>
      <c r="L23" s="101" t="e">
        <f t="shared" si="56"/>
        <v>#DIV/0!</v>
      </c>
      <c r="M23" s="106">
        <f t="shared" si="57"/>
        <v>0</v>
      </c>
      <c r="N23" s="101" t="e">
        <f t="shared" si="58"/>
        <v>#DIV/0!</v>
      </c>
      <c r="O23" s="236"/>
      <c r="P23" s="101" t="e">
        <f t="shared" si="59"/>
        <v>#DIV/0!</v>
      </c>
      <c r="Q23" s="236"/>
      <c r="R23" s="101" t="e">
        <f t="shared" si="26"/>
        <v>#DIV/0!</v>
      </c>
      <c r="S23" s="106">
        <f t="shared" si="60"/>
        <v>0</v>
      </c>
      <c r="T23" s="101" t="e">
        <f t="shared" si="61"/>
        <v>#DIV/0!</v>
      </c>
      <c r="U23" s="236"/>
      <c r="V23" s="101" t="e">
        <f t="shared" si="62"/>
        <v>#DIV/0!</v>
      </c>
      <c r="W23" s="236"/>
      <c r="X23" s="101" t="e">
        <f t="shared" si="63"/>
        <v>#DIV/0!</v>
      </c>
      <c r="Y23" s="236"/>
      <c r="Z23" s="101" t="e">
        <f t="shared" si="64"/>
        <v>#DIV/0!</v>
      </c>
      <c r="AA23" s="236"/>
      <c r="AB23" s="101" t="e">
        <f t="shared" si="32"/>
        <v>#DIV/0!</v>
      </c>
      <c r="AC23" s="106">
        <f t="shared" si="65"/>
        <v>0</v>
      </c>
      <c r="AD23" s="101" t="e">
        <f t="shared" si="66"/>
        <v>#DIV/0!</v>
      </c>
      <c r="AE23" s="236"/>
      <c r="AF23" s="101" t="e">
        <f t="shared" si="67"/>
        <v>#DIV/0!</v>
      </c>
      <c r="AG23" s="236"/>
      <c r="AH23" s="101" t="e">
        <f t="shared" si="68"/>
        <v>#DIV/0!</v>
      </c>
      <c r="AI23" s="236"/>
      <c r="AJ23" s="101" t="e">
        <f t="shared" si="69"/>
        <v>#DIV/0!</v>
      </c>
      <c r="AK23" s="236"/>
      <c r="AL23" s="101" t="e">
        <f t="shared" si="70"/>
        <v>#DIV/0!</v>
      </c>
    </row>
    <row r="24" spans="2:38" ht="14.25">
      <c r="B24" s="98"/>
      <c r="C24" s="83"/>
      <c r="D24" s="553">
        <f t="shared" si="19"/>
        <v>46099</v>
      </c>
      <c r="E24" s="553" t="s">
        <v>586</v>
      </c>
      <c r="F24" s="88">
        <f t="shared" si="20"/>
        <v>0</v>
      </c>
      <c r="G24" s="340"/>
      <c r="H24" s="456"/>
      <c r="I24" s="236"/>
      <c r="J24" s="101" t="e">
        <f t="shared" si="55"/>
        <v>#DIV/0!</v>
      </c>
      <c r="K24" s="236"/>
      <c r="L24" s="101" t="e">
        <f t="shared" si="56"/>
        <v>#DIV/0!</v>
      </c>
      <c r="M24" s="106">
        <f t="shared" si="57"/>
        <v>0</v>
      </c>
      <c r="N24" s="101" t="e">
        <f t="shared" si="58"/>
        <v>#DIV/0!</v>
      </c>
      <c r="O24" s="236"/>
      <c r="P24" s="101" t="e">
        <f t="shared" si="59"/>
        <v>#DIV/0!</v>
      </c>
      <c r="Q24" s="236"/>
      <c r="R24" s="101" t="e">
        <f t="shared" si="26"/>
        <v>#DIV/0!</v>
      </c>
      <c r="S24" s="106">
        <f t="shared" si="60"/>
        <v>0</v>
      </c>
      <c r="T24" s="101" t="e">
        <f t="shared" si="61"/>
        <v>#DIV/0!</v>
      </c>
      <c r="U24" s="236"/>
      <c r="V24" s="101" t="e">
        <f t="shared" si="62"/>
        <v>#DIV/0!</v>
      </c>
      <c r="W24" s="236"/>
      <c r="X24" s="101" t="e">
        <f t="shared" si="63"/>
        <v>#DIV/0!</v>
      </c>
      <c r="Y24" s="236"/>
      <c r="Z24" s="101" t="e">
        <f t="shared" si="64"/>
        <v>#DIV/0!</v>
      </c>
      <c r="AA24" s="236"/>
      <c r="AB24" s="101" t="e">
        <f t="shared" si="32"/>
        <v>#DIV/0!</v>
      </c>
      <c r="AC24" s="106">
        <f t="shared" si="65"/>
        <v>0</v>
      </c>
      <c r="AD24" s="101" t="e">
        <f t="shared" si="66"/>
        <v>#DIV/0!</v>
      </c>
      <c r="AE24" s="236"/>
      <c r="AF24" s="101" t="e">
        <f t="shared" si="67"/>
        <v>#DIV/0!</v>
      </c>
      <c r="AG24" s="236"/>
      <c r="AH24" s="101" t="e">
        <f t="shared" si="68"/>
        <v>#DIV/0!</v>
      </c>
      <c r="AI24" s="236"/>
      <c r="AJ24" s="101" t="e">
        <f t="shared" si="69"/>
        <v>#DIV/0!</v>
      </c>
      <c r="AK24" s="236"/>
      <c r="AL24" s="101" t="e">
        <f t="shared" si="70"/>
        <v>#DIV/0!</v>
      </c>
    </row>
    <row r="25" spans="2:38" ht="14.25">
      <c r="B25" s="98"/>
      <c r="C25" s="83"/>
      <c r="D25" s="553">
        <f t="shared" si="19"/>
        <v>46100</v>
      </c>
      <c r="E25" s="553" t="s">
        <v>587</v>
      </c>
      <c r="F25" s="88">
        <f t="shared" si="20"/>
        <v>0</v>
      </c>
      <c r="G25" s="340"/>
      <c r="H25" s="456"/>
      <c r="I25" s="236"/>
      <c r="J25" s="101" t="e">
        <f t="shared" si="55"/>
        <v>#DIV/0!</v>
      </c>
      <c r="K25" s="236"/>
      <c r="L25" s="101" t="e">
        <f t="shared" si="56"/>
        <v>#DIV/0!</v>
      </c>
      <c r="M25" s="106">
        <f t="shared" si="57"/>
        <v>0</v>
      </c>
      <c r="N25" s="101" t="e">
        <f t="shared" si="58"/>
        <v>#DIV/0!</v>
      </c>
      <c r="O25" s="236"/>
      <c r="P25" s="101" t="e">
        <f t="shared" si="59"/>
        <v>#DIV/0!</v>
      </c>
      <c r="Q25" s="236"/>
      <c r="R25" s="101" t="e">
        <f t="shared" si="26"/>
        <v>#DIV/0!</v>
      </c>
      <c r="S25" s="106">
        <f t="shared" si="60"/>
        <v>0</v>
      </c>
      <c r="T25" s="101" t="e">
        <f t="shared" si="61"/>
        <v>#DIV/0!</v>
      </c>
      <c r="U25" s="236"/>
      <c r="V25" s="101" t="e">
        <f t="shared" si="62"/>
        <v>#DIV/0!</v>
      </c>
      <c r="W25" s="236"/>
      <c r="X25" s="101" t="e">
        <f t="shared" si="63"/>
        <v>#DIV/0!</v>
      </c>
      <c r="Y25" s="236"/>
      <c r="Z25" s="101" t="e">
        <f t="shared" si="64"/>
        <v>#DIV/0!</v>
      </c>
      <c r="AA25" s="236"/>
      <c r="AB25" s="101" t="e">
        <f t="shared" si="32"/>
        <v>#DIV/0!</v>
      </c>
      <c r="AC25" s="106">
        <f t="shared" si="65"/>
        <v>0</v>
      </c>
      <c r="AD25" s="101" t="e">
        <f t="shared" si="66"/>
        <v>#DIV/0!</v>
      </c>
      <c r="AE25" s="236"/>
      <c r="AF25" s="101" t="e">
        <f t="shared" si="67"/>
        <v>#DIV/0!</v>
      </c>
      <c r="AG25" s="236"/>
      <c r="AH25" s="101" t="e">
        <f t="shared" si="68"/>
        <v>#DIV/0!</v>
      </c>
      <c r="AI25" s="236"/>
      <c r="AJ25" s="101" t="e">
        <f t="shared" si="69"/>
        <v>#DIV/0!</v>
      </c>
      <c r="AK25" s="236"/>
      <c r="AL25" s="101" t="e">
        <f t="shared" si="70"/>
        <v>#DIV/0!</v>
      </c>
    </row>
    <row r="26" spans="2:38" ht="14.25">
      <c r="B26" s="98"/>
      <c r="C26" s="83"/>
      <c r="D26" s="553">
        <f t="shared" si="19"/>
        <v>46101</v>
      </c>
      <c r="E26" s="553" t="s">
        <v>588</v>
      </c>
      <c r="F26" s="88">
        <f t="shared" si="20"/>
        <v>0</v>
      </c>
      <c r="G26" s="340"/>
      <c r="H26" s="456"/>
      <c r="I26" s="236"/>
      <c r="J26" s="101" t="e">
        <f t="shared" si="55"/>
        <v>#DIV/0!</v>
      </c>
      <c r="K26" s="236"/>
      <c r="L26" s="101" t="e">
        <f t="shared" si="56"/>
        <v>#DIV/0!</v>
      </c>
      <c r="M26" s="106">
        <f t="shared" si="57"/>
        <v>0</v>
      </c>
      <c r="N26" s="101" t="e">
        <f t="shared" si="58"/>
        <v>#DIV/0!</v>
      </c>
      <c r="O26" s="236"/>
      <c r="P26" s="101" t="e">
        <f t="shared" si="59"/>
        <v>#DIV/0!</v>
      </c>
      <c r="Q26" s="236"/>
      <c r="R26" s="101" t="e">
        <f t="shared" si="26"/>
        <v>#DIV/0!</v>
      </c>
      <c r="S26" s="106">
        <f t="shared" si="60"/>
        <v>0</v>
      </c>
      <c r="T26" s="101" t="e">
        <f t="shared" si="61"/>
        <v>#DIV/0!</v>
      </c>
      <c r="U26" s="236"/>
      <c r="V26" s="101" t="e">
        <f t="shared" si="62"/>
        <v>#DIV/0!</v>
      </c>
      <c r="W26" s="236"/>
      <c r="X26" s="101" t="e">
        <f t="shared" si="63"/>
        <v>#DIV/0!</v>
      </c>
      <c r="Y26" s="236"/>
      <c r="Z26" s="101" t="e">
        <f t="shared" si="64"/>
        <v>#DIV/0!</v>
      </c>
      <c r="AA26" s="236"/>
      <c r="AB26" s="101" t="e">
        <f t="shared" si="32"/>
        <v>#DIV/0!</v>
      </c>
      <c r="AC26" s="106">
        <f t="shared" si="65"/>
        <v>0</v>
      </c>
      <c r="AD26" s="101" t="e">
        <f t="shared" si="66"/>
        <v>#DIV/0!</v>
      </c>
      <c r="AE26" s="236"/>
      <c r="AF26" s="101" t="e">
        <f t="shared" si="67"/>
        <v>#DIV/0!</v>
      </c>
      <c r="AG26" s="236"/>
      <c r="AH26" s="101" t="e">
        <f t="shared" si="68"/>
        <v>#DIV/0!</v>
      </c>
      <c r="AI26" s="236"/>
      <c r="AJ26" s="101" t="e">
        <f t="shared" si="69"/>
        <v>#DIV/0!</v>
      </c>
      <c r="AK26" s="236"/>
      <c r="AL26" s="101" t="e">
        <f t="shared" si="70"/>
        <v>#DIV/0!</v>
      </c>
    </row>
    <row r="27" spans="2:38" ht="14.25">
      <c r="B27" s="98"/>
      <c r="C27" s="83"/>
      <c r="D27" s="553">
        <f t="shared" si="19"/>
        <v>46102</v>
      </c>
      <c r="E27" s="553" t="s">
        <v>589</v>
      </c>
      <c r="F27" s="88">
        <f t="shared" si="20"/>
        <v>0</v>
      </c>
      <c r="G27" s="340"/>
      <c r="H27" s="456"/>
      <c r="I27" s="236"/>
      <c r="J27" s="101" t="e">
        <f t="shared" si="55"/>
        <v>#DIV/0!</v>
      </c>
      <c r="K27" s="236"/>
      <c r="L27" s="101" t="e">
        <f t="shared" si="56"/>
        <v>#DIV/0!</v>
      </c>
      <c r="M27" s="106">
        <f t="shared" si="57"/>
        <v>0</v>
      </c>
      <c r="N27" s="101" t="e">
        <f t="shared" si="58"/>
        <v>#DIV/0!</v>
      </c>
      <c r="O27" s="236"/>
      <c r="P27" s="101" t="e">
        <f t="shared" si="59"/>
        <v>#DIV/0!</v>
      </c>
      <c r="Q27" s="236"/>
      <c r="R27" s="101" t="e">
        <f t="shared" si="26"/>
        <v>#DIV/0!</v>
      </c>
      <c r="S27" s="106">
        <f t="shared" si="60"/>
        <v>0</v>
      </c>
      <c r="T27" s="101" t="e">
        <f t="shared" si="61"/>
        <v>#DIV/0!</v>
      </c>
      <c r="U27" s="236"/>
      <c r="V27" s="101" t="e">
        <f t="shared" si="62"/>
        <v>#DIV/0!</v>
      </c>
      <c r="W27" s="236"/>
      <c r="X27" s="101" t="e">
        <f t="shared" si="63"/>
        <v>#DIV/0!</v>
      </c>
      <c r="Y27" s="236"/>
      <c r="Z27" s="101" t="e">
        <f t="shared" si="64"/>
        <v>#DIV/0!</v>
      </c>
      <c r="AA27" s="236"/>
      <c r="AB27" s="101" t="e">
        <f t="shared" si="32"/>
        <v>#DIV/0!</v>
      </c>
      <c r="AC27" s="106">
        <f t="shared" si="65"/>
        <v>0</v>
      </c>
      <c r="AD27" s="101" t="e">
        <f t="shared" si="66"/>
        <v>#DIV/0!</v>
      </c>
      <c r="AE27" s="236"/>
      <c r="AF27" s="101" t="e">
        <f t="shared" si="67"/>
        <v>#DIV/0!</v>
      </c>
      <c r="AG27" s="236"/>
      <c r="AH27" s="101" t="e">
        <f t="shared" si="68"/>
        <v>#DIV/0!</v>
      </c>
      <c r="AI27" s="236"/>
      <c r="AJ27" s="101" t="e">
        <f t="shared" si="69"/>
        <v>#DIV/0!</v>
      </c>
      <c r="AK27" s="236"/>
      <c r="AL27" s="101" t="e">
        <f t="shared" si="70"/>
        <v>#DIV/0!</v>
      </c>
    </row>
    <row r="28" spans="2:38" ht="14.25">
      <c r="B28" s="98"/>
      <c r="C28" s="83"/>
      <c r="D28" s="553">
        <f t="shared" si="19"/>
        <v>46103</v>
      </c>
      <c r="E28" s="553" t="s">
        <v>590</v>
      </c>
      <c r="F28" s="88">
        <f t="shared" si="20"/>
        <v>0</v>
      </c>
      <c r="G28" s="340"/>
      <c r="H28" s="456"/>
      <c r="I28" s="236"/>
      <c r="J28" s="101" t="e">
        <f t="shared" si="55"/>
        <v>#DIV/0!</v>
      </c>
      <c r="K28" s="236"/>
      <c r="L28" s="101" t="e">
        <f t="shared" si="56"/>
        <v>#DIV/0!</v>
      </c>
      <c r="M28" s="106">
        <f t="shared" si="57"/>
        <v>0</v>
      </c>
      <c r="N28" s="101" t="e">
        <f t="shared" si="58"/>
        <v>#DIV/0!</v>
      </c>
      <c r="O28" s="236"/>
      <c r="P28" s="101" t="e">
        <f t="shared" si="59"/>
        <v>#DIV/0!</v>
      </c>
      <c r="Q28" s="236"/>
      <c r="R28" s="101" t="e">
        <f t="shared" si="26"/>
        <v>#DIV/0!</v>
      </c>
      <c r="S28" s="106">
        <f t="shared" si="60"/>
        <v>0</v>
      </c>
      <c r="T28" s="101" t="e">
        <f t="shared" si="61"/>
        <v>#DIV/0!</v>
      </c>
      <c r="U28" s="236"/>
      <c r="V28" s="101" t="e">
        <f t="shared" si="62"/>
        <v>#DIV/0!</v>
      </c>
      <c r="W28" s="236"/>
      <c r="X28" s="101" t="e">
        <f t="shared" si="63"/>
        <v>#DIV/0!</v>
      </c>
      <c r="Y28" s="236"/>
      <c r="Z28" s="101" t="e">
        <f t="shared" si="64"/>
        <v>#DIV/0!</v>
      </c>
      <c r="AA28" s="236"/>
      <c r="AB28" s="101" t="e">
        <f t="shared" si="32"/>
        <v>#DIV/0!</v>
      </c>
      <c r="AC28" s="106">
        <f t="shared" si="65"/>
        <v>0</v>
      </c>
      <c r="AD28" s="101" t="e">
        <f t="shared" si="66"/>
        <v>#DIV/0!</v>
      </c>
      <c r="AE28" s="236"/>
      <c r="AF28" s="101" t="e">
        <f t="shared" si="67"/>
        <v>#DIV/0!</v>
      </c>
      <c r="AG28" s="236"/>
      <c r="AH28" s="101" t="e">
        <f t="shared" si="68"/>
        <v>#DIV/0!</v>
      </c>
      <c r="AI28" s="236"/>
      <c r="AJ28" s="101" t="e">
        <f t="shared" si="69"/>
        <v>#DIV/0!</v>
      </c>
      <c r="AK28" s="236"/>
      <c r="AL28" s="101" t="e">
        <f t="shared" si="70"/>
        <v>#DIV/0!</v>
      </c>
    </row>
    <row r="29" spans="2:38" ht="14.25">
      <c r="B29" s="98"/>
      <c r="C29" s="83"/>
      <c r="D29" s="553">
        <f t="shared" si="19"/>
        <v>46104</v>
      </c>
      <c r="E29" s="553" t="s">
        <v>584</v>
      </c>
      <c r="F29" s="88">
        <f t="shared" si="20"/>
        <v>0</v>
      </c>
      <c r="G29" s="340"/>
      <c r="H29" s="456"/>
      <c r="I29" s="236"/>
      <c r="J29" s="101" t="e">
        <f t="shared" si="55"/>
        <v>#DIV/0!</v>
      </c>
      <c r="K29" s="236"/>
      <c r="L29" s="101" t="e">
        <f t="shared" si="56"/>
        <v>#DIV/0!</v>
      </c>
      <c r="M29" s="106">
        <f t="shared" si="57"/>
        <v>0</v>
      </c>
      <c r="N29" s="101" t="e">
        <f t="shared" si="58"/>
        <v>#DIV/0!</v>
      </c>
      <c r="O29" s="236"/>
      <c r="P29" s="101" t="e">
        <f t="shared" si="59"/>
        <v>#DIV/0!</v>
      </c>
      <c r="Q29" s="236"/>
      <c r="R29" s="101" t="e">
        <f t="shared" si="26"/>
        <v>#DIV/0!</v>
      </c>
      <c r="S29" s="106">
        <f t="shared" si="60"/>
        <v>0</v>
      </c>
      <c r="T29" s="101" t="e">
        <f t="shared" si="61"/>
        <v>#DIV/0!</v>
      </c>
      <c r="U29" s="236"/>
      <c r="V29" s="101" t="e">
        <f t="shared" si="62"/>
        <v>#DIV/0!</v>
      </c>
      <c r="W29" s="236"/>
      <c r="X29" s="101" t="e">
        <f t="shared" si="63"/>
        <v>#DIV/0!</v>
      </c>
      <c r="Y29" s="236"/>
      <c r="Z29" s="101" t="e">
        <f t="shared" si="64"/>
        <v>#DIV/0!</v>
      </c>
      <c r="AA29" s="236"/>
      <c r="AB29" s="101" t="e">
        <f t="shared" si="32"/>
        <v>#DIV/0!</v>
      </c>
      <c r="AC29" s="106">
        <f t="shared" si="65"/>
        <v>0</v>
      </c>
      <c r="AD29" s="101" t="e">
        <f t="shared" si="66"/>
        <v>#DIV/0!</v>
      </c>
      <c r="AE29" s="236"/>
      <c r="AF29" s="101" t="e">
        <f t="shared" si="67"/>
        <v>#DIV/0!</v>
      </c>
      <c r="AG29" s="236"/>
      <c r="AH29" s="101" t="e">
        <f t="shared" si="68"/>
        <v>#DIV/0!</v>
      </c>
      <c r="AI29" s="236"/>
      <c r="AJ29" s="101" t="e">
        <f t="shared" si="69"/>
        <v>#DIV/0!</v>
      </c>
      <c r="AK29" s="236"/>
      <c r="AL29" s="101" t="e">
        <f t="shared" si="70"/>
        <v>#DIV/0!</v>
      </c>
    </row>
    <row r="30" spans="2:38" ht="14.25">
      <c r="B30" s="98"/>
      <c r="C30" s="83"/>
      <c r="D30" s="519">
        <f t="shared" si="19"/>
        <v>46105</v>
      </c>
      <c r="E30" s="519" t="s">
        <v>585</v>
      </c>
      <c r="F30" s="88">
        <f t="shared" si="20"/>
        <v>0</v>
      </c>
      <c r="G30" s="340">
        <f>SUM(F30:F36)</f>
        <v>0</v>
      </c>
      <c r="H30" s="456"/>
      <c r="I30" s="236"/>
      <c r="J30" s="101" t="e">
        <f t="shared" si="55"/>
        <v>#DIV/0!</v>
      </c>
      <c r="K30" s="236"/>
      <c r="L30" s="101" t="e">
        <f t="shared" si="56"/>
        <v>#DIV/0!</v>
      </c>
      <c r="M30" s="106">
        <f t="shared" si="57"/>
        <v>0</v>
      </c>
      <c r="N30" s="101" t="e">
        <f t="shared" si="58"/>
        <v>#DIV/0!</v>
      </c>
      <c r="O30" s="236"/>
      <c r="P30" s="101" t="e">
        <f t="shared" si="59"/>
        <v>#DIV/0!</v>
      </c>
      <c r="Q30" s="236"/>
      <c r="R30" s="101" t="e">
        <f t="shared" si="26"/>
        <v>#DIV/0!</v>
      </c>
      <c r="S30" s="106">
        <f t="shared" si="60"/>
        <v>0</v>
      </c>
      <c r="T30" s="101" t="e">
        <f t="shared" si="61"/>
        <v>#DIV/0!</v>
      </c>
      <c r="U30" s="236"/>
      <c r="V30" s="101" t="e">
        <f t="shared" si="62"/>
        <v>#DIV/0!</v>
      </c>
      <c r="W30" s="236"/>
      <c r="X30" s="101" t="e">
        <f t="shared" si="63"/>
        <v>#DIV/0!</v>
      </c>
      <c r="Y30" s="236"/>
      <c r="Z30" s="101" t="e">
        <f t="shared" si="64"/>
        <v>#DIV/0!</v>
      </c>
      <c r="AA30" s="236"/>
      <c r="AB30" s="101" t="e">
        <f t="shared" si="32"/>
        <v>#DIV/0!</v>
      </c>
      <c r="AC30" s="106">
        <f t="shared" si="65"/>
        <v>0</v>
      </c>
      <c r="AD30" s="101" t="e">
        <f t="shared" si="66"/>
        <v>#DIV/0!</v>
      </c>
      <c r="AE30" s="236"/>
      <c r="AF30" s="101" t="e">
        <f t="shared" si="67"/>
        <v>#DIV/0!</v>
      </c>
      <c r="AG30" s="236"/>
      <c r="AH30" s="101" t="e">
        <f t="shared" si="68"/>
        <v>#DIV/0!</v>
      </c>
      <c r="AI30" s="236"/>
      <c r="AJ30" s="101" t="e">
        <f t="shared" si="69"/>
        <v>#DIV/0!</v>
      </c>
      <c r="AK30" s="236"/>
      <c r="AL30" s="101" t="e">
        <f t="shared" si="70"/>
        <v>#DIV/0!</v>
      </c>
    </row>
    <row r="31" spans="2:38" ht="14.25">
      <c r="B31" s="98"/>
      <c r="C31" s="83"/>
      <c r="D31" s="554">
        <f t="shared" si="19"/>
        <v>46106</v>
      </c>
      <c r="E31" s="554" t="s">
        <v>586</v>
      </c>
      <c r="F31" s="88">
        <f t="shared" si="20"/>
        <v>0</v>
      </c>
      <c r="G31" s="340"/>
      <c r="H31" s="456"/>
      <c r="I31" s="236"/>
      <c r="J31" s="101" t="e">
        <f t="shared" si="55"/>
        <v>#DIV/0!</v>
      </c>
      <c r="K31" s="236"/>
      <c r="L31" s="101" t="e">
        <f t="shared" si="56"/>
        <v>#DIV/0!</v>
      </c>
      <c r="M31" s="106">
        <f t="shared" si="57"/>
        <v>0</v>
      </c>
      <c r="N31" s="101" t="e">
        <f t="shared" si="58"/>
        <v>#DIV/0!</v>
      </c>
      <c r="O31" s="236"/>
      <c r="P31" s="101" t="e">
        <f t="shared" si="59"/>
        <v>#DIV/0!</v>
      </c>
      <c r="Q31" s="236"/>
      <c r="R31" s="101" t="e">
        <f t="shared" si="26"/>
        <v>#DIV/0!</v>
      </c>
      <c r="S31" s="106">
        <f t="shared" si="60"/>
        <v>0</v>
      </c>
      <c r="T31" s="101" t="e">
        <f t="shared" si="61"/>
        <v>#DIV/0!</v>
      </c>
      <c r="U31" s="236"/>
      <c r="V31" s="101" t="e">
        <f t="shared" si="62"/>
        <v>#DIV/0!</v>
      </c>
      <c r="W31" s="236"/>
      <c r="X31" s="101" t="e">
        <f t="shared" si="63"/>
        <v>#DIV/0!</v>
      </c>
      <c r="Y31" s="236"/>
      <c r="Z31" s="101" t="e">
        <f t="shared" si="64"/>
        <v>#DIV/0!</v>
      </c>
      <c r="AA31" s="236"/>
      <c r="AB31" s="101" t="e">
        <f t="shared" si="32"/>
        <v>#DIV/0!</v>
      </c>
      <c r="AC31" s="106">
        <f t="shared" si="65"/>
        <v>0</v>
      </c>
      <c r="AD31" s="101" t="e">
        <f t="shared" si="66"/>
        <v>#DIV/0!</v>
      </c>
      <c r="AE31" s="236"/>
      <c r="AF31" s="101" t="e">
        <f t="shared" si="67"/>
        <v>#DIV/0!</v>
      </c>
      <c r="AG31" s="236"/>
      <c r="AH31" s="101" t="e">
        <f t="shared" si="68"/>
        <v>#DIV/0!</v>
      </c>
      <c r="AI31" s="236"/>
      <c r="AJ31" s="101" t="e">
        <f t="shared" si="69"/>
        <v>#DIV/0!</v>
      </c>
      <c r="AK31" s="236"/>
      <c r="AL31" s="101" t="e">
        <f t="shared" si="70"/>
        <v>#DIV/0!</v>
      </c>
    </row>
    <row r="32" spans="2:38" ht="14.25">
      <c r="B32" s="98"/>
      <c r="C32" s="83"/>
      <c r="D32" s="554">
        <f t="shared" si="19"/>
        <v>46107</v>
      </c>
      <c r="E32" s="554" t="s">
        <v>587</v>
      </c>
      <c r="F32" s="88">
        <f t="shared" si="20"/>
        <v>0</v>
      </c>
      <c r="G32" s="340"/>
      <c r="H32" s="456"/>
      <c r="I32" s="236"/>
      <c r="J32" s="101" t="e">
        <f t="shared" si="55"/>
        <v>#DIV/0!</v>
      </c>
      <c r="K32" s="236"/>
      <c r="L32" s="101" t="e">
        <f t="shared" si="56"/>
        <v>#DIV/0!</v>
      </c>
      <c r="M32" s="106">
        <f t="shared" si="57"/>
        <v>0</v>
      </c>
      <c r="N32" s="101" t="e">
        <f t="shared" si="58"/>
        <v>#DIV/0!</v>
      </c>
      <c r="O32" s="236"/>
      <c r="P32" s="101" t="e">
        <f t="shared" si="59"/>
        <v>#DIV/0!</v>
      </c>
      <c r="Q32" s="236"/>
      <c r="R32" s="101" t="e">
        <f t="shared" si="26"/>
        <v>#DIV/0!</v>
      </c>
      <c r="S32" s="106">
        <f t="shared" si="60"/>
        <v>0</v>
      </c>
      <c r="T32" s="101" t="e">
        <f t="shared" si="61"/>
        <v>#DIV/0!</v>
      </c>
      <c r="U32" s="236"/>
      <c r="V32" s="101" t="e">
        <f t="shared" si="62"/>
        <v>#DIV/0!</v>
      </c>
      <c r="W32" s="236"/>
      <c r="X32" s="101" t="e">
        <f t="shared" si="63"/>
        <v>#DIV/0!</v>
      </c>
      <c r="Y32" s="236"/>
      <c r="Z32" s="101" t="e">
        <f t="shared" si="64"/>
        <v>#DIV/0!</v>
      </c>
      <c r="AA32" s="236"/>
      <c r="AB32" s="101" t="e">
        <f t="shared" si="32"/>
        <v>#DIV/0!</v>
      </c>
      <c r="AC32" s="106">
        <f t="shared" si="65"/>
        <v>0</v>
      </c>
      <c r="AD32" s="101" t="e">
        <f t="shared" si="66"/>
        <v>#DIV/0!</v>
      </c>
      <c r="AE32" s="236"/>
      <c r="AF32" s="101" t="e">
        <f t="shared" si="67"/>
        <v>#DIV/0!</v>
      </c>
      <c r="AG32" s="236"/>
      <c r="AH32" s="101" t="e">
        <f t="shared" si="68"/>
        <v>#DIV/0!</v>
      </c>
      <c r="AI32" s="236"/>
      <c r="AJ32" s="101" t="e">
        <f t="shared" si="69"/>
        <v>#DIV/0!</v>
      </c>
      <c r="AK32" s="236"/>
      <c r="AL32" s="101" t="e">
        <f t="shared" si="70"/>
        <v>#DIV/0!</v>
      </c>
    </row>
    <row r="33" spans="2:38" ht="14.25">
      <c r="B33" s="98"/>
      <c r="C33" s="83"/>
      <c r="D33" s="554">
        <f t="shared" si="19"/>
        <v>46108</v>
      </c>
      <c r="E33" s="554" t="s">
        <v>588</v>
      </c>
      <c r="F33" s="88">
        <f t="shared" si="20"/>
        <v>0</v>
      </c>
      <c r="G33" s="340"/>
      <c r="H33" s="456"/>
      <c r="I33" s="236"/>
      <c r="J33" s="101" t="e">
        <f t="shared" si="55"/>
        <v>#DIV/0!</v>
      </c>
      <c r="K33" s="236"/>
      <c r="L33" s="101" t="e">
        <f t="shared" si="56"/>
        <v>#DIV/0!</v>
      </c>
      <c r="M33" s="106">
        <f t="shared" si="57"/>
        <v>0</v>
      </c>
      <c r="N33" s="101" t="e">
        <f t="shared" si="58"/>
        <v>#DIV/0!</v>
      </c>
      <c r="O33" s="236"/>
      <c r="P33" s="101" t="e">
        <f t="shared" si="59"/>
        <v>#DIV/0!</v>
      </c>
      <c r="Q33" s="236"/>
      <c r="R33" s="101" t="e">
        <f t="shared" si="26"/>
        <v>#DIV/0!</v>
      </c>
      <c r="S33" s="106">
        <f t="shared" si="60"/>
        <v>0</v>
      </c>
      <c r="T33" s="101" t="e">
        <f t="shared" si="61"/>
        <v>#DIV/0!</v>
      </c>
      <c r="U33" s="236"/>
      <c r="V33" s="101" t="e">
        <f t="shared" si="62"/>
        <v>#DIV/0!</v>
      </c>
      <c r="W33" s="236"/>
      <c r="X33" s="101" t="e">
        <f t="shared" si="63"/>
        <v>#DIV/0!</v>
      </c>
      <c r="Y33" s="236"/>
      <c r="Z33" s="101" t="e">
        <f t="shared" si="64"/>
        <v>#DIV/0!</v>
      </c>
      <c r="AA33" s="236"/>
      <c r="AB33" s="101" t="e">
        <f t="shared" si="32"/>
        <v>#DIV/0!</v>
      </c>
      <c r="AC33" s="106">
        <f t="shared" si="65"/>
        <v>0</v>
      </c>
      <c r="AD33" s="101" t="e">
        <f t="shared" si="66"/>
        <v>#DIV/0!</v>
      </c>
      <c r="AE33" s="236"/>
      <c r="AF33" s="101" t="e">
        <f t="shared" si="67"/>
        <v>#DIV/0!</v>
      </c>
      <c r="AG33" s="236"/>
      <c r="AH33" s="101" t="e">
        <f t="shared" si="68"/>
        <v>#DIV/0!</v>
      </c>
      <c r="AI33" s="236"/>
      <c r="AJ33" s="101" t="e">
        <f t="shared" si="69"/>
        <v>#DIV/0!</v>
      </c>
      <c r="AK33" s="236"/>
      <c r="AL33" s="101" t="e">
        <f t="shared" si="70"/>
        <v>#DIV/0!</v>
      </c>
    </row>
    <row r="34" spans="2:38" ht="14.25">
      <c r="B34" s="98"/>
      <c r="C34" s="83"/>
      <c r="D34" s="554">
        <f t="shared" si="19"/>
        <v>46109</v>
      </c>
      <c r="E34" s="554" t="s">
        <v>589</v>
      </c>
      <c r="F34" s="88">
        <f t="shared" si="20"/>
        <v>0</v>
      </c>
      <c r="G34" s="340"/>
      <c r="H34" s="456"/>
      <c r="I34" s="236"/>
      <c r="J34" s="101" t="e">
        <f t="shared" si="55"/>
        <v>#DIV/0!</v>
      </c>
      <c r="K34" s="236"/>
      <c r="L34" s="101" t="e">
        <f t="shared" si="56"/>
        <v>#DIV/0!</v>
      </c>
      <c r="M34" s="106">
        <f t="shared" si="57"/>
        <v>0</v>
      </c>
      <c r="N34" s="101" t="e">
        <f t="shared" si="58"/>
        <v>#DIV/0!</v>
      </c>
      <c r="O34" s="236"/>
      <c r="P34" s="101" t="e">
        <f t="shared" si="59"/>
        <v>#DIV/0!</v>
      </c>
      <c r="Q34" s="236"/>
      <c r="R34" s="101" t="e">
        <f t="shared" si="26"/>
        <v>#DIV/0!</v>
      </c>
      <c r="S34" s="106">
        <f t="shared" si="60"/>
        <v>0</v>
      </c>
      <c r="T34" s="101" t="e">
        <f t="shared" si="61"/>
        <v>#DIV/0!</v>
      </c>
      <c r="U34" s="236"/>
      <c r="V34" s="101" t="e">
        <f t="shared" si="62"/>
        <v>#DIV/0!</v>
      </c>
      <c r="W34" s="236"/>
      <c r="X34" s="101" t="e">
        <f t="shared" si="63"/>
        <v>#DIV/0!</v>
      </c>
      <c r="Y34" s="236"/>
      <c r="Z34" s="101" t="e">
        <f t="shared" si="64"/>
        <v>#DIV/0!</v>
      </c>
      <c r="AA34" s="236"/>
      <c r="AB34" s="101" t="e">
        <f t="shared" si="32"/>
        <v>#DIV/0!</v>
      </c>
      <c r="AC34" s="106">
        <f t="shared" si="65"/>
        <v>0</v>
      </c>
      <c r="AD34" s="101" t="e">
        <f t="shared" si="66"/>
        <v>#DIV/0!</v>
      </c>
      <c r="AE34" s="236"/>
      <c r="AF34" s="101" t="e">
        <f t="shared" si="67"/>
        <v>#DIV/0!</v>
      </c>
      <c r="AG34" s="236"/>
      <c r="AH34" s="101" t="e">
        <f t="shared" si="68"/>
        <v>#DIV/0!</v>
      </c>
      <c r="AI34" s="236"/>
      <c r="AJ34" s="101" t="e">
        <f t="shared" si="69"/>
        <v>#DIV/0!</v>
      </c>
      <c r="AK34" s="236"/>
      <c r="AL34" s="101" t="e">
        <f t="shared" si="70"/>
        <v>#DIV/0!</v>
      </c>
    </row>
    <row r="35" spans="2:38" ht="14.25">
      <c r="B35" s="98"/>
      <c r="C35" s="83"/>
      <c r="D35" s="554">
        <f t="shared" si="19"/>
        <v>46110</v>
      </c>
      <c r="E35" s="554" t="s">
        <v>590</v>
      </c>
      <c r="F35" s="88">
        <f t="shared" si="20"/>
        <v>0</v>
      </c>
      <c r="G35" s="340"/>
      <c r="H35" s="456"/>
      <c r="I35" s="236"/>
      <c r="J35" s="101" t="e">
        <f t="shared" si="55"/>
        <v>#DIV/0!</v>
      </c>
      <c r="K35" s="236"/>
      <c r="L35" s="101" t="e">
        <f t="shared" si="56"/>
        <v>#DIV/0!</v>
      </c>
      <c r="M35" s="106">
        <f t="shared" si="57"/>
        <v>0</v>
      </c>
      <c r="N35" s="101" t="e">
        <f t="shared" si="58"/>
        <v>#DIV/0!</v>
      </c>
      <c r="O35" s="236"/>
      <c r="P35" s="101" t="e">
        <f t="shared" si="59"/>
        <v>#DIV/0!</v>
      </c>
      <c r="Q35" s="236"/>
      <c r="R35" s="101" t="e">
        <f t="shared" si="26"/>
        <v>#DIV/0!</v>
      </c>
      <c r="S35" s="106">
        <f t="shared" si="60"/>
        <v>0</v>
      </c>
      <c r="T35" s="101" t="e">
        <f t="shared" si="61"/>
        <v>#DIV/0!</v>
      </c>
      <c r="U35" s="236"/>
      <c r="V35" s="101" t="e">
        <f t="shared" si="62"/>
        <v>#DIV/0!</v>
      </c>
      <c r="W35" s="236"/>
      <c r="X35" s="101" t="e">
        <f t="shared" si="63"/>
        <v>#DIV/0!</v>
      </c>
      <c r="Y35" s="236"/>
      <c r="Z35" s="101" t="e">
        <f t="shared" si="64"/>
        <v>#DIV/0!</v>
      </c>
      <c r="AA35" s="236"/>
      <c r="AB35" s="101" t="e">
        <f t="shared" si="32"/>
        <v>#DIV/0!</v>
      </c>
      <c r="AC35" s="106">
        <f t="shared" si="65"/>
        <v>0</v>
      </c>
      <c r="AD35" s="101" t="e">
        <f t="shared" si="66"/>
        <v>#DIV/0!</v>
      </c>
      <c r="AE35" s="236"/>
      <c r="AF35" s="101" t="e">
        <f t="shared" si="67"/>
        <v>#DIV/0!</v>
      </c>
      <c r="AG35" s="236"/>
      <c r="AH35" s="101" t="e">
        <f t="shared" si="68"/>
        <v>#DIV/0!</v>
      </c>
      <c r="AI35" s="236"/>
      <c r="AJ35" s="101" t="e">
        <f t="shared" si="69"/>
        <v>#DIV/0!</v>
      </c>
      <c r="AK35" s="236"/>
      <c r="AL35" s="101" t="e">
        <f t="shared" si="70"/>
        <v>#DIV/0!</v>
      </c>
    </row>
    <row r="36" spans="2:38" ht="14.25">
      <c r="B36" s="98"/>
      <c r="C36" s="83"/>
      <c r="D36" s="554">
        <f t="shared" si="19"/>
        <v>46111</v>
      </c>
      <c r="E36" s="554" t="s">
        <v>584</v>
      </c>
      <c r="F36" s="88">
        <f t="shared" si="20"/>
        <v>0</v>
      </c>
      <c r="G36" s="340"/>
      <c r="H36" s="456"/>
      <c r="I36" s="236"/>
      <c r="J36" s="101" t="e">
        <f t="shared" si="55"/>
        <v>#DIV/0!</v>
      </c>
      <c r="K36" s="236"/>
      <c r="L36" s="101" t="e">
        <f t="shared" si="56"/>
        <v>#DIV/0!</v>
      </c>
      <c r="M36" s="106">
        <f t="shared" si="57"/>
        <v>0</v>
      </c>
      <c r="N36" s="101" t="e">
        <f t="shared" si="58"/>
        <v>#DIV/0!</v>
      </c>
      <c r="O36" s="236"/>
      <c r="P36" s="101" t="e">
        <f t="shared" si="59"/>
        <v>#DIV/0!</v>
      </c>
      <c r="Q36" s="236"/>
      <c r="R36" s="101" t="e">
        <f t="shared" si="26"/>
        <v>#DIV/0!</v>
      </c>
      <c r="S36" s="106">
        <f t="shared" si="60"/>
        <v>0</v>
      </c>
      <c r="T36" s="101" t="e">
        <f t="shared" si="61"/>
        <v>#DIV/0!</v>
      </c>
      <c r="U36" s="236"/>
      <c r="V36" s="101" t="e">
        <f t="shared" si="62"/>
        <v>#DIV/0!</v>
      </c>
      <c r="W36" s="236"/>
      <c r="X36" s="101" t="e">
        <f t="shared" si="63"/>
        <v>#DIV/0!</v>
      </c>
      <c r="Y36" s="236"/>
      <c r="Z36" s="101" t="e">
        <f t="shared" si="64"/>
        <v>#DIV/0!</v>
      </c>
      <c r="AA36" s="236"/>
      <c r="AB36" s="101" t="e">
        <f t="shared" si="32"/>
        <v>#DIV/0!</v>
      </c>
      <c r="AC36" s="106">
        <f t="shared" si="65"/>
        <v>0</v>
      </c>
      <c r="AD36" s="101" t="e">
        <f t="shared" si="66"/>
        <v>#DIV/0!</v>
      </c>
      <c r="AE36" s="236"/>
      <c r="AF36" s="101" t="e">
        <f t="shared" si="67"/>
        <v>#DIV/0!</v>
      </c>
      <c r="AG36" s="236"/>
      <c r="AH36" s="101" t="e">
        <f t="shared" si="68"/>
        <v>#DIV/0!</v>
      </c>
      <c r="AI36" s="236"/>
      <c r="AJ36" s="101" t="e">
        <f t="shared" si="69"/>
        <v>#DIV/0!</v>
      </c>
      <c r="AK36" s="236"/>
      <c r="AL36" s="101" t="e">
        <f t="shared" si="70"/>
        <v>#DIV/0!</v>
      </c>
    </row>
    <row r="37" spans="2:38" ht="14.25">
      <c r="B37" s="98"/>
      <c r="C37" s="83"/>
      <c r="D37" s="332">
        <f>D36+1</f>
        <v>46112</v>
      </c>
      <c r="E37" s="332" t="s">
        <v>585</v>
      </c>
      <c r="F37" s="88">
        <f t="shared" si="20"/>
        <v>0</v>
      </c>
      <c r="G37" s="340"/>
      <c r="H37" s="456"/>
      <c r="I37" s="236"/>
      <c r="J37" s="101" t="e">
        <f t="shared" si="55"/>
        <v>#DIV/0!</v>
      </c>
      <c r="K37" s="236"/>
      <c r="L37" s="101" t="e">
        <f t="shared" si="56"/>
        <v>#DIV/0!</v>
      </c>
      <c r="M37" s="106">
        <f t="shared" si="57"/>
        <v>0</v>
      </c>
      <c r="N37" s="101" t="e">
        <f t="shared" si="58"/>
        <v>#DIV/0!</v>
      </c>
      <c r="O37" s="236"/>
      <c r="P37" s="101" t="e">
        <f t="shared" si="59"/>
        <v>#DIV/0!</v>
      </c>
      <c r="Q37" s="236"/>
      <c r="R37" s="101" t="e">
        <f t="shared" si="26"/>
        <v>#DIV/0!</v>
      </c>
      <c r="S37" s="106">
        <f t="shared" si="60"/>
        <v>0</v>
      </c>
      <c r="T37" s="101" t="e">
        <f t="shared" si="61"/>
        <v>#DIV/0!</v>
      </c>
      <c r="U37" s="236"/>
      <c r="V37" s="101" t="e">
        <f t="shared" si="62"/>
        <v>#DIV/0!</v>
      </c>
      <c r="W37" s="236"/>
      <c r="X37" s="101" t="e">
        <f t="shared" si="63"/>
        <v>#DIV/0!</v>
      </c>
      <c r="Y37" s="236"/>
      <c r="Z37" s="101" t="e">
        <f t="shared" si="64"/>
        <v>#DIV/0!</v>
      </c>
      <c r="AA37" s="236"/>
      <c r="AB37" s="101" t="e">
        <f t="shared" si="32"/>
        <v>#DIV/0!</v>
      </c>
      <c r="AC37" s="106">
        <f t="shared" si="65"/>
        <v>0</v>
      </c>
      <c r="AD37" s="101" t="e">
        <f t="shared" si="66"/>
        <v>#DIV/0!</v>
      </c>
      <c r="AE37" s="236"/>
      <c r="AF37" s="101" t="e">
        <f t="shared" si="67"/>
        <v>#DIV/0!</v>
      </c>
      <c r="AG37" s="236"/>
      <c r="AH37" s="101" t="e">
        <f t="shared" si="68"/>
        <v>#DIV/0!</v>
      </c>
      <c r="AI37" s="236"/>
      <c r="AJ37" s="101" t="e">
        <f t="shared" si="69"/>
        <v>#DIV/0!</v>
      </c>
      <c r="AK37" s="236"/>
      <c r="AL37" s="101" t="e">
        <f t="shared" si="70"/>
        <v>#DIV/0!</v>
      </c>
    </row>
    <row r="38" spans="2:38" ht="14.25">
      <c r="B38" s="98"/>
      <c r="C38" s="83"/>
      <c r="D38" s="332">
        <f t="shared" ref="D38:D43" si="71">D37+1</f>
        <v>46113</v>
      </c>
      <c r="E38" s="553" t="s">
        <v>586</v>
      </c>
      <c r="F38" s="88">
        <f t="shared" si="20"/>
        <v>0</v>
      </c>
      <c r="G38" s="340"/>
      <c r="H38" s="456"/>
      <c r="I38" s="236"/>
      <c r="J38" s="101" t="e">
        <f t="shared" si="55"/>
        <v>#DIV/0!</v>
      </c>
      <c r="K38" s="236"/>
      <c r="L38" s="101" t="e">
        <f t="shared" si="56"/>
        <v>#DIV/0!</v>
      </c>
      <c r="M38" s="106">
        <f t="shared" si="57"/>
        <v>0</v>
      </c>
      <c r="N38" s="101" t="e">
        <f t="shared" si="58"/>
        <v>#DIV/0!</v>
      </c>
      <c r="O38" s="236"/>
      <c r="P38" s="101" t="e">
        <f t="shared" si="59"/>
        <v>#DIV/0!</v>
      </c>
      <c r="Q38" s="236"/>
      <c r="R38" s="101" t="e">
        <f t="shared" si="26"/>
        <v>#DIV/0!</v>
      </c>
      <c r="S38" s="106">
        <f t="shared" si="60"/>
        <v>0</v>
      </c>
      <c r="T38" s="101" t="e">
        <f t="shared" si="61"/>
        <v>#DIV/0!</v>
      </c>
      <c r="U38" s="236"/>
      <c r="V38" s="101" t="e">
        <f t="shared" si="62"/>
        <v>#DIV/0!</v>
      </c>
      <c r="W38" s="236"/>
      <c r="X38" s="101" t="e">
        <f t="shared" si="63"/>
        <v>#DIV/0!</v>
      </c>
      <c r="Y38" s="236"/>
      <c r="Z38" s="101" t="e">
        <f t="shared" si="64"/>
        <v>#DIV/0!</v>
      </c>
      <c r="AA38" s="236"/>
      <c r="AB38" s="101" t="e">
        <f t="shared" si="32"/>
        <v>#DIV/0!</v>
      </c>
      <c r="AC38" s="106">
        <f t="shared" si="65"/>
        <v>0</v>
      </c>
      <c r="AD38" s="101" t="e">
        <f t="shared" si="66"/>
        <v>#DIV/0!</v>
      </c>
      <c r="AE38" s="236"/>
      <c r="AF38" s="101" t="e">
        <f t="shared" si="67"/>
        <v>#DIV/0!</v>
      </c>
      <c r="AG38" s="236"/>
      <c r="AH38" s="101" t="e">
        <f t="shared" si="68"/>
        <v>#DIV/0!</v>
      </c>
      <c r="AI38" s="236"/>
      <c r="AJ38" s="101" t="e">
        <f t="shared" si="69"/>
        <v>#DIV/0!</v>
      </c>
      <c r="AK38" s="236"/>
      <c r="AL38" s="101" t="e">
        <f t="shared" si="70"/>
        <v>#DIV/0!</v>
      </c>
    </row>
    <row r="39" spans="2:38" s="443" customFormat="1" ht="14.25">
      <c r="B39" s="436"/>
      <c r="C39" s="437"/>
      <c r="D39" s="332">
        <f t="shared" si="71"/>
        <v>46114</v>
      </c>
      <c r="E39" s="553" t="s">
        <v>587</v>
      </c>
      <c r="F39" s="438">
        <f t="shared" si="20"/>
        <v>0</v>
      </c>
      <c r="G39" s="439"/>
      <c r="H39" s="456"/>
      <c r="I39" s="440"/>
      <c r="J39" s="441" t="e">
        <f t="shared" si="55"/>
        <v>#DIV/0!</v>
      </c>
      <c r="K39" s="440"/>
      <c r="L39" s="441" t="e">
        <f t="shared" si="56"/>
        <v>#DIV/0!</v>
      </c>
      <c r="M39" s="442">
        <f t="shared" si="57"/>
        <v>0</v>
      </c>
      <c r="N39" s="441" t="e">
        <f t="shared" si="58"/>
        <v>#DIV/0!</v>
      </c>
      <c r="O39" s="440"/>
      <c r="P39" s="441" t="e">
        <f t="shared" si="59"/>
        <v>#DIV/0!</v>
      </c>
      <c r="Q39" s="440"/>
      <c r="R39" s="441" t="e">
        <f t="shared" si="26"/>
        <v>#DIV/0!</v>
      </c>
      <c r="S39" s="442">
        <f t="shared" si="60"/>
        <v>0</v>
      </c>
      <c r="T39" s="441" t="e">
        <f t="shared" si="61"/>
        <v>#DIV/0!</v>
      </c>
      <c r="U39" s="440"/>
      <c r="V39" s="441" t="e">
        <f t="shared" si="62"/>
        <v>#DIV/0!</v>
      </c>
      <c r="W39" s="440"/>
      <c r="X39" s="441" t="e">
        <f t="shared" si="63"/>
        <v>#DIV/0!</v>
      </c>
      <c r="Y39" s="440"/>
      <c r="Z39" s="441" t="e">
        <f t="shared" si="64"/>
        <v>#DIV/0!</v>
      </c>
      <c r="AA39" s="440"/>
      <c r="AB39" s="441" t="e">
        <f t="shared" si="32"/>
        <v>#DIV/0!</v>
      </c>
      <c r="AC39" s="442">
        <f t="shared" si="65"/>
        <v>0</v>
      </c>
      <c r="AD39" s="441" t="e">
        <f t="shared" si="66"/>
        <v>#DIV/0!</v>
      </c>
      <c r="AE39" s="440"/>
      <c r="AF39" s="441" t="e">
        <f t="shared" si="67"/>
        <v>#DIV/0!</v>
      </c>
      <c r="AG39" s="440"/>
      <c r="AH39" s="441" t="e">
        <f t="shared" si="68"/>
        <v>#DIV/0!</v>
      </c>
      <c r="AI39" s="440"/>
      <c r="AJ39" s="441" t="e">
        <f t="shared" si="69"/>
        <v>#DIV/0!</v>
      </c>
      <c r="AK39" s="440"/>
      <c r="AL39" s="441" t="e">
        <f t="shared" si="70"/>
        <v>#DIV/0!</v>
      </c>
    </row>
    <row r="40" spans="2:38" ht="14.25">
      <c r="B40" s="98"/>
      <c r="C40" s="83"/>
      <c r="D40" s="332">
        <f t="shared" si="71"/>
        <v>46115</v>
      </c>
      <c r="E40" s="553" t="s">
        <v>588</v>
      </c>
      <c r="F40" s="88">
        <f t="shared" si="20"/>
        <v>0</v>
      </c>
      <c r="G40" s="340"/>
      <c r="H40" s="88"/>
      <c r="I40" s="236"/>
      <c r="J40" s="101" t="e">
        <f t="shared" si="55"/>
        <v>#DIV/0!</v>
      </c>
      <c r="K40" s="236"/>
      <c r="L40" s="101" t="e">
        <f t="shared" si="56"/>
        <v>#DIV/0!</v>
      </c>
      <c r="M40" s="106">
        <f t="shared" si="57"/>
        <v>0</v>
      </c>
      <c r="N40" s="101" t="e">
        <f t="shared" si="58"/>
        <v>#DIV/0!</v>
      </c>
      <c r="O40" s="236"/>
      <c r="P40" s="101" t="e">
        <f t="shared" si="59"/>
        <v>#DIV/0!</v>
      </c>
      <c r="Q40" s="236"/>
      <c r="R40" s="101" t="e">
        <f t="shared" si="26"/>
        <v>#DIV/0!</v>
      </c>
      <c r="S40" s="106">
        <f t="shared" si="60"/>
        <v>0</v>
      </c>
      <c r="T40" s="101" t="e">
        <f t="shared" si="61"/>
        <v>#DIV/0!</v>
      </c>
      <c r="U40" s="236"/>
      <c r="V40" s="101" t="e">
        <f t="shared" si="62"/>
        <v>#DIV/0!</v>
      </c>
      <c r="W40" s="236"/>
      <c r="X40" s="101" t="e">
        <f t="shared" si="63"/>
        <v>#DIV/0!</v>
      </c>
      <c r="Y40" s="236"/>
      <c r="Z40" s="101" t="e">
        <f t="shared" si="64"/>
        <v>#DIV/0!</v>
      </c>
      <c r="AA40" s="236"/>
      <c r="AB40" s="101" t="e">
        <f t="shared" si="32"/>
        <v>#DIV/0!</v>
      </c>
      <c r="AC40" s="106">
        <f t="shared" si="65"/>
        <v>0</v>
      </c>
      <c r="AD40" s="101" t="e">
        <f t="shared" si="66"/>
        <v>#DIV/0!</v>
      </c>
      <c r="AE40" s="236"/>
      <c r="AF40" s="101" t="e">
        <f t="shared" si="67"/>
        <v>#DIV/0!</v>
      </c>
      <c r="AG40" s="236"/>
      <c r="AH40" s="101" t="e">
        <f t="shared" si="68"/>
        <v>#DIV/0!</v>
      </c>
      <c r="AI40" s="236"/>
      <c r="AJ40" s="101" t="e">
        <f t="shared" si="69"/>
        <v>#DIV/0!</v>
      </c>
      <c r="AK40" s="236"/>
      <c r="AL40" s="101" t="e">
        <f t="shared" si="70"/>
        <v>#DIV/0!</v>
      </c>
    </row>
    <row r="41" spans="2:38" ht="14.25">
      <c r="B41" s="98"/>
      <c r="C41" s="83"/>
      <c r="D41" s="332">
        <f t="shared" si="71"/>
        <v>46116</v>
      </c>
      <c r="E41" s="553" t="s">
        <v>589</v>
      </c>
      <c r="F41" s="88">
        <f t="shared" si="20"/>
        <v>0</v>
      </c>
      <c r="G41" s="340"/>
      <c r="H41" s="88"/>
      <c r="I41" s="236"/>
      <c r="J41" s="101" t="e">
        <f t="shared" si="55"/>
        <v>#DIV/0!</v>
      </c>
      <c r="K41" s="236"/>
      <c r="L41" s="101" t="e">
        <f t="shared" si="56"/>
        <v>#DIV/0!</v>
      </c>
      <c r="M41" s="106">
        <f t="shared" si="57"/>
        <v>0</v>
      </c>
      <c r="N41" s="101" t="e">
        <f t="shared" si="58"/>
        <v>#DIV/0!</v>
      </c>
      <c r="O41" s="236"/>
      <c r="P41" s="101" t="e">
        <f t="shared" si="59"/>
        <v>#DIV/0!</v>
      </c>
      <c r="Q41" s="236"/>
      <c r="R41" s="101" t="e">
        <f t="shared" si="26"/>
        <v>#DIV/0!</v>
      </c>
      <c r="S41" s="106">
        <f t="shared" si="60"/>
        <v>0</v>
      </c>
      <c r="T41" s="101" t="e">
        <f t="shared" si="61"/>
        <v>#DIV/0!</v>
      </c>
      <c r="U41" s="236"/>
      <c r="V41" s="101" t="e">
        <f t="shared" si="62"/>
        <v>#DIV/0!</v>
      </c>
      <c r="W41" s="236"/>
      <c r="X41" s="101" t="e">
        <f t="shared" si="63"/>
        <v>#DIV/0!</v>
      </c>
      <c r="Y41" s="236"/>
      <c r="Z41" s="101" t="e">
        <f t="shared" si="64"/>
        <v>#DIV/0!</v>
      </c>
      <c r="AA41" s="236"/>
      <c r="AB41" s="101" t="e">
        <f t="shared" si="32"/>
        <v>#DIV/0!</v>
      </c>
      <c r="AC41" s="106">
        <f t="shared" si="65"/>
        <v>0</v>
      </c>
      <c r="AD41" s="101" t="e">
        <f t="shared" si="66"/>
        <v>#DIV/0!</v>
      </c>
      <c r="AE41" s="236"/>
      <c r="AF41" s="101" t="e">
        <f t="shared" si="67"/>
        <v>#DIV/0!</v>
      </c>
      <c r="AG41" s="236"/>
      <c r="AH41" s="101" t="e">
        <f t="shared" si="68"/>
        <v>#DIV/0!</v>
      </c>
      <c r="AI41" s="236"/>
      <c r="AJ41" s="101" t="e">
        <f t="shared" si="69"/>
        <v>#DIV/0!</v>
      </c>
      <c r="AK41" s="236"/>
      <c r="AL41" s="101" t="e">
        <f t="shared" si="70"/>
        <v>#DIV/0!</v>
      </c>
    </row>
    <row r="42" spans="2:38" ht="14.25">
      <c r="B42" s="98"/>
      <c r="C42" s="83"/>
      <c r="D42" s="332">
        <f t="shared" si="71"/>
        <v>46117</v>
      </c>
      <c r="E42" s="553" t="s">
        <v>590</v>
      </c>
      <c r="F42" s="88">
        <f t="shared" si="20"/>
        <v>0</v>
      </c>
      <c r="G42" s="340"/>
      <c r="H42" s="88"/>
      <c r="I42" s="236"/>
      <c r="J42" s="101" t="e">
        <f>I42/F42</f>
        <v>#DIV/0!</v>
      </c>
      <c r="K42" s="236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 t="shared" si="26"/>
        <v>#DIV/0!</v>
      </c>
      <c r="S42" s="106">
        <f t="shared" si="60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 t="shared" si="32"/>
        <v>#DIV/0!</v>
      </c>
      <c r="AC42" s="106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4.25">
      <c r="B43" s="98"/>
      <c r="C43" s="83"/>
      <c r="D43" s="332">
        <f t="shared" si="71"/>
        <v>46118</v>
      </c>
      <c r="E43" s="553" t="s">
        <v>584</v>
      </c>
      <c r="F43" s="88">
        <f t="shared" ref="F43" si="72">SUM(M43,S43,U43,W43,AC43,AE43,AG43,AI43,AK43)</f>
        <v>0</v>
      </c>
      <c r="G43" s="340"/>
      <c r="H43" s="88"/>
      <c r="I43" s="236"/>
      <c r="J43" s="101" t="e">
        <f>I43/F43</f>
        <v>#DIV/0!</v>
      </c>
      <c r="K43" s="236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 t="shared" si="26"/>
        <v>#DIV/0!</v>
      </c>
      <c r="S43" s="106">
        <f t="shared" ref="S43" si="73">SUM(O43+Q43)</f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 t="shared" si="32"/>
        <v>#DIV/0!</v>
      </c>
      <c r="AC43" s="106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20"/>
        <v>0</v>
      </c>
      <c r="G44" s="340"/>
      <c r="H44" s="88"/>
      <c r="I44" s="236"/>
      <c r="J44" s="101" t="e">
        <f>I44/F44</f>
        <v>#DIV/0!</v>
      </c>
      <c r="K44" s="236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 t="shared" si="26"/>
        <v>#DIV/0!</v>
      </c>
      <c r="S44" s="106">
        <f t="shared" si="60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 t="shared" si="32"/>
        <v>#DIV/0!</v>
      </c>
      <c r="AC44" s="106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20"/>
        <v>0</v>
      </c>
      <c r="G45" s="340"/>
      <c r="H45" s="88"/>
      <c r="I45" s="236"/>
      <c r="J45" s="101" t="e">
        <f>I45/F45</f>
        <v>#DIV/0!</v>
      </c>
      <c r="K45" s="236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 t="shared" si="26"/>
        <v>#DIV/0!</v>
      </c>
      <c r="S45" s="106">
        <f t="shared" si="60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 t="shared" si="32"/>
        <v>#DIV/0!</v>
      </c>
      <c r="AC45" s="106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89">
        <f>SUM(I7:I44)</f>
        <v>267189</v>
      </c>
      <c r="J46" s="288">
        <f>I46/$H$12</f>
        <v>0.12640681867964723</v>
      </c>
      <c r="K46" s="289">
        <f>SUM(K7:K44)</f>
        <v>370388</v>
      </c>
      <c r="L46" s="288">
        <f>K46/$H$12</f>
        <v>0.17523015078134646</v>
      </c>
      <c r="M46" s="289">
        <f>SUM(M7:M44)</f>
        <v>637577</v>
      </c>
      <c r="N46" s="288">
        <f>M46/$H$12</f>
        <v>0.30163696946099372</v>
      </c>
      <c r="O46" s="289">
        <f>SUM(O7:O44)</f>
        <v>57754</v>
      </c>
      <c r="P46" s="288">
        <f>O46/$H$12</f>
        <v>2.7323353154599727E-2</v>
      </c>
      <c r="Q46" s="289">
        <f>SUM(Q7:Q44)</f>
        <v>29662</v>
      </c>
      <c r="R46" s="288">
        <f>Q46/$H$12</f>
        <v>1.4033059204067893E-2</v>
      </c>
      <c r="S46" s="289">
        <f>SUM(S7:S44)</f>
        <v>87416</v>
      </c>
      <c r="T46" s="288">
        <f>S46/$H$12</f>
        <v>4.1356412358667619E-2</v>
      </c>
      <c r="U46" s="289">
        <f>SUM(U7:U44)</f>
        <v>316690</v>
      </c>
      <c r="V46" s="288">
        <f>U46/$H$12</f>
        <v>0.14982568671486282</v>
      </c>
      <c r="W46" s="289">
        <f>SUM(W7:W44)</f>
        <v>20582</v>
      </c>
      <c r="X46" s="288">
        <f>W46/$H$12</f>
        <v>9.737321304636417E-3</v>
      </c>
      <c r="Y46" s="289">
        <f>SUM(Y7:Y44)</f>
        <v>218593</v>
      </c>
      <c r="Z46" s="288">
        <f>Y46/$H$12</f>
        <v>0.10341610513771199</v>
      </c>
      <c r="AA46" s="289">
        <f>SUM(AA7:AA44)</f>
        <v>239642</v>
      </c>
      <c r="AB46" s="288">
        <f>AA46/$H$12</f>
        <v>0.11337436362285881</v>
      </c>
      <c r="AC46" s="289">
        <f>SUM(AC7:AC44)</f>
        <v>458235</v>
      </c>
      <c r="AD46" s="288">
        <f>AC46/$H$12</f>
        <v>0.21679046876057081</v>
      </c>
      <c r="AE46" s="289">
        <f>SUM(AE7:AE44)</f>
        <v>205677</v>
      </c>
      <c r="AF46" s="288">
        <f>AE46/$H$12</f>
        <v>9.7305559905436989E-2</v>
      </c>
      <c r="AG46" s="289">
        <f>SUM(AG7:AG44)</f>
        <v>64962</v>
      </c>
      <c r="AH46" s="288">
        <f>AG46/$H$12</f>
        <v>3.0733449936439165E-2</v>
      </c>
      <c r="AI46" s="289">
        <f>SUM(AI7:AI44)</f>
        <v>161685</v>
      </c>
      <c r="AJ46" s="288">
        <f>AI46/$H$12</f>
        <v>7.6492993642024054E-2</v>
      </c>
      <c r="AK46" s="289">
        <f>SUM(AK7:AK44)</f>
        <v>160899</v>
      </c>
      <c r="AL46" s="288">
        <f>AK46/$H$12</f>
        <v>7.6121137916368417E-2</v>
      </c>
    </row>
    <row r="47" spans="2:38" ht="14.25">
      <c r="B47" s="98"/>
      <c r="C47" s="83"/>
      <c r="D47" s="84"/>
      <c r="F47" s="88"/>
      <c r="G47" s="88"/>
      <c r="H47" s="88"/>
      <c r="M47" s="290">
        <f>M46</f>
        <v>637577</v>
      </c>
      <c r="S47" s="290">
        <f>S46</f>
        <v>87416</v>
      </c>
      <c r="U47" s="290">
        <f>U46</f>
        <v>316690</v>
      </c>
      <c r="W47" s="290">
        <f>W46</f>
        <v>20582</v>
      </c>
      <c r="Y47" s="290"/>
      <c r="AA47" s="290"/>
      <c r="AC47" s="290">
        <f>AC46</f>
        <v>458235</v>
      </c>
      <c r="AE47" s="290">
        <f>AE46</f>
        <v>205677</v>
      </c>
      <c r="AG47" s="290">
        <f>AG46</f>
        <v>64962</v>
      </c>
      <c r="AI47" s="290">
        <f>AI46</f>
        <v>161685</v>
      </c>
      <c r="AK47" s="290">
        <f>AK46</f>
        <v>160899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62"/>
  <sheetViews>
    <sheetView zoomScale="40" zoomScaleNormal="40" workbookViewId="0">
      <pane xSplit="15" topLeftCell="P1" activePane="topRight" state="frozen"/>
      <selection activeCell="P2" sqref="P2:AN2"/>
      <selection pane="topRight" activeCell="AT7" sqref="AT7:AV2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333</v>
      </c>
      <c r="C1" s="221">
        <f>AVERAGE(L7,L42,L77,L112,L147,L182)</f>
        <v>793.10158304582899</v>
      </c>
    </row>
    <row r="2" spans="1:54" ht="15.75">
      <c r="A2" s="81"/>
      <c r="B2" s="671" t="s">
        <v>163</v>
      </c>
      <c r="C2" s="671"/>
      <c r="D2" s="671"/>
      <c r="E2" s="671"/>
      <c r="F2" s="671"/>
      <c r="G2" s="671"/>
      <c r="H2" s="671"/>
      <c r="I2" s="310"/>
      <c r="J2" s="310"/>
      <c r="K2" s="310"/>
      <c r="L2" s="310"/>
      <c r="M2" s="197"/>
      <c r="N2" s="660" t="s">
        <v>156</v>
      </c>
      <c r="O2" s="660" t="s">
        <v>155</v>
      </c>
      <c r="P2" s="687">
        <v>46084</v>
      </c>
      <c r="Q2" s="688"/>
      <c r="R2" s="688"/>
      <c r="S2" s="688"/>
      <c r="T2" s="689"/>
      <c r="U2" s="666">
        <f>P2+1</f>
        <v>46085</v>
      </c>
      <c r="V2" s="667"/>
      <c r="W2" s="667"/>
      <c r="X2" s="667"/>
      <c r="Y2" s="667"/>
      <c r="Z2" s="666">
        <f>U2+1</f>
        <v>46086</v>
      </c>
      <c r="AA2" s="667"/>
      <c r="AB2" s="667"/>
      <c r="AC2" s="667"/>
      <c r="AD2" s="667"/>
      <c r="AE2" s="666">
        <f>Z2+1</f>
        <v>46087</v>
      </c>
      <c r="AF2" s="667"/>
      <c r="AG2" s="667"/>
      <c r="AH2" s="667"/>
      <c r="AI2" s="667"/>
      <c r="AJ2" s="666">
        <f>AE2+1</f>
        <v>46088</v>
      </c>
      <c r="AK2" s="667"/>
      <c r="AL2" s="667"/>
      <c r="AM2" s="667"/>
      <c r="AN2" s="667"/>
      <c r="AO2" s="666">
        <f>AJ2+1</f>
        <v>46089</v>
      </c>
      <c r="AP2" s="667"/>
      <c r="AQ2" s="667"/>
      <c r="AR2" s="667"/>
      <c r="AS2" s="667"/>
      <c r="AT2" s="663">
        <f>AO2+1</f>
        <v>46090</v>
      </c>
      <c r="AU2" s="664"/>
      <c r="AV2" s="664"/>
      <c r="AW2" s="664"/>
      <c r="AX2" s="665"/>
    </row>
    <row r="3" spans="1:54" ht="15.75">
      <c r="A3" s="81"/>
      <c r="B3" s="690"/>
      <c r="C3" s="690"/>
      <c r="D3" s="690"/>
      <c r="E3" s="690"/>
      <c r="F3" s="690"/>
      <c r="G3" s="690"/>
      <c r="H3" s="690"/>
      <c r="I3" s="311"/>
      <c r="J3" s="311"/>
      <c r="K3" s="311"/>
      <c r="L3" s="311"/>
      <c r="M3" s="198"/>
      <c r="N3" s="662"/>
      <c r="O3" s="662"/>
      <c r="P3" s="666" t="s">
        <v>158</v>
      </c>
      <c r="Q3" s="667"/>
      <c r="R3" s="667"/>
      <c r="S3" s="667"/>
      <c r="T3" s="667"/>
      <c r="U3" s="666" t="s">
        <v>114</v>
      </c>
      <c r="V3" s="667"/>
      <c r="W3" s="667"/>
      <c r="X3" s="667"/>
      <c r="Y3" s="667"/>
      <c r="Z3" s="666" t="s">
        <v>159</v>
      </c>
      <c r="AA3" s="667"/>
      <c r="AB3" s="667"/>
      <c r="AC3" s="667"/>
      <c r="AD3" s="667"/>
      <c r="AE3" s="666" t="s">
        <v>157</v>
      </c>
      <c r="AF3" s="667"/>
      <c r="AG3" s="667"/>
      <c r="AH3" s="667"/>
      <c r="AI3" s="667"/>
      <c r="AJ3" s="666" t="s">
        <v>160</v>
      </c>
      <c r="AK3" s="667"/>
      <c r="AL3" s="667"/>
      <c r="AM3" s="667"/>
      <c r="AN3" s="667"/>
      <c r="AO3" s="666" t="s">
        <v>115</v>
      </c>
      <c r="AP3" s="667"/>
      <c r="AQ3" s="667"/>
      <c r="AR3" s="667"/>
      <c r="AS3" s="667"/>
      <c r="AT3" s="666" t="s">
        <v>162</v>
      </c>
      <c r="AU3" s="667"/>
      <c r="AV3" s="667"/>
      <c r="AW3" s="667"/>
      <c r="AX3" s="667"/>
    </row>
    <row r="4" spans="1:54" ht="14.25">
      <c r="A4" s="81"/>
      <c r="B4" s="659" t="s">
        <v>419</v>
      </c>
      <c r="C4" s="659" t="s">
        <v>429</v>
      </c>
      <c r="D4" s="659"/>
      <c r="E4" s="659" t="s">
        <v>420</v>
      </c>
      <c r="F4" s="659"/>
      <c r="G4" s="659"/>
      <c r="H4" s="675" t="s">
        <v>416</v>
      </c>
      <c r="I4" s="643" t="s">
        <v>464</v>
      </c>
      <c r="J4" s="643"/>
      <c r="K4" s="643"/>
      <c r="L4" s="644" t="s">
        <v>416</v>
      </c>
      <c r="M4" s="650" t="s">
        <v>465</v>
      </c>
      <c r="N4" s="659"/>
      <c r="O4" s="659" t="s">
        <v>422</v>
      </c>
      <c r="P4" s="656" t="s">
        <v>418</v>
      </c>
      <c r="Q4" s="657"/>
      <c r="R4" s="657"/>
      <c r="S4" s="658"/>
      <c r="T4" s="659" t="s">
        <v>416</v>
      </c>
      <c r="U4" s="656" t="s">
        <v>418</v>
      </c>
      <c r="V4" s="657"/>
      <c r="W4" s="657"/>
      <c r="X4" s="658"/>
      <c r="Y4" s="659" t="s">
        <v>416</v>
      </c>
      <c r="Z4" s="656" t="s">
        <v>418</v>
      </c>
      <c r="AA4" s="657"/>
      <c r="AB4" s="657"/>
      <c r="AC4" s="658"/>
      <c r="AD4" s="659" t="s">
        <v>416</v>
      </c>
      <c r="AE4" s="656" t="s">
        <v>418</v>
      </c>
      <c r="AF4" s="657"/>
      <c r="AG4" s="657"/>
      <c r="AH4" s="658"/>
      <c r="AI4" s="659" t="s">
        <v>416</v>
      </c>
      <c r="AJ4" s="656" t="s">
        <v>418</v>
      </c>
      <c r="AK4" s="657"/>
      <c r="AL4" s="657"/>
      <c r="AM4" s="658"/>
      <c r="AN4" s="659" t="s">
        <v>416</v>
      </c>
      <c r="AO4" s="656" t="s">
        <v>418</v>
      </c>
      <c r="AP4" s="657"/>
      <c r="AQ4" s="657"/>
      <c r="AR4" s="658"/>
      <c r="AS4" s="659" t="s">
        <v>416</v>
      </c>
      <c r="AT4" s="656" t="s">
        <v>418</v>
      </c>
      <c r="AU4" s="657"/>
      <c r="AV4" s="657"/>
      <c r="AW4" s="658"/>
      <c r="AX4" s="659" t="s">
        <v>416</v>
      </c>
    </row>
    <row r="5" spans="1:54" ht="14.25">
      <c r="A5" s="81"/>
      <c r="B5" s="659"/>
      <c r="C5" s="659"/>
      <c r="D5" s="659"/>
      <c r="E5" s="659" t="s">
        <v>468</v>
      </c>
      <c r="F5" s="659"/>
      <c r="G5" s="659"/>
      <c r="H5" s="676"/>
      <c r="I5" s="643" t="s">
        <v>468</v>
      </c>
      <c r="J5" s="643"/>
      <c r="K5" s="643"/>
      <c r="L5" s="645"/>
      <c r="M5" s="651"/>
      <c r="N5" s="659"/>
      <c r="O5" s="659"/>
      <c r="P5" s="656" t="s">
        <v>424</v>
      </c>
      <c r="Q5" s="657"/>
      <c r="R5" s="657"/>
      <c r="S5" s="658"/>
      <c r="T5" s="659"/>
      <c r="U5" s="656" t="s">
        <v>424</v>
      </c>
      <c r="V5" s="657"/>
      <c r="W5" s="657"/>
      <c r="X5" s="658"/>
      <c r="Y5" s="659"/>
      <c r="Z5" s="656" t="s">
        <v>424</v>
      </c>
      <c r="AA5" s="657"/>
      <c r="AB5" s="657"/>
      <c r="AC5" s="658"/>
      <c r="AD5" s="659"/>
      <c r="AE5" s="656" t="s">
        <v>424</v>
      </c>
      <c r="AF5" s="657"/>
      <c r="AG5" s="657"/>
      <c r="AH5" s="658"/>
      <c r="AI5" s="659"/>
      <c r="AJ5" s="656" t="s">
        <v>424</v>
      </c>
      <c r="AK5" s="657"/>
      <c r="AL5" s="657"/>
      <c r="AM5" s="658"/>
      <c r="AN5" s="659"/>
      <c r="AO5" s="656" t="s">
        <v>424</v>
      </c>
      <c r="AP5" s="657"/>
      <c r="AQ5" s="657"/>
      <c r="AR5" s="658"/>
      <c r="AS5" s="659"/>
      <c r="AT5" s="656" t="s">
        <v>424</v>
      </c>
      <c r="AU5" s="657"/>
      <c r="AV5" s="657"/>
      <c r="AW5" s="658"/>
      <c r="AX5" s="659"/>
    </row>
    <row r="6" spans="1:54" ht="14.25">
      <c r="A6" s="79"/>
      <c r="B6" s="659"/>
      <c r="C6" s="659"/>
      <c r="D6" s="659"/>
      <c r="E6" s="549" t="s">
        <v>470</v>
      </c>
      <c r="F6" s="549" t="s">
        <v>426</v>
      </c>
      <c r="G6" s="549" t="s">
        <v>427</v>
      </c>
      <c r="H6" s="677"/>
      <c r="I6" s="550" t="s">
        <v>470</v>
      </c>
      <c r="J6" s="550" t="s">
        <v>426</v>
      </c>
      <c r="K6" s="550" t="s">
        <v>427</v>
      </c>
      <c r="L6" s="646"/>
      <c r="M6" s="652"/>
      <c r="N6" s="659"/>
      <c r="O6" s="659"/>
      <c r="P6" s="549" t="s">
        <v>470</v>
      </c>
      <c r="Q6" s="549" t="s">
        <v>426</v>
      </c>
      <c r="R6" s="549" t="s">
        <v>427</v>
      </c>
      <c r="S6" s="549" t="s">
        <v>465</v>
      </c>
      <c r="T6" s="659"/>
      <c r="U6" s="549" t="s">
        <v>470</v>
      </c>
      <c r="V6" s="549" t="s">
        <v>426</v>
      </c>
      <c r="W6" s="549" t="s">
        <v>427</v>
      </c>
      <c r="X6" s="549" t="s">
        <v>465</v>
      </c>
      <c r="Y6" s="659"/>
      <c r="Z6" s="549" t="s">
        <v>470</v>
      </c>
      <c r="AA6" s="549" t="s">
        <v>426</v>
      </c>
      <c r="AB6" s="549" t="s">
        <v>427</v>
      </c>
      <c r="AC6" s="549" t="s">
        <v>465</v>
      </c>
      <c r="AD6" s="659"/>
      <c r="AE6" s="549" t="s">
        <v>470</v>
      </c>
      <c r="AF6" s="549" t="s">
        <v>426</v>
      </c>
      <c r="AG6" s="549" t="s">
        <v>427</v>
      </c>
      <c r="AH6" s="549" t="s">
        <v>465</v>
      </c>
      <c r="AI6" s="659"/>
      <c r="AJ6" s="549" t="s">
        <v>470</v>
      </c>
      <c r="AK6" s="549" t="s">
        <v>426</v>
      </c>
      <c r="AL6" s="549" t="s">
        <v>427</v>
      </c>
      <c r="AM6" s="549" t="s">
        <v>465</v>
      </c>
      <c r="AN6" s="659"/>
      <c r="AO6" s="549" t="s">
        <v>470</v>
      </c>
      <c r="AP6" s="549" t="s">
        <v>426</v>
      </c>
      <c r="AQ6" s="549" t="s">
        <v>427</v>
      </c>
      <c r="AR6" s="549" t="s">
        <v>465</v>
      </c>
      <c r="AS6" s="659"/>
      <c r="AT6" s="549" t="s">
        <v>470</v>
      </c>
      <c r="AU6" s="549" t="s">
        <v>426</v>
      </c>
      <c r="AV6" s="549" t="s">
        <v>427</v>
      </c>
      <c r="AW6" s="549" t="s">
        <v>465</v>
      </c>
      <c r="AX6" s="659"/>
    </row>
    <row r="7" spans="1:54" ht="14.25">
      <c r="A7" s="81"/>
      <c r="B7" s="667" t="s">
        <v>150</v>
      </c>
      <c r="C7" s="545">
        <v>1</v>
      </c>
      <c r="D7" s="569" t="s">
        <v>358</v>
      </c>
      <c r="E7" s="569">
        <v>3</v>
      </c>
      <c r="F7" s="569">
        <v>3200</v>
      </c>
      <c r="G7" s="182">
        <v>1066.6666666666667</v>
      </c>
      <c r="H7" s="668">
        <f>AVERAGE(G7:G36)</f>
        <v>778.97727272727275</v>
      </c>
      <c r="I7" s="547">
        <f>AVERAGE(P7,U7,Z7,AE7,AJ7,AO7,AT7)</f>
        <v>3</v>
      </c>
      <c r="J7" s="547">
        <f>AVERAGE(Q7,V7,AA7,AF7,AK7,AP7,AU7)</f>
        <v>3203.6026471194555</v>
      </c>
      <c r="K7" s="200">
        <f>AVERAGE(R7,W7,AB7,AG7,AL7,AQ7,AV7)</f>
        <v>1067.8675490398184</v>
      </c>
      <c r="L7" s="640">
        <f>IFERROR(AVERAGE(K7:K36),"-")</f>
        <v>793.10158304582899</v>
      </c>
      <c r="M7" s="547" t="e">
        <f>RANK(K7, K$147:$K$176)</f>
        <v>#DIV/0!</v>
      </c>
      <c r="N7" s="659"/>
      <c r="O7" s="659"/>
      <c r="P7" s="182">
        <v>3</v>
      </c>
      <c r="Q7" s="182">
        <v>3178.9285714285738</v>
      </c>
      <c r="R7" s="182">
        <v>1059.642857142858</v>
      </c>
      <c r="S7" s="545">
        <f>RANK(R7, R$7:R$36)</f>
        <v>1</v>
      </c>
      <c r="T7" s="681">
        <f>AVERAGE(R7:R36)</f>
        <v>787.14896234584558</v>
      </c>
      <c r="U7" s="182">
        <v>3</v>
      </c>
      <c r="V7" s="182">
        <v>3229.0909090909113</v>
      </c>
      <c r="W7" s="182">
        <v>1076.3636363636372</v>
      </c>
      <c r="X7" s="545">
        <f>RANK(W7, W$7:W$36)</f>
        <v>4</v>
      </c>
      <c r="Y7" s="681">
        <f>AVERAGE(W7:W36)</f>
        <v>794.09341012078778</v>
      </c>
      <c r="Z7" s="182">
        <v>3</v>
      </c>
      <c r="AA7" s="182">
        <v>3211.7647058823545</v>
      </c>
      <c r="AB7" s="182">
        <v>1070.5882352941182</v>
      </c>
      <c r="AC7" s="545">
        <f>RANK(AB7, AB$7:AB$36)</f>
        <v>2</v>
      </c>
      <c r="AD7" s="681">
        <f>AVERAGE(AB7:AB36)</f>
        <v>796.90366382623063</v>
      </c>
      <c r="AE7" s="182">
        <v>3</v>
      </c>
      <c r="AF7" s="182">
        <v>3250.6666666666665</v>
      </c>
      <c r="AG7" s="182">
        <v>1083.5555555555554</v>
      </c>
      <c r="AH7" s="545">
        <f>RANK(AG7, AG$7:AG$36)</f>
        <v>3</v>
      </c>
      <c r="AI7" s="681">
        <f>AVERAGE(AG7:AG36)</f>
        <v>789.25932142273825</v>
      </c>
      <c r="AJ7" s="182">
        <v>3</v>
      </c>
      <c r="AK7" s="182">
        <v>3133.3333333333335</v>
      </c>
      <c r="AL7" s="182">
        <v>1044.4444444444446</v>
      </c>
      <c r="AM7" s="545">
        <f>RANK(AL7, AL$7:AL$36)</f>
        <v>3</v>
      </c>
      <c r="AN7" s="681">
        <f>AVERAGE(AL7:AL36)</f>
        <v>796.3451210405758</v>
      </c>
      <c r="AO7" s="182">
        <v>3</v>
      </c>
      <c r="AP7" s="182">
        <v>3222.5454545454568</v>
      </c>
      <c r="AQ7" s="182">
        <v>1074.1818181818189</v>
      </c>
      <c r="AR7" s="545">
        <f>RANK(AQ7, AQ$7:AQ$36)</f>
        <v>3</v>
      </c>
      <c r="AS7" s="681">
        <f>AVERAGE(AQ7:AQ36)</f>
        <v>800.32650601075773</v>
      </c>
      <c r="AT7" s="182">
        <v>3</v>
      </c>
      <c r="AU7" s="182">
        <v>3198.8888888888905</v>
      </c>
      <c r="AV7" s="182">
        <v>1066.2962962962968</v>
      </c>
      <c r="AW7" s="545">
        <f>RANK(AV7, AV$7:AV$36)</f>
        <v>1</v>
      </c>
      <c r="AX7" s="681">
        <f>AVERAGE(AV7:AV36)</f>
        <v>787.63409655386749</v>
      </c>
      <c r="AZ7" s="361" t="e">
        <f>RANK(AX7, $K$7:AX$36)</f>
        <v>#DIV/0!</v>
      </c>
      <c r="BB7" s="359" t="e">
        <f t="shared" ref="BB7:BB36" si="0">RANK(BA7, BA$7:BA$36)</f>
        <v>#N/A</v>
      </c>
    </row>
    <row r="8" spans="1:54" ht="15" customHeight="1">
      <c r="A8" s="81"/>
      <c r="B8" s="667"/>
      <c r="C8" s="545">
        <v>2</v>
      </c>
      <c r="D8" s="571" t="s">
        <v>359</v>
      </c>
      <c r="E8" s="569">
        <v>3</v>
      </c>
      <c r="F8" s="569">
        <v>3200</v>
      </c>
      <c r="G8" s="182">
        <v>1066.6666666666667</v>
      </c>
      <c r="H8" s="669"/>
      <c r="I8" s="547">
        <f t="shared" ref="I8:I26" si="1">AVERAGE(P8,U8,Z8,AE8,AJ8,AO8,AT8)</f>
        <v>3</v>
      </c>
      <c r="J8" s="547">
        <f t="shared" ref="J8:J26" si="2">AVERAGE(Q8,V8,AA8,AF8,AK8,AP8,AU8)</f>
        <v>3176.7735940530079</v>
      </c>
      <c r="K8" s="200">
        <f t="shared" ref="K8:K26" si="3">AVERAGE(R8,W8,AB8,AG8,AL8,AQ8,AV8)</f>
        <v>1058.9245313510025</v>
      </c>
      <c r="L8" s="641"/>
      <c r="M8" s="547" t="e">
        <f>RANK(K8, K$147:$K$176)</f>
        <v>#DIV/0!</v>
      </c>
      <c r="N8" s="659"/>
      <c r="O8" s="659"/>
      <c r="P8" s="182">
        <v>3</v>
      </c>
      <c r="Q8" s="182">
        <v>3070.5882352941139</v>
      </c>
      <c r="R8" s="182">
        <v>1023.5294117647046</v>
      </c>
      <c r="S8" s="545">
        <f t="shared" ref="S8:S36" si="4">RANK(R8, R$7:R$36)</f>
        <v>2</v>
      </c>
      <c r="T8" s="681"/>
      <c r="U8" s="182">
        <v>3</v>
      </c>
      <c r="V8" s="182">
        <v>3255.0000000000036</v>
      </c>
      <c r="W8" s="182">
        <v>1085.0000000000011</v>
      </c>
      <c r="X8" s="545">
        <f t="shared" ref="X8:X36" si="5">RANK(W8, W$7:W$36)</f>
        <v>2</v>
      </c>
      <c r="Y8" s="681"/>
      <c r="Z8" s="182">
        <v>3</v>
      </c>
      <c r="AA8" s="182">
        <v>3187.5000000000036</v>
      </c>
      <c r="AB8" s="182">
        <v>1062.5000000000011</v>
      </c>
      <c r="AC8" s="545">
        <f t="shared" ref="AC8:AC36" si="6">RANK(AB8, AB$7:AB$36)</f>
        <v>4</v>
      </c>
      <c r="AD8" s="681"/>
      <c r="AE8" s="182">
        <v>3</v>
      </c>
      <c r="AF8" s="182">
        <v>3309.2307692307709</v>
      </c>
      <c r="AG8" s="182">
        <v>1103.0769230769235</v>
      </c>
      <c r="AH8" s="545">
        <f t="shared" ref="AH8:AH36" si="7">RANK(AG8, AG$7:AG$36)</f>
        <v>1</v>
      </c>
      <c r="AI8" s="681"/>
      <c r="AJ8" s="182">
        <v>3</v>
      </c>
      <c r="AK8" s="182">
        <v>3133.8461538461556</v>
      </c>
      <c r="AL8" s="182">
        <v>1044.6153846153852</v>
      </c>
      <c r="AM8" s="545">
        <f t="shared" ref="AM8:AM36" si="8">RANK(AL8, AL$7:AL$36)</f>
        <v>2</v>
      </c>
      <c r="AN8" s="681"/>
      <c r="AO8" s="182">
        <v>3</v>
      </c>
      <c r="AP8" s="182">
        <v>3258.7500000000036</v>
      </c>
      <c r="AQ8" s="182">
        <v>1086.2500000000011</v>
      </c>
      <c r="AR8" s="545">
        <f t="shared" ref="AR8:AR36" si="9">RANK(AQ8, AQ$7:AQ$36)</f>
        <v>2</v>
      </c>
      <c r="AS8" s="681"/>
      <c r="AT8" s="182">
        <v>3</v>
      </c>
      <c r="AU8" s="182">
        <v>3022.5000000000036</v>
      </c>
      <c r="AV8" s="182">
        <v>1007.5000000000013</v>
      </c>
      <c r="AW8" s="545">
        <f t="shared" ref="AW8:AW36" si="10">RANK(AV8, AV$7:AV$36)</f>
        <v>5</v>
      </c>
      <c r="AX8" s="681"/>
      <c r="AZ8" s="361" t="e">
        <f>RANK(AX8, $K$7:AX$36)</f>
        <v>#DIV/0!</v>
      </c>
      <c r="BB8" s="359" t="e">
        <f t="shared" si="0"/>
        <v>#N/A</v>
      </c>
    </row>
    <row r="9" spans="1:54" ht="14.25">
      <c r="A9" s="81"/>
      <c r="B9" s="667"/>
      <c r="C9" s="545">
        <v>3</v>
      </c>
      <c r="D9" s="569" t="s">
        <v>348</v>
      </c>
      <c r="E9" s="569">
        <v>4</v>
      </c>
      <c r="F9" s="569">
        <v>3200</v>
      </c>
      <c r="G9" s="182">
        <v>800</v>
      </c>
      <c r="H9" s="669"/>
      <c r="I9" s="547">
        <f t="shared" si="1"/>
        <v>4</v>
      </c>
      <c r="J9" s="547">
        <f t="shared" si="2"/>
        <v>3195.0726817042605</v>
      </c>
      <c r="K9" s="200">
        <f t="shared" si="3"/>
        <v>798.76817042606513</v>
      </c>
      <c r="L9" s="641"/>
      <c r="M9" s="547" t="e">
        <f>RANK(K9, K$147:$K$176)</f>
        <v>#DIV/0!</v>
      </c>
      <c r="N9" s="659"/>
      <c r="O9" s="659"/>
      <c r="P9" s="182">
        <v>4</v>
      </c>
      <c r="Q9" s="182">
        <v>3316.6666666666715</v>
      </c>
      <c r="R9" s="182">
        <v>829.16666666666788</v>
      </c>
      <c r="S9" s="545">
        <f t="shared" si="4"/>
        <v>10</v>
      </c>
      <c r="T9" s="681"/>
      <c r="U9" s="182">
        <v>4</v>
      </c>
      <c r="V9" s="182">
        <v>3262.1052631578923</v>
      </c>
      <c r="W9" s="182">
        <v>815.52631578947307</v>
      </c>
      <c r="X9" s="545">
        <f t="shared" si="5"/>
        <v>11</v>
      </c>
      <c r="Y9" s="681"/>
      <c r="Z9" s="182">
        <v>4</v>
      </c>
      <c r="AA9" s="182">
        <v>3138.9473684210575</v>
      </c>
      <c r="AB9" s="182">
        <v>784.73684210526437</v>
      </c>
      <c r="AC9" s="545">
        <f t="shared" si="6"/>
        <v>11</v>
      </c>
      <c r="AD9" s="681"/>
      <c r="AE9" s="182">
        <v>4</v>
      </c>
      <c r="AF9" s="182">
        <v>3303.9999999999941</v>
      </c>
      <c r="AG9" s="182">
        <v>825.99999999999852</v>
      </c>
      <c r="AH9" s="545">
        <f t="shared" si="7"/>
        <v>9</v>
      </c>
      <c r="AI9" s="681"/>
      <c r="AJ9" s="182">
        <v>4</v>
      </c>
      <c r="AK9" s="182">
        <v>3087.9999999999945</v>
      </c>
      <c r="AL9" s="182">
        <v>771.99999999999864</v>
      </c>
      <c r="AM9" s="545">
        <f t="shared" si="8"/>
        <v>11</v>
      </c>
      <c r="AN9" s="681"/>
      <c r="AO9" s="182">
        <v>4</v>
      </c>
      <c r="AP9" s="182">
        <v>3217.8947368421032</v>
      </c>
      <c r="AQ9" s="182">
        <v>804.47368421052579</v>
      </c>
      <c r="AR9" s="545">
        <f t="shared" si="9"/>
        <v>11</v>
      </c>
      <c r="AS9" s="681"/>
      <c r="AT9" s="182">
        <v>4</v>
      </c>
      <c r="AU9" s="182">
        <v>3037.8947368421095</v>
      </c>
      <c r="AV9" s="182">
        <v>759.47368421052738</v>
      </c>
      <c r="AW9" s="545">
        <f t="shared" si="10"/>
        <v>13</v>
      </c>
      <c r="AX9" s="681"/>
      <c r="AZ9" s="361" t="e">
        <f>RANK(AX9, $K$7:AX$36)</f>
        <v>#DIV/0!</v>
      </c>
      <c r="BB9" s="359" t="e">
        <f t="shared" si="0"/>
        <v>#N/A</v>
      </c>
    </row>
    <row r="10" spans="1:54" ht="14.25">
      <c r="A10" s="81"/>
      <c r="B10" s="667"/>
      <c r="C10" s="545">
        <v>4</v>
      </c>
      <c r="D10" s="569" t="s">
        <v>360</v>
      </c>
      <c r="E10" s="569">
        <v>3</v>
      </c>
      <c r="F10" s="569">
        <v>3200</v>
      </c>
      <c r="G10" s="182">
        <v>1066.6666666666667</v>
      </c>
      <c r="H10" s="669"/>
      <c r="I10" s="547">
        <f t="shared" si="1"/>
        <v>3</v>
      </c>
      <c r="J10" s="547">
        <f t="shared" si="2"/>
        <v>3191.2332396285883</v>
      </c>
      <c r="K10" s="200">
        <f t="shared" si="3"/>
        <v>1063.7444132095293</v>
      </c>
      <c r="L10" s="641"/>
      <c r="M10" s="547" t="e">
        <f>RANK(K10, K$147:$K$176)</f>
        <v>#DIV/0!</v>
      </c>
      <c r="N10" s="659"/>
      <c r="O10" s="659"/>
      <c r="P10" s="182">
        <v>3</v>
      </c>
      <c r="Q10" s="182">
        <v>3044</v>
      </c>
      <c r="R10" s="182">
        <v>1014.6666666666666</v>
      </c>
      <c r="S10" s="545">
        <f t="shared" si="4"/>
        <v>3</v>
      </c>
      <c r="T10" s="681"/>
      <c r="U10" s="182">
        <v>3</v>
      </c>
      <c r="V10" s="182">
        <v>3284.9999999999986</v>
      </c>
      <c r="W10" s="182">
        <v>1094.9999999999995</v>
      </c>
      <c r="X10" s="545">
        <f t="shared" si="5"/>
        <v>1</v>
      </c>
      <c r="Y10" s="681"/>
      <c r="Z10" s="182">
        <v>3</v>
      </c>
      <c r="AA10" s="182">
        <v>3192.3076923076906</v>
      </c>
      <c r="AB10" s="182">
        <v>1064.1025641025635</v>
      </c>
      <c r="AC10" s="545">
        <f t="shared" si="6"/>
        <v>3</v>
      </c>
      <c r="AD10" s="681"/>
      <c r="AE10" s="182">
        <v>3</v>
      </c>
      <c r="AF10" s="182">
        <v>3270.4615384615377</v>
      </c>
      <c r="AG10" s="182">
        <v>1090.153846153846</v>
      </c>
      <c r="AH10" s="545">
        <f t="shared" si="7"/>
        <v>2</v>
      </c>
      <c r="AI10" s="681"/>
      <c r="AJ10" s="182">
        <v>3</v>
      </c>
      <c r="AK10" s="182">
        <v>3232.6153846153879</v>
      </c>
      <c r="AL10" s="182">
        <v>1077.5384615384626</v>
      </c>
      <c r="AM10" s="545">
        <f t="shared" si="8"/>
        <v>1</v>
      </c>
      <c r="AN10" s="681"/>
      <c r="AO10" s="182">
        <v>3</v>
      </c>
      <c r="AP10" s="182">
        <v>3128.666666666667</v>
      </c>
      <c r="AQ10" s="182">
        <v>1042.8888888888889</v>
      </c>
      <c r="AR10" s="545">
        <f t="shared" si="9"/>
        <v>4</v>
      </c>
      <c r="AS10" s="681"/>
      <c r="AT10" s="182">
        <v>3</v>
      </c>
      <c r="AU10" s="182">
        <v>3185.5813953488368</v>
      </c>
      <c r="AV10" s="182">
        <v>1061.8604651162789</v>
      </c>
      <c r="AW10" s="545">
        <f t="shared" si="10"/>
        <v>2</v>
      </c>
      <c r="AX10" s="681"/>
      <c r="AZ10" s="361" t="e">
        <f>RANK(AX10, $K$7:AX$36)</f>
        <v>#DIV/0!</v>
      </c>
      <c r="BB10" s="359" t="e">
        <f t="shared" si="0"/>
        <v>#N/A</v>
      </c>
    </row>
    <row r="11" spans="1:54" ht="14.25">
      <c r="A11" s="81"/>
      <c r="B11" s="667"/>
      <c r="C11" s="545">
        <v>5</v>
      </c>
      <c r="D11" s="569" t="s">
        <v>938</v>
      </c>
      <c r="E11" s="569">
        <v>4</v>
      </c>
      <c r="F11" s="569">
        <v>3200</v>
      </c>
      <c r="G11" s="182">
        <v>800</v>
      </c>
      <c r="H11" s="669"/>
      <c r="I11" s="547">
        <f t="shared" si="1"/>
        <v>4</v>
      </c>
      <c r="J11" s="547">
        <f t="shared" si="2"/>
        <v>3227.573041474654</v>
      </c>
      <c r="K11" s="200">
        <f t="shared" si="3"/>
        <v>806.8932603686635</v>
      </c>
      <c r="L11" s="641"/>
      <c r="M11" s="547" t="e">
        <f>RANK(K11, K$147:$K$176)</f>
        <v>#DIV/0!</v>
      </c>
      <c r="N11" s="659"/>
      <c r="O11" s="659"/>
      <c r="P11" s="182">
        <v>4</v>
      </c>
      <c r="Q11" s="182">
        <v>3198.7499999999991</v>
      </c>
      <c r="R11" s="182">
        <v>799.68749999999977</v>
      </c>
      <c r="S11" s="545">
        <f t="shared" si="4"/>
        <v>11</v>
      </c>
      <c r="T11" s="681"/>
      <c r="U11" s="182">
        <v>4</v>
      </c>
      <c r="V11" s="182">
        <v>3303.8709677419347</v>
      </c>
      <c r="W11" s="182">
        <v>825.96774193548367</v>
      </c>
      <c r="X11" s="545">
        <f t="shared" si="5"/>
        <v>9</v>
      </c>
      <c r="Y11" s="681"/>
      <c r="Z11" s="182">
        <v>4</v>
      </c>
      <c r="AA11" s="182">
        <v>3193.9999999999982</v>
      </c>
      <c r="AB11" s="182">
        <v>798.49999999999955</v>
      </c>
      <c r="AC11" s="545">
        <f t="shared" si="6"/>
        <v>10</v>
      </c>
      <c r="AD11" s="681"/>
      <c r="AE11" s="182">
        <v>4</v>
      </c>
      <c r="AF11" s="182">
        <v>3208.8000000000011</v>
      </c>
      <c r="AG11" s="182">
        <v>802.20000000000027</v>
      </c>
      <c r="AH11" s="545">
        <f t="shared" si="7"/>
        <v>11</v>
      </c>
      <c r="AI11" s="681"/>
      <c r="AJ11" s="182">
        <v>4</v>
      </c>
      <c r="AK11" s="182">
        <v>3148.8000000000011</v>
      </c>
      <c r="AL11" s="182">
        <v>787.20000000000027</v>
      </c>
      <c r="AM11" s="545">
        <f t="shared" si="8"/>
        <v>10</v>
      </c>
      <c r="AN11" s="681"/>
      <c r="AO11" s="182">
        <v>4</v>
      </c>
      <c r="AP11" s="182">
        <v>3381.290322580644</v>
      </c>
      <c r="AQ11" s="182">
        <v>845.322580645161</v>
      </c>
      <c r="AR11" s="545">
        <f t="shared" si="9"/>
        <v>8</v>
      </c>
      <c r="AS11" s="681"/>
      <c r="AT11" s="182">
        <v>4</v>
      </c>
      <c r="AU11" s="182">
        <v>3157.4999999999991</v>
      </c>
      <c r="AV11" s="182">
        <v>789.37499999999977</v>
      </c>
      <c r="AW11" s="545">
        <f t="shared" si="10"/>
        <v>10</v>
      </c>
      <c r="AX11" s="681"/>
      <c r="AZ11" s="361" t="e">
        <f>RANK(AX11, $K$7:AX$36)</f>
        <v>#DIV/0!</v>
      </c>
      <c r="BB11" s="359" t="e">
        <f t="shared" si="0"/>
        <v>#N/A</v>
      </c>
    </row>
    <row r="12" spans="1:54" ht="14.25">
      <c r="A12" s="81"/>
      <c r="B12" s="667"/>
      <c r="C12" s="545">
        <v>6</v>
      </c>
      <c r="D12" s="569" t="s">
        <v>939</v>
      </c>
      <c r="E12" s="569">
        <v>4</v>
      </c>
      <c r="F12" s="569">
        <v>3200</v>
      </c>
      <c r="G12" s="182">
        <v>800</v>
      </c>
      <c r="H12" s="669"/>
      <c r="I12" s="547">
        <f t="shared" si="1"/>
        <v>4</v>
      </c>
      <c r="J12" s="547">
        <f t="shared" si="2"/>
        <v>3317.4322820037123</v>
      </c>
      <c r="K12" s="200">
        <f t="shared" si="3"/>
        <v>829.35807050092808</v>
      </c>
      <c r="L12" s="641"/>
      <c r="M12" s="547" t="e">
        <f>RANK(K12, K$147:$K$176)</f>
        <v>#DIV/0!</v>
      </c>
      <c r="N12" s="659"/>
      <c r="O12" s="659"/>
      <c r="P12" s="182">
        <v>4</v>
      </c>
      <c r="Q12" s="182">
        <v>3334.2857142857165</v>
      </c>
      <c r="R12" s="182">
        <v>833.57142857142912</v>
      </c>
      <c r="S12" s="545">
        <f t="shared" si="4"/>
        <v>9</v>
      </c>
      <c r="T12" s="681"/>
      <c r="U12" s="182">
        <v>4</v>
      </c>
      <c r="V12" s="182">
        <v>3407.1428571428596</v>
      </c>
      <c r="W12" s="182">
        <v>851.7857142857149</v>
      </c>
      <c r="X12" s="545">
        <f t="shared" si="5"/>
        <v>8</v>
      </c>
      <c r="Y12" s="681"/>
      <c r="Z12" s="182">
        <v>4</v>
      </c>
      <c r="AA12" s="182">
        <v>3244.2857142857165</v>
      </c>
      <c r="AB12" s="182">
        <v>811.07142857142912</v>
      </c>
      <c r="AC12" s="545">
        <f t="shared" si="6"/>
        <v>9</v>
      </c>
      <c r="AD12" s="681"/>
      <c r="AE12" s="182">
        <v>4</v>
      </c>
      <c r="AF12" s="182">
        <v>3245.4545454545455</v>
      </c>
      <c r="AG12" s="182">
        <v>811.36363636363637</v>
      </c>
      <c r="AH12" s="545">
        <f t="shared" si="7"/>
        <v>10</v>
      </c>
      <c r="AI12" s="681"/>
      <c r="AJ12" s="182">
        <v>4</v>
      </c>
      <c r="AK12" s="182">
        <v>3437.9999999999991</v>
      </c>
      <c r="AL12" s="182">
        <v>859.49999999999977</v>
      </c>
      <c r="AM12" s="545">
        <f t="shared" si="8"/>
        <v>9</v>
      </c>
      <c r="AN12" s="681"/>
      <c r="AO12" s="182">
        <v>4</v>
      </c>
      <c r="AP12" s="182">
        <v>3368.5714285714312</v>
      </c>
      <c r="AQ12" s="182">
        <v>842.14285714285779</v>
      </c>
      <c r="AR12" s="545">
        <f t="shared" si="9"/>
        <v>9</v>
      </c>
      <c r="AS12" s="681"/>
      <c r="AT12" s="182">
        <v>4</v>
      </c>
      <c r="AU12" s="182">
        <v>3184.2857142857165</v>
      </c>
      <c r="AV12" s="182">
        <v>796.07142857142912</v>
      </c>
      <c r="AW12" s="545">
        <f t="shared" si="10"/>
        <v>9</v>
      </c>
      <c r="AX12" s="681"/>
      <c r="AZ12" s="361" t="e">
        <f>RANK(AX12, $K$7:AX$36)</f>
        <v>#DIV/0!</v>
      </c>
      <c r="BB12" s="359" t="e">
        <f t="shared" si="0"/>
        <v>#N/A</v>
      </c>
    </row>
    <row r="13" spans="1:54" ht="14.25">
      <c r="A13" s="81"/>
      <c r="B13" s="667"/>
      <c r="C13" s="545">
        <v>7</v>
      </c>
      <c r="D13" s="569" t="s">
        <v>361</v>
      </c>
      <c r="E13" s="569">
        <v>4</v>
      </c>
      <c r="F13" s="569">
        <v>2800</v>
      </c>
      <c r="G13" s="182">
        <v>700</v>
      </c>
      <c r="H13" s="669"/>
      <c r="I13" s="547">
        <f t="shared" si="1"/>
        <v>4</v>
      </c>
      <c r="J13" s="547">
        <f t="shared" si="2"/>
        <v>2799.4970743542185</v>
      </c>
      <c r="K13" s="200">
        <f t="shared" si="3"/>
        <v>699.87426858855463</v>
      </c>
      <c r="L13" s="641"/>
      <c r="M13" s="547" t="e">
        <f>RANK(K13, K$147:$K$176)</f>
        <v>#DIV/0!</v>
      </c>
      <c r="N13" s="659"/>
      <c r="O13" s="659"/>
      <c r="P13" s="182">
        <v>4</v>
      </c>
      <c r="Q13" s="182">
        <v>2628.0000000000023</v>
      </c>
      <c r="R13" s="182">
        <v>657.00000000000057</v>
      </c>
      <c r="S13" s="545">
        <f t="shared" si="4"/>
        <v>19</v>
      </c>
      <c r="T13" s="681"/>
      <c r="U13" s="182">
        <v>4</v>
      </c>
      <c r="V13" s="182">
        <v>2963.0769230769247</v>
      </c>
      <c r="W13" s="182">
        <v>740.76923076923117</v>
      </c>
      <c r="X13" s="545">
        <f t="shared" si="5"/>
        <v>13</v>
      </c>
      <c r="Y13" s="681"/>
      <c r="Z13" s="182">
        <v>4</v>
      </c>
      <c r="AA13" s="182">
        <v>2691.4285714285734</v>
      </c>
      <c r="AB13" s="182">
        <v>672.85714285714334</v>
      </c>
      <c r="AC13" s="545">
        <f t="shared" si="6"/>
        <v>18</v>
      </c>
      <c r="AD13" s="681"/>
      <c r="AE13" s="182">
        <v>4</v>
      </c>
      <c r="AF13" s="182">
        <v>2814.5454545454545</v>
      </c>
      <c r="AG13" s="182">
        <v>703.63636363636363</v>
      </c>
      <c r="AH13" s="545">
        <f t="shared" si="7"/>
        <v>17</v>
      </c>
      <c r="AI13" s="681"/>
      <c r="AJ13" s="182">
        <v>4</v>
      </c>
      <c r="AK13" s="182">
        <v>2927.9999999999991</v>
      </c>
      <c r="AL13" s="182">
        <v>731.99999999999977</v>
      </c>
      <c r="AM13" s="545">
        <f t="shared" si="8"/>
        <v>15</v>
      </c>
      <c r="AN13" s="681"/>
      <c r="AO13" s="182">
        <v>4</v>
      </c>
      <c r="AP13" s="182">
        <v>2807.1428571428592</v>
      </c>
      <c r="AQ13" s="182">
        <v>701.78571428571479</v>
      </c>
      <c r="AR13" s="545">
        <f t="shared" si="9"/>
        <v>18</v>
      </c>
      <c r="AS13" s="681"/>
      <c r="AT13" s="182">
        <v>4</v>
      </c>
      <c r="AU13" s="182">
        <v>2764.2857142857165</v>
      </c>
      <c r="AV13" s="182">
        <v>691.07142857142912</v>
      </c>
      <c r="AW13" s="545">
        <f t="shared" si="10"/>
        <v>17</v>
      </c>
      <c r="AX13" s="681"/>
      <c r="AZ13" s="361" t="e">
        <f>RANK(AX13, $K$7:AX$36)</f>
        <v>#DIV/0!</v>
      </c>
      <c r="BB13" s="359" t="e">
        <f t="shared" si="0"/>
        <v>#N/A</v>
      </c>
    </row>
    <row r="14" spans="1:54" ht="14.25">
      <c r="A14" s="81"/>
      <c r="B14" s="667"/>
      <c r="C14" s="545">
        <v>8</v>
      </c>
      <c r="D14" s="569" t="s">
        <v>362</v>
      </c>
      <c r="E14" s="569">
        <v>3</v>
      </c>
      <c r="F14" s="569">
        <v>3200</v>
      </c>
      <c r="G14" s="182">
        <v>1066.6666666666667</v>
      </c>
      <c r="H14" s="669"/>
      <c r="I14" s="547">
        <f t="shared" si="1"/>
        <v>3</v>
      </c>
      <c r="J14" s="547">
        <f t="shared" si="2"/>
        <v>3137.5740259740219</v>
      </c>
      <c r="K14" s="200">
        <f t="shared" si="3"/>
        <v>1045.8580086580073</v>
      </c>
      <c r="L14" s="641"/>
      <c r="M14" s="547" t="e">
        <f>RANK(K14, K$147:$K$176)</f>
        <v>#DIV/0!</v>
      </c>
      <c r="N14" s="659"/>
      <c r="O14" s="659"/>
      <c r="P14" s="182">
        <v>3</v>
      </c>
      <c r="Q14" s="182">
        <v>2941.8181818181779</v>
      </c>
      <c r="R14" s="182">
        <v>980.60606060605926</v>
      </c>
      <c r="S14" s="545">
        <f t="shared" si="4"/>
        <v>6</v>
      </c>
      <c r="T14" s="681"/>
      <c r="U14" s="182">
        <v>3</v>
      </c>
      <c r="V14" s="182">
        <v>3229.9999999999941</v>
      </c>
      <c r="W14" s="182">
        <v>1076.6666666666647</v>
      </c>
      <c r="X14" s="545">
        <f t="shared" si="5"/>
        <v>3</v>
      </c>
      <c r="Y14" s="681"/>
      <c r="Z14" s="182">
        <v>3</v>
      </c>
      <c r="AA14" s="182">
        <v>3100.0000000000027</v>
      </c>
      <c r="AB14" s="182">
        <v>1033.3333333333342</v>
      </c>
      <c r="AC14" s="545">
        <f t="shared" si="6"/>
        <v>5</v>
      </c>
      <c r="AD14" s="681"/>
      <c r="AE14" s="182">
        <v>3</v>
      </c>
      <c r="AF14" s="182">
        <v>3203.9999999999909</v>
      </c>
      <c r="AG14" s="182">
        <v>1067.999999999997</v>
      </c>
      <c r="AH14" s="545">
        <f t="shared" si="7"/>
        <v>4</v>
      </c>
      <c r="AI14" s="681"/>
      <c r="AJ14" s="182">
        <v>3</v>
      </c>
      <c r="AK14" s="182">
        <v>3091.2000000000012</v>
      </c>
      <c r="AL14" s="182">
        <v>1030.4000000000003</v>
      </c>
      <c r="AM14" s="545">
        <f t="shared" si="8"/>
        <v>4</v>
      </c>
      <c r="AN14" s="681"/>
      <c r="AO14" s="182">
        <v>3</v>
      </c>
      <c r="AP14" s="182">
        <v>3259.9999999999941</v>
      </c>
      <c r="AQ14" s="182">
        <v>1086.6666666666647</v>
      </c>
      <c r="AR14" s="545">
        <f t="shared" si="9"/>
        <v>1</v>
      </c>
      <c r="AS14" s="681"/>
      <c r="AT14" s="182">
        <v>3</v>
      </c>
      <c r="AU14" s="182">
        <v>3135.9999999999945</v>
      </c>
      <c r="AV14" s="182">
        <v>1045.3333333333314</v>
      </c>
      <c r="AW14" s="545">
        <f t="shared" si="10"/>
        <v>3</v>
      </c>
      <c r="AX14" s="681"/>
      <c r="AZ14" s="361" t="e">
        <f>RANK(AX14, $K$7:AX$36)</f>
        <v>#DIV/0!</v>
      </c>
      <c r="BB14" s="359" t="e">
        <f t="shared" si="0"/>
        <v>#N/A</v>
      </c>
    </row>
    <row r="15" spans="1:54" ht="14.25">
      <c r="A15" s="81"/>
      <c r="B15" s="667"/>
      <c r="C15" s="545">
        <v>9</v>
      </c>
      <c r="D15" s="569" t="s">
        <v>363</v>
      </c>
      <c r="E15" s="569">
        <v>3</v>
      </c>
      <c r="F15" s="569">
        <v>2800</v>
      </c>
      <c r="G15" s="182">
        <v>933.33333333333337</v>
      </c>
      <c r="H15" s="669"/>
      <c r="I15" s="547">
        <f t="shared" si="1"/>
        <v>3</v>
      </c>
      <c r="J15" s="547">
        <f t="shared" si="2"/>
        <v>3068.4724700691099</v>
      </c>
      <c r="K15" s="200">
        <f t="shared" si="3"/>
        <v>1022.8241566897033</v>
      </c>
      <c r="L15" s="641"/>
      <c r="M15" s="547" t="e">
        <f>RANK(K15, K$147:$K$176)</f>
        <v>#DIV/0!</v>
      </c>
      <c r="N15" s="659"/>
      <c r="O15" s="659"/>
      <c r="P15" s="182">
        <v>3</v>
      </c>
      <c r="Q15" s="182">
        <v>2965.9459459459435</v>
      </c>
      <c r="R15" s="182">
        <v>988.64864864864785</v>
      </c>
      <c r="S15" s="545">
        <f t="shared" si="4"/>
        <v>4</v>
      </c>
      <c r="T15" s="681"/>
      <c r="U15" s="182">
        <v>3</v>
      </c>
      <c r="V15" s="182">
        <v>3070.2857142857183</v>
      </c>
      <c r="W15" s="182">
        <v>1023.4285714285728</v>
      </c>
      <c r="X15" s="545">
        <f t="shared" si="5"/>
        <v>5</v>
      </c>
      <c r="Y15" s="681"/>
      <c r="Z15" s="182">
        <v>3</v>
      </c>
      <c r="AA15" s="182">
        <v>3047.6470588235334</v>
      </c>
      <c r="AB15" s="182">
        <v>1015.8823529411778</v>
      </c>
      <c r="AC15" s="545">
        <f t="shared" si="6"/>
        <v>6</v>
      </c>
      <c r="AD15" s="681"/>
      <c r="AE15" s="182">
        <v>3</v>
      </c>
      <c r="AF15" s="182">
        <v>3177.8571428571404</v>
      </c>
      <c r="AG15" s="182">
        <v>1059.2857142857135</v>
      </c>
      <c r="AH15" s="545">
        <f t="shared" si="7"/>
        <v>5</v>
      </c>
      <c r="AI15" s="681"/>
      <c r="AJ15" s="182">
        <v>3</v>
      </c>
      <c r="AK15" s="182">
        <v>3068.5714285714307</v>
      </c>
      <c r="AL15" s="182">
        <v>1022.8571428571436</v>
      </c>
      <c r="AM15" s="545">
        <f t="shared" si="8"/>
        <v>5</v>
      </c>
      <c r="AN15" s="681"/>
      <c r="AO15" s="182">
        <v>3</v>
      </c>
      <c r="AP15" s="182">
        <v>3124.9999999999977</v>
      </c>
      <c r="AQ15" s="182">
        <v>1041.6666666666658</v>
      </c>
      <c r="AR15" s="545">
        <f t="shared" si="9"/>
        <v>5</v>
      </c>
      <c r="AS15" s="681"/>
      <c r="AT15" s="182">
        <v>3</v>
      </c>
      <c r="AU15" s="182">
        <v>3024.0000000000036</v>
      </c>
      <c r="AV15" s="182">
        <v>1008.0000000000013</v>
      </c>
      <c r="AW15" s="545">
        <f t="shared" si="10"/>
        <v>4</v>
      </c>
      <c r="AX15" s="681"/>
      <c r="AZ15" s="361" t="e">
        <f>RANK(AX15, $K$7:AX$36)</f>
        <v>#DIV/0!</v>
      </c>
      <c r="BB15" s="359" t="e">
        <f t="shared" si="0"/>
        <v>#N/A</v>
      </c>
    </row>
    <row r="16" spans="1:54" ht="14.25">
      <c r="A16" s="81"/>
      <c r="B16" s="667"/>
      <c r="C16" s="545">
        <v>10</v>
      </c>
      <c r="D16" s="569" t="s">
        <v>364</v>
      </c>
      <c r="E16" s="569">
        <v>4</v>
      </c>
      <c r="F16" s="569">
        <v>2800</v>
      </c>
      <c r="G16" s="182">
        <v>700</v>
      </c>
      <c r="H16" s="669"/>
      <c r="I16" s="547">
        <f t="shared" si="1"/>
        <v>4</v>
      </c>
      <c r="J16" s="547">
        <f t="shared" si="2"/>
        <v>3017.4259032477203</v>
      </c>
      <c r="K16" s="200">
        <f t="shared" si="3"/>
        <v>754.35647581193007</v>
      </c>
      <c r="L16" s="641"/>
      <c r="M16" s="547" t="e">
        <f>RANK(K16, K$147:$K$176)</f>
        <v>#DIV/0!</v>
      </c>
      <c r="N16" s="659"/>
      <c r="O16" s="659"/>
      <c r="P16" s="182">
        <v>4</v>
      </c>
      <c r="Q16" s="182">
        <v>2955.0000000000009</v>
      </c>
      <c r="R16" s="182">
        <v>738.75000000000023</v>
      </c>
      <c r="S16" s="545">
        <f t="shared" si="4"/>
        <v>14</v>
      </c>
      <c r="T16" s="681"/>
      <c r="U16" s="182">
        <v>4</v>
      </c>
      <c r="V16" s="182">
        <v>3011.1864406779669</v>
      </c>
      <c r="W16" s="182">
        <v>752.79661016949171</v>
      </c>
      <c r="X16" s="545">
        <f t="shared" si="5"/>
        <v>12</v>
      </c>
      <c r="Y16" s="681"/>
      <c r="Z16" s="182">
        <v>4</v>
      </c>
      <c r="AA16" s="182">
        <v>3022.9090909090928</v>
      </c>
      <c r="AB16" s="182">
        <v>755.7272727272732</v>
      </c>
      <c r="AC16" s="545">
        <f t="shared" si="6"/>
        <v>12</v>
      </c>
      <c r="AD16" s="681"/>
      <c r="AE16" s="182">
        <v>4</v>
      </c>
      <c r="AF16" s="182">
        <v>3001.2765957446813</v>
      </c>
      <c r="AG16" s="182">
        <v>750.31914893617034</v>
      </c>
      <c r="AH16" s="545">
        <f t="shared" si="7"/>
        <v>12</v>
      </c>
      <c r="AI16" s="681"/>
      <c r="AJ16" s="182">
        <v>4</v>
      </c>
      <c r="AK16" s="182">
        <v>3057.3333333333335</v>
      </c>
      <c r="AL16" s="182">
        <v>764.33333333333337</v>
      </c>
      <c r="AM16" s="545">
        <f t="shared" si="8"/>
        <v>12</v>
      </c>
      <c r="AN16" s="681"/>
      <c r="AO16" s="182">
        <v>4</v>
      </c>
      <c r="AP16" s="182">
        <v>3036.0000000000005</v>
      </c>
      <c r="AQ16" s="182">
        <v>759.00000000000011</v>
      </c>
      <c r="AR16" s="545">
        <f t="shared" si="9"/>
        <v>13</v>
      </c>
      <c r="AS16" s="681"/>
      <c r="AT16" s="182">
        <v>4</v>
      </c>
      <c r="AU16" s="182">
        <v>3038.2758620689656</v>
      </c>
      <c r="AV16" s="182">
        <v>759.56896551724139</v>
      </c>
      <c r="AW16" s="545">
        <f t="shared" si="10"/>
        <v>12</v>
      </c>
      <c r="AX16" s="681"/>
      <c r="AZ16" s="361" t="e">
        <f>RANK(AX16, $K$7:AX$36)</f>
        <v>#DIV/0!</v>
      </c>
      <c r="BB16" s="359" t="e">
        <f t="shared" si="0"/>
        <v>#N/A</v>
      </c>
    </row>
    <row r="17" spans="2:54">
      <c r="B17" s="667"/>
      <c r="C17" s="545">
        <v>11</v>
      </c>
      <c r="D17" s="569" t="s">
        <v>940</v>
      </c>
      <c r="E17" s="569">
        <v>4</v>
      </c>
      <c r="F17" s="569">
        <v>2800</v>
      </c>
      <c r="G17" s="182">
        <v>700</v>
      </c>
      <c r="H17" s="669"/>
      <c r="I17" s="547">
        <f t="shared" si="1"/>
        <v>4</v>
      </c>
      <c r="J17" s="547">
        <f t="shared" si="2"/>
        <v>2818.1736079983189</v>
      </c>
      <c r="K17" s="200">
        <f t="shared" si="3"/>
        <v>704.54340199957971</v>
      </c>
      <c r="L17" s="641"/>
      <c r="M17" s="547" t="e">
        <f>RANK(K17, K$147:$K$176)</f>
        <v>#DIV/0!</v>
      </c>
      <c r="N17" s="659"/>
      <c r="O17" s="659"/>
      <c r="P17" s="182">
        <v>4</v>
      </c>
      <c r="Q17" s="182">
        <v>2778.8059701492557</v>
      </c>
      <c r="R17" s="182">
        <v>694.70149253731392</v>
      </c>
      <c r="S17" s="545">
        <f t="shared" si="4"/>
        <v>16</v>
      </c>
      <c r="T17" s="681"/>
      <c r="U17" s="182">
        <v>4</v>
      </c>
      <c r="V17" s="182">
        <v>2807.0769230769215</v>
      </c>
      <c r="W17" s="182">
        <v>701.76923076923038</v>
      </c>
      <c r="X17" s="545">
        <f t="shared" si="5"/>
        <v>18</v>
      </c>
      <c r="Y17" s="681"/>
      <c r="Z17" s="182">
        <v>4</v>
      </c>
      <c r="AA17" s="182">
        <v>2762.857142857144</v>
      </c>
      <c r="AB17" s="182">
        <v>690.71428571428601</v>
      </c>
      <c r="AC17" s="545">
        <f t="shared" si="6"/>
        <v>15</v>
      </c>
      <c r="AD17" s="681"/>
      <c r="AE17" s="182">
        <v>4</v>
      </c>
      <c r="AF17" s="182">
        <v>2835.8490566037708</v>
      </c>
      <c r="AG17" s="182">
        <v>708.9622641509427</v>
      </c>
      <c r="AH17" s="545">
        <f t="shared" si="7"/>
        <v>14</v>
      </c>
      <c r="AI17" s="681"/>
      <c r="AJ17" s="182">
        <v>4</v>
      </c>
      <c r="AK17" s="182">
        <v>2950.7999999999961</v>
      </c>
      <c r="AL17" s="182">
        <v>737.69999999999902</v>
      </c>
      <c r="AM17" s="545">
        <f t="shared" si="8"/>
        <v>14</v>
      </c>
      <c r="AN17" s="681"/>
      <c r="AO17" s="182">
        <v>4</v>
      </c>
      <c r="AP17" s="182">
        <v>2807.6470588235311</v>
      </c>
      <c r="AQ17" s="182">
        <v>701.91176470588277</v>
      </c>
      <c r="AR17" s="545">
        <f t="shared" si="9"/>
        <v>17</v>
      </c>
      <c r="AS17" s="681"/>
      <c r="AT17" s="182">
        <v>4</v>
      </c>
      <c r="AU17" s="182">
        <v>2784.1791044776137</v>
      </c>
      <c r="AV17" s="182">
        <v>696.04477611940342</v>
      </c>
      <c r="AW17" s="545">
        <f t="shared" si="10"/>
        <v>16</v>
      </c>
      <c r="AX17" s="681"/>
      <c r="AZ17" s="361" t="e">
        <f>RANK(AX17, $K$7:AX$36)</f>
        <v>#DIV/0!</v>
      </c>
      <c r="BB17" s="359" t="e">
        <f t="shared" si="0"/>
        <v>#N/A</v>
      </c>
    </row>
    <row r="18" spans="2:54">
      <c r="B18" s="667"/>
      <c r="C18" s="545">
        <v>12</v>
      </c>
      <c r="D18" s="569" t="s">
        <v>941</v>
      </c>
      <c r="E18" s="569">
        <v>4</v>
      </c>
      <c r="F18" s="569">
        <v>2800</v>
      </c>
      <c r="G18" s="182">
        <v>700</v>
      </c>
      <c r="H18" s="669"/>
      <c r="I18" s="547">
        <f t="shared" si="1"/>
        <v>4</v>
      </c>
      <c r="J18" s="547">
        <f t="shared" si="2"/>
        <v>2898.4285714285593</v>
      </c>
      <c r="K18" s="200">
        <f t="shared" si="3"/>
        <v>724.60714285713982</v>
      </c>
      <c r="L18" s="641"/>
      <c r="M18" s="547" t="e">
        <f>RANK(K18, K$147:$K$176)</f>
        <v>#DIV/0!</v>
      </c>
      <c r="N18" s="659"/>
      <c r="O18" s="659"/>
      <c r="P18" s="182">
        <v>4</v>
      </c>
      <c r="Q18" s="182">
        <v>3092.9999999999864</v>
      </c>
      <c r="R18" s="182">
        <v>773.24999999999659</v>
      </c>
      <c r="S18" s="545">
        <f t="shared" si="4"/>
        <v>13</v>
      </c>
      <c r="T18" s="681"/>
      <c r="U18" s="182">
        <v>4</v>
      </c>
      <c r="V18" s="182">
        <v>2507.9999999999932</v>
      </c>
      <c r="W18" s="182">
        <v>626.99999999999829</v>
      </c>
      <c r="X18" s="545">
        <f t="shared" si="5"/>
        <v>19</v>
      </c>
      <c r="Y18" s="681"/>
      <c r="Z18" s="182">
        <v>4</v>
      </c>
      <c r="AA18" s="182">
        <v>2963.9999999999868</v>
      </c>
      <c r="AB18" s="182">
        <v>740.9999999999967</v>
      </c>
      <c r="AC18" s="545">
        <f t="shared" si="6"/>
        <v>13</v>
      </c>
      <c r="AD18" s="681"/>
      <c r="AE18" s="182">
        <v>4</v>
      </c>
      <c r="AF18" s="182">
        <v>2669.9999999999882</v>
      </c>
      <c r="AG18" s="182">
        <v>667.49999999999704</v>
      </c>
      <c r="AH18" s="545">
        <f t="shared" si="7"/>
        <v>18</v>
      </c>
      <c r="AI18" s="681"/>
      <c r="AJ18" s="182">
        <v>4</v>
      </c>
      <c r="AK18" s="182">
        <v>2903.9999999999873</v>
      </c>
      <c r="AL18" s="182">
        <v>725.99999999999682</v>
      </c>
      <c r="AM18" s="545">
        <f t="shared" si="8"/>
        <v>16</v>
      </c>
      <c r="AN18" s="681"/>
      <c r="AO18" s="182">
        <v>4</v>
      </c>
      <c r="AP18" s="182">
        <v>3065.9999999999864</v>
      </c>
      <c r="AQ18" s="182">
        <v>766.49999999999659</v>
      </c>
      <c r="AR18" s="545">
        <f t="shared" si="9"/>
        <v>12</v>
      </c>
      <c r="AS18" s="681"/>
      <c r="AT18" s="182">
        <v>4</v>
      </c>
      <c r="AU18" s="182">
        <v>3083.9999999999864</v>
      </c>
      <c r="AV18" s="182">
        <v>770.99999999999659</v>
      </c>
      <c r="AW18" s="545">
        <f t="shared" si="10"/>
        <v>11</v>
      </c>
      <c r="AX18" s="681"/>
      <c r="AZ18" s="361" t="e">
        <f>RANK(AX18, $K$7:AX$36)</f>
        <v>#DIV/0!</v>
      </c>
      <c r="BB18" s="359" t="e">
        <f t="shared" si="0"/>
        <v>#N/A</v>
      </c>
    </row>
    <row r="19" spans="2:54">
      <c r="B19" s="667"/>
      <c r="C19" s="545">
        <v>13</v>
      </c>
      <c r="D19" s="569" t="s">
        <v>365</v>
      </c>
      <c r="E19" s="569">
        <v>4</v>
      </c>
      <c r="F19" s="569">
        <v>2800</v>
      </c>
      <c r="G19" s="182">
        <v>700</v>
      </c>
      <c r="H19" s="669"/>
      <c r="I19" s="547">
        <f t="shared" si="1"/>
        <v>4</v>
      </c>
      <c r="J19" s="547">
        <f t="shared" si="2"/>
        <v>2605.7142857142949</v>
      </c>
      <c r="K19" s="200">
        <f t="shared" si="3"/>
        <v>651.42857142857372</v>
      </c>
      <c r="L19" s="641"/>
      <c r="M19" s="547" t="e">
        <f>RANK(K19, K$147:$K$176)</f>
        <v>#DIV/0!</v>
      </c>
      <c r="N19" s="659"/>
      <c r="O19" s="659"/>
      <c r="P19" s="182">
        <v>4</v>
      </c>
      <c r="Q19" s="182">
        <v>2736.00000000001</v>
      </c>
      <c r="R19" s="182">
        <v>684.0000000000025</v>
      </c>
      <c r="S19" s="545">
        <f t="shared" si="4"/>
        <v>17</v>
      </c>
      <c r="T19" s="681"/>
      <c r="U19" s="182">
        <v>4</v>
      </c>
      <c r="V19" s="182">
        <v>2844.00000000001</v>
      </c>
      <c r="W19" s="182">
        <v>711.0000000000025</v>
      </c>
      <c r="X19" s="545">
        <f t="shared" si="5"/>
        <v>16</v>
      </c>
      <c r="Y19" s="681"/>
      <c r="Z19" s="182">
        <v>4</v>
      </c>
      <c r="AA19" s="182">
        <v>2526.0000000000091</v>
      </c>
      <c r="AB19" s="182">
        <v>631.50000000000227</v>
      </c>
      <c r="AC19" s="545">
        <f t="shared" si="6"/>
        <v>19</v>
      </c>
      <c r="AD19" s="681"/>
      <c r="AE19" s="182">
        <v>4</v>
      </c>
      <c r="AF19" s="182">
        <v>2154.0000000000077</v>
      </c>
      <c r="AG19" s="182">
        <v>538.50000000000193</v>
      </c>
      <c r="AH19" s="545">
        <f t="shared" si="7"/>
        <v>21</v>
      </c>
      <c r="AI19" s="681"/>
      <c r="AJ19" s="182">
        <v>4</v>
      </c>
      <c r="AK19" s="182">
        <v>2502.0000000000086</v>
      </c>
      <c r="AL19" s="182">
        <v>625.50000000000216</v>
      </c>
      <c r="AM19" s="545">
        <f t="shared" si="8"/>
        <v>18</v>
      </c>
      <c r="AN19" s="681"/>
      <c r="AO19" s="182">
        <v>4</v>
      </c>
      <c r="AP19" s="182">
        <v>2772.00000000001</v>
      </c>
      <c r="AQ19" s="182">
        <v>693.0000000000025</v>
      </c>
      <c r="AR19" s="545">
        <f t="shared" si="9"/>
        <v>19</v>
      </c>
      <c r="AS19" s="681"/>
      <c r="AT19" s="182">
        <v>4</v>
      </c>
      <c r="AU19" s="182">
        <v>2706.0000000000095</v>
      </c>
      <c r="AV19" s="182">
        <v>676.50000000000239</v>
      </c>
      <c r="AW19" s="545">
        <f t="shared" si="10"/>
        <v>19</v>
      </c>
      <c r="AX19" s="681"/>
      <c r="AZ19" s="361" t="e">
        <f>RANK(AX19, $K$7:AX$36)</f>
        <v>#DIV/0!</v>
      </c>
      <c r="BB19" s="359" t="e">
        <f t="shared" si="0"/>
        <v>#N/A</v>
      </c>
    </row>
    <row r="20" spans="2:54">
      <c r="B20" s="667"/>
      <c r="C20" s="545">
        <v>14</v>
      </c>
      <c r="D20" s="569" t="s">
        <v>647</v>
      </c>
      <c r="E20" s="569">
        <v>3</v>
      </c>
      <c r="F20" s="569">
        <v>2800</v>
      </c>
      <c r="G20" s="182">
        <v>933.33333333333337</v>
      </c>
      <c r="H20" s="669"/>
      <c r="I20" s="547">
        <f t="shared" si="1"/>
        <v>3</v>
      </c>
      <c r="J20" s="547">
        <f t="shared" si="2"/>
        <v>2836.9183673469411</v>
      </c>
      <c r="K20" s="200">
        <f t="shared" si="3"/>
        <v>945.63945578231358</v>
      </c>
      <c r="L20" s="641"/>
      <c r="M20" s="547" t="e">
        <f>RANK(K20, K$147:$K$176)</f>
        <v>#DIV/0!</v>
      </c>
      <c r="N20" s="659"/>
      <c r="O20" s="659"/>
      <c r="P20" s="182">
        <v>3</v>
      </c>
      <c r="Q20" s="182">
        <v>2745.7142857142849</v>
      </c>
      <c r="R20" s="182">
        <v>915.23809523809496</v>
      </c>
      <c r="S20" s="545">
        <f t="shared" si="4"/>
        <v>8</v>
      </c>
      <c r="T20" s="681"/>
      <c r="U20" s="182">
        <v>3</v>
      </c>
      <c r="V20" s="182">
        <v>2805.7142857142908</v>
      </c>
      <c r="W20" s="182">
        <v>935.23809523809689</v>
      </c>
      <c r="X20" s="545">
        <f t="shared" si="5"/>
        <v>7</v>
      </c>
      <c r="Y20" s="681"/>
      <c r="Z20" s="182">
        <v>3</v>
      </c>
      <c r="AA20" s="182">
        <v>2738.9999999999991</v>
      </c>
      <c r="AB20" s="182">
        <v>912.99999999999966</v>
      </c>
      <c r="AC20" s="545">
        <f t="shared" si="6"/>
        <v>8</v>
      </c>
      <c r="AD20" s="681"/>
      <c r="AE20" s="182">
        <v>3</v>
      </c>
      <c r="AF20" s="182">
        <v>2895.0000000000036</v>
      </c>
      <c r="AG20" s="182">
        <v>965.00000000000125</v>
      </c>
      <c r="AH20" s="545">
        <f t="shared" si="7"/>
        <v>6</v>
      </c>
      <c r="AI20" s="681"/>
      <c r="AJ20" s="182">
        <v>3</v>
      </c>
      <c r="AK20" s="182">
        <v>2988.0000000000027</v>
      </c>
      <c r="AL20" s="182">
        <v>996.00000000000091</v>
      </c>
      <c r="AM20" s="545">
        <f t="shared" si="8"/>
        <v>6</v>
      </c>
      <c r="AN20" s="681"/>
      <c r="AO20" s="182">
        <v>3</v>
      </c>
      <c r="AP20" s="182">
        <v>2886.0000000000045</v>
      </c>
      <c r="AQ20" s="182">
        <v>962.00000000000148</v>
      </c>
      <c r="AR20" s="545">
        <f t="shared" si="9"/>
        <v>6</v>
      </c>
      <c r="AS20" s="681"/>
      <c r="AT20" s="182">
        <v>3</v>
      </c>
      <c r="AU20" s="182">
        <v>2798.9999999999991</v>
      </c>
      <c r="AV20" s="182">
        <v>932.99999999999966</v>
      </c>
      <c r="AW20" s="545">
        <f t="shared" si="10"/>
        <v>7</v>
      </c>
      <c r="AX20" s="681"/>
      <c r="AZ20" s="361" t="e">
        <f>RANK(AX20, $K$7:AX$36)</f>
        <v>#DIV/0!</v>
      </c>
      <c r="BB20" s="359" t="e">
        <f t="shared" si="0"/>
        <v>#N/A</v>
      </c>
    </row>
    <row r="21" spans="2:54">
      <c r="B21" s="667"/>
      <c r="C21" s="545">
        <v>15</v>
      </c>
      <c r="D21" s="569" t="s">
        <v>942</v>
      </c>
      <c r="E21" s="569">
        <v>3</v>
      </c>
      <c r="F21" s="569">
        <v>2800</v>
      </c>
      <c r="G21" s="182">
        <v>933.33333333333337</v>
      </c>
      <c r="H21" s="669"/>
      <c r="I21" s="547">
        <f t="shared" si="1"/>
        <v>3</v>
      </c>
      <c r="J21" s="547">
        <f t="shared" si="2"/>
        <v>2784.2857142857024</v>
      </c>
      <c r="K21" s="200">
        <f t="shared" si="3"/>
        <v>928.09523809523432</v>
      </c>
      <c r="L21" s="641"/>
      <c r="M21" s="547" t="e">
        <f>RANK(K21, K$147:$K$176)</f>
        <v>#DIV/0!</v>
      </c>
      <c r="N21" s="659"/>
      <c r="O21" s="659"/>
      <c r="P21" s="182">
        <v>3</v>
      </c>
      <c r="Q21" s="182">
        <v>2942.3999999999919</v>
      </c>
      <c r="R21" s="182">
        <v>980.79999999999734</v>
      </c>
      <c r="S21" s="545">
        <f t="shared" si="4"/>
        <v>5</v>
      </c>
      <c r="T21" s="681"/>
      <c r="U21" s="182">
        <v>3</v>
      </c>
      <c r="V21" s="182">
        <v>2473.9999999999959</v>
      </c>
      <c r="W21" s="182">
        <v>824.66666666666526</v>
      </c>
      <c r="X21" s="545">
        <f t="shared" si="5"/>
        <v>10</v>
      </c>
      <c r="Y21" s="681"/>
      <c r="Z21" s="182">
        <v>3</v>
      </c>
      <c r="AA21" s="182">
        <v>3359.9999999999582</v>
      </c>
      <c r="AB21" s="182">
        <v>1119.9999999999861</v>
      </c>
      <c r="AC21" s="545">
        <f t="shared" si="6"/>
        <v>1</v>
      </c>
      <c r="AD21" s="681"/>
      <c r="AE21" s="182">
        <v>3</v>
      </c>
      <c r="AF21" s="182">
        <v>2483.9999999999932</v>
      </c>
      <c r="AG21" s="182">
        <v>827.99999999999773</v>
      </c>
      <c r="AH21" s="545">
        <f t="shared" si="7"/>
        <v>8</v>
      </c>
      <c r="AI21" s="681"/>
      <c r="AJ21" s="182">
        <v>3</v>
      </c>
      <c r="AK21" s="182">
        <v>2815.1999999999921</v>
      </c>
      <c r="AL21" s="182">
        <v>938.39999999999736</v>
      </c>
      <c r="AM21" s="545">
        <f t="shared" si="8"/>
        <v>8</v>
      </c>
      <c r="AN21" s="681"/>
      <c r="AO21" s="182">
        <v>3</v>
      </c>
      <c r="AP21" s="182">
        <v>2459.9999999999959</v>
      </c>
      <c r="AQ21" s="182">
        <v>819.99999999999864</v>
      </c>
      <c r="AR21" s="545">
        <f t="shared" si="9"/>
        <v>10</v>
      </c>
      <c r="AS21" s="681"/>
      <c r="AT21" s="182">
        <v>3</v>
      </c>
      <c r="AU21" s="182">
        <v>2954.3999999999915</v>
      </c>
      <c r="AV21" s="182">
        <v>984.79999999999711</v>
      </c>
      <c r="AW21" s="545">
        <f t="shared" si="10"/>
        <v>6</v>
      </c>
      <c r="AX21" s="681"/>
      <c r="AZ21" s="361" t="e">
        <f>RANK(AX21, $K$7:AX$36)</f>
        <v>#DIV/0!</v>
      </c>
      <c r="BB21" s="359" t="e">
        <f t="shared" si="0"/>
        <v>#N/A</v>
      </c>
    </row>
    <row r="22" spans="2:54">
      <c r="B22" s="667"/>
      <c r="C22" s="545">
        <v>16</v>
      </c>
      <c r="D22" s="569" t="s">
        <v>943</v>
      </c>
      <c r="E22" s="569">
        <v>4</v>
      </c>
      <c r="F22" s="569">
        <v>2200</v>
      </c>
      <c r="G22" s="182">
        <v>550</v>
      </c>
      <c r="H22" s="669"/>
      <c r="I22" s="547">
        <f t="shared" si="1"/>
        <v>3</v>
      </c>
      <c r="J22" s="547">
        <f t="shared" si="2"/>
        <v>2218.8952380952355</v>
      </c>
      <c r="K22" s="200">
        <f t="shared" si="3"/>
        <v>739.63174603174514</v>
      </c>
      <c r="L22" s="641"/>
      <c r="M22" s="547" t="e">
        <f>RANK(K22, K$147:$K$176)</f>
        <v>#DIV/0!</v>
      </c>
      <c r="N22" s="659"/>
      <c r="O22" s="659"/>
      <c r="P22" s="182">
        <v>3</v>
      </c>
      <c r="Q22" s="182">
        <v>2386.6666666666665</v>
      </c>
      <c r="R22" s="182">
        <v>795.55555555555554</v>
      </c>
      <c r="S22" s="545">
        <f t="shared" si="4"/>
        <v>12</v>
      </c>
      <c r="T22" s="681"/>
      <c r="U22" s="182">
        <v>3</v>
      </c>
      <c r="V22" s="182">
        <v>2114.3999999999942</v>
      </c>
      <c r="W22" s="182">
        <v>704.79999999999802</v>
      </c>
      <c r="X22" s="545">
        <f t="shared" si="5"/>
        <v>17</v>
      </c>
      <c r="Y22" s="681"/>
      <c r="Z22" s="182">
        <v>3</v>
      </c>
      <c r="AA22" s="182">
        <v>2205.333333333333</v>
      </c>
      <c r="AB22" s="182">
        <v>735.11111111111097</v>
      </c>
      <c r="AC22" s="545">
        <f t="shared" si="6"/>
        <v>14</v>
      </c>
      <c r="AD22" s="681"/>
      <c r="AE22" s="182">
        <v>3</v>
      </c>
      <c r="AF22" s="182">
        <v>2122.666666666667</v>
      </c>
      <c r="AG22" s="182">
        <v>707.55555555555566</v>
      </c>
      <c r="AH22" s="545">
        <f t="shared" si="7"/>
        <v>15</v>
      </c>
      <c r="AI22" s="681"/>
      <c r="AJ22" s="182">
        <v>3</v>
      </c>
      <c r="AK22" s="182">
        <v>2280</v>
      </c>
      <c r="AL22" s="182">
        <v>760</v>
      </c>
      <c r="AM22" s="545">
        <f t="shared" si="8"/>
        <v>13</v>
      </c>
      <c r="AN22" s="681"/>
      <c r="AO22" s="182">
        <v>3</v>
      </c>
      <c r="AP22" s="182">
        <v>2242.7999999999938</v>
      </c>
      <c r="AQ22" s="182">
        <v>747.59999999999798</v>
      </c>
      <c r="AR22" s="545">
        <f t="shared" si="9"/>
        <v>14</v>
      </c>
      <c r="AS22" s="681"/>
      <c r="AT22" s="182">
        <v>3</v>
      </c>
      <c r="AU22" s="182">
        <v>2180.3999999999937</v>
      </c>
      <c r="AV22" s="182">
        <v>726.79999999999791</v>
      </c>
      <c r="AW22" s="545">
        <f t="shared" si="10"/>
        <v>14</v>
      </c>
      <c r="AX22" s="681"/>
      <c r="AZ22" s="361" t="e">
        <f>RANK(AX22, $K$7:AX$36)</f>
        <v>#DIV/0!</v>
      </c>
      <c r="BB22" s="359" t="e">
        <f t="shared" si="0"/>
        <v>#N/A</v>
      </c>
    </row>
    <row r="23" spans="2:54">
      <c r="B23" s="667"/>
      <c r="C23" s="545">
        <v>17</v>
      </c>
      <c r="D23" s="569" t="s">
        <v>760</v>
      </c>
      <c r="E23" s="569">
        <v>8</v>
      </c>
      <c r="F23" s="569">
        <v>1500</v>
      </c>
      <c r="G23" s="182">
        <v>187.5</v>
      </c>
      <c r="H23" s="669"/>
      <c r="I23" s="547">
        <f t="shared" si="1"/>
        <v>10</v>
      </c>
      <c r="J23" s="547">
        <f t="shared" si="2"/>
        <v>1481.628371628372</v>
      </c>
      <c r="K23" s="200">
        <f t="shared" si="3"/>
        <v>148.16283716283718</v>
      </c>
      <c r="L23" s="641"/>
      <c r="M23" s="547" t="e">
        <f>RANK(K23, K$147:$K$176)</f>
        <v>#DIV/0!</v>
      </c>
      <c r="N23" s="659"/>
      <c r="O23" s="659"/>
      <c r="P23" s="182">
        <v>10</v>
      </c>
      <c r="Q23" s="182">
        <v>1410.0000000000018</v>
      </c>
      <c r="R23" s="182">
        <v>141.00000000000017</v>
      </c>
      <c r="S23" s="545">
        <f t="shared" si="4"/>
        <v>22</v>
      </c>
      <c r="T23" s="681"/>
      <c r="U23" s="182">
        <v>10</v>
      </c>
      <c r="V23" s="182">
        <v>1523.0769230769247</v>
      </c>
      <c r="W23" s="182">
        <v>152.30769230769246</v>
      </c>
      <c r="X23" s="545">
        <f t="shared" si="5"/>
        <v>22</v>
      </c>
      <c r="Y23" s="681"/>
      <c r="Z23" s="182">
        <v>10</v>
      </c>
      <c r="AA23" s="182">
        <v>1457.5384615384633</v>
      </c>
      <c r="AB23" s="182">
        <v>145.75384615384633</v>
      </c>
      <c r="AC23" s="545">
        <f t="shared" si="6"/>
        <v>22</v>
      </c>
      <c r="AD23" s="681"/>
      <c r="AE23" s="182">
        <v>10</v>
      </c>
      <c r="AF23" s="182">
        <v>1519.6363636363601</v>
      </c>
      <c r="AG23" s="182">
        <v>151.963636363636</v>
      </c>
      <c r="AH23" s="545">
        <f t="shared" si="7"/>
        <v>22</v>
      </c>
      <c r="AI23" s="681"/>
      <c r="AJ23" s="182">
        <v>10</v>
      </c>
      <c r="AK23" s="182">
        <v>1481.4545454545464</v>
      </c>
      <c r="AL23" s="182">
        <v>148.14545454545464</v>
      </c>
      <c r="AM23" s="545">
        <f t="shared" si="8"/>
        <v>22</v>
      </c>
      <c r="AN23" s="681"/>
      <c r="AO23" s="182">
        <v>10</v>
      </c>
      <c r="AP23" s="182">
        <v>1507.3846153846171</v>
      </c>
      <c r="AQ23" s="182">
        <v>150.73846153846171</v>
      </c>
      <c r="AR23" s="545">
        <f t="shared" si="9"/>
        <v>22</v>
      </c>
      <c r="AS23" s="681"/>
      <c r="AT23" s="182">
        <v>10</v>
      </c>
      <c r="AU23" s="182">
        <v>1472.3076923076903</v>
      </c>
      <c r="AV23" s="182">
        <v>147.23076923076903</v>
      </c>
      <c r="AW23" s="545">
        <f t="shared" si="10"/>
        <v>22</v>
      </c>
      <c r="AX23" s="681"/>
      <c r="AZ23" s="361" t="e">
        <f>RANK(AX23, $K$7:AX$36)</f>
        <v>#DIV/0!</v>
      </c>
      <c r="BB23" s="359" t="e">
        <f t="shared" si="0"/>
        <v>#N/A</v>
      </c>
    </row>
    <row r="24" spans="2:54">
      <c r="B24" s="667"/>
      <c r="C24" s="545">
        <v>18</v>
      </c>
      <c r="D24" s="569" t="s">
        <v>809</v>
      </c>
      <c r="E24" s="569">
        <v>4</v>
      </c>
      <c r="F24" s="569">
        <v>2200</v>
      </c>
      <c r="G24" s="182">
        <v>550</v>
      </c>
      <c r="H24" s="669"/>
      <c r="I24" s="547">
        <f t="shared" si="1"/>
        <v>4</v>
      </c>
      <c r="J24" s="547">
        <f t="shared" si="2"/>
        <v>2232.1142857142918</v>
      </c>
      <c r="K24" s="200">
        <f t="shared" si="3"/>
        <v>558.02857142857295</v>
      </c>
      <c r="L24" s="641"/>
      <c r="M24" s="547" t="e">
        <f>RANK(K24, K$147:$K$176)</f>
        <v>#DIV/0!</v>
      </c>
      <c r="N24" s="659"/>
      <c r="O24" s="659"/>
      <c r="P24" s="182">
        <v>4</v>
      </c>
      <c r="Q24" s="182">
        <v>2165.9999999999964</v>
      </c>
      <c r="R24" s="182">
        <v>541.49999999999909</v>
      </c>
      <c r="S24" s="545">
        <f t="shared" si="4"/>
        <v>21</v>
      </c>
      <c r="T24" s="681"/>
      <c r="U24" s="182">
        <v>4</v>
      </c>
      <c r="V24" s="182">
        <v>2182.0000000000077</v>
      </c>
      <c r="W24" s="182">
        <v>545.50000000000193</v>
      </c>
      <c r="X24" s="545">
        <f t="shared" si="5"/>
        <v>20</v>
      </c>
      <c r="Y24" s="681"/>
      <c r="Z24" s="182">
        <v>4</v>
      </c>
      <c r="AA24" s="182">
        <v>2450.4000000000087</v>
      </c>
      <c r="AB24" s="182">
        <v>612.60000000000218</v>
      </c>
      <c r="AC24" s="545">
        <f t="shared" si="6"/>
        <v>20</v>
      </c>
      <c r="AD24" s="681"/>
      <c r="AE24" s="182">
        <v>4</v>
      </c>
      <c r="AF24" s="182">
        <v>2200.8000000000075</v>
      </c>
      <c r="AG24" s="182">
        <v>550.20000000000186</v>
      </c>
      <c r="AH24" s="545">
        <f t="shared" si="7"/>
        <v>20</v>
      </c>
      <c r="AI24" s="681"/>
      <c r="AJ24" s="182">
        <v>4</v>
      </c>
      <c r="AK24" s="182">
        <v>2361.6000000000085</v>
      </c>
      <c r="AL24" s="182">
        <v>590.40000000000214</v>
      </c>
      <c r="AM24" s="545">
        <f t="shared" si="8"/>
        <v>20</v>
      </c>
      <c r="AN24" s="681"/>
      <c r="AO24" s="182">
        <v>4</v>
      </c>
      <c r="AP24" s="182">
        <v>2188.0000000000077</v>
      </c>
      <c r="AQ24" s="182">
        <v>547.00000000000193</v>
      </c>
      <c r="AR24" s="545">
        <f t="shared" si="9"/>
        <v>21</v>
      </c>
      <c r="AS24" s="681"/>
      <c r="AT24" s="182">
        <v>4</v>
      </c>
      <c r="AU24" s="182">
        <v>2076.0000000000073</v>
      </c>
      <c r="AV24" s="182">
        <v>519.00000000000182</v>
      </c>
      <c r="AW24" s="545">
        <f t="shared" si="10"/>
        <v>21</v>
      </c>
      <c r="AX24" s="681"/>
      <c r="AZ24" s="361" t="e">
        <f>RANK(AX24, $K$7:AX$36)</f>
        <v>#DIV/0!</v>
      </c>
      <c r="BB24" s="359" t="e">
        <f t="shared" si="0"/>
        <v>#N/A</v>
      </c>
    </row>
    <row r="25" spans="2:54">
      <c r="B25" s="667"/>
      <c r="C25" s="545">
        <v>19</v>
      </c>
      <c r="D25" s="569" t="s">
        <v>944</v>
      </c>
      <c r="E25" s="569">
        <v>3</v>
      </c>
      <c r="F25" s="569">
        <v>2800</v>
      </c>
      <c r="G25" s="182">
        <v>933.33333333333337</v>
      </c>
      <c r="H25" s="669"/>
      <c r="I25" s="547">
        <f t="shared" si="1"/>
        <v>3</v>
      </c>
      <c r="J25" s="547">
        <f t="shared" si="2"/>
        <v>2822.5458456241713</v>
      </c>
      <c r="K25" s="200">
        <f t="shared" si="3"/>
        <v>940.84861520805703</v>
      </c>
      <c r="L25" s="641"/>
      <c r="M25" s="547" t="e">
        <f>RANK(K25, K$147:$K$176)</f>
        <v>#DIV/0!</v>
      </c>
      <c r="N25" s="659"/>
      <c r="O25" s="659"/>
      <c r="P25" s="182">
        <v>3</v>
      </c>
      <c r="Q25" s="182">
        <v>2763.3962264150937</v>
      </c>
      <c r="R25" s="182">
        <v>921.13207547169793</v>
      </c>
      <c r="S25" s="545">
        <f t="shared" si="4"/>
        <v>7</v>
      </c>
      <c r="T25" s="681"/>
      <c r="U25" s="182">
        <v>3</v>
      </c>
      <c r="V25" s="182">
        <v>2827.058823529409</v>
      </c>
      <c r="W25" s="182">
        <v>942.3529411764697</v>
      </c>
      <c r="X25" s="545">
        <f t="shared" si="5"/>
        <v>6</v>
      </c>
      <c r="Y25" s="681"/>
      <c r="Z25" s="182">
        <v>3</v>
      </c>
      <c r="AA25" s="182">
        <v>2792.5000000000009</v>
      </c>
      <c r="AB25" s="182">
        <v>930.8333333333336</v>
      </c>
      <c r="AC25" s="545">
        <f t="shared" si="6"/>
        <v>7</v>
      </c>
      <c r="AD25" s="681"/>
      <c r="AE25" s="182">
        <v>3</v>
      </c>
      <c r="AF25" s="182">
        <v>2805.7142857142849</v>
      </c>
      <c r="AG25" s="182">
        <v>935.23809523809496</v>
      </c>
      <c r="AH25" s="545">
        <f t="shared" si="7"/>
        <v>7</v>
      </c>
      <c r="AI25" s="681"/>
      <c r="AJ25" s="182">
        <v>3</v>
      </c>
      <c r="AK25" s="182">
        <v>2962.5000000000045</v>
      </c>
      <c r="AL25" s="182">
        <v>987.50000000000148</v>
      </c>
      <c r="AM25" s="545">
        <f t="shared" si="8"/>
        <v>7</v>
      </c>
      <c r="AN25" s="681"/>
      <c r="AO25" s="182">
        <v>3</v>
      </c>
      <c r="AP25" s="182">
        <v>2840.7692307692278</v>
      </c>
      <c r="AQ25" s="182">
        <v>946.92307692307588</v>
      </c>
      <c r="AR25" s="545">
        <f t="shared" si="9"/>
        <v>7</v>
      </c>
      <c r="AS25" s="681"/>
      <c r="AT25" s="182">
        <v>3</v>
      </c>
      <c r="AU25" s="182">
        <v>2765.8823529411775</v>
      </c>
      <c r="AV25" s="182">
        <v>921.96078431372587</v>
      </c>
      <c r="AW25" s="545">
        <f t="shared" si="10"/>
        <v>8</v>
      </c>
      <c r="AX25" s="681"/>
      <c r="AZ25" s="361" t="e">
        <f>RANK(AX25, $K$7:AX$36)</f>
        <v>#DIV/0!</v>
      </c>
      <c r="BB25" s="359" t="e">
        <f t="shared" si="0"/>
        <v>#N/A</v>
      </c>
    </row>
    <row r="26" spans="2:54">
      <c r="B26" s="667"/>
      <c r="C26" s="545">
        <v>20</v>
      </c>
      <c r="D26" s="569" t="s">
        <v>908</v>
      </c>
      <c r="E26" s="569">
        <v>4</v>
      </c>
      <c r="F26" s="569">
        <v>2800</v>
      </c>
      <c r="G26" s="182">
        <v>700</v>
      </c>
      <c r="H26" s="669"/>
      <c r="I26" s="547">
        <f t="shared" si="1"/>
        <v>4</v>
      </c>
      <c r="J26" s="547">
        <f t="shared" si="2"/>
        <v>2770.8983309923156</v>
      </c>
      <c r="K26" s="200">
        <f t="shared" si="3"/>
        <v>692.72458274807889</v>
      </c>
      <c r="L26" s="641"/>
      <c r="M26" s="547" t="e">
        <f>RANK(K26, K$147:$K$176)</f>
        <v>#DIV/0!</v>
      </c>
      <c r="N26" s="659"/>
      <c r="O26" s="659"/>
      <c r="P26" s="182">
        <v>4</v>
      </c>
      <c r="Q26" s="182">
        <v>2734.6153846153861</v>
      </c>
      <c r="R26" s="182">
        <v>683.65384615384653</v>
      </c>
      <c r="S26" s="545">
        <f t="shared" si="4"/>
        <v>18</v>
      </c>
      <c r="T26" s="681"/>
      <c r="U26" s="182">
        <v>4</v>
      </c>
      <c r="V26" s="182">
        <v>2892.5000000000009</v>
      </c>
      <c r="W26" s="182">
        <v>723.12500000000023</v>
      </c>
      <c r="X26" s="545">
        <f t="shared" si="5"/>
        <v>14</v>
      </c>
      <c r="Y26" s="681"/>
      <c r="Z26" s="182">
        <v>4</v>
      </c>
      <c r="AA26" s="182">
        <v>2720.0000000000009</v>
      </c>
      <c r="AB26" s="182">
        <v>680.00000000000023</v>
      </c>
      <c r="AC26" s="545">
        <f t="shared" si="6"/>
        <v>17</v>
      </c>
      <c r="AD26" s="681"/>
      <c r="AE26" s="182">
        <v>4</v>
      </c>
      <c r="AF26" s="182">
        <v>2946.3157894736819</v>
      </c>
      <c r="AG26" s="182">
        <v>736.57894736842047</v>
      </c>
      <c r="AH26" s="545">
        <f t="shared" si="7"/>
        <v>13</v>
      </c>
      <c r="AI26" s="681"/>
      <c r="AJ26" s="182">
        <v>4</v>
      </c>
      <c r="AK26" s="182">
        <v>2459.9999999999991</v>
      </c>
      <c r="AL26" s="182">
        <v>614.99999999999977</v>
      </c>
      <c r="AM26" s="545">
        <f t="shared" si="8"/>
        <v>19</v>
      </c>
      <c r="AN26" s="681"/>
      <c r="AO26" s="182">
        <v>4</v>
      </c>
      <c r="AP26" s="182">
        <v>2922.8571428571422</v>
      </c>
      <c r="AQ26" s="182">
        <v>730.71428571428555</v>
      </c>
      <c r="AR26" s="545">
        <f t="shared" si="9"/>
        <v>15</v>
      </c>
      <c r="AS26" s="681"/>
      <c r="AT26" s="182">
        <v>4</v>
      </c>
      <c r="AU26" s="182">
        <v>2719.9999999999991</v>
      </c>
      <c r="AV26" s="182">
        <v>679.99999999999977</v>
      </c>
      <c r="AW26" s="545">
        <f t="shared" si="10"/>
        <v>18</v>
      </c>
      <c r="AX26" s="681"/>
      <c r="AZ26" s="361" t="e">
        <f>RANK(AX26, $K$7:AX$36)</f>
        <v>#DIV/0!</v>
      </c>
      <c r="BB26" s="359" t="e">
        <f t="shared" si="0"/>
        <v>#N/A</v>
      </c>
    </row>
    <row r="27" spans="2:54">
      <c r="B27" s="667"/>
      <c r="C27" s="545">
        <v>21</v>
      </c>
      <c r="D27" s="572" t="s">
        <v>945</v>
      </c>
      <c r="E27" s="569">
        <v>4</v>
      </c>
      <c r="F27" s="569">
        <v>2200</v>
      </c>
      <c r="G27" s="182">
        <v>550</v>
      </c>
      <c r="H27" s="669"/>
      <c r="I27" s="576">
        <f t="shared" ref="I27" si="11">AVERAGE(P27,U27,Z27,AE27,AJ27,AO27,AT27)</f>
        <v>4</v>
      </c>
      <c r="J27" s="576">
        <f t="shared" ref="J27" si="12">AVERAGE(Q27,V27,AA27,AF27,AK27,AP27,AU27)</f>
        <v>2250.161730374889</v>
      </c>
      <c r="K27" s="200">
        <f t="shared" ref="K27" si="13">AVERAGE(R27,W27,AB27,AG27,AL27,AQ27,AV27)</f>
        <v>562.54043259372224</v>
      </c>
      <c r="L27" s="641"/>
      <c r="M27" s="547" t="e">
        <f>RANK(K27, K$147:$K$176)</f>
        <v>#DIV/0!</v>
      </c>
      <c r="N27" s="659"/>
      <c r="O27" s="659"/>
      <c r="P27" s="182">
        <v>4</v>
      </c>
      <c r="Q27" s="182">
        <v>2261.6842105263195</v>
      </c>
      <c r="R27" s="182">
        <v>565.42105263157987</v>
      </c>
      <c r="S27" s="545">
        <f t="shared" si="4"/>
        <v>20</v>
      </c>
      <c r="T27" s="681"/>
      <c r="U27" s="182">
        <v>4</v>
      </c>
      <c r="V27" s="182">
        <v>2175.5999999999972</v>
      </c>
      <c r="W27" s="182">
        <v>543.8999999999993</v>
      </c>
      <c r="X27" s="545">
        <f t="shared" si="5"/>
        <v>21</v>
      </c>
      <c r="Y27" s="681"/>
      <c r="Z27" s="182">
        <v>4</v>
      </c>
      <c r="AA27" s="182">
        <v>2316.7500000000036</v>
      </c>
      <c r="AB27" s="182">
        <v>579.18750000000091</v>
      </c>
      <c r="AC27" s="545">
        <f t="shared" si="6"/>
        <v>21</v>
      </c>
      <c r="AD27" s="681"/>
      <c r="AE27" s="182">
        <v>4</v>
      </c>
      <c r="AF27" s="182">
        <v>2286.4615384615408</v>
      </c>
      <c r="AG27" s="182">
        <v>571.61538461538521</v>
      </c>
      <c r="AH27" s="545">
        <f t="shared" si="7"/>
        <v>19</v>
      </c>
      <c r="AI27" s="681"/>
      <c r="AJ27" s="182">
        <v>4</v>
      </c>
      <c r="AK27" s="182">
        <v>2161.0909090909172</v>
      </c>
      <c r="AL27" s="182">
        <v>540.2727272727293</v>
      </c>
      <c r="AM27" s="545">
        <f t="shared" si="8"/>
        <v>21</v>
      </c>
      <c r="AN27" s="681"/>
      <c r="AO27" s="182">
        <v>4</v>
      </c>
      <c r="AP27" s="182">
        <v>2202.9999999999964</v>
      </c>
      <c r="AQ27" s="182">
        <v>550.74999999999909</v>
      </c>
      <c r="AR27" s="545">
        <f t="shared" si="9"/>
        <v>20</v>
      </c>
      <c r="AS27" s="681"/>
      <c r="AT27" s="182">
        <v>4</v>
      </c>
      <c r="AU27" s="182">
        <v>2346.545454545449</v>
      </c>
      <c r="AV27" s="182">
        <v>586.63636363636226</v>
      </c>
      <c r="AW27" s="545">
        <f t="shared" si="10"/>
        <v>20</v>
      </c>
      <c r="AX27" s="681"/>
      <c r="AZ27" s="361" t="e">
        <f>RANK(AX27, $K$7:AX$36)</f>
        <v>#DIV/0!</v>
      </c>
      <c r="BB27" s="359" t="e">
        <f t="shared" si="0"/>
        <v>#N/A</v>
      </c>
    </row>
    <row r="28" spans="2:54">
      <c r="B28" s="667"/>
      <c r="C28" s="545">
        <v>22</v>
      </c>
      <c r="D28" s="569" t="s">
        <v>946</v>
      </c>
      <c r="E28" s="569">
        <v>4</v>
      </c>
      <c r="F28" s="569">
        <v>2800</v>
      </c>
      <c r="G28" s="569">
        <v>700</v>
      </c>
      <c r="H28" s="669"/>
      <c r="I28" s="547">
        <f t="shared" ref="I28" si="14">AVERAGE(P28,U28,Z28,AE28,AJ28,AO28,AT28)</f>
        <v>4</v>
      </c>
      <c r="J28" s="547">
        <f t="shared" ref="J28" si="15">AVERAGE(Q28,V28,AA28,AF28,AK28,AP28,AU28)</f>
        <v>2814.0613081127294</v>
      </c>
      <c r="K28" s="200">
        <f t="shared" ref="K28" si="16">AVERAGE(R28,W28,AB28,AG28,AL28,AQ28,AV28)</f>
        <v>703.51532702818236</v>
      </c>
      <c r="L28" s="641"/>
      <c r="M28" s="547" t="e">
        <f>RANK(K28, K$147:$K$176)</f>
        <v>#DIV/0!</v>
      </c>
      <c r="N28" s="659"/>
      <c r="O28" s="659"/>
      <c r="P28" s="182">
        <v>4</v>
      </c>
      <c r="Q28" s="182">
        <v>2783.0232558139528</v>
      </c>
      <c r="R28" s="182">
        <v>695.7558139534882</v>
      </c>
      <c r="S28" s="545">
        <f t="shared" si="4"/>
        <v>15</v>
      </c>
      <c r="T28" s="681"/>
      <c r="U28" s="182">
        <v>4</v>
      </c>
      <c r="V28" s="182">
        <v>2860.3636363636379</v>
      </c>
      <c r="W28" s="182">
        <v>715.09090909090946</v>
      </c>
      <c r="X28" s="545">
        <f t="shared" si="5"/>
        <v>15</v>
      </c>
      <c r="Y28" s="681"/>
      <c r="Z28" s="182">
        <v>4</v>
      </c>
      <c r="AA28" s="182">
        <v>2731.5254237288159</v>
      </c>
      <c r="AB28" s="182">
        <v>682.88135593220397</v>
      </c>
      <c r="AC28" s="545">
        <f t="shared" si="6"/>
        <v>16</v>
      </c>
      <c r="AD28" s="681"/>
      <c r="AE28" s="182">
        <v>4</v>
      </c>
      <c r="AF28" s="182">
        <v>2820.0000000000009</v>
      </c>
      <c r="AG28" s="182">
        <v>705.00000000000023</v>
      </c>
      <c r="AH28" s="545">
        <f t="shared" si="7"/>
        <v>16</v>
      </c>
      <c r="AI28" s="681"/>
      <c r="AJ28" s="182">
        <v>4</v>
      </c>
      <c r="AK28" s="182">
        <v>2879.1428571428578</v>
      </c>
      <c r="AL28" s="182">
        <v>719.78571428571445</v>
      </c>
      <c r="AM28" s="545">
        <f t="shared" si="8"/>
        <v>17</v>
      </c>
      <c r="AN28" s="681"/>
      <c r="AO28" s="182">
        <v>4</v>
      </c>
      <c r="AP28" s="182">
        <v>2822.6666666666665</v>
      </c>
      <c r="AQ28" s="182">
        <v>705.66666666666663</v>
      </c>
      <c r="AR28" s="545">
        <f t="shared" si="9"/>
        <v>16</v>
      </c>
      <c r="AS28" s="681"/>
      <c r="AT28" s="182">
        <v>4</v>
      </c>
      <c r="AU28" s="182">
        <v>2801.7073170731701</v>
      </c>
      <c r="AV28" s="182">
        <v>700.42682926829252</v>
      </c>
      <c r="AW28" s="545">
        <f t="shared" si="10"/>
        <v>15</v>
      </c>
      <c r="AX28" s="681"/>
      <c r="AZ28" s="361" t="e">
        <f>RANK(AX28, $K$7:AX$36)</f>
        <v>#DIV/0!</v>
      </c>
      <c r="BB28" s="359" t="e">
        <f t="shared" si="0"/>
        <v>#N/A</v>
      </c>
    </row>
    <row r="29" spans="2:54">
      <c r="B29" s="667"/>
      <c r="C29" s="545">
        <v>23</v>
      </c>
      <c r="D29" s="569"/>
      <c r="E29" s="569"/>
      <c r="F29" s="569"/>
      <c r="G29" s="569"/>
      <c r="H29" s="669"/>
      <c r="I29" s="547"/>
      <c r="J29" s="547"/>
      <c r="K29" s="200"/>
      <c r="L29" s="641"/>
      <c r="M29" s="547" t="e">
        <f>RANK(K29, K$147:$K$176)</f>
        <v>#DIV/0!</v>
      </c>
      <c r="N29" s="659"/>
      <c r="O29" s="659"/>
      <c r="P29" s="545"/>
      <c r="Q29" s="545"/>
      <c r="R29" s="546"/>
      <c r="S29" s="545" t="e">
        <f t="shared" si="4"/>
        <v>#N/A</v>
      </c>
      <c r="T29" s="681"/>
      <c r="U29" s="545"/>
      <c r="V29" s="545"/>
      <c r="W29" s="546"/>
      <c r="X29" s="545" t="e">
        <f t="shared" si="5"/>
        <v>#N/A</v>
      </c>
      <c r="Y29" s="681"/>
      <c r="Z29" s="545"/>
      <c r="AA29" s="545"/>
      <c r="AB29" s="546"/>
      <c r="AC29" s="545" t="e">
        <f t="shared" si="6"/>
        <v>#N/A</v>
      </c>
      <c r="AD29" s="681"/>
      <c r="AE29" s="545"/>
      <c r="AF29" s="545"/>
      <c r="AG29" s="546"/>
      <c r="AH29" s="545" t="e">
        <f t="shared" si="7"/>
        <v>#N/A</v>
      </c>
      <c r="AI29" s="681"/>
      <c r="AJ29" s="545"/>
      <c r="AK29" s="545"/>
      <c r="AL29" s="546"/>
      <c r="AM29" s="545" t="e">
        <f t="shared" si="8"/>
        <v>#N/A</v>
      </c>
      <c r="AN29" s="681"/>
      <c r="AO29" s="545"/>
      <c r="AP29" s="545"/>
      <c r="AQ29" s="546"/>
      <c r="AR29" s="545" t="e">
        <f t="shared" si="9"/>
        <v>#N/A</v>
      </c>
      <c r="AS29" s="681"/>
      <c r="AT29" s="182"/>
      <c r="AU29" s="182"/>
      <c r="AV29" s="182"/>
      <c r="AW29" s="545" t="e">
        <f t="shared" si="10"/>
        <v>#N/A</v>
      </c>
      <c r="AX29" s="681"/>
      <c r="AZ29" s="361" t="e">
        <f>RANK(AX29, $K$7:AX$36)</f>
        <v>#DIV/0!</v>
      </c>
      <c r="BB29" s="359" t="e">
        <f t="shared" si="0"/>
        <v>#N/A</v>
      </c>
    </row>
    <row r="30" spans="2:54">
      <c r="B30" s="667"/>
      <c r="C30" s="545">
        <v>24</v>
      </c>
      <c r="D30" s="569"/>
      <c r="E30" s="569"/>
      <c r="F30" s="569"/>
      <c r="G30" s="569"/>
      <c r="H30" s="669"/>
      <c r="I30" s="547"/>
      <c r="J30" s="547"/>
      <c r="K30" s="200"/>
      <c r="L30" s="641"/>
      <c r="M30" s="547" t="e">
        <f>RANK(K30, K$147:$K$176)</f>
        <v>#DIV/0!</v>
      </c>
      <c r="N30" s="659"/>
      <c r="O30" s="659"/>
      <c r="P30" s="545"/>
      <c r="Q30" s="545"/>
      <c r="R30" s="545"/>
      <c r="S30" s="545" t="e">
        <f t="shared" si="4"/>
        <v>#N/A</v>
      </c>
      <c r="T30" s="681"/>
      <c r="U30" s="545"/>
      <c r="V30" s="545"/>
      <c r="W30" s="545"/>
      <c r="X30" s="545" t="e">
        <f t="shared" si="5"/>
        <v>#N/A</v>
      </c>
      <c r="Y30" s="681"/>
      <c r="Z30" s="545"/>
      <c r="AA30" s="545"/>
      <c r="AB30" s="545"/>
      <c r="AC30" s="545" t="e">
        <f t="shared" si="6"/>
        <v>#N/A</v>
      </c>
      <c r="AD30" s="681"/>
      <c r="AE30" s="545"/>
      <c r="AF30" s="545"/>
      <c r="AG30" s="545"/>
      <c r="AH30" s="545" t="e">
        <f t="shared" si="7"/>
        <v>#N/A</v>
      </c>
      <c r="AI30" s="681"/>
      <c r="AJ30" s="545"/>
      <c r="AK30" s="545"/>
      <c r="AL30" s="545"/>
      <c r="AM30" s="545" t="e">
        <f t="shared" si="8"/>
        <v>#N/A</v>
      </c>
      <c r="AN30" s="681"/>
      <c r="AO30" s="545"/>
      <c r="AP30" s="545"/>
      <c r="AQ30" s="545"/>
      <c r="AR30" s="545" t="e">
        <f t="shared" si="9"/>
        <v>#N/A</v>
      </c>
      <c r="AS30" s="681"/>
      <c r="AT30" s="182"/>
      <c r="AU30" s="182"/>
      <c r="AV30" s="182"/>
      <c r="AW30" s="545" t="e">
        <f t="shared" si="10"/>
        <v>#N/A</v>
      </c>
      <c r="AX30" s="681"/>
      <c r="AZ30" s="361" t="e">
        <f>RANK(AX30, $K$7:AX$36)</f>
        <v>#DIV/0!</v>
      </c>
      <c r="BB30" s="359" t="e">
        <f t="shared" si="0"/>
        <v>#N/A</v>
      </c>
    </row>
    <row r="31" spans="2:54">
      <c r="B31" s="667"/>
      <c r="C31" s="545">
        <v>25</v>
      </c>
      <c r="D31" s="569"/>
      <c r="E31" s="569"/>
      <c r="F31" s="569"/>
      <c r="G31" s="569"/>
      <c r="H31" s="669"/>
      <c r="I31" s="202"/>
      <c r="J31" s="202"/>
      <c r="K31" s="202"/>
      <c r="L31" s="641"/>
      <c r="M31" s="547" t="e">
        <f>RANK(K31, K$147:$K$176)</f>
        <v>#DIV/0!</v>
      </c>
      <c r="N31" s="659"/>
      <c r="O31" s="659"/>
      <c r="P31" s="545"/>
      <c r="Q31" s="545"/>
      <c r="R31" s="545"/>
      <c r="S31" s="545" t="e">
        <f t="shared" si="4"/>
        <v>#N/A</v>
      </c>
      <c r="T31" s="681"/>
      <c r="U31" s="545"/>
      <c r="V31" s="545"/>
      <c r="W31" s="545"/>
      <c r="X31" s="545" t="e">
        <f t="shared" si="5"/>
        <v>#N/A</v>
      </c>
      <c r="Y31" s="681"/>
      <c r="Z31" s="545"/>
      <c r="AA31" s="545"/>
      <c r="AB31" s="545"/>
      <c r="AC31" s="545" t="e">
        <f t="shared" si="6"/>
        <v>#N/A</v>
      </c>
      <c r="AD31" s="681"/>
      <c r="AE31" s="545"/>
      <c r="AF31" s="545"/>
      <c r="AG31" s="545"/>
      <c r="AH31" s="545" t="e">
        <f t="shared" si="7"/>
        <v>#N/A</v>
      </c>
      <c r="AI31" s="681"/>
      <c r="AJ31" s="545"/>
      <c r="AK31" s="545"/>
      <c r="AL31" s="545"/>
      <c r="AM31" s="545" t="e">
        <f t="shared" si="8"/>
        <v>#N/A</v>
      </c>
      <c r="AN31" s="681"/>
      <c r="AO31" s="545"/>
      <c r="AP31" s="545"/>
      <c r="AQ31" s="545"/>
      <c r="AR31" s="545" t="e">
        <f t="shared" si="9"/>
        <v>#N/A</v>
      </c>
      <c r="AS31" s="681"/>
      <c r="AT31" s="545"/>
      <c r="AU31" s="545"/>
      <c r="AV31" s="545"/>
      <c r="AW31" s="545" t="e">
        <f t="shared" si="10"/>
        <v>#N/A</v>
      </c>
      <c r="AX31" s="681"/>
      <c r="AZ31" s="361" t="e">
        <f>RANK(AX31, $K$7:AX$36)</f>
        <v>#DIV/0!</v>
      </c>
      <c r="BB31" s="359" t="e">
        <f t="shared" si="0"/>
        <v>#N/A</v>
      </c>
    </row>
    <row r="32" spans="2:54">
      <c r="B32" s="667"/>
      <c r="C32" s="545">
        <v>26</v>
      </c>
      <c r="D32" s="569"/>
      <c r="E32" s="569"/>
      <c r="F32" s="569"/>
      <c r="G32" s="569"/>
      <c r="H32" s="669"/>
      <c r="I32" s="202"/>
      <c r="J32" s="202"/>
      <c r="K32" s="202"/>
      <c r="L32" s="641"/>
      <c r="M32" s="547" t="e">
        <f>RANK(K32, K$147:$K$176)</f>
        <v>#DIV/0!</v>
      </c>
      <c r="N32" s="659"/>
      <c r="O32" s="659"/>
      <c r="P32" s="545"/>
      <c r="Q32" s="545"/>
      <c r="R32" s="545"/>
      <c r="S32" s="545" t="e">
        <f t="shared" si="4"/>
        <v>#N/A</v>
      </c>
      <c r="T32" s="681"/>
      <c r="U32" s="545"/>
      <c r="V32" s="545"/>
      <c r="W32" s="545"/>
      <c r="X32" s="545" t="e">
        <f t="shared" si="5"/>
        <v>#N/A</v>
      </c>
      <c r="Y32" s="681"/>
      <c r="Z32" s="545"/>
      <c r="AA32" s="545"/>
      <c r="AB32" s="545"/>
      <c r="AC32" s="545" t="e">
        <f t="shared" si="6"/>
        <v>#N/A</v>
      </c>
      <c r="AD32" s="681"/>
      <c r="AE32" s="545"/>
      <c r="AF32" s="545"/>
      <c r="AG32" s="545"/>
      <c r="AH32" s="545" t="e">
        <f t="shared" si="7"/>
        <v>#N/A</v>
      </c>
      <c r="AI32" s="681"/>
      <c r="AJ32" s="545"/>
      <c r="AK32" s="545"/>
      <c r="AL32" s="545"/>
      <c r="AM32" s="545" t="e">
        <f t="shared" si="8"/>
        <v>#N/A</v>
      </c>
      <c r="AN32" s="681"/>
      <c r="AO32" s="545"/>
      <c r="AP32" s="545"/>
      <c r="AQ32" s="545"/>
      <c r="AR32" s="545" t="e">
        <f t="shared" si="9"/>
        <v>#N/A</v>
      </c>
      <c r="AS32" s="681"/>
      <c r="AT32" s="545"/>
      <c r="AU32" s="545"/>
      <c r="AV32" s="545"/>
      <c r="AW32" s="545" t="e">
        <f t="shared" si="10"/>
        <v>#N/A</v>
      </c>
      <c r="AX32" s="681"/>
      <c r="AZ32" s="361" t="e">
        <f>RANK(AX32, $K$7:AX$36)</f>
        <v>#DIV/0!</v>
      </c>
      <c r="BB32" s="359" t="e">
        <f t="shared" si="0"/>
        <v>#N/A</v>
      </c>
    </row>
    <row r="33" spans="2:54">
      <c r="B33" s="667"/>
      <c r="C33" s="545">
        <v>27</v>
      </c>
      <c r="D33" s="569"/>
      <c r="E33" s="569"/>
      <c r="F33" s="569"/>
      <c r="G33" s="569"/>
      <c r="H33" s="669"/>
      <c r="I33" s="202"/>
      <c r="J33" s="202"/>
      <c r="K33" s="202"/>
      <c r="L33" s="641"/>
      <c r="M33" s="547" t="e">
        <f>RANK(K33, K$147:$K$176)</f>
        <v>#DIV/0!</v>
      </c>
      <c r="N33" s="659"/>
      <c r="O33" s="659"/>
      <c r="P33" s="545"/>
      <c r="Q33" s="545"/>
      <c r="R33" s="545"/>
      <c r="S33" s="545" t="e">
        <f t="shared" si="4"/>
        <v>#N/A</v>
      </c>
      <c r="T33" s="681"/>
      <c r="U33" s="545"/>
      <c r="V33" s="545"/>
      <c r="W33" s="545"/>
      <c r="X33" s="545" t="e">
        <f t="shared" si="5"/>
        <v>#N/A</v>
      </c>
      <c r="Y33" s="681"/>
      <c r="Z33" s="545"/>
      <c r="AA33" s="545"/>
      <c r="AB33" s="545"/>
      <c r="AC33" s="545" t="e">
        <f t="shared" si="6"/>
        <v>#N/A</v>
      </c>
      <c r="AD33" s="681"/>
      <c r="AE33" s="545"/>
      <c r="AF33" s="545"/>
      <c r="AG33" s="545"/>
      <c r="AH33" s="545" t="e">
        <f t="shared" si="7"/>
        <v>#N/A</v>
      </c>
      <c r="AI33" s="681"/>
      <c r="AJ33" s="545"/>
      <c r="AK33" s="545"/>
      <c r="AL33" s="545"/>
      <c r="AM33" s="545" t="e">
        <f t="shared" si="8"/>
        <v>#N/A</v>
      </c>
      <c r="AN33" s="681"/>
      <c r="AO33" s="545"/>
      <c r="AP33" s="545"/>
      <c r="AQ33" s="545"/>
      <c r="AR33" s="545" t="e">
        <f t="shared" si="9"/>
        <v>#N/A</v>
      </c>
      <c r="AS33" s="681"/>
      <c r="AT33" s="545"/>
      <c r="AU33" s="545"/>
      <c r="AV33" s="545"/>
      <c r="AW33" s="545" t="e">
        <f t="shared" si="10"/>
        <v>#N/A</v>
      </c>
      <c r="AX33" s="681"/>
      <c r="AZ33" s="361" t="e">
        <f>RANK(AX33, $K$7:AX$36)</f>
        <v>#DIV/0!</v>
      </c>
      <c r="BB33" s="359" t="e">
        <f t="shared" si="0"/>
        <v>#N/A</v>
      </c>
    </row>
    <row r="34" spans="2:54">
      <c r="B34" s="667"/>
      <c r="C34" s="545">
        <v>28</v>
      </c>
      <c r="D34" s="569"/>
      <c r="E34" s="569"/>
      <c r="F34" s="569"/>
      <c r="G34" s="569"/>
      <c r="H34" s="669"/>
      <c r="I34" s="202"/>
      <c r="J34" s="202"/>
      <c r="K34" s="202"/>
      <c r="L34" s="641"/>
      <c r="M34" s="547" t="e">
        <f>RANK(K34, K$147:$K$176)</f>
        <v>#DIV/0!</v>
      </c>
      <c r="N34" s="659"/>
      <c r="O34" s="659"/>
      <c r="P34" s="545"/>
      <c r="Q34" s="545"/>
      <c r="R34" s="545"/>
      <c r="S34" s="545" t="e">
        <f t="shared" si="4"/>
        <v>#N/A</v>
      </c>
      <c r="T34" s="681"/>
      <c r="U34" s="545"/>
      <c r="V34" s="545"/>
      <c r="W34" s="545"/>
      <c r="X34" s="545" t="e">
        <f t="shared" si="5"/>
        <v>#N/A</v>
      </c>
      <c r="Y34" s="681"/>
      <c r="Z34" s="545"/>
      <c r="AA34" s="545"/>
      <c r="AB34" s="545"/>
      <c r="AC34" s="545" t="e">
        <f t="shared" si="6"/>
        <v>#N/A</v>
      </c>
      <c r="AD34" s="681"/>
      <c r="AE34" s="545"/>
      <c r="AF34" s="545"/>
      <c r="AG34" s="545"/>
      <c r="AH34" s="545" t="e">
        <f t="shared" si="7"/>
        <v>#N/A</v>
      </c>
      <c r="AI34" s="681"/>
      <c r="AJ34" s="545"/>
      <c r="AK34" s="545"/>
      <c r="AL34" s="545"/>
      <c r="AM34" s="545" t="e">
        <f t="shared" si="8"/>
        <v>#N/A</v>
      </c>
      <c r="AN34" s="681"/>
      <c r="AO34" s="545"/>
      <c r="AP34" s="545"/>
      <c r="AQ34" s="545"/>
      <c r="AR34" s="545" t="e">
        <f t="shared" si="9"/>
        <v>#N/A</v>
      </c>
      <c r="AS34" s="681"/>
      <c r="AT34" s="545"/>
      <c r="AU34" s="545"/>
      <c r="AV34" s="545"/>
      <c r="AW34" s="545" t="e">
        <f t="shared" si="10"/>
        <v>#N/A</v>
      </c>
      <c r="AX34" s="681"/>
      <c r="AZ34" s="361" t="e">
        <f>RANK(AX34, $K$7:AX$36)</f>
        <v>#DIV/0!</v>
      </c>
      <c r="BB34" s="359" t="e">
        <f t="shared" si="0"/>
        <v>#N/A</v>
      </c>
    </row>
    <row r="35" spans="2:54">
      <c r="B35" s="667"/>
      <c r="C35" s="545">
        <v>29</v>
      </c>
      <c r="D35" s="569"/>
      <c r="E35" s="569"/>
      <c r="F35" s="569"/>
      <c r="G35" s="569"/>
      <c r="H35" s="669"/>
      <c r="I35" s="202"/>
      <c r="J35" s="202"/>
      <c r="K35" s="202"/>
      <c r="L35" s="641"/>
      <c r="M35" s="547" t="e">
        <f>RANK(K35, K$147:$K$176)</f>
        <v>#DIV/0!</v>
      </c>
      <c r="N35" s="659"/>
      <c r="O35" s="659"/>
      <c r="P35" s="545"/>
      <c r="Q35" s="545"/>
      <c r="R35" s="545"/>
      <c r="S35" s="545" t="e">
        <f t="shared" si="4"/>
        <v>#N/A</v>
      </c>
      <c r="T35" s="681"/>
      <c r="U35" s="545"/>
      <c r="V35" s="545"/>
      <c r="W35" s="545"/>
      <c r="X35" s="545" t="e">
        <f t="shared" si="5"/>
        <v>#N/A</v>
      </c>
      <c r="Y35" s="681"/>
      <c r="Z35" s="545"/>
      <c r="AA35" s="545"/>
      <c r="AB35" s="545"/>
      <c r="AC35" s="545" t="e">
        <f t="shared" si="6"/>
        <v>#N/A</v>
      </c>
      <c r="AD35" s="681"/>
      <c r="AE35" s="545"/>
      <c r="AF35" s="545"/>
      <c r="AG35" s="545"/>
      <c r="AH35" s="545" t="e">
        <f t="shared" si="7"/>
        <v>#N/A</v>
      </c>
      <c r="AI35" s="681"/>
      <c r="AJ35" s="545"/>
      <c r="AK35" s="545"/>
      <c r="AL35" s="545"/>
      <c r="AM35" s="545" t="e">
        <f t="shared" si="8"/>
        <v>#N/A</v>
      </c>
      <c r="AN35" s="681"/>
      <c r="AO35" s="545"/>
      <c r="AP35" s="545"/>
      <c r="AQ35" s="545"/>
      <c r="AR35" s="545" t="e">
        <f t="shared" si="9"/>
        <v>#N/A</v>
      </c>
      <c r="AS35" s="681"/>
      <c r="AT35" s="545"/>
      <c r="AU35" s="545"/>
      <c r="AV35" s="545"/>
      <c r="AW35" s="545" t="e">
        <f t="shared" si="10"/>
        <v>#N/A</v>
      </c>
      <c r="AX35" s="681"/>
      <c r="AZ35" s="361" t="e">
        <f>RANK(AX35, $K$7:AX$36)</f>
        <v>#DIV/0!</v>
      </c>
      <c r="BB35" s="359" t="e">
        <f t="shared" si="0"/>
        <v>#N/A</v>
      </c>
    </row>
    <row r="36" spans="2:54">
      <c r="B36" s="667"/>
      <c r="C36" s="545">
        <v>30</v>
      </c>
      <c r="D36" s="569"/>
      <c r="E36" s="569"/>
      <c r="F36" s="569"/>
      <c r="G36" s="569"/>
      <c r="H36" s="670"/>
      <c r="I36" s="202"/>
      <c r="J36" s="202"/>
      <c r="K36" s="202"/>
      <c r="L36" s="642"/>
      <c r="M36" s="547" t="e">
        <f>RANK(K36, K$147:$K$176)</f>
        <v>#DIV/0!</v>
      </c>
      <c r="N36" s="659"/>
      <c r="O36" s="659"/>
      <c r="P36" s="545"/>
      <c r="Q36" s="545"/>
      <c r="R36" s="545"/>
      <c r="S36" s="545" t="e">
        <f t="shared" si="4"/>
        <v>#N/A</v>
      </c>
      <c r="T36" s="681"/>
      <c r="U36" s="545"/>
      <c r="V36" s="545"/>
      <c r="W36" s="545"/>
      <c r="X36" s="545" t="e">
        <f t="shared" si="5"/>
        <v>#N/A</v>
      </c>
      <c r="Y36" s="681"/>
      <c r="Z36" s="545"/>
      <c r="AA36" s="545"/>
      <c r="AB36" s="545"/>
      <c r="AC36" s="545" t="e">
        <f t="shared" si="6"/>
        <v>#N/A</v>
      </c>
      <c r="AD36" s="681"/>
      <c r="AE36" s="545"/>
      <c r="AF36" s="545"/>
      <c r="AG36" s="545"/>
      <c r="AH36" s="545" t="e">
        <f t="shared" si="7"/>
        <v>#N/A</v>
      </c>
      <c r="AI36" s="681"/>
      <c r="AJ36" s="545"/>
      <c r="AK36" s="545"/>
      <c r="AL36" s="545"/>
      <c r="AM36" s="545" t="e">
        <f t="shared" si="8"/>
        <v>#N/A</v>
      </c>
      <c r="AN36" s="681"/>
      <c r="AO36" s="545"/>
      <c r="AP36" s="545"/>
      <c r="AQ36" s="545"/>
      <c r="AR36" s="545" t="e">
        <f t="shared" si="9"/>
        <v>#N/A</v>
      </c>
      <c r="AS36" s="681"/>
      <c r="AT36" s="545"/>
      <c r="AU36" s="545"/>
      <c r="AV36" s="545"/>
      <c r="AW36" s="545" t="e">
        <f t="shared" si="10"/>
        <v>#N/A</v>
      </c>
      <c r="AX36" s="681"/>
      <c r="AZ36" s="449" t="e">
        <f>RANK(AX36, $K$7:AX$36)</f>
        <v>#DIV/0!</v>
      </c>
      <c r="BB36" s="359" t="e">
        <f t="shared" si="0"/>
        <v>#N/A</v>
      </c>
    </row>
    <row r="37" spans="2:54" ht="15.75">
      <c r="B37" s="685" t="s">
        <v>163</v>
      </c>
      <c r="C37" s="686"/>
      <c r="D37" s="686"/>
      <c r="E37" s="686"/>
      <c r="F37" s="686"/>
      <c r="G37" s="686"/>
      <c r="H37" s="686"/>
      <c r="I37" s="203"/>
      <c r="J37" s="203"/>
      <c r="K37" s="203"/>
      <c r="L37" s="203"/>
      <c r="M37" s="204"/>
      <c r="N37" s="660" t="s">
        <v>156</v>
      </c>
      <c r="O37" s="660" t="s">
        <v>155</v>
      </c>
      <c r="P37" s="666">
        <f>P2+7</f>
        <v>46091</v>
      </c>
      <c r="Q37" s="667"/>
      <c r="R37" s="667"/>
      <c r="S37" s="667"/>
      <c r="T37" s="667"/>
      <c r="U37" s="666">
        <f>P37+1</f>
        <v>46092</v>
      </c>
      <c r="V37" s="667"/>
      <c r="W37" s="667"/>
      <c r="X37" s="667"/>
      <c r="Y37" s="667"/>
      <c r="Z37" s="666">
        <f>U37+1</f>
        <v>46093</v>
      </c>
      <c r="AA37" s="667"/>
      <c r="AB37" s="667"/>
      <c r="AC37" s="667"/>
      <c r="AD37" s="667"/>
      <c r="AE37" s="666">
        <f>Z37+1</f>
        <v>46094</v>
      </c>
      <c r="AF37" s="667"/>
      <c r="AG37" s="667"/>
      <c r="AH37" s="667"/>
      <c r="AI37" s="667"/>
      <c r="AJ37" s="666">
        <f>AE37+1</f>
        <v>46095</v>
      </c>
      <c r="AK37" s="667"/>
      <c r="AL37" s="667"/>
      <c r="AM37" s="667"/>
      <c r="AN37" s="667"/>
      <c r="AO37" s="666">
        <f>AJ37+1</f>
        <v>46096</v>
      </c>
      <c r="AP37" s="667"/>
      <c r="AQ37" s="667"/>
      <c r="AR37" s="667"/>
      <c r="AS37" s="667"/>
      <c r="AT37" s="666">
        <f>AO37+1</f>
        <v>46097</v>
      </c>
      <c r="AU37" s="667"/>
      <c r="AV37" s="667"/>
      <c r="AW37" s="667"/>
      <c r="AX37" s="667"/>
    </row>
    <row r="38" spans="2:54" ht="15.75">
      <c r="B38" s="674"/>
      <c r="C38" s="674"/>
      <c r="D38" s="674"/>
      <c r="E38" s="674"/>
      <c r="F38" s="674"/>
      <c r="G38" s="674"/>
      <c r="H38" s="674"/>
      <c r="I38" s="205"/>
      <c r="J38" s="205"/>
      <c r="K38" s="205"/>
      <c r="L38" s="205"/>
      <c r="M38" s="206"/>
      <c r="N38" s="662"/>
      <c r="O38" s="662"/>
      <c r="P38" s="666" t="s">
        <v>336</v>
      </c>
      <c r="Q38" s="667"/>
      <c r="R38" s="667"/>
      <c r="S38" s="667"/>
      <c r="T38" s="667"/>
      <c r="U38" s="666" t="s">
        <v>337</v>
      </c>
      <c r="V38" s="667"/>
      <c r="W38" s="667"/>
      <c r="X38" s="667"/>
      <c r="Y38" s="667"/>
      <c r="Z38" s="666" t="s">
        <v>338</v>
      </c>
      <c r="AA38" s="667"/>
      <c r="AB38" s="667"/>
      <c r="AC38" s="667"/>
      <c r="AD38" s="667"/>
      <c r="AE38" s="666" t="s">
        <v>339</v>
      </c>
      <c r="AF38" s="667"/>
      <c r="AG38" s="667"/>
      <c r="AH38" s="667"/>
      <c r="AI38" s="667"/>
      <c r="AJ38" s="666" t="s">
        <v>340</v>
      </c>
      <c r="AK38" s="667"/>
      <c r="AL38" s="667"/>
      <c r="AM38" s="667"/>
      <c r="AN38" s="667"/>
      <c r="AO38" s="666" t="s">
        <v>341</v>
      </c>
      <c r="AP38" s="667"/>
      <c r="AQ38" s="667"/>
      <c r="AR38" s="667"/>
      <c r="AS38" s="667"/>
      <c r="AT38" s="666" t="s">
        <v>342</v>
      </c>
      <c r="AU38" s="667"/>
      <c r="AV38" s="667"/>
      <c r="AW38" s="667"/>
      <c r="AX38" s="667"/>
    </row>
    <row r="39" spans="2:54">
      <c r="B39" s="660" t="s">
        <v>502</v>
      </c>
      <c r="C39" s="675" t="s">
        <v>503</v>
      </c>
      <c r="D39" s="678"/>
      <c r="E39" s="656" t="s">
        <v>504</v>
      </c>
      <c r="F39" s="657"/>
      <c r="G39" s="658"/>
      <c r="H39" s="660" t="s">
        <v>416</v>
      </c>
      <c r="I39" s="647" t="s">
        <v>421</v>
      </c>
      <c r="J39" s="648"/>
      <c r="K39" s="649"/>
      <c r="L39" s="650" t="s">
        <v>416</v>
      </c>
      <c r="M39" s="650" t="s">
        <v>417</v>
      </c>
      <c r="N39" s="660"/>
      <c r="O39" s="660" t="s">
        <v>505</v>
      </c>
      <c r="P39" s="656" t="s">
        <v>506</v>
      </c>
      <c r="Q39" s="657"/>
      <c r="R39" s="657"/>
      <c r="S39" s="658"/>
      <c r="T39" s="660" t="s">
        <v>416</v>
      </c>
      <c r="U39" s="656" t="s">
        <v>418</v>
      </c>
      <c r="V39" s="657"/>
      <c r="W39" s="657"/>
      <c r="X39" s="658"/>
      <c r="Y39" s="660" t="s">
        <v>416</v>
      </c>
      <c r="Z39" s="656" t="s">
        <v>418</v>
      </c>
      <c r="AA39" s="657"/>
      <c r="AB39" s="657"/>
      <c r="AC39" s="658"/>
      <c r="AD39" s="660" t="s">
        <v>507</v>
      </c>
      <c r="AE39" s="656" t="s">
        <v>418</v>
      </c>
      <c r="AF39" s="657"/>
      <c r="AG39" s="657"/>
      <c r="AH39" s="658"/>
      <c r="AI39" s="660" t="s">
        <v>416</v>
      </c>
      <c r="AJ39" s="656" t="s">
        <v>418</v>
      </c>
      <c r="AK39" s="657"/>
      <c r="AL39" s="657"/>
      <c r="AM39" s="658"/>
      <c r="AN39" s="660" t="s">
        <v>507</v>
      </c>
      <c r="AO39" s="656" t="s">
        <v>506</v>
      </c>
      <c r="AP39" s="657"/>
      <c r="AQ39" s="657"/>
      <c r="AR39" s="658"/>
      <c r="AS39" s="660" t="s">
        <v>507</v>
      </c>
      <c r="AT39" s="656" t="s">
        <v>506</v>
      </c>
      <c r="AU39" s="657"/>
      <c r="AV39" s="657"/>
      <c r="AW39" s="658"/>
      <c r="AX39" s="660" t="s">
        <v>507</v>
      </c>
    </row>
    <row r="40" spans="2:54">
      <c r="B40" s="661"/>
      <c r="C40" s="676"/>
      <c r="D40" s="679"/>
      <c r="E40" s="656" t="s">
        <v>423</v>
      </c>
      <c r="F40" s="657"/>
      <c r="G40" s="658"/>
      <c r="H40" s="661"/>
      <c r="I40" s="647" t="s">
        <v>423</v>
      </c>
      <c r="J40" s="648"/>
      <c r="K40" s="649"/>
      <c r="L40" s="651"/>
      <c r="M40" s="651"/>
      <c r="N40" s="661"/>
      <c r="O40" s="661"/>
      <c r="P40" s="656" t="s">
        <v>424</v>
      </c>
      <c r="Q40" s="657"/>
      <c r="R40" s="657"/>
      <c r="S40" s="658"/>
      <c r="T40" s="661"/>
      <c r="U40" s="656" t="s">
        <v>508</v>
      </c>
      <c r="V40" s="657"/>
      <c r="W40" s="657"/>
      <c r="X40" s="658"/>
      <c r="Y40" s="661"/>
      <c r="Z40" s="656" t="s">
        <v>508</v>
      </c>
      <c r="AA40" s="657"/>
      <c r="AB40" s="657"/>
      <c r="AC40" s="658"/>
      <c r="AD40" s="661"/>
      <c r="AE40" s="656" t="s">
        <v>424</v>
      </c>
      <c r="AF40" s="657"/>
      <c r="AG40" s="657"/>
      <c r="AH40" s="658"/>
      <c r="AI40" s="661"/>
      <c r="AJ40" s="656" t="s">
        <v>424</v>
      </c>
      <c r="AK40" s="657"/>
      <c r="AL40" s="657"/>
      <c r="AM40" s="658"/>
      <c r="AN40" s="661"/>
      <c r="AO40" s="656" t="s">
        <v>424</v>
      </c>
      <c r="AP40" s="657"/>
      <c r="AQ40" s="657"/>
      <c r="AR40" s="658"/>
      <c r="AS40" s="661"/>
      <c r="AT40" s="656" t="s">
        <v>424</v>
      </c>
      <c r="AU40" s="657"/>
      <c r="AV40" s="657"/>
      <c r="AW40" s="658"/>
      <c r="AX40" s="661"/>
    </row>
    <row r="41" spans="2:54">
      <c r="B41" s="662"/>
      <c r="C41" s="677"/>
      <c r="D41" s="680"/>
      <c r="E41" s="320" t="s">
        <v>425</v>
      </c>
      <c r="F41" s="320" t="s">
        <v>426</v>
      </c>
      <c r="G41" s="320" t="s">
        <v>509</v>
      </c>
      <c r="H41" s="662"/>
      <c r="I41" s="319" t="s">
        <v>425</v>
      </c>
      <c r="J41" s="319" t="s">
        <v>426</v>
      </c>
      <c r="K41" s="319" t="s">
        <v>427</v>
      </c>
      <c r="L41" s="652"/>
      <c r="M41" s="652"/>
      <c r="N41" s="661"/>
      <c r="O41" s="661"/>
      <c r="P41" s="320" t="s">
        <v>425</v>
      </c>
      <c r="Q41" s="320" t="s">
        <v>510</v>
      </c>
      <c r="R41" s="320" t="s">
        <v>427</v>
      </c>
      <c r="S41" s="320" t="s">
        <v>417</v>
      </c>
      <c r="T41" s="662"/>
      <c r="U41" s="320" t="s">
        <v>425</v>
      </c>
      <c r="V41" s="320" t="s">
        <v>426</v>
      </c>
      <c r="W41" s="320" t="s">
        <v>427</v>
      </c>
      <c r="X41" s="320" t="s">
        <v>511</v>
      </c>
      <c r="Y41" s="662"/>
      <c r="Z41" s="320" t="s">
        <v>512</v>
      </c>
      <c r="AA41" s="320" t="s">
        <v>426</v>
      </c>
      <c r="AB41" s="320" t="s">
        <v>427</v>
      </c>
      <c r="AC41" s="320" t="s">
        <v>511</v>
      </c>
      <c r="AD41" s="662"/>
      <c r="AE41" s="320" t="s">
        <v>425</v>
      </c>
      <c r="AF41" s="320" t="s">
        <v>426</v>
      </c>
      <c r="AG41" s="320" t="s">
        <v>427</v>
      </c>
      <c r="AH41" s="320" t="s">
        <v>511</v>
      </c>
      <c r="AI41" s="662"/>
      <c r="AJ41" s="320" t="s">
        <v>512</v>
      </c>
      <c r="AK41" s="320" t="s">
        <v>426</v>
      </c>
      <c r="AL41" s="320" t="s">
        <v>427</v>
      </c>
      <c r="AM41" s="320" t="s">
        <v>417</v>
      </c>
      <c r="AN41" s="662"/>
      <c r="AO41" s="320" t="s">
        <v>512</v>
      </c>
      <c r="AP41" s="320" t="s">
        <v>426</v>
      </c>
      <c r="AQ41" s="320" t="s">
        <v>427</v>
      </c>
      <c r="AR41" s="320" t="s">
        <v>511</v>
      </c>
      <c r="AS41" s="662"/>
      <c r="AT41" s="320" t="s">
        <v>512</v>
      </c>
      <c r="AU41" s="320" t="s">
        <v>426</v>
      </c>
      <c r="AV41" s="320" t="s">
        <v>427</v>
      </c>
      <c r="AW41" s="320" t="s">
        <v>511</v>
      </c>
      <c r="AX41" s="662"/>
    </row>
    <row r="42" spans="2:54">
      <c r="B42" s="682" t="s">
        <v>150</v>
      </c>
      <c r="C42" s="321">
        <v>1</v>
      </c>
      <c r="D42" s="569"/>
      <c r="E42" s="569"/>
      <c r="F42" s="569"/>
      <c r="G42" s="182"/>
      <c r="H42" s="668" t="e">
        <f>AVERAGE(G42:G71)</f>
        <v>#DIV/0!</v>
      </c>
      <c r="I42" s="199" t="e">
        <f>AVERAGE(P42,U42,Z42,AE42,AJ42,AO42,AT42)</f>
        <v>#DIV/0!</v>
      </c>
      <c r="J42" s="199" t="e">
        <f>AVERAGE(Q42,V42,AA42,AF42,AK42,AP42,AU42)</f>
        <v>#DIV/0!</v>
      </c>
      <c r="K42" s="200" t="e">
        <f>AVERAGE(R42,W42,AB42,AG42,AL42,AQ42,AV42)</f>
        <v>#DIV/0!</v>
      </c>
      <c r="L42" s="653" t="str">
        <f>IFERROR(AVERAGE(K42:K71),"-")</f>
        <v>-</v>
      </c>
      <c r="M42" s="199" t="e">
        <f>RANK(K42, K$42:$K$71)</f>
        <v>#DIV/0!</v>
      </c>
      <c r="N42" s="661"/>
      <c r="O42" s="661"/>
      <c r="P42" s="425"/>
      <c r="Q42" s="182"/>
      <c r="R42" s="182"/>
      <c r="S42" s="321" t="e">
        <f t="shared" ref="S42:S71" si="17">RANK(R42, R$42:R$71)</f>
        <v>#N/A</v>
      </c>
      <c r="T42" s="668" t="e">
        <f>AVERAGE(R42:R71)</f>
        <v>#DIV/0!</v>
      </c>
      <c r="U42" s="425"/>
      <c r="V42" s="182"/>
      <c r="W42" s="182"/>
      <c r="X42" s="475" t="e">
        <f t="shared" ref="X42:X71" si="18">RANK(W42, W$42:W$71)</f>
        <v>#N/A</v>
      </c>
      <c r="Y42" s="668" t="e">
        <f t="shared" ref="Y42" si="19">AVERAGE(W42:W71)</f>
        <v>#DIV/0!</v>
      </c>
      <c r="Z42" s="425"/>
      <c r="AA42" s="182"/>
      <c r="AB42" s="182"/>
      <c r="AC42" s="475" t="e">
        <f t="shared" ref="AC42:AC71" si="20">RANK(AB42, AB$42:AB$71)</f>
        <v>#N/A</v>
      </c>
      <c r="AD42" s="668" t="e">
        <f t="shared" ref="AD42" si="21">AVERAGE(AB42:AB71)</f>
        <v>#DIV/0!</v>
      </c>
      <c r="AE42" s="425"/>
      <c r="AF42" s="182"/>
      <c r="AG42" s="182"/>
      <c r="AH42" s="475" t="e">
        <f t="shared" ref="AH42:AH71" si="22">RANK(AG42, AG$42:AG$71)</f>
        <v>#N/A</v>
      </c>
      <c r="AI42" s="668" t="e">
        <f t="shared" ref="AI42" si="23">AVERAGE(AG42:AG71)</f>
        <v>#DIV/0!</v>
      </c>
      <c r="AJ42" s="425"/>
      <c r="AK42" s="182"/>
      <c r="AL42" s="182"/>
      <c r="AM42" s="475" t="e">
        <f t="shared" ref="AM42:AM71" si="24">RANK(AL42, AL$42:AL$71)</f>
        <v>#N/A</v>
      </c>
      <c r="AN42" s="668" t="e">
        <f t="shared" ref="AN42" si="25">AVERAGE(AL42:AL71)</f>
        <v>#DIV/0!</v>
      </c>
      <c r="AO42" s="425"/>
      <c r="AP42" s="182"/>
      <c r="AQ42" s="182"/>
      <c r="AR42" s="475" t="e">
        <f t="shared" ref="AR42:AR71" si="26">RANK(AQ42, AQ$42:AQ$71)</f>
        <v>#N/A</v>
      </c>
      <c r="AS42" s="668" t="e">
        <f t="shared" ref="AS42" si="27">AVERAGE(AQ42:AQ71)</f>
        <v>#DIV/0!</v>
      </c>
      <c r="AT42" s="425"/>
      <c r="AU42" s="182"/>
      <c r="AV42" s="182"/>
      <c r="AW42" s="475" t="e">
        <f t="shared" ref="AW42:AW71" si="28">RANK(AV42, AV$42:AV$71)</f>
        <v>#N/A</v>
      </c>
      <c r="AX42" s="668" t="e">
        <f t="shared" ref="AX42" si="29">AVERAGE(AV42:AV71)</f>
        <v>#DIV/0!</v>
      </c>
    </row>
    <row r="43" spans="2:54">
      <c r="B43" s="683"/>
      <c r="C43" s="321">
        <v>2</v>
      </c>
      <c r="D43" s="571"/>
      <c r="E43" s="569"/>
      <c r="F43" s="569"/>
      <c r="G43" s="182"/>
      <c r="H43" s="669"/>
      <c r="I43" s="199" t="e">
        <f t="shared" ref="I43:I60" si="30">AVERAGE(P43,U43,Z43,AE43,AJ43,AO43,AT43)</f>
        <v>#DIV/0!</v>
      </c>
      <c r="J43" s="199" t="e">
        <f t="shared" ref="J43:J60" si="31">AVERAGE(Q43,V43,AA43,AF43,AK43,AP43,AU43)</f>
        <v>#DIV/0!</v>
      </c>
      <c r="K43" s="200" t="e">
        <f t="shared" ref="K43:K60" si="32">AVERAGE(R43,W43,AB43,AG43,AL43,AQ43,AV43)</f>
        <v>#DIV/0!</v>
      </c>
      <c r="L43" s="654"/>
      <c r="M43" s="199" t="e">
        <f>RANK(K43, K$42:$K$71)</f>
        <v>#DIV/0!</v>
      </c>
      <c r="N43" s="661"/>
      <c r="O43" s="661"/>
      <c r="P43" s="182"/>
      <c r="Q43" s="182"/>
      <c r="R43" s="182"/>
      <c r="S43" s="321" t="e">
        <f t="shared" si="17"/>
        <v>#N/A</v>
      </c>
      <c r="T43" s="669"/>
      <c r="U43" s="182"/>
      <c r="V43" s="182"/>
      <c r="W43" s="182"/>
      <c r="X43" s="475" t="e">
        <f t="shared" si="18"/>
        <v>#N/A</v>
      </c>
      <c r="Y43" s="669"/>
      <c r="Z43" s="182"/>
      <c r="AA43" s="182"/>
      <c r="AB43" s="182"/>
      <c r="AC43" s="475" t="e">
        <f t="shared" si="20"/>
        <v>#N/A</v>
      </c>
      <c r="AD43" s="669"/>
      <c r="AE43" s="182"/>
      <c r="AF43" s="182"/>
      <c r="AG43" s="182"/>
      <c r="AH43" s="475" t="e">
        <f t="shared" si="22"/>
        <v>#N/A</v>
      </c>
      <c r="AI43" s="669"/>
      <c r="AJ43" s="182"/>
      <c r="AK43" s="182"/>
      <c r="AL43" s="182"/>
      <c r="AM43" s="475" t="e">
        <f t="shared" si="24"/>
        <v>#N/A</v>
      </c>
      <c r="AN43" s="669"/>
      <c r="AO43" s="182"/>
      <c r="AP43" s="182"/>
      <c r="AQ43" s="182"/>
      <c r="AR43" s="475" t="e">
        <f t="shared" si="26"/>
        <v>#N/A</v>
      </c>
      <c r="AS43" s="669"/>
      <c r="AT43" s="182"/>
      <c r="AU43" s="182"/>
      <c r="AV43" s="182"/>
      <c r="AW43" s="475" t="e">
        <f t="shared" si="28"/>
        <v>#N/A</v>
      </c>
      <c r="AX43" s="669"/>
    </row>
    <row r="44" spans="2:54">
      <c r="B44" s="683"/>
      <c r="C44" s="321">
        <v>3</v>
      </c>
      <c r="D44" s="569"/>
      <c r="E44" s="569"/>
      <c r="F44" s="569"/>
      <c r="G44" s="182"/>
      <c r="H44" s="669"/>
      <c r="I44" s="199" t="e">
        <f t="shared" si="30"/>
        <v>#DIV/0!</v>
      </c>
      <c r="J44" s="199" t="e">
        <f t="shared" si="31"/>
        <v>#DIV/0!</v>
      </c>
      <c r="K44" s="200" t="e">
        <f t="shared" si="32"/>
        <v>#DIV/0!</v>
      </c>
      <c r="L44" s="654"/>
      <c r="M44" s="199" t="e">
        <f>RANK(K44, K$42:$K$71)</f>
        <v>#DIV/0!</v>
      </c>
      <c r="N44" s="661"/>
      <c r="O44" s="661"/>
      <c r="P44" s="182"/>
      <c r="Q44" s="182"/>
      <c r="R44" s="182"/>
      <c r="S44" s="321" t="e">
        <f t="shared" si="17"/>
        <v>#N/A</v>
      </c>
      <c r="T44" s="669"/>
      <c r="U44" s="182"/>
      <c r="V44" s="182"/>
      <c r="W44" s="182"/>
      <c r="X44" s="475" t="e">
        <f t="shared" si="18"/>
        <v>#N/A</v>
      </c>
      <c r="Y44" s="669"/>
      <c r="Z44" s="182"/>
      <c r="AA44" s="182"/>
      <c r="AB44" s="182"/>
      <c r="AC44" s="475" t="e">
        <f t="shared" si="20"/>
        <v>#N/A</v>
      </c>
      <c r="AD44" s="669"/>
      <c r="AE44" s="182"/>
      <c r="AF44" s="182"/>
      <c r="AG44" s="182"/>
      <c r="AH44" s="475" t="e">
        <f t="shared" si="22"/>
        <v>#N/A</v>
      </c>
      <c r="AI44" s="669"/>
      <c r="AJ44" s="182"/>
      <c r="AK44" s="182"/>
      <c r="AL44" s="182"/>
      <c r="AM44" s="475" t="e">
        <f t="shared" si="24"/>
        <v>#N/A</v>
      </c>
      <c r="AN44" s="669"/>
      <c r="AO44" s="182"/>
      <c r="AP44" s="182"/>
      <c r="AQ44" s="182"/>
      <c r="AR44" s="475" t="e">
        <f t="shared" si="26"/>
        <v>#N/A</v>
      </c>
      <c r="AS44" s="669"/>
      <c r="AT44" s="182"/>
      <c r="AU44" s="182"/>
      <c r="AV44" s="182"/>
      <c r="AW44" s="475" t="e">
        <f t="shared" si="28"/>
        <v>#N/A</v>
      </c>
      <c r="AX44" s="669"/>
    </row>
    <row r="45" spans="2:54">
      <c r="B45" s="683"/>
      <c r="C45" s="321">
        <v>4</v>
      </c>
      <c r="D45" s="569"/>
      <c r="E45" s="569"/>
      <c r="F45" s="569"/>
      <c r="G45" s="182"/>
      <c r="H45" s="669"/>
      <c r="I45" s="199" t="e">
        <f t="shared" si="30"/>
        <v>#DIV/0!</v>
      </c>
      <c r="J45" s="199" t="e">
        <f t="shared" si="31"/>
        <v>#DIV/0!</v>
      </c>
      <c r="K45" s="200" t="e">
        <f t="shared" si="32"/>
        <v>#DIV/0!</v>
      </c>
      <c r="L45" s="654"/>
      <c r="M45" s="199" t="e">
        <f>RANK(K45, K$42:$K$71)</f>
        <v>#DIV/0!</v>
      </c>
      <c r="N45" s="661"/>
      <c r="O45" s="661"/>
      <c r="P45" s="182"/>
      <c r="Q45" s="182"/>
      <c r="R45" s="182"/>
      <c r="S45" s="321" t="e">
        <f t="shared" si="17"/>
        <v>#N/A</v>
      </c>
      <c r="T45" s="669"/>
      <c r="U45" s="182"/>
      <c r="V45" s="182"/>
      <c r="W45" s="182"/>
      <c r="X45" s="475" t="e">
        <f t="shared" si="18"/>
        <v>#N/A</v>
      </c>
      <c r="Y45" s="669"/>
      <c r="Z45" s="182"/>
      <c r="AA45" s="182"/>
      <c r="AB45" s="182"/>
      <c r="AC45" s="475" t="e">
        <f t="shared" si="20"/>
        <v>#N/A</v>
      </c>
      <c r="AD45" s="669"/>
      <c r="AE45" s="182"/>
      <c r="AF45" s="182"/>
      <c r="AG45" s="182"/>
      <c r="AH45" s="475" t="e">
        <f t="shared" si="22"/>
        <v>#N/A</v>
      </c>
      <c r="AI45" s="669"/>
      <c r="AJ45" s="182"/>
      <c r="AK45" s="182"/>
      <c r="AL45" s="182"/>
      <c r="AM45" s="475" t="e">
        <f t="shared" si="24"/>
        <v>#N/A</v>
      </c>
      <c r="AN45" s="669"/>
      <c r="AO45" s="182"/>
      <c r="AP45" s="182"/>
      <c r="AQ45" s="182"/>
      <c r="AR45" s="475" t="e">
        <f t="shared" si="26"/>
        <v>#N/A</v>
      </c>
      <c r="AS45" s="669"/>
      <c r="AT45" s="182"/>
      <c r="AU45" s="182"/>
      <c r="AV45" s="182"/>
      <c r="AW45" s="475" t="e">
        <f t="shared" si="28"/>
        <v>#N/A</v>
      </c>
      <c r="AX45" s="669"/>
    </row>
    <row r="46" spans="2:54">
      <c r="B46" s="683"/>
      <c r="C46" s="321">
        <v>5</v>
      </c>
      <c r="D46" s="569"/>
      <c r="E46" s="569"/>
      <c r="F46" s="569"/>
      <c r="G46" s="182"/>
      <c r="H46" s="669"/>
      <c r="I46" s="199" t="e">
        <f t="shared" si="30"/>
        <v>#DIV/0!</v>
      </c>
      <c r="J46" s="199" t="e">
        <f t="shared" si="31"/>
        <v>#DIV/0!</v>
      </c>
      <c r="K46" s="200" t="e">
        <f t="shared" si="32"/>
        <v>#DIV/0!</v>
      </c>
      <c r="L46" s="654"/>
      <c r="M46" s="199" t="e">
        <f>RANK(K46, K$42:$K$71)</f>
        <v>#DIV/0!</v>
      </c>
      <c r="N46" s="661"/>
      <c r="O46" s="661"/>
      <c r="P46" s="182"/>
      <c r="Q46" s="182"/>
      <c r="R46" s="182"/>
      <c r="S46" s="321" t="e">
        <f t="shared" si="17"/>
        <v>#N/A</v>
      </c>
      <c r="T46" s="669"/>
      <c r="U46" s="182"/>
      <c r="V46" s="182"/>
      <c r="W46" s="182"/>
      <c r="X46" s="475" t="e">
        <f t="shared" si="18"/>
        <v>#N/A</v>
      </c>
      <c r="Y46" s="669"/>
      <c r="Z46" s="182"/>
      <c r="AA46" s="182"/>
      <c r="AB46" s="182"/>
      <c r="AC46" s="475" t="e">
        <f t="shared" si="20"/>
        <v>#N/A</v>
      </c>
      <c r="AD46" s="669"/>
      <c r="AE46" s="182"/>
      <c r="AF46" s="182"/>
      <c r="AG46" s="182"/>
      <c r="AH46" s="475" t="e">
        <f t="shared" si="22"/>
        <v>#N/A</v>
      </c>
      <c r="AI46" s="669"/>
      <c r="AJ46" s="182"/>
      <c r="AK46" s="182"/>
      <c r="AL46" s="182"/>
      <c r="AM46" s="475" t="e">
        <f t="shared" si="24"/>
        <v>#N/A</v>
      </c>
      <c r="AN46" s="669"/>
      <c r="AO46" s="182"/>
      <c r="AP46" s="182"/>
      <c r="AQ46" s="182"/>
      <c r="AR46" s="475" t="e">
        <f t="shared" si="26"/>
        <v>#N/A</v>
      </c>
      <c r="AS46" s="669"/>
      <c r="AT46" s="182"/>
      <c r="AU46" s="182"/>
      <c r="AV46" s="182"/>
      <c r="AW46" s="475" t="e">
        <f t="shared" si="28"/>
        <v>#N/A</v>
      </c>
      <c r="AX46" s="669"/>
    </row>
    <row r="47" spans="2:54">
      <c r="B47" s="683"/>
      <c r="C47" s="321">
        <v>6</v>
      </c>
      <c r="D47" s="569"/>
      <c r="E47" s="569"/>
      <c r="F47" s="569"/>
      <c r="G47" s="182"/>
      <c r="H47" s="669"/>
      <c r="I47" s="199" t="e">
        <f t="shared" si="30"/>
        <v>#DIV/0!</v>
      </c>
      <c r="J47" s="199" t="e">
        <f t="shared" si="31"/>
        <v>#DIV/0!</v>
      </c>
      <c r="K47" s="200" t="e">
        <f t="shared" si="32"/>
        <v>#DIV/0!</v>
      </c>
      <c r="L47" s="654"/>
      <c r="M47" s="199" t="e">
        <f>RANK(K47, K$42:$K$71)</f>
        <v>#DIV/0!</v>
      </c>
      <c r="N47" s="661"/>
      <c r="O47" s="661"/>
      <c r="P47" s="182"/>
      <c r="Q47" s="182"/>
      <c r="R47" s="182"/>
      <c r="S47" s="321" t="e">
        <f t="shared" si="17"/>
        <v>#N/A</v>
      </c>
      <c r="T47" s="669"/>
      <c r="U47" s="182"/>
      <c r="V47" s="182"/>
      <c r="W47" s="182"/>
      <c r="X47" s="475" t="e">
        <f t="shared" si="18"/>
        <v>#N/A</v>
      </c>
      <c r="Y47" s="669"/>
      <c r="Z47" s="182"/>
      <c r="AA47" s="182"/>
      <c r="AB47" s="182"/>
      <c r="AC47" s="475" t="e">
        <f t="shared" si="20"/>
        <v>#N/A</v>
      </c>
      <c r="AD47" s="669"/>
      <c r="AE47" s="182"/>
      <c r="AF47" s="182"/>
      <c r="AG47" s="182"/>
      <c r="AH47" s="475" t="e">
        <f t="shared" si="22"/>
        <v>#N/A</v>
      </c>
      <c r="AI47" s="669"/>
      <c r="AJ47" s="182"/>
      <c r="AK47" s="182"/>
      <c r="AL47" s="182"/>
      <c r="AM47" s="475" t="e">
        <f t="shared" si="24"/>
        <v>#N/A</v>
      </c>
      <c r="AN47" s="669"/>
      <c r="AO47" s="182"/>
      <c r="AP47" s="182"/>
      <c r="AQ47" s="182"/>
      <c r="AR47" s="475" t="e">
        <f t="shared" si="26"/>
        <v>#N/A</v>
      </c>
      <c r="AS47" s="669"/>
      <c r="AT47" s="182"/>
      <c r="AU47" s="182"/>
      <c r="AV47" s="182"/>
      <c r="AW47" s="475" t="e">
        <f t="shared" si="28"/>
        <v>#N/A</v>
      </c>
      <c r="AX47" s="669"/>
    </row>
    <row r="48" spans="2:54">
      <c r="B48" s="683"/>
      <c r="C48" s="321">
        <v>7</v>
      </c>
      <c r="D48" s="569"/>
      <c r="E48" s="569"/>
      <c r="F48" s="569"/>
      <c r="G48" s="182"/>
      <c r="H48" s="669"/>
      <c r="I48" s="199" t="e">
        <f t="shared" si="30"/>
        <v>#DIV/0!</v>
      </c>
      <c r="J48" s="199" t="e">
        <f t="shared" si="31"/>
        <v>#DIV/0!</v>
      </c>
      <c r="K48" s="200" t="e">
        <f t="shared" si="32"/>
        <v>#DIV/0!</v>
      </c>
      <c r="L48" s="654"/>
      <c r="M48" s="199" t="e">
        <f>RANK(K48, K$42:$K$71)</f>
        <v>#DIV/0!</v>
      </c>
      <c r="N48" s="661"/>
      <c r="O48" s="661"/>
      <c r="P48" s="182"/>
      <c r="Q48" s="182"/>
      <c r="R48" s="182"/>
      <c r="S48" s="321" t="e">
        <f t="shared" si="17"/>
        <v>#N/A</v>
      </c>
      <c r="T48" s="669"/>
      <c r="U48" s="182"/>
      <c r="V48" s="182"/>
      <c r="W48" s="182"/>
      <c r="X48" s="475" t="e">
        <f t="shared" si="18"/>
        <v>#N/A</v>
      </c>
      <c r="Y48" s="669"/>
      <c r="Z48" s="182"/>
      <c r="AA48" s="182"/>
      <c r="AB48" s="182"/>
      <c r="AC48" s="475" t="e">
        <f t="shared" si="20"/>
        <v>#N/A</v>
      </c>
      <c r="AD48" s="669"/>
      <c r="AE48" s="182"/>
      <c r="AF48" s="182"/>
      <c r="AG48" s="182"/>
      <c r="AH48" s="475" t="e">
        <f t="shared" si="22"/>
        <v>#N/A</v>
      </c>
      <c r="AI48" s="669"/>
      <c r="AJ48" s="182"/>
      <c r="AK48" s="182"/>
      <c r="AL48" s="182"/>
      <c r="AM48" s="475" t="e">
        <f t="shared" si="24"/>
        <v>#N/A</v>
      </c>
      <c r="AN48" s="669"/>
      <c r="AO48" s="182"/>
      <c r="AP48" s="182"/>
      <c r="AQ48" s="182"/>
      <c r="AR48" s="475" t="e">
        <f t="shared" si="26"/>
        <v>#N/A</v>
      </c>
      <c r="AS48" s="669"/>
      <c r="AT48" s="182"/>
      <c r="AU48" s="182"/>
      <c r="AV48" s="182"/>
      <c r="AW48" s="475" t="e">
        <f t="shared" si="28"/>
        <v>#N/A</v>
      </c>
      <c r="AX48" s="669"/>
    </row>
    <row r="49" spans="2:50">
      <c r="B49" s="683"/>
      <c r="C49" s="321">
        <v>8</v>
      </c>
      <c r="D49" s="569"/>
      <c r="E49" s="569"/>
      <c r="F49" s="569"/>
      <c r="G49" s="182"/>
      <c r="H49" s="669"/>
      <c r="I49" s="199" t="e">
        <f t="shared" si="30"/>
        <v>#DIV/0!</v>
      </c>
      <c r="J49" s="199" t="e">
        <f t="shared" si="31"/>
        <v>#DIV/0!</v>
      </c>
      <c r="K49" s="200" t="e">
        <f t="shared" si="32"/>
        <v>#DIV/0!</v>
      </c>
      <c r="L49" s="654"/>
      <c r="M49" s="199" t="e">
        <f>RANK(K49, K$42:$K$71)</f>
        <v>#DIV/0!</v>
      </c>
      <c r="N49" s="661"/>
      <c r="O49" s="661"/>
      <c r="P49" s="182"/>
      <c r="Q49" s="182"/>
      <c r="R49" s="182"/>
      <c r="S49" s="321" t="e">
        <f t="shared" si="17"/>
        <v>#N/A</v>
      </c>
      <c r="T49" s="669"/>
      <c r="U49" s="182"/>
      <c r="V49" s="182"/>
      <c r="W49" s="182"/>
      <c r="X49" s="475" t="e">
        <f t="shared" si="18"/>
        <v>#N/A</v>
      </c>
      <c r="Y49" s="669"/>
      <c r="Z49" s="182"/>
      <c r="AA49" s="182"/>
      <c r="AB49" s="182"/>
      <c r="AC49" s="475" t="e">
        <f t="shared" si="20"/>
        <v>#N/A</v>
      </c>
      <c r="AD49" s="669"/>
      <c r="AE49" s="182"/>
      <c r="AF49" s="182"/>
      <c r="AG49" s="182"/>
      <c r="AH49" s="475" t="e">
        <f t="shared" si="22"/>
        <v>#N/A</v>
      </c>
      <c r="AI49" s="669"/>
      <c r="AJ49" s="182"/>
      <c r="AK49" s="182"/>
      <c r="AL49" s="182"/>
      <c r="AM49" s="475" t="e">
        <f t="shared" si="24"/>
        <v>#N/A</v>
      </c>
      <c r="AN49" s="669"/>
      <c r="AO49" s="182"/>
      <c r="AP49" s="182"/>
      <c r="AQ49" s="182"/>
      <c r="AR49" s="475" t="e">
        <f t="shared" si="26"/>
        <v>#N/A</v>
      </c>
      <c r="AS49" s="669"/>
      <c r="AT49" s="182"/>
      <c r="AU49" s="182"/>
      <c r="AV49" s="182"/>
      <c r="AW49" s="475" t="e">
        <f t="shared" si="28"/>
        <v>#N/A</v>
      </c>
      <c r="AX49" s="669"/>
    </row>
    <row r="50" spans="2:50">
      <c r="B50" s="683"/>
      <c r="C50" s="321">
        <v>9</v>
      </c>
      <c r="D50" s="569"/>
      <c r="E50" s="569"/>
      <c r="F50" s="569"/>
      <c r="G50" s="182"/>
      <c r="H50" s="669"/>
      <c r="I50" s="199" t="e">
        <f t="shared" si="30"/>
        <v>#DIV/0!</v>
      </c>
      <c r="J50" s="199" t="e">
        <f t="shared" si="31"/>
        <v>#DIV/0!</v>
      </c>
      <c r="K50" s="200" t="e">
        <f t="shared" si="32"/>
        <v>#DIV/0!</v>
      </c>
      <c r="L50" s="654"/>
      <c r="M50" s="199" t="e">
        <f>RANK(K50, K$42:$K$71)</f>
        <v>#DIV/0!</v>
      </c>
      <c r="N50" s="661"/>
      <c r="O50" s="661"/>
      <c r="P50" s="182"/>
      <c r="Q50" s="182"/>
      <c r="R50" s="182"/>
      <c r="S50" s="321" t="e">
        <f t="shared" si="17"/>
        <v>#N/A</v>
      </c>
      <c r="T50" s="669"/>
      <c r="U50" s="182"/>
      <c r="V50" s="182"/>
      <c r="W50" s="182"/>
      <c r="X50" s="475" t="e">
        <f t="shared" si="18"/>
        <v>#N/A</v>
      </c>
      <c r="Y50" s="669"/>
      <c r="Z50" s="182"/>
      <c r="AA50" s="182"/>
      <c r="AB50" s="182"/>
      <c r="AC50" s="475" t="e">
        <f t="shared" si="20"/>
        <v>#N/A</v>
      </c>
      <c r="AD50" s="669"/>
      <c r="AE50" s="182"/>
      <c r="AF50" s="182"/>
      <c r="AG50" s="182"/>
      <c r="AH50" s="475" t="e">
        <f t="shared" si="22"/>
        <v>#N/A</v>
      </c>
      <c r="AI50" s="669"/>
      <c r="AJ50" s="182"/>
      <c r="AK50" s="182"/>
      <c r="AL50" s="182"/>
      <c r="AM50" s="475" t="e">
        <f t="shared" si="24"/>
        <v>#N/A</v>
      </c>
      <c r="AN50" s="669"/>
      <c r="AO50" s="182"/>
      <c r="AP50" s="182"/>
      <c r="AQ50" s="182"/>
      <c r="AR50" s="475" t="e">
        <f t="shared" si="26"/>
        <v>#N/A</v>
      </c>
      <c r="AS50" s="669"/>
      <c r="AT50" s="182"/>
      <c r="AU50" s="182"/>
      <c r="AV50" s="182"/>
      <c r="AW50" s="475" t="e">
        <f t="shared" si="28"/>
        <v>#N/A</v>
      </c>
      <c r="AX50" s="669"/>
    </row>
    <row r="51" spans="2:50">
      <c r="B51" s="683"/>
      <c r="C51" s="321">
        <v>10</v>
      </c>
      <c r="D51" s="569"/>
      <c r="E51" s="569"/>
      <c r="F51" s="569"/>
      <c r="G51" s="182"/>
      <c r="H51" s="669"/>
      <c r="I51" s="199" t="e">
        <f t="shared" si="30"/>
        <v>#DIV/0!</v>
      </c>
      <c r="J51" s="199" t="e">
        <f t="shared" si="31"/>
        <v>#DIV/0!</v>
      </c>
      <c r="K51" s="200" t="e">
        <f t="shared" si="32"/>
        <v>#DIV/0!</v>
      </c>
      <c r="L51" s="654"/>
      <c r="M51" s="199" t="e">
        <f>RANK(K51, K$42:$K$71)</f>
        <v>#DIV/0!</v>
      </c>
      <c r="N51" s="661"/>
      <c r="O51" s="661"/>
      <c r="P51" s="182"/>
      <c r="Q51" s="182"/>
      <c r="R51" s="182"/>
      <c r="S51" s="321" t="e">
        <f t="shared" si="17"/>
        <v>#N/A</v>
      </c>
      <c r="T51" s="669"/>
      <c r="U51" s="182"/>
      <c r="V51" s="182"/>
      <c r="W51" s="182"/>
      <c r="X51" s="475" t="e">
        <f t="shared" si="18"/>
        <v>#N/A</v>
      </c>
      <c r="Y51" s="669"/>
      <c r="Z51" s="182"/>
      <c r="AA51" s="182"/>
      <c r="AB51" s="182"/>
      <c r="AC51" s="475" t="e">
        <f t="shared" si="20"/>
        <v>#N/A</v>
      </c>
      <c r="AD51" s="669"/>
      <c r="AE51" s="182"/>
      <c r="AF51" s="182"/>
      <c r="AG51" s="182"/>
      <c r="AH51" s="475" t="e">
        <f t="shared" si="22"/>
        <v>#N/A</v>
      </c>
      <c r="AI51" s="669"/>
      <c r="AJ51" s="182"/>
      <c r="AK51" s="182"/>
      <c r="AL51" s="182"/>
      <c r="AM51" s="475" t="e">
        <f t="shared" si="24"/>
        <v>#N/A</v>
      </c>
      <c r="AN51" s="669"/>
      <c r="AO51" s="182"/>
      <c r="AP51" s="182"/>
      <c r="AQ51" s="182"/>
      <c r="AR51" s="475" t="e">
        <f t="shared" si="26"/>
        <v>#N/A</v>
      </c>
      <c r="AS51" s="669"/>
      <c r="AT51" s="182"/>
      <c r="AU51" s="182"/>
      <c r="AV51" s="182"/>
      <c r="AW51" s="475" t="e">
        <f t="shared" si="28"/>
        <v>#N/A</v>
      </c>
      <c r="AX51" s="669"/>
    </row>
    <row r="52" spans="2:50">
      <c r="B52" s="683"/>
      <c r="C52" s="321">
        <v>11</v>
      </c>
      <c r="D52" s="569"/>
      <c r="E52" s="569"/>
      <c r="F52" s="569"/>
      <c r="G52" s="182"/>
      <c r="H52" s="669"/>
      <c r="I52" s="199" t="e">
        <f t="shared" si="30"/>
        <v>#DIV/0!</v>
      </c>
      <c r="J52" s="199" t="e">
        <f t="shared" si="31"/>
        <v>#DIV/0!</v>
      </c>
      <c r="K52" s="200" t="e">
        <f t="shared" si="32"/>
        <v>#DIV/0!</v>
      </c>
      <c r="L52" s="654"/>
      <c r="M52" s="199" t="e">
        <f>RANK(K52, K$42:$K$71)</f>
        <v>#DIV/0!</v>
      </c>
      <c r="N52" s="661"/>
      <c r="O52" s="661"/>
      <c r="P52" s="182"/>
      <c r="Q52" s="182"/>
      <c r="R52" s="182"/>
      <c r="S52" s="321" t="e">
        <f t="shared" si="17"/>
        <v>#N/A</v>
      </c>
      <c r="T52" s="669"/>
      <c r="U52" s="182"/>
      <c r="V52" s="182"/>
      <c r="W52" s="182"/>
      <c r="X52" s="475" t="e">
        <f t="shared" si="18"/>
        <v>#N/A</v>
      </c>
      <c r="Y52" s="669"/>
      <c r="Z52" s="182"/>
      <c r="AA52" s="182"/>
      <c r="AB52" s="182"/>
      <c r="AC52" s="475" t="e">
        <f t="shared" si="20"/>
        <v>#N/A</v>
      </c>
      <c r="AD52" s="669"/>
      <c r="AE52" s="182"/>
      <c r="AF52" s="182"/>
      <c r="AG52" s="182"/>
      <c r="AH52" s="475" t="e">
        <f t="shared" si="22"/>
        <v>#N/A</v>
      </c>
      <c r="AI52" s="669"/>
      <c r="AJ52" s="182"/>
      <c r="AK52" s="182"/>
      <c r="AL52" s="182"/>
      <c r="AM52" s="475" t="e">
        <f t="shared" si="24"/>
        <v>#N/A</v>
      </c>
      <c r="AN52" s="669"/>
      <c r="AO52" s="182"/>
      <c r="AP52" s="182"/>
      <c r="AQ52" s="182"/>
      <c r="AR52" s="475" t="e">
        <f t="shared" si="26"/>
        <v>#N/A</v>
      </c>
      <c r="AS52" s="669"/>
      <c r="AT52" s="182"/>
      <c r="AU52" s="182"/>
      <c r="AV52" s="182"/>
      <c r="AW52" s="475" t="e">
        <f t="shared" si="28"/>
        <v>#N/A</v>
      </c>
      <c r="AX52" s="669"/>
    </row>
    <row r="53" spans="2:50">
      <c r="B53" s="683"/>
      <c r="C53" s="321">
        <v>12</v>
      </c>
      <c r="D53" s="569"/>
      <c r="E53" s="569"/>
      <c r="F53" s="569"/>
      <c r="G53" s="182"/>
      <c r="H53" s="669"/>
      <c r="I53" s="199" t="e">
        <f t="shared" si="30"/>
        <v>#DIV/0!</v>
      </c>
      <c r="J53" s="199" t="e">
        <f t="shared" si="31"/>
        <v>#DIV/0!</v>
      </c>
      <c r="K53" s="200" t="e">
        <f t="shared" si="32"/>
        <v>#DIV/0!</v>
      </c>
      <c r="L53" s="654"/>
      <c r="M53" s="199" t="e">
        <f>RANK(K53, K$42:$K$71)</f>
        <v>#DIV/0!</v>
      </c>
      <c r="N53" s="661"/>
      <c r="O53" s="661"/>
      <c r="P53" s="182"/>
      <c r="Q53" s="182"/>
      <c r="R53" s="182"/>
      <c r="S53" s="321" t="e">
        <f t="shared" si="17"/>
        <v>#N/A</v>
      </c>
      <c r="T53" s="669"/>
      <c r="U53" s="182"/>
      <c r="V53" s="182"/>
      <c r="W53" s="182"/>
      <c r="X53" s="475" t="e">
        <f t="shared" si="18"/>
        <v>#N/A</v>
      </c>
      <c r="Y53" s="669"/>
      <c r="Z53" s="182"/>
      <c r="AA53" s="182"/>
      <c r="AB53" s="182"/>
      <c r="AC53" s="475" t="e">
        <f t="shared" si="20"/>
        <v>#N/A</v>
      </c>
      <c r="AD53" s="669"/>
      <c r="AE53" s="182"/>
      <c r="AF53" s="182"/>
      <c r="AG53" s="182"/>
      <c r="AH53" s="475" t="e">
        <f t="shared" si="22"/>
        <v>#N/A</v>
      </c>
      <c r="AI53" s="669"/>
      <c r="AJ53" s="182"/>
      <c r="AK53" s="182"/>
      <c r="AL53" s="182"/>
      <c r="AM53" s="475" t="e">
        <f t="shared" si="24"/>
        <v>#N/A</v>
      </c>
      <c r="AN53" s="669"/>
      <c r="AO53" s="182"/>
      <c r="AP53" s="182"/>
      <c r="AQ53" s="182"/>
      <c r="AR53" s="475" t="e">
        <f t="shared" si="26"/>
        <v>#N/A</v>
      </c>
      <c r="AS53" s="669"/>
      <c r="AT53" s="182"/>
      <c r="AU53" s="182"/>
      <c r="AV53" s="182"/>
      <c r="AW53" s="475" t="e">
        <f t="shared" si="28"/>
        <v>#N/A</v>
      </c>
      <c r="AX53" s="669"/>
    </row>
    <row r="54" spans="2:50">
      <c r="B54" s="683"/>
      <c r="C54" s="321">
        <v>13</v>
      </c>
      <c r="D54" s="569"/>
      <c r="E54" s="569"/>
      <c r="F54" s="569"/>
      <c r="G54" s="182"/>
      <c r="H54" s="669"/>
      <c r="I54" s="199" t="e">
        <f t="shared" si="30"/>
        <v>#DIV/0!</v>
      </c>
      <c r="J54" s="199" t="e">
        <f t="shared" si="31"/>
        <v>#DIV/0!</v>
      </c>
      <c r="K54" s="200" t="e">
        <f t="shared" si="32"/>
        <v>#DIV/0!</v>
      </c>
      <c r="L54" s="654"/>
      <c r="M54" s="199" t="e">
        <f>RANK(K54, K$42:$K$71)</f>
        <v>#DIV/0!</v>
      </c>
      <c r="N54" s="661"/>
      <c r="O54" s="661"/>
      <c r="P54" s="182"/>
      <c r="Q54" s="182"/>
      <c r="R54" s="182"/>
      <c r="S54" s="321" t="e">
        <f t="shared" si="17"/>
        <v>#N/A</v>
      </c>
      <c r="T54" s="669"/>
      <c r="U54" s="182"/>
      <c r="V54" s="182"/>
      <c r="W54" s="182"/>
      <c r="X54" s="475" t="e">
        <f t="shared" si="18"/>
        <v>#N/A</v>
      </c>
      <c r="Y54" s="669"/>
      <c r="Z54" s="182"/>
      <c r="AA54" s="182"/>
      <c r="AB54" s="182"/>
      <c r="AC54" s="475" t="e">
        <f t="shared" si="20"/>
        <v>#N/A</v>
      </c>
      <c r="AD54" s="669"/>
      <c r="AE54" s="182"/>
      <c r="AF54" s="182"/>
      <c r="AG54" s="182"/>
      <c r="AH54" s="475" t="e">
        <f t="shared" si="22"/>
        <v>#N/A</v>
      </c>
      <c r="AI54" s="669"/>
      <c r="AJ54" s="182"/>
      <c r="AK54" s="182"/>
      <c r="AL54" s="182"/>
      <c r="AM54" s="475" t="e">
        <f t="shared" si="24"/>
        <v>#N/A</v>
      </c>
      <c r="AN54" s="669"/>
      <c r="AO54" s="182"/>
      <c r="AP54" s="182"/>
      <c r="AQ54" s="182"/>
      <c r="AR54" s="475" t="e">
        <f t="shared" si="26"/>
        <v>#N/A</v>
      </c>
      <c r="AS54" s="669"/>
      <c r="AT54" s="182"/>
      <c r="AU54" s="182"/>
      <c r="AV54" s="182"/>
      <c r="AW54" s="475" t="e">
        <f t="shared" si="28"/>
        <v>#N/A</v>
      </c>
      <c r="AX54" s="669"/>
    </row>
    <row r="55" spans="2:50">
      <c r="B55" s="683"/>
      <c r="C55" s="321">
        <v>14</v>
      </c>
      <c r="D55" s="569"/>
      <c r="E55" s="569"/>
      <c r="F55" s="569"/>
      <c r="G55" s="182"/>
      <c r="H55" s="669"/>
      <c r="I55" s="199" t="e">
        <f t="shared" si="30"/>
        <v>#DIV/0!</v>
      </c>
      <c r="J55" s="199" t="e">
        <f t="shared" si="31"/>
        <v>#DIV/0!</v>
      </c>
      <c r="K55" s="200" t="e">
        <f t="shared" si="32"/>
        <v>#DIV/0!</v>
      </c>
      <c r="L55" s="654"/>
      <c r="M55" s="199" t="e">
        <f>RANK(K55, K$42:$K$71)</f>
        <v>#DIV/0!</v>
      </c>
      <c r="N55" s="661"/>
      <c r="O55" s="661"/>
      <c r="P55" s="182"/>
      <c r="Q55" s="182"/>
      <c r="R55" s="182"/>
      <c r="S55" s="321" t="e">
        <f t="shared" si="17"/>
        <v>#N/A</v>
      </c>
      <c r="T55" s="669"/>
      <c r="U55" s="182"/>
      <c r="V55" s="182"/>
      <c r="W55" s="182"/>
      <c r="X55" s="475" t="e">
        <f t="shared" si="18"/>
        <v>#N/A</v>
      </c>
      <c r="Y55" s="669"/>
      <c r="Z55" s="182"/>
      <c r="AA55" s="182"/>
      <c r="AB55" s="182"/>
      <c r="AC55" s="475" t="e">
        <f t="shared" si="20"/>
        <v>#N/A</v>
      </c>
      <c r="AD55" s="669"/>
      <c r="AE55" s="182"/>
      <c r="AF55" s="182"/>
      <c r="AG55" s="182"/>
      <c r="AH55" s="475" t="e">
        <f t="shared" si="22"/>
        <v>#N/A</v>
      </c>
      <c r="AI55" s="669"/>
      <c r="AJ55" s="182"/>
      <c r="AK55" s="182"/>
      <c r="AL55" s="182"/>
      <c r="AM55" s="475" t="e">
        <f t="shared" si="24"/>
        <v>#N/A</v>
      </c>
      <c r="AN55" s="669"/>
      <c r="AO55" s="182"/>
      <c r="AP55" s="182"/>
      <c r="AQ55" s="182"/>
      <c r="AR55" s="475" t="e">
        <f t="shared" si="26"/>
        <v>#N/A</v>
      </c>
      <c r="AS55" s="669"/>
      <c r="AT55" s="182"/>
      <c r="AU55" s="182"/>
      <c r="AV55" s="182"/>
      <c r="AW55" s="475" t="e">
        <f t="shared" si="28"/>
        <v>#N/A</v>
      </c>
      <c r="AX55" s="669"/>
    </row>
    <row r="56" spans="2:50">
      <c r="B56" s="683"/>
      <c r="C56" s="321">
        <v>15</v>
      </c>
      <c r="D56" s="569"/>
      <c r="E56" s="569"/>
      <c r="F56" s="569"/>
      <c r="G56" s="182"/>
      <c r="H56" s="669"/>
      <c r="I56" s="199" t="e">
        <f t="shared" si="30"/>
        <v>#DIV/0!</v>
      </c>
      <c r="J56" s="199" t="e">
        <f t="shared" si="31"/>
        <v>#DIV/0!</v>
      </c>
      <c r="K56" s="200" t="e">
        <f t="shared" si="32"/>
        <v>#DIV/0!</v>
      </c>
      <c r="L56" s="654"/>
      <c r="M56" s="199" t="e">
        <f>RANK(K56, K$42:$K$71)</f>
        <v>#DIV/0!</v>
      </c>
      <c r="N56" s="661"/>
      <c r="O56" s="661"/>
      <c r="P56" s="182"/>
      <c r="Q56" s="182"/>
      <c r="R56" s="182"/>
      <c r="S56" s="321" t="e">
        <f t="shared" si="17"/>
        <v>#N/A</v>
      </c>
      <c r="T56" s="669"/>
      <c r="U56" s="182"/>
      <c r="V56" s="182"/>
      <c r="W56" s="182"/>
      <c r="X56" s="475" t="e">
        <f t="shared" si="18"/>
        <v>#N/A</v>
      </c>
      <c r="Y56" s="669"/>
      <c r="Z56" s="182"/>
      <c r="AA56" s="182"/>
      <c r="AB56" s="182"/>
      <c r="AC56" s="475" t="e">
        <f t="shared" si="20"/>
        <v>#N/A</v>
      </c>
      <c r="AD56" s="669"/>
      <c r="AE56" s="182"/>
      <c r="AF56" s="182"/>
      <c r="AG56" s="182"/>
      <c r="AH56" s="475" t="e">
        <f t="shared" si="22"/>
        <v>#N/A</v>
      </c>
      <c r="AI56" s="669"/>
      <c r="AJ56" s="182"/>
      <c r="AK56" s="182"/>
      <c r="AL56" s="182"/>
      <c r="AM56" s="475" t="e">
        <f t="shared" si="24"/>
        <v>#N/A</v>
      </c>
      <c r="AN56" s="669"/>
      <c r="AO56" s="182"/>
      <c r="AP56" s="182"/>
      <c r="AQ56" s="182"/>
      <c r="AR56" s="475" t="e">
        <f t="shared" si="26"/>
        <v>#N/A</v>
      </c>
      <c r="AS56" s="669"/>
      <c r="AT56" s="182"/>
      <c r="AU56" s="182"/>
      <c r="AV56" s="182"/>
      <c r="AW56" s="475" t="e">
        <f t="shared" si="28"/>
        <v>#N/A</v>
      </c>
      <c r="AX56" s="669"/>
    </row>
    <row r="57" spans="2:50">
      <c r="B57" s="683"/>
      <c r="C57" s="321">
        <v>16</v>
      </c>
      <c r="D57" s="569"/>
      <c r="E57" s="569"/>
      <c r="F57" s="569"/>
      <c r="G57" s="182"/>
      <c r="H57" s="669"/>
      <c r="I57" s="199" t="e">
        <f t="shared" si="30"/>
        <v>#DIV/0!</v>
      </c>
      <c r="J57" s="199" t="e">
        <f t="shared" si="31"/>
        <v>#DIV/0!</v>
      </c>
      <c r="K57" s="200" t="e">
        <f t="shared" si="32"/>
        <v>#DIV/0!</v>
      </c>
      <c r="L57" s="654"/>
      <c r="M57" s="199" t="e">
        <f>RANK(K57, K$42:$K$71)</f>
        <v>#DIV/0!</v>
      </c>
      <c r="N57" s="661"/>
      <c r="O57" s="661"/>
      <c r="P57" s="182"/>
      <c r="Q57" s="182"/>
      <c r="R57" s="182"/>
      <c r="S57" s="321" t="e">
        <f t="shared" si="17"/>
        <v>#N/A</v>
      </c>
      <c r="T57" s="669"/>
      <c r="U57" s="182"/>
      <c r="V57" s="182"/>
      <c r="W57" s="182"/>
      <c r="X57" s="475" t="e">
        <f t="shared" si="18"/>
        <v>#N/A</v>
      </c>
      <c r="Y57" s="669"/>
      <c r="Z57" s="182"/>
      <c r="AA57" s="182"/>
      <c r="AB57" s="182"/>
      <c r="AC57" s="475" t="e">
        <f t="shared" si="20"/>
        <v>#N/A</v>
      </c>
      <c r="AD57" s="669"/>
      <c r="AE57" s="182"/>
      <c r="AF57" s="182"/>
      <c r="AG57" s="182"/>
      <c r="AH57" s="475" t="e">
        <f t="shared" si="22"/>
        <v>#N/A</v>
      </c>
      <c r="AI57" s="669"/>
      <c r="AJ57" s="182"/>
      <c r="AK57" s="182"/>
      <c r="AL57" s="182"/>
      <c r="AM57" s="475" t="e">
        <f t="shared" si="24"/>
        <v>#N/A</v>
      </c>
      <c r="AN57" s="669"/>
      <c r="AO57" s="182"/>
      <c r="AP57" s="182"/>
      <c r="AQ57" s="182"/>
      <c r="AR57" s="475" t="e">
        <f t="shared" si="26"/>
        <v>#N/A</v>
      </c>
      <c r="AS57" s="669"/>
      <c r="AT57" s="182"/>
      <c r="AU57" s="182"/>
      <c r="AV57" s="182"/>
      <c r="AW57" s="475" t="e">
        <f t="shared" si="28"/>
        <v>#N/A</v>
      </c>
      <c r="AX57" s="669"/>
    </row>
    <row r="58" spans="2:50">
      <c r="B58" s="683"/>
      <c r="C58" s="321">
        <v>17</v>
      </c>
      <c r="D58" s="569"/>
      <c r="E58" s="569"/>
      <c r="F58" s="569"/>
      <c r="G58" s="182"/>
      <c r="H58" s="669"/>
      <c r="I58" s="199" t="e">
        <f t="shared" si="30"/>
        <v>#DIV/0!</v>
      </c>
      <c r="J58" s="199" t="e">
        <f t="shared" si="31"/>
        <v>#DIV/0!</v>
      </c>
      <c r="K58" s="200" t="e">
        <f t="shared" si="32"/>
        <v>#DIV/0!</v>
      </c>
      <c r="L58" s="654"/>
      <c r="M58" s="199" t="e">
        <f>RANK(K58, K$42:$K$71)</f>
        <v>#DIV/0!</v>
      </c>
      <c r="N58" s="661"/>
      <c r="O58" s="661"/>
      <c r="P58" s="182"/>
      <c r="Q58" s="182"/>
      <c r="R58" s="182"/>
      <c r="S58" s="321" t="e">
        <f t="shared" si="17"/>
        <v>#N/A</v>
      </c>
      <c r="T58" s="669"/>
      <c r="U58" s="182"/>
      <c r="V58" s="182"/>
      <c r="W58" s="182"/>
      <c r="X58" s="475" t="e">
        <f t="shared" si="18"/>
        <v>#N/A</v>
      </c>
      <c r="Y58" s="669"/>
      <c r="Z58" s="182"/>
      <c r="AA58" s="182"/>
      <c r="AB58" s="182"/>
      <c r="AC58" s="475" t="e">
        <f t="shared" si="20"/>
        <v>#N/A</v>
      </c>
      <c r="AD58" s="669"/>
      <c r="AE58" s="182"/>
      <c r="AF58" s="182"/>
      <c r="AG58" s="182"/>
      <c r="AH58" s="475" t="e">
        <f t="shared" si="22"/>
        <v>#N/A</v>
      </c>
      <c r="AI58" s="669"/>
      <c r="AJ58" s="182"/>
      <c r="AK58" s="182"/>
      <c r="AL58" s="182"/>
      <c r="AM58" s="475" t="e">
        <f t="shared" si="24"/>
        <v>#N/A</v>
      </c>
      <c r="AN58" s="669"/>
      <c r="AO58" s="182"/>
      <c r="AP58" s="182"/>
      <c r="AQ58" s="182"/>
      <c r="AR58" s="475" t="e">
        <f t="shared" si="26"/>
        <v>#N/A</v>
      </c>
      <c r="AS58" s="669"/>
      <c r="AT58" s="182"/>
      <c r="AU58" s="182"/>
      <c r="AV58" s="182"/>
      <c r="AW58" s="475" t="e">
        <f t="shared" si="28"/>
        <v>#N/A</v>
      </c>
      <c r="AX58" s="669"/>
    </row>
    <row r="59" spans="2:50">
      <c r="B59" s="683"/>
      <c r="C59" s="321">
        <v>18</v>
      </c>
      <c r="D59" s="569"/>
      <c r="E59" s="569"/>
      <c r="F59" s="569"/>
      <c r="G59" s="182"/>
      <c r="H59" s="669"/>
      <c r="I59" s="199" t="e">
        <f t="shared" si="30"/>
        <v>#DIV/0!</v>
      </c>
      <c r="J59" s="199" t="e">
        <f t="shared" si="31"/>
        <v>#DIV/0!</v>
      </c>
      <c r="K59" s="200" t="e">
        <f t="shared" si="32"/>
        <v>#DIV/0!</v>
      </c>
      <c r="L59" s="654"/>
      <c r="M59" s="199" t="e">
        <f>RANK(K59, K$42:$K$71)</f>
        <v>#DIV/0!</v>
      </c>
      <c r="N59" s="661"/>
      <c r="O59" s="661"/>
      <c r="P59" s="182"/>
      <c r="Q59" s="182"/>
      <c r="R59" s="182"/>
      <c r="S59" s="321" t="e">
        <f t="shared" si="17"/>
        <v>#N/A</v>
      </c>
      <c r="T59" s="669"/>
      <c r="U59" s="182"/>
      <c r="V59" s="182"/>
      <c r="W59" s="182"/>
      <c r="X59" s="475" t="e">
        <f t="shared" si="18"/>
        <v>#N/A</v>
      </c>
      <c r="Y59" s="669"/>
      <c r="Z59" s="182"/>
      <c r="AA59" s="182"/>
      <c r="AB59" s="182"/>
      <c r="AC59" s="475" t="e">
        <f t="shared" si="20"/>
        <v>#N/A</v>
      </c>
      <c r="AD59" s="669"/>
      <c r="AE59" s="182"/>
      <c r="AF59" s="182"/>
      <c r="AG59" s="182"/>
      <c r="AH59" s="475" t="e">
        <f t="shared" si="22"/>
        <v>#N/A</v>
      </c>
      <c r="AI59" s="669"/>
      <c r="AJ59" s="182"/>
      <c r="AK59" s="182"/>
      <c r="AL59" s="182"/>
      <c r="AM59" s="475" t="e">
        <f t="shared" si="24"/>
        <v>#N/A</v>
      </c>
      <c r="AN59" s="669"/>
      <c r="AO59" s="182"/>
      <c r="AP59" s="182"/>
      <c r="AQ59" s="182"/>
      <c r="AR59" s="475" t="e">
        <f t="shared" si="26"/>
        <v>#N/A</v>
      </c>
      <c r="AS59" s="669"/>
      <c r="AT59" s="182"/>
      <c r="AU59" s="182"/>
      <c r="AV59" s="182"/>
      <c r="AW59" s="475" t="e">
        <f t="shared" si="28"/>
        <v>#N/A</v>
      </c>
      <c r="AX59" s="669"/>
    </row>
    <row r="60" spans="2:50">
      <c r="B60" s="683"/>
      <c r="C60" s="321">
        <v>19</v>
      </c>
      <c r="D60" s="569"/>
      <c r="E60" s="569"/>
      <c r="F60" s="569"/>
      <c r="G60" s="182"/>
      <c r="H60" s="669"/>
      <c r="I60" s="199" t="e">
        <f t="shared" si="30"/>
        <v>#DIV/0!</v>
      </c>
      <c r="J60" s="199" t="e">
        <f t="shared" si="31"/>
        <v>#DIV/0!</v>
      </c>
      <c r="K60" s="200" t="e">
        <f t="shared" si="32"/>
        <v>#DIV/0!</v>
      </c>
      <c r="L60" s="654"/>
      <c r="M60" s="199" t="e">
        <f>RANK(K60, K$42:$K$71)</f>
        <v>#DIV/0!</v>
      </c>
      <c r="N60" s="661"/>
      <c r="O60" s="661"/>
      <c r="P60" s="182"/>
      <c r="Q60" s="182"/>
      <c r="R60" s="182"/>
      <c r="S60" s="321" t="e">
        <f t="shared" si="17"/>
        <v>#N/A</v>
      </c>
      <c r="T60" s="669"/>
      <c r="U60" s="182"/>
      <c r="V60" s="182"/>
      <c r="W60" s="182"/>
      <c r="X60" s="475" t="e">
        <f t="shared" si="18"/>
        <v>#N/A</v>
      </c>
      <c r="Y60" s="669"/>
      <c r="Z60" s="182"/>
      <c r="AA60" s="182"/>
      <c r="AB60" s="182"/>
      <c r="AC60" s="475" t="e">
        <f t="shared" si="20"/>
        <v>#N/A</v>
      </c>
      <c r="AD60" s="669"/>
      <c r="AE60" s="182"/>
      <c r="AF60" s="182"/>
      <c r="AG60" s="182"/>
      <c r="AH60" s="475" t="e">
        <f t="shared" si="22"/>
        <v>#N/A</v>
      </c>
      <c r="AI60" s="669"/>
      <c r="AJ60" s="182"/>
      <c r="AK60" s="182"/>
      <c r="AL60" s="182"/>
      <c r="AM60" s="475" t="e">
        <f t="shared" si="24"/>
        <v>#N/A</v>
      </c>
      <c r="AN60" s="669"/>
      <c r="AO60" s="182"/>
      <c r="AP60" s="182"/>
      <c r="AQ60" s="182"/>
      <c r="AR60" s="475" t="e">
        <f t="shared" si="26"/>
        <v>#N/A</v>
      </c>
      <c r="AS60" s="669"/>
      <c r="AT60" s="182"/>
      <c r="AU60" s="182"/>
      <c r="AV60" s="182"/>
      <c r="AW60" s="475" t="e">
        <f t="shared" si="28"/>
        <v>#N/A</v>
      </c>
      <c r="AX60" s="669"/>
    </row>
    <row r="61" spans="2:50">
      <c r="B61" s="683"/>
      <c r="C61" s="321">
        <v>20</v>
      </c>
      <c r="D61" s="569"/>
      <c r="E61" s="569"/>
      <c r="F61" s="569"/>
      <c r="G61" s="182"/>
      <c r="H61" s="669"/>
      <c r="I61" s="559" t="e">
        <f t="shared" ref="I61:I62" si="33">AVERAGE(P61,U61,Z61,AE61,AJ61,AO61,AT61)</f>
        <v>#DIV/0!</v>
      </c>
      <c r="J61" s="559" t="e">
        <f t="shared" ref="J61:J62" si="34">AVERAGE(Q61,V61,AA61,AF61,AK61,AP61,AU61)</f>
        <v>#DIV/0!</v>
      </c>
      <c r="K61" s="200" t="e">
        <f t="shared" ref="K61:K62" si="35">AVERAGE(R61,W61,AB61,AG61,AL61,AQ61,AV61)</f>
        <v>#DIV/0!</v>
      </c>
      <c r="L61" s="654"/>
      <c r="M61" s="199" t="e">
        <f>RANK(K61, K$42:$K$71)</f>
        <v>#DIV/0!</v>
      </c>
      <c r="N61" s="661"/>
      <c r="O61" s="661"/>
      <c r="P61" s="182"/>
      <c r="Q61" s="182"/>
      <c r="R61" s="182"/>
      <c r="S61" s="321" t="e">
        <f t="shared" si="17"/>
        <v>#N/A</v>
      </c>
      <c r="T61" s="669"/>
      <c r="U61" s="182"/>
      <c r="V61" s="182"/>
      <c r="W61" s="182"/>
      <c r="X61" s="475" t="e">
        <f t="shared" si="18"/>
        <v>#N/A</v>
      </c>
      <c r="Y61" s="669"/>
      <c r="Z61" s="182"/>
      <c r="AA61" s="182"/>
      <c r="AB61" s="182"/>
      <c r="AC61" s="475" t="e">
        <f t="shared" si="20"/>
        <v>#N/A</v>
      </c>
      <c r="AD61" s="669"/>
      <c r="AE61" s="182"/>
      <c r="AF61" s="182"/>
      <c r="AG61" s="182"/>
      <c r="AH61" s="475" t="e">
        <f t="shared" si="22"/>
        <v>#N/A</v>
      </c>
      <c r="AI61" s="669"/>
      <c r="AJ61" s="182"/>
      <c r="AK61" s="182"/>
      <c r="AL61" s="182"/>
      <c r="AM61" s="475" t="e">
        <f t="shared" si="24"/>
        <v>#N/A</v>
      </c>
      <c r="AN61" s="669"/>
      <c r="AO61" s="182"/>
      <c r="AP61" s="182"/>
      <c r="AQ61" s="182"/>
      <c r="AR61" s="475" t="e">
        <f t="shared" si="26"/>
        <v>#N/A</v>
      </c>
      <c r="AS61" s="669"/>
      <c r="AT61" s="182"/>
      <c r="AU61" s="182"/>
      <c r="AV61" s="182"/>
      <c r="AW61" s="475" t="e">
        <f t="shared" si="28"/>
        <v>#N/A</v>
      </c>
      <c r="AX61" s="669"/>
    </row>
    <row r="62" spans="2:50">
      <c r="B62" s="683"/>
      <c r="C62" s="321">
        <v>21</v>
      </c>
      <c r="D62" s="572"/>
      <c r="E62" s="569"/>
      <c r="F62" s="569"/>
      <c r="G62" s="182"/>
      <c r="H62" s="669"/>
      <c r="I62" s="559" t="e">
        <f t="shared" si="33"/>
        <v>#DIV/0!</v>
      </c>
      <c r="J62" s="559" t="e">
        <f t="shared" si="34"/>
        <v>#DIV/0!</v>
      </c>
      <c r="K62" s="200" t="e">
        <f t="shared" si="35"/>
        <v>#DIV/0!</v>
      </c>
      <c r="L62" s="654"/>
      <c r="M62" s="199" t="e">
        <f>RANK(K62, K$42:$K$71)</f>
        <v>#DIV/0!</v>
      </c>
      <c r="N62" s="661"/>
      <c r="O62" s="661"/>
      <c r="P62" s="321"/>
      <c r="Q62" s="182"/>
      <c r="R62" s="322"/>
      <c r="S62" s="321" t="e">
        <f t="shared" si="17"/>
        <v>#N/A</v>
      </c>
      <c r="T62" s="669"/>
      <c r="U62" s="569"/>
      <c r="V62" s="182"/>
      <c r="W62" s="570"/>
      <c r="X62" s="475" t="e">
        <f t="shared" si="18"/>
        <v>#N/A</v>
      </c>
      <c r="Y62" s="669"/>
      <c r="Z62" s="569"/>
      <c r="AA62" s="182"/>
      <c r="AB62" s="570"/>
      <c r="AC62" s="475" t="e">
        <f t="shared" si="20"/>
        <v>#N/A</v>
      </c>
      <c r="AD62" s="669"/>
      <c r="AE62" s="569"/>
      <c r="AF62" s="182"/>
      <c r="AG62" s="570"/>
      <c r="AH62" s="475" t="e">
        <f t="shared" si="22"/>
        <v>#N/A</v>
      </c>
      <c r="AI62" s="669"/>
      <c r="AJ62" s="569"/>
      <c r="AK62" s="182"/>
      <c r="AL62" s="570"/>
      <c r="AM62" s="475" t="e">
        <f t="shared" si="24"/>
        <v>#N/A</v>
      </c>
      <c r="AN62" s="669"/>
      <c r="AO62" s="569"/>
      <c r="AP62" s="182"/>
      <c r="AQ62" s="570"/>
      <c r="AR62" s="475" t="e">
        <f t="shared" si="26"/>
        <v>#N/A</v>
      </c>
      <c r="AS62" s="669"/>
      <c r="AT62" s="569"/>
      <c r="AU62" s="182"/>
      <c r="AV62" s="570"/>
      <c r="AW62" s="475" t="e">
        <f t="shared" si="28"/>
        <v>#N/A</v>
      </c>
      <c r="AX62" s="669"/>
    </row>
    <row r="63" spans="2:50">
      <c r="B63" s="683"/>
      <c r="C63" s="321">
        <v>22</v>
      </c>
      <c r="D63" s="569"/>
      <c r="E63" s="569"/>
      <c r="F63" s="569"/>
      <c r="G63" s="569"/>
      <c r="H63" s="669"/>
      <c r="I63" s="424"/>
      <c r="J63" s="424"/>
      <c r="K63" s="200"/>
      <c r="L63" s="654"/>
      <c r="M63" s="199" t="e">
        <f>RANK(K63, K$42:$K$71)</f>
        <v>#DIV/0!</v>
      </c>
      <c r="N63" s="661"/>
      <c r="O63" s="661"/>
      <c r="P63" s="321"/>
      <c r="Q63" s="182"/>
      <c r="R63" s="322"/>
      <c r="S63" s="321" t="e">
        <f t="shared" si="17"/>
        <v>#N/A</v>
      </c>
      <c r="T63" s="669"/>
      <c r="U63" s="569"/>
      <c r="V63" s="182"/>
      <c r="W63" s="570"/>
      <c r="X63" s="475" t="e">
        <f t="shared" si="18"/>
        <v>#N/A</v>
      </c>
      <c r="Y63" s="669"/>
      <c r="Z63" s="569"/>
      <c r="AA63" s="182"/>
      <c r="AB63" s="570"/>
      <c r="AC63" s="475" t="e">
        <f t="shared" si="20"/>
        <v>#N/A</v>
      </c>
      <c r="AD63" s="669"/>
      <c r="AE63" s="569"/>
      <c r="AF63" s="182"/>
      <c r="AG63" s="570"/>
      <c r="AH63" s="475" t="e">
        <f t="shared" si="22"/>
        <v>#N/A</v>
      </c>
      <c r="AI63" s="669"/>
      <c r="AJ63" s="569"/>
      <c r="AK63" s="182"/>
      <c r="AL63" s="570"/>
      <c r="AM63" s="475" t="e">
        <f t="shared" si="24"/>
        <v>#N/A</v>
      </c>
      <c r="AN63" s="669"/>
      <c r="AO63" s="569"/>
      <c r="AP63" s="182"/>
      <c r="AQ63" s="570"/>
      <c r="AR63" s="475" t="e">
        <f t="shared" si="26"/>
        <v>#N/A</v>
      </c>
      <c r="AS63" s="669"/>
      <c r="AT63" s="569"/>
      <c r="AU63" s="182"/>
      <c r="AV63" s="570"/>
      <c r="AW63" s="475" t="e">
        <f t="shared" si="28"/>
        <v>#N/A</v>
      </c>
      <c r="AX63" s="669"/>
    </row>
    <row r="64" spans="2:50">
      <c r="B64" s="683"/>
      <c r="C64" s="321">
        <v>23</v>
      </c>
      <c r="D64" s="569"/>
      <c r="E64" s="569"/>
      <c r="F64" s="569"/>
      <c r="G64" s="569"/>
      <c r="H64" s="669"/>
      <c r="I64" s="424"/>
      <c r="J64" s="424"/>
      <c r="K64" s="200"/>
      <c r="L64" s="654"/>
      <c r="M64" s="199" t="e">
        <f>RANK(K64, K$42:$K$71)</f>
        <v>#DIV/0!</v>
      </c>
      <c r="N64" s="661"/>
      <c r="O64" s="661"/>
      <c r="P64" s="422"/>
      <c r="Q64" s="182"/>
      <c r="R64" s="423"/>
      <c r="S64" s="321" t="e">
        <f t="shared" si="17"/>
        <v>#N/A</v>
      </c>
      <c r="T64" s="669"/>
      <c r="U64" s="569"/>
      <c r="V64" s="182"/>
      <c r="W64" s="570"/>
      <c r="X64" s="475" t="e">
        <f t="shared" si="18"/>
        <v>#N/A</v>
      </c>
      <c r="Y64" s="669"/>
      <c r="Z64" s="569"/>
      <c r="AA64" s="182"/>
      <c r="AB64" s="570"/>
      <c r="AC64" s="475" t="e">
        <f t="shared" si="20"/>
        <v>#N/A</v>
      </c>
      <c r="AD64" s="669"/>
      <c r="AE64" s="569"/>
      <c r="AF64" s="182"/>
      <c r="AG64" s="570"/>
      <c r="AH64" s="475" t="e">
        <f t="shared" si="22"/>
        <v>#N/A</v>
      </c>
      <c r="AI64" s="669"/>
      <c r="AJ64" s="569"/>
      <c r="AK64" s="182"/>
      <c r="AL64" s="570"/>
      <c r="AM64" s="475" t="e">
        <f t="shared" si="24"/>
        <v>#N/A</v>
      </c>
      <c r="AN64" s="669"/>
      <c r="AO64" s="569"/>
      <c r="AP64" s="182"/>
      <c r="AQ64" s="570"/>
      <c r="AR64" s="475" t="e">
        <f t="shared" si="26"/>
        <v>#N/A</v>
      </c>
      <c r="AS64" s="669"/>
      <c r="AT64" s="569"/>
      <c r="AU64" s="182"/>
      <c r="AV64" s="570"/>
      <c r="AW64" s="475" t="e">
        <f t="shared" si="28"/>
        <v>#N/A</v>
      </c>
      <c r="AX64" s="669"/>
    </row>
    <row r="65" spans="2:50">
      <c r="B65" s="683"/>
      <c r="C65" s="321">
        <v>24</v>
      </c>
      <c r="D65" s="569"/>
      <c r="E65" s="569"/>
      <c r="F65" s="569"/>
      <c r="G65" s="569"/>
      <c r="H65" s="669"/>
      <c r="I65" s="424"/>
      <c r="J65" s="424"/>
      <c r="K65" s="200"/>
      <c r="L65" s="654"/>
      <c r="M65" s="199" t="e">
        <f>RANK(K65, K$42:$K$71)</f>
        <v>#DIV/0!</v>
      </c>
      <c r="N65" s="661"/>
      <c r="O65" s="661"/>
      <c r="P65" s="422"/>
      <c r="Q65" s="182"/>
      <c r="R65" s="423"/>
      <c r="S65" s="321" t="e">
        <f t="shared" si="17"/>
        <v>#N/A</v>
      </c>
      <c r="T65" s="669"/>
      <c r="U65" s="569"/>
      <c r="V65" s="182"/>
      <c r="W65" s="570"/>
      <c r="X65" s="475" t="e">
        <f t="shared" si="18"/>
        <v>#N/A</v>
      </c>
      <c r="Y65" s="669"/>
      <c r="Z65" s="569"/>
      <c r="AA65" s="182"/>
      <c r="AB65" s="570"/>
      <c r="AC65" s="475" t="e">
        <f t="shared" si="20"/>
        <v>#N/A</v>
      </c>
      <c r="AD65" s="669"/>
      <c r="AE65" s="569"/>
      <c r="AF65" s="182"/>
      <c r="AG65" s="570"/>
      <c r="AH65" s="475" t="e">
        <f t="shared" si="22"/>
        <v>#N/A</v>
      </c>
      <c r="AI65" s="669"/>
      <c r="AJ65" s="569"/>
      <c r="AK65" s="182"/>
      <c r="AL65" s="570"/>
      <c r="AM65" s="475" t="e">
        <f t="shared" si="24"/>
        <v>#N/A</v>
      </c>
      <c r="AN65" s="669"/>
      <c r="AO65" s="569"/>
      <c r="AP65" s="182"/>
      <c r="AQ65" s="570"/>
      <c r="AR65" s="475" t="e">
        <f t="shared" si="26"/>
        <v>#N/A</v>
      </c>
      <c r="AS65" s="669"/>
      <c r="AT65" s="569"/>
      <c r="AU65" s="182"/>
      <c r="AV65" s="570"/>
      <c r="AW65" s="475" t="e">
        <f t="shared" si="28"/>
        <v>#N/A</v>
      </c>
      <c r="AX65" s="669"/>
    </row>
    <row r="66" spans="2:50">
      <c r="B66" s="683"/>
      <c r="C66" s="321">
        <v>25</v>
      </c>
      <c r="D66" s="569"/>
      <c r="E66" s="569"/>
      <c r="F66" s="569"/>
      <c r="G66" s="569"/>
      <c r="H66" s="669"/>
      <c r="I66" s="202"/>
      <c r="J66" s="202"/>
      <c r="K66" s="202"/>
      <c r="L66" s="654"/>
      <c r="M66" s="199" t="e">
        <f>RANK(K66, K$42:$K$71)</f>
        <v>#DIV/0!</v>
      </c>
      <c r="N66" s="661"/>
      <c r="O66" s="661"/>
      <c r="P66" s="422"/>
      <c r="Q66" s="182"/>
      <c r="R66" s="423"/>
      <c r="S66" s="321" t="e">
        <f t="shared" si="17"/>
        <v>#N/A</v>
      </c>
      <c r="T66" s="669"/>
      <c r="U66" s="569"/>
      <c r="V66" s="182"/>
      <c r="W66" s="570"/>
      <c r="X66" s="475" t="e">
        <f t="shared" si="18"/>
        <v>#N/A</v>
      </c>
      <c r="Y66" s="669"/>
      <c r="Z66" s="569"/>
      <c r="AA66" s="182"/>
      <c r="AB66" s="570"/>
      <c r="AC66" s="475" t="e">
        <f t="shared" si="20"/>
        <v>#N/A</v>
      </c>
      <c r="AD66" s="669"/>
      <c r="AE66" s="569"/>
      <c r="AF66" s="182"/>
      <c r="AG66" s="570"/>
      <c r="AH66" s="475" t="e">
        <f t="shared" si="22"/>
        <v>#N/A</v>
      </c>
      <c r="AI66" s="669"/>
      <c r="AJ66" s="569"/>
      <c r="AK66" s="182"/>
      <c r="AL66" s="570"/>
      <c r="AM66" s="475" t="e">
        <f t="shared" si="24"/>
        <v>#N/A</v>
      </c>
      <c r="AN66" s="669"/>
      <c r="AO66" s="569"/>
      <c r="AP66" s="182"/>
      <c r="AQ66" s="570"/>
      <c r="AR66" s="475" t="e">
        <f t="shared" si="26"/>
        <v>#N/A</v>
      </c>
      <c r="AS66" s="669"/>
      <c r="AT66" s="569"/>
      <c r="AU66" s="182"/>
      <c r="AV66" s="570"/>
      <c r="AW66" s="475" t="e">
        <f t="shared" si="28"/>
        <v>#N/A</v>
      </c>
      <c r="AX66" s="669"/>
    </row>
    <row r="67" spans="2:50">
      <c r="B67" s="683"/>
      <c r="C67" s="321">
        <v>26</v>
      </c>
      <c r="D67" s="569"/>
      <c r="E67" s="569"/>
      <c r="F67" s="569"/>
      <c r="G67" s="569"/>
      <c r="H67" s="669"/>
      <c r="I67" s="202"/>
      <c r="J67" s="202"/>
      <c r="K67" s="202"/>
      <c r="L67" s="654"/>
      <c r="M67" s="199" t="e">
        <f>RANK(K67, K$42:$K$71)</f>
        <v>#DIV/0!</v>
      </c>
      <c r="N67" s="661"/>
      <c r="O67" s="661"/>
      <c r="P67" s="422"/>
      <c r="Q67" s="182"/>
      <c r="R67" s="423"/>
      <c r="S67" s="321" t="e">
        <f t="shared" si="17"/>
        <v>#N/A</v>
      </c>
      <c r="T67" s="669"/>
      <c r="U67" s="569"/>
      <c r="V67" s="182"/>
      <c r="W67" s="570"/>
      <c r="X67" s="475" t="e">
        <f t="shared" si="18"/>
        <v>#N/A</v>
      </c>
      <c r="Y67" s="669"/>
      <c r="Z67" s="569"/>
      <c r="AA67" s="182"/>
      <c r="AB67" s="570"/>
      <c r="AC67" s="475" t="e">
        <f t="shared" si="20"/>
        <v>#N/A</v>
      </c>
      <c r="AD67" s="669"/>
      <c r="AE67" s="569"/>
      <c r="AF67" s="182"/>
      <c r="AG67" s="570"/>
      <c r="AH67" s="475" t="e">
        <f t="shared" si="22"/>
        <v>#N/A</v>
      </c>
      <c r="AI67" s="669"/>
      <c r="AJ67" s="569"/>
      <c r="AK67" s="182"/>
      <c r="AL67" s="570"/>
      <c r="AM67" s="475" t="e">
        <f t="shared" si="24"/>
        <v>#N/A</v>
      </c>
      <c r="AN67" s="669"/>
      <c r="AO67" s="569"/>
      <c r="AP67" s="182"/>
      <c r="AQ67" s="570"/>
      <c r="AR67" s="475" t="e">
        <f t="shared" si="26"/>
        <v>#N/A</v>
      </c>
      <c r="AS67" s="669"/>
      <c r="AT67" s="569"/>
      <c r="AU67" s="182"/>
      <c r="AV67" s="570"/>
      <c r="AW67" s="475" t="e">
        <f t="shared" si="28"/>
        <v>#N/A</v>
      </c>
      <c r="AX67" s="669"/>
    </row>
    <row r="68" spans="2:50">
      <c r="B68" s="683"/>
      <c r="C68" s="321">
        <v>27</v>
      </c>
      <c r="D68" s="569"/>
      <c r="E68" s="569"/>
      <c r="F68" s="569"/>
      <c r="G68" s="569"/>
      <c r="H68" s="669"/>
      <c r="I68" s="202"/>
      <c r="J68" s="202"/>
      <c r="K68" s="202"/>
      <c r="L68" s="654"/>
      <c r="M68" s="199" t="e">
        <f>RANK(K68, K$42:$K$71)</f>
        <v>#DIV/0!</v>
      </c>
      <c r="N68" s="661"/>
      <c r="O68" s="661"/>
      <c r="P68" s="422"/>
      <c r="Q68" s="182"/>
      <c r="R68" s="423"/>
      <c r="S68" s="321" t="e">
        <f t="shared" si="17"/>
        <v>#N/A</v>
      </c>
      <c r="T68" s="669"/>
      <c r="U68" s="569"/>
      <c r="V68" s="182"/>
      <c r="W68" s="570"/>
      <c r="X68" s="475" t="e">
        <f t="shared" si="18"/>
        <v>#N/A</v>
      </c>
      <c r="Y68" s="669"/>
      <c r="Z68" s="569"/>
      <c r="AA68" s="182"/>
      <c r="AB68" s="570"/>
      <c r="AC68" s="475" t="e">
        <f t="shared" si="20"/>
        <v>#N/A</v>
      </c>
      <c r="AD68" s="669"/>
      <c r="AE68" s="569"/>
      <c r="AF68" s="182"/>
      <c r="AG68" s="570"/>
      <c r="AH68" s="475" t="e">
        <f t="shared" si="22"/>
        <v>#N/A</v>
      </c>
      <c r="AI68" s="669"/>
      <c r="AJ68" s="569"/>
      <c r="AK68" s="182"/>
      <c r="AL68" s="570"/>
      <c r="AM68" s="475" t="e">
        <f t="shared" si="24"/>
        <v>#N/A</v>
      </c>
      <c r="AN68" s="669"/>
      <c r="AO68" s="569"/>
      <c r="AP68" s="182"/>
      <c r="AQ68" s="570"/>
      <c r="AR68" s="475" t="e">
        <f t="shared" si="26"/>
        <v>#N/A</v>
      </c>
      <c r="AS68" s="669"/>
      <c r="AT68" s="569"/>
      <c r="AU68" s="182"/>
      <c r="AV68" s="570"/>
      <c r="AW68" s="475" t="e">
        <f t="shared" si="28"/>
        <v>#N/A</v>
      </c>
      <c r="AX68" s="669"/>
    </row>
    <row r="69" spans="2:50">
      <c r="B69" s="683"/>
      <c r="C69" s="321">
        <v>28</v>
      </c>
      <c r="D69" s="569"/>
      <c r="E69" s="569"/>
      <c r="F69" s="569"/>
      <c r="G69" s="569"/>
      <c r="H69" s="669"/>
      <c r="I69" s="202"/>
      <c r="J69" s="202"/>
      <c r="K69" s="202"/>
      <c r="L69" s="654"/>
      <c r="M69" s="199" t="e">
        <f>RANK(K69, K$42:$K$71)</f>
        <v>#DIV/0!</v>
      </c>
      <c r="N69" s="661"/>
      <c r="O69" s="661"/>
      <c r="P69" s="422"/>
      <c r="Q69" s="182"/>
      <c r="R69" s="423"/>
      <c r="S69" s="321" t="e">
        <f t="shared" si="17"/>
        <v>#N/A</v>
      </c>
      <c r="T69" s="669"/>
      <c r="U69" s="569"/>
      <c r="V69" s="182"/>
      <c r="W69" s="570"/>
      <c r="X69" s="475" t="e">
        <f t="shared" si="18"/>
        <v>#N/A</v>
      </c>
      <c r="Y69" s="669"/>
      <c r="Z69" s="569"/>
      <c r="AA69" s="182"/>
      <c r="AB69" s="570"/>
      <c r="AC69" s="475" t="e">
        <f t="shared" si="20"/>
        <v>#N/A</v>
      </c>
      <c r="AD69" s="669"/>
      <c r="AE69" s="569"/>
      <c r="AF69" s="182"/>
      <c r="AG69" s="570"/>
      <c r="AH69" s="475" t="e">
        <f t="shared" si="22"/>
        <v>#N/A</v>
      </c>
      <c r="AI69" s="669"/>
      <c r="AJ69" s="569"/>
      <c r="AK69" s="182"/>
      <c r="AL69" s="570"/>
      <c r="AM69" s="475" t="e">
        <f t="shared" si="24"/>
        <v>#N/A</v>
      </c>
      <c r="AN69" s="669"/>
      <c r="AO69" s="569"/>
      <c r="AP69" s="182"/>
      <c r="AQ69" s="570"/>
      <c r="AR69" s="475" t="e">
        <f t="shared" si="26"/>
        <v>#N/A</v>
      </c>
      <c r="AS69" s="669"/>
      <c r="AT69" s="569"/>
      <c r="AU69" s="182"/>
      <c r="AV69" s="570"/>
      <c r="AW69" s="475" t="e">
        <f t="shared" si="28"/>
        <v>#N/A</v>
      </c>
      <c r="AX69" s="669"/>
    </row>
    <row r="70" spans="2:50">
      <c r="B70" s="683"/>
      <c r="C70" s="321">
        <v>29</v>
      </c>
      <c r="D70" s="569"/>
      <c r="E70" s="569"/>
      <c r="F70" s="569"/>
      <c r="G70" s="569"/>
      <c r="H70" s="669"/>
      <c r="I70" s="202"/>
      <c r="J70" s="202"/>
      <c r="K70" s="202"/>
      <c r="L70" s="654"/>
      <c r="M70" s="199" t="e">
        <f>RANK(K70, K$42:$K$71)</f>
        <v>#DIV/0!</v>
      </c>
      <c r="N70" s="661"/>
      <c r="O70" s="661"/>
      <c r="P70" s="422"/>
      <c r="Q70" s="182"/>
      <c r="R70" s="423"/>
      <c r="S70" s="321" t="e">
        <f t="shared" si="17"/>
        <v>#N/A</v>
      </c>
      <c r="T70" s="669"/>
      <c r="U70" s="569"/>
      <c r="V70" s="182"/>
      <c r="W70" s="570"/>
      <c r="X70" s="475" t="e">
        <f t="shared" si="18"/>
        <v>#N/A</v>
      </c>
      <c r="Y70" s="669"/>
      <c r="Z70" s="569"/>
      <c r="AA70" s="182"/>
      <c r="AB70" s="570"/>
      <c r="AC70" s="475" t="e">
        <f t="shared" si="20"/>
        <v>#N/A</v>
      </c>
      <c r="AD70" s="669"/>
      <c r="AE70" s="569"/>
      <c r="AF70" s="182"/>
      <c r="AG70" s="570"/>
      <c r="AH70" s="475" t="e">
        <f t="shared" si="22"/>
        <v>#N/A</v>
      </c>
      <c r="AI70" s="669"/>
      <c r="AJ70" s="569"/>
      <c r="AK70" s="182"/>
      <c r="AL70" s="570"/>
      <c r="AM70" s="475" t="e">
        <f t="shared" si="24"/>
        <v>#N/A</v>
      </c>
      <c r="AN70" s="669"/>
      <c r="AO70" s="569"/>
      <c r="AP70" s="182"/>
      <c r="AQ70" s="570"/>
      <c r="AR70" s="475" t="e">
        <f t="shared" si="26"/>
        <v>#N/A</v>
      </c>
      <c r="AS70" s="669"/>
      <c r="AT70" s="569"/>
      <c r="AU70" s="182"/>
      <c r="AV70" s="570"/>
      <c r="AW70" s="475" t="e">
        <f t="shared" si="28"/>
        <v>#N/A</v>
      </c>
      <c r="AX70" s="669"/>
    </row>
    <row r="71" spans="2:50">
      <c r="B71" s="684"/>
      <c r="C71" s="321">
        <v>30</v>
      </c>
      <c r="D71" s="569"/>
      <c r="E71" s="569"/>
      <c r="F71" s="569"/>
      <c r="G71" s="569"/>
      <c r="H71" s="670"/>
      <c r="I71" s="202"/>
      <c r="J71" s="202"/>
      <c r="K71" s="202"/>
      <c r="L71" s="655"/>
      <c r="M71" s="199" t="e">
        <f>RANK(K71, K$42:$K$71)</f>
        <v>#DIV/0!</v>
      </c>
      <c r="N71" s="662"/>
      <c r="O71" s="662"/>
      <c r="P71" s="422"/>
      <c r="Q71" s="182"/>
      <c r="R71" s="423"/>
      <c r="S71" s="321" t="e">
        <f t="shared" si="17"/>
        <v>#N/A</v>
      </c>
      <c r="T71" s="670"/>
      <c r="U71" s="569"/>
      <c r="V71" s="182"/>
      <c r="W71" s="570"/>
      <c r="X71" s="475" t="e">
        <f t="shared" si="18"/>
        <v>#N/A</v>
      </c>
      <c r="Y71" s="670"/>
      <c r="Z71" s="569"/>
      <c r="AA71" s="182"/>
      <c r="AB71" s="570"/>
      <c r="AC71" s="475" t="e">
        <f t="shared" si="20"/>
        <v>#N/A</v>
      </c>
      <c r="AD71" s="670"/>
      <c r="AE71" s="569"/>
      <c r="AF71" s="182"/>
      <c r="AG71" s="570"/>
      <c r="AH71" s="475" t="e">
        <f t="shared" si="22"/>
        <v>#N/A</v>
      </c>
      <c r="AI71" s="670"/>
      <c r="AJ71" s="569"/>
      <c r="AK71" s="182"/>
      <c r="AL71" s="570"/>
      <c r="AM71" s="475" t="e">
        <f t="shared" si="24"/>
        <v>#N/A</v>
      </c>
      <c r="AN71" s="670"/>
      <c r="AO71" s="569"/>
      <c r="AP71" s="182"/>
      <c r="AQ71" s="570"/>
      <c r="AR71" s="475" t="e">
        <f t="shared" si="26"/>
        <v>#N/A</v>
      </c>
      <c r="AS71" s="670"/>
      <c r="AT71" s="569"/>
      <c r="AU71" s="182"/>
      <c r="AV71" s="570"/>
      <c r="AW71" s="475" t="e">
        <f t="shared" si="28"/>
        <v>#N/A</v>
      </c>
      <c r="AX71" s="670"/>
    </row>
    <row r="72" spans="2:50" ht="15.75">
      <c r="B72" s="685" t="s">
        <v>163</v>
      </c>
      <c r="C72" s="686"/>
      <c r="D72" s="686"/>
      <c r="E72" s="686"/>
      <c r="F72" s="686"/>
      <c r="G72" s="686"/>
      <c r="H72" s="686"/>
      <c r="I72" s="208"/>
      <c r="J72" s="203"/>
      <c r="K72" s="208"/>
      <c r="L72" s="208"/>
      <c r="M72" s="204"/>
      <c r="N72" s="660" t="s">
        <v>156</v>
      </c>
      <c r="O72" s="660" t="s">
        <v>155</v>
      </c>
      <c r="P72" s="666">
        <f>P37+7</f>
        <v>46098</v>
      </c>
      <c r="Q72" s="667"/>
      <c r="R72" s="667"/>
      <c r="S72" s="667"/>
      <c r="T72" s="667"/>
      <c r="U72" s="663">
        <f>P72+1</f>
        <v>46099</v>
      </c>
      <c r="V72" s="664"/>
      <c r="W72" s="664"/>
      <c r="X72" s="664"/>
      <c r="Y72" s="665"/>
      <c r="Z72" s="663">
        <f>U72+1</f>
        <v>46100</v>
      </c>
      <c r="AA72" s="664"/>
      <c r="AB72" s="664"/>
      <c r="AC72" s="664"/>
      <c r="AD72" s="665"/>
      <c r="AE72" s="663">
        <f>Z72+1</f>
        <v>46101</v>
      </c>
      <c r="AF72" s="664"/>
      <c r="AG72" s="664"/>
      <c r="AH72" s="664"/>
      <c r="AI72" s="665"/>
      <c r="AJ72" s="663">
        <f>AE72+1</f>
        <v>46102</v>
      </c>
      <c r="AK72" s="664"/>
      <c r="AL72" s="664"/>
      <c r="AM72" s="664"/>
      <c r="AN72" s="665"/>
      <c r="AO72" s="663">
        <f>AJ72+1</f>
        <v>46103</v>
      </c>
      <c r="AP72" s="664"/>
      <c r="AQ72" s="664"/>
      <c r="AR72" s="664"/>
      <c r="AS72" s="665"/>
      <c r="AT72" s="663">
        <f>AO72+1</f>
        <v>46104</v>
      </c>
      <c r="AU72" s="664"/>
      <c r="AV72" s="664"/>
      <c r="AW72" s="664"/>
      <c r="AX72" s="665"/>
    </row>
    <row r="73" spans="2:50" ht="15.75">
      <c r="B73" s="674"/>
      <c r="C73" s="674"/>
      <c r="D73" s="674"/>
      <c r="E73" s="674"/>
      <c r="F73" s="674"/>
      <c r="G73" s="674"/>
      <c r="H73" s="674"/>
      <c r="I73" s="205"/>
      <c r="J73" s="205"/>
      <c r="K73" s="205"/>
      <c r="L73" s="205"/>
      <c r="M73" s="206"/>
      <c r="N73" s="662"/>
      <c r="O73" s="662"/>
      <c r="P73" s="666" t="s">
        <v>336</v>
      </c>
      <c r="Q73" s="667"/>
      <c r="R73" s="667"/>
      <c r="S73" s="667"/>
      <c r="T73" s="667"/>
      <c r="U73" s="666" t="s">
        <v>337</v>
      </c>
      <c r="V73" s="667"/>
      <c r="W73" s="667"/>
      <c r="X73" s="667"/>
      <c r="Y73" s="667"/>
      <c r="Z73" s="666" t="s">
        <v>338</v>
      </c>
      <c r="AA73" s="667"/>
      <c r="AB73" s="667"/>
      <c r="AC73" s="667"/>
      <c r="AD73" s="667"/>
      <c r="AE73" s="666" t="s">
        <v>339</v>
      </c>
      <c r="AF73" s="667"/>
      <c r="AG73" s="667"/>
      <c r="AH73" s="667"/>
      <c r="AI73" s="667"/>
      <c r="AJ73" s="666" t="s">
        <v>340</v>
      </c>
      <c r="AK73" s="667"/>
      <c r="AL73" s="667"/>
      <c r="AM73" s="667"/>
      <c r="AN73" s="667"/>
      <c r="AO73" s="666" t="s">
        <v>341</v>
      </c>
      <c r="AP73" s="667"/>
      <c r="AQ73" s="667"/>
      <c r="AR73" s="667"/>
      <c r="AS73" s="667"/>
      <c r="AT73" s="666" t="s">
        <v>342</v>
      </c>
      <c r="AU73" s="667"/>
      <c r="AV73" s="667"/>
      <c r="AW73" s="667"/>
      <c r="AX73" s="667"/>
    </row>
    <row r="74" spans="2:50">
      <c r="B74" s="660" t="s">
        <v>605</v>
      </c>
      <c r="C74" s="675" t="s">
        <v>606</v>
      </c>
      <c r="D74" s="678"/>
      <c r="E74" s="656" t="s">
        <v>607</v>
      </c>
      <c r="F74" s="657"/>
      <c r="G74" s="658"/>
      <c r="H74" s="660" t="s">
        <v>608</v>
      </c>
      <c r="I74" s="647" t="s">
        <v>609</v>
      </c>
      <c r="J74" s="648"/>
      <c r="K74" s="649"/>
      <c r="L74" s="650" t="s">
        <v>608</v>
      </c>
      <c r="M74" s="650" t="s">
        <v>610</v>
      </c>
      <c r="N74" s="660"/>
      <c r="O74" s="660" t="s">
        <v>611</v>
      </c>
      <c r="P74" s="656" t="s">
        <v>612</v>
      </c>
      <c r="Q74" s="657"/>
      <c r="R74" s="657"/>
      <c r="S74" s="658"/>
      <c r="T74" s="660" t="s">
        <v>608</v>
      </c>
      <c r="U74" s="656" t="s">
        <v>612</v>
      </c>
      <c r="V74" s="657"/>
      <c r="W74" s="657"/>
      <c r="X74" s="658"/>
      <c r="Y74" s="660" t="s">
        <v>608</v>
      </c>
      <c r="Z74" s="656" t="s">
        <v>612</v>
      </c>
      <c r="AA74" s="657"/>
      <c r="AB74" s="657"/>
      <c r="AC74" s="658"/>
      <c r="AD74" s="660" t="s">
        <v>608</v>
      </c>
      <c r="AE74" s="656" t="s">
        <v>612</v>
      </c>
      <c r="AF74" s="657"/>
      <c r="AG74" s="657"/>
      <c r="AH74" s="658"/>
      <c r="AI74" s="660" t="s">
        <v>608</v>
      </c>
      <c r="AJ74" s="656" t="s">
        <v>612</v>
      </c>
      <c r="AK74" s="657"/>
      <c r="AL74" s="657"/>
      <c r="AM74" s="658"/>
      <c r="AN74" s="660" t="s">
        <v>608</v>
      </c>
      <c r="AO74" s="656" t="s">
        <v>612</v>
      </c>
      <c r="AP74" s="657"/>
      <c r="AQ74" s="657"/>
      <c r="AR74" s="658"/>
      <c r="AS74" s="660" t="s">
        <v>608</v>
      </c>
      <c r="AT74" s="656" t="s">
        <v>612</v>
      </c>
      <c r="AU74" s="657"/>
      <c r="AV74" s="657"/>
      <c r="AW74" s="658"/>
      <c r="AX74" s="660" t="s">
        <v>608</v>
      </c>
    </row>
    <row r="75" spans="2:50">
      <c r="B75" s="661"/>
      <c r="C75" s="676"/>
      <c r="D75" s="679"/>
      <c r="E75" s="656" t="s">
        <v>613</v>
      </c>
      <c r="F75" s="657"/>
      <c r="G75" s="658"/>
      <c r="H75" s="661"/>
      <c r="I75" s="647" t="s">
        <v>613</v>
      </c>
      <c r="J75" s="648"/>
      <c r="K75" s="649"/>
      <c r="L75" s="651"/>
      <c r="M75" s="651"/>
      <c r="N75" s="661"/>
      <c r="O75" s="661"/>
      <c r="P75" s="656" t="s">
        <v>614</v>
      </c>
      <c r="Q75" s="657"/>
      <c r="R75" s="657"/>
      <c r="S75" s="658"/>
      <c r="T75" s="661"/>
      <c r="U75" s="656" t="s">
        <v>614</v>
      </c>
      <c r="V75" s="657"/>
      <c r="W75" s="657"/>
      <c r="X75" s="658"/>
      <c r="Y75" s="661"/>
      <c r="Z75" s="656" t="s">
        <v>614</v>
      </c>
      <c r="AA75" s="657"/>
      <c r="AB75" s="657"/>
      <c r="AC75" s="658"/>
      <c r="AD75" s="661"/>
      <c r="AE75" s="656" t="s">
        <v>614</v>
      </c>
      <c r="AF75" s="657"/>
      <c r="AG75" s="657"/>
      <c r="AH75" s="658"/>
      <c r="AI75" s="661"/>
      <c r="AJ75" s="656" t="s">
        <v>614</v>
      </c>
      <c r="AK75" s="657"/>
      <c r="AL75" s="657"/>
      <c r="AM75" s="658"/>
      <c r="AN75" s="661"/>
      <c r="AO75" s="656" t="s">
        <v>614</v>
      </c>
      <c r="AP75" s="657"/>
      <c r="AQ75" s="657"/>
      <c r="AR75" s="658"/>
      <c r="AS75" s="661"/>
      <c r="AT75" s="656" t="s">
        <v>614</v>
      </c>
      <c r="AU75" s="657"/>
      <c r="AV75" s="657"/>
      <c r="AW75" s="658"/>
      <c r="AX75" s="661"/>
    </row>
    <row r="76" spans="2:50">
      <c r="B76" s="662"/>
      <c r="C76" s="677"/>
      <c r="D76" s="680"/>
      <c r="E76" s="326" t="s">
        <v>615</v>
      </c>
      <c r="F76" s="326" t="s">
        <v>616</v>
      </c>
      <c r="G76" s="326" t="s">
        <v>617</v>
      </c>
      <c r="H76" s="662"/>
      <c r="I76" s="325" t="s">
        <v>615</v>
      </c>
      <c r="J76" s="325" t="s">
        <v>616</v>
      </c>
      <c r="K76" s="325" t="s">
        <v>617</v>
      </c>
      <c r="L76" s="652"/>
      <c r="M76" s="652"/>
      <c r="N76" s="661"/>
      <c r="O76" s="661"/>
      <c r="P76" s="326" t="s">
        <v>615</v>
      </c>
      <c r="Q76" s="326" t="s">
        <v>616</v>
      </c>
      <c r="R76" s="326" t="s">
        <v>617</v>
      </c>
      <c r="S76" s="326" t="s">
        <v>610</v>
      </c>
      <c r="T76" s="662"/>
      <c r="U76" s="326" t="s">
        <v>615</v>
      </c>
      <c r="V76" s="326" t="s">
        <v>616</v>
      </c>
      <c r="W76" s="326" t="s">
        <v>617</v>
      </c>
      <c r="X76" s="326" t="s">
        <v>610</v>
      </c>
      <c r="Y76" s="662"/>
      <c r="Z76" s="326" t="s">
        <v>615</v>
      </c>
      <c r="AA76" s="326" t="s">
        <v>616</v>
      </c>
      <c r="AB76" s="326" t="s">
        <v>617</v>
      </c>
      <c r="AC76" s="326" t="s">
        <v>610</v>
      </c>
      <c r="AD76" s="662"/>
      <c r="AE76" s="326" t="s">
        <v>615</v>
      </c>
      <c r="AF76" s="326" t="s">
        <v>616</v>
      </c>
      <c r="AG76" s="326" t="s">
        <v>617</v>
      </c>
      <c r="AH76" s="326" t="s">
        <v>610</v>
      </c>
      <c r="AI76" s="662"/>
      <c r="AJ76" s="326" t="s">
        <v>615</v>
      </c>
      <c r="AK76" s="326" t="s">
        <v>616</v>
      </c>
      <c r="AL76" s="326" t="s">
        <v>617</v>
      </c>
      <c r="AM76" s="326" t="s">
        <v>610</v>
      </c>
      <c r="AN76" s="662"/>
      <c r="AO76" s="326" t="s">
        <v>615</v>
      </c>
      <c r="AP76" s="326" t="s">
        <v>616</v>
      </c>
      <c r="AQ76" s="326" t="s">
        <v>617</v>
      </c>
      <c r="AR76" s="326" t="s">
        <v>610</v>
      </c>
      <c r="AS76" s="662"/>
      <c r="AT76" s="326" t="s">
        <v>615</v>
      </c>
      <c r="AU76" s="326" t="s">
        <v>616</v>
      </c>
      <c r="AV76" s="326" t="s">
        <v>617</v>
      </c>
      <c r="AW76" s="326" t="s">
        <v>610</v>
      </c>
      <c r="AX76" s="662"/>
    </row>
    <row r="77" spans="2:50">
      <c r="B77" s="682" t="s">
        <v>150</v>
      </c>
      <c r="C77" s="327">
        <v>1</v>
      </c>
      <c r="D77" s="569"/>
      <c r="E77" s="569"/>
      <c r="F77" s="569"/>
      <c r="G77" s="182"/>
      <c r="H77" s="668" t="e">
        <f>AVERAGE(G77:G106)</f>
        <v>#DIV/0!</v>
      </c>
      <c r="I77" s="536" t="e">
        <f t="shared" ref="I77:K92" si="36">AVERAGE(P77,U77,Z77,AE77,AJ77,AO77,AT77)</f>
        <v>#DIV/0!</v>
      </c>
      <c r="J77" s="536" t="e">
        <f t="shared" si="36"/>
        <v>#DIV/0!</v>
      </c>
      <c r="K77" s="200" t="e">
        <f t="shared" si="36"/>
        <v>#DIV/0!</v>
      </c>
      <c r="L77" s="653" t="str">
        <f>IFERROR(AVERAGE(K77:K106),"-")</f>
        <v>-</v>
      </c>
      <c r="M77" s="199" t="e">
        <f>RANK(K77, K$77:$K$106)</f>
        <v>#DIV/0!</v>
      </c>
      <c r="N77" s="661"/>
      <c r="O77" s="661"/>
      <c r="P77" s="425"/>
      <c r="Q77" s="182"/>
      <c r="R77" s="182"/>
      <c r="S77" s="327" t="e">
        <f>RANK(R77, R$77:R$106)</f>
        <v>#N/A</v>
      </c>
      <c r="T77" s="668" t="e">
        <f>AVERAGE(R77:R106)</f>
        <v>#DIV/0!</v>
      </c>
      <c r="U77" s="425"/>
      <c r="V77" s="182"/>
      <c r="W77" s="182"/>
      <c r="X77" s="475" t="e">
        <f t="shared" ref="X77:X92" si="37">RANK(W77, W$77:W$106)</f>
        <v>#N/A</v>
      </c>
      <c r="Y77" s="668" t="e">
        <f t="shared" ref="Y77" si="38">AVERAGE(W77:W106)</f>
        <v>#DIV/0!</v>
      </c>
      <c r="Z77" s="425"/>
      <c r="AA77" s="182"/>
      <c r="AB77" s="182"/>
      <c r="AC77" s="475" t="e">
        <f t="shared" ref="AC77:AC92" si="39">RANK(AB77, AB$77:AB$106)</f>
        <v>#N/A</v>
      </c>
      <c r="AD77" s="668" t="e">
        <f t="shared" ref="AD77" si="40">AVERAGE(AB77:AB106)</f>
        <v>#DIV/0!</v>
      </c>
      <c r="AE77" s="425"/>
      <c r="AF77" s="182"/>
      <c r="AG77" s="182"/>
      <c r="AH77" s="475" t="e">
        <f t="shared" ref="AH77:AH92" si="41">RANK(AG77, AG$77:AG$106)</f>
        <v>#N/A</v>
      </c>
      <c r="AI77" s="668" t="e">
        <f t="shared" ref="AI77" si="42">AVERAGE(AG77:AG106)</f>
        <v>#DIV/0!</v>
      </c>
      <c r="AJ77" s="425"/>
      <c r="AK77" s="182"/>
      <c r="AL77" s="182"/>
      <c r="AM77" s="475" t="e">
        <f t="shared" ref="AM77:AM92" si="43">RANK(AL77, AL$77:AL$106)</f>
        <v>#N/A</v>
      </c>
      <c r="AN77" s="668" t="e">
        <f t="shared" ref="AN77" si="44">AVERAGE(AL77:AL106)</f>
        <v>#DIV/0!</v>
      </c>
      <c r="AO77" s="425"/>
      <c r="AP77" s="182"/>
      <c r="AQ77" s="182"/>
      <c r="AR77" s="475" t="e">
        <f t="shared" ref="AR77:AR92" si="45">RANK(AQ77, AQ$77:AQ$106)</f>
        <v>#N/A</v>
      </c>
      <c r="AS77" s="668" t="e">
        <f t="shared" ref="AS77" si="46">AVERAGE(AQ77:AQ106)</f>
        <v>#DIV/0!</v>
      </c>
      <c r="AT77" s="425"/>
      <c r="AU77" s="182"/>
      <c r="AV77" s="182"/>
      <c r="AW77" s="475" t="e">
        <f t="shared" ref="AW77:AW92" si="47">RANK(AV77, AV$77:AV$106)</f>
        <v>#N/A</v>
      </c>
      <c r="AX77" s="668" t="e">
        <f t="shared" ref="AX77" si="48">AVERAGE(AV77:AV106)</f>
        <v>#DIV/0!</v>
      </c>
    </row>
    <row r="78" spans="2:50">
      <c r="B78" s="683"/>
      <c r="C78" s="327">
        <v>2</v>
      </c>
      <c r="D78" s="571"/>
      <c r="E78" s="569"/>
      <c r="F78" s="569"/>
      <c r="G78" s="182"/>
      <c r="H78" s="669"/>
      <c r="I78" s="536" t="e">
        <f t="shared" si="36"/>
        <v>#DIV/0!</v>
      </c>
      <c r="J78" s="536" t="e">
        <f t="shared" si="36"/>
        <v>#DIV/0!</v>
      </c>
      <c r="K78" s="200" t="e">
        <f t="shared" si="36"/>
        <v>#DIV/0!</v>
      </c>
      <c r="L78" s="654"/>
      <c r="M78" s="199" t="e">
        <f>RANK(K78, K$77:$K$106)</f>
        <v>#DIV/0!</v>
      </c>
      <c r="N78" s="661"/>
      <c r="O78" s="661"/>
      <c r="P78" s="182"/>
      <c r="Q78" s="182"/>
      <c r="R78" s="182"/>
      <c r="S78" s="334" t="e">
        <f t="shared" ref="S78:S106" si="49">RANK(R78, R$77:R$106)</f>
        <v>#N/A</v>
      </c>
      <c r="T78" s="669"/>
      <c r="U78" s="182"/>
      <c r="V78" s="182"/>
      <c r="W78" s="182"/>
      <c r="X78" s="475" t="e">
        <f t="shared" si="37"/>
        <v>#N/A</v>
      </c>
      <c r="Y78" s="669"/>
      <c r="Z78" s="182"/>
      <c r="AA78" s="182"/>
      <c r="AB78" s="182"/>
      <c r="AC78" s="475" t="e">
        <f t="shared" si="39"/>
        <v>#N/A</v>
      </c>
      <c r="AD78" s="669"/>
      <c r="AE78" s="182"/>
      <c r="AF78" s="182"/>
      <c r="AG78" s="182"/>
      <c r="AH78" s="475" t="e">
        <f t="shared" si="41"/>
        <v>#N/A</v>
      </c>
      <c r="AI78" s="669"/>
      <c r="AJ78" s="182"/>
      <c r="AK78" s="182"/>
      <c r="AL78" s="182"/>
      <c r="AM78" s="475" t="e">
        <f t="shared" si="43"/>
        <v>#N/A</v>
      </c>
      <c r="AN78" s="669"/>
      <c r="AO78" s="182"/>
      <c r="AP78" s="182"/>
      <c r="AQ78" s="182"/>
      <c r="AR78" s="475" t="e">
        <f t="shared" si="45"/>
        <v>#N/A</v>
      </c>
      <c r="AS78" s="669"/>
      <c r="AT78" s="182"/>
      <c r="AU78" s="182"/>
      <c r="AV78" s="182"/>
      <c r="AW78" s="475" t="e">
        <f t="shared" si="47"/>
        <v>#N/A</v>
      </c>
      <c r="AX78" s="669"/>
    </row>
    <row r="79" spans="2:50">
      <c r="B79" s="683"/>
      <c r="C79" s="327">
        <v>3</v>
      </c>
      <c r="D79" s="569"/>
      <c r="E79" s="569"/>
      <c r="F79" s="569"/>
      <c r="G79" s="182"/>
      <c r="H79" s="669"/>
      <c r="I79" s="536" t="e">
        <f t="shared" si="36"/>
        <v>#DIV/0!</v>
      </c>
      <c r="J79" s="536" t="e">
        <f t="shared" si="36"/>
        <v>#DIV/0!</v>
      </c>
      <c r="K79" s="200" t="e">
        <f t="shared" si="36"/>
        <v>#DIV/0!</v>
      </c>
      <c r="L79" s="654"/>
      <c r="M79" s="199" t="e">
        <f>RANK(K79, K$77:$K$106)</f>
        <v>#DIV/0!</v>
      </c>
      <c r="N79" s="661"/>
      <c r="O79" s="661"/>
      <c r="P79" s="182"/>
      <c r="Q79" s="182"/>
      <c r="R79" s="182"/>
      <c r="S79" s="334" t="e">
        <f t="shared" si="49"/>
        <v>#N/A</v>
      </c>
      <c r="T79" s="669"/>
      <c r="U79" s="182"/>
      <c r="V79" s="182"/>
      <c r="W79" s="182"/>
      <c r="X79" s="475" t="e">
        <f t="shared" si="37"/>
        <v>#N/A</v>
      </c>
      <c r="Y79" s="669"/>
      <c r="Z79" s="182"/>
      <c r="AA79" s="182"/>
      <c r="AB79" s="182"/>
      <c r="AC79" s="475" t="e">
        <f t="shared" si="39"/>
        <v>#N/A</v>
      </c>
      <c r="AD79" s="669"/>
      <c r="AE79" s="182"/>
      <c r="AF79" s="182"/>
      <c r="AG79" s="182"/>
      <c r="AH79" s="475" t="e">
        <f t="shared" si="41"/>
        <v>#N/A</v>
      </c>
      <c r="AI79" s="669"/>
      <c r="AJ79" s="182"/>
      <c r="AK79" s="182"/>
      <c r="AL79" s="182"/>
      <c r="AM79" s="475" t="e">
        <f t="shared" si="43"/>
        <v>#N/A</v>
      </c>
      <c r="AN79" s="669"/>
      <c r="AO79" s="182"/>
      <c r="AP79" s="182"/>
      <c r="AQ79" s="182"/>
      <c r="AR79" s="475" t="e">
        <f t="shared" si="45"/>
        <v>#N/A</v>
      </c>
      <c r="AS79" s="669"/>
      <c r="AT79" s="182"/>
      <c r="AU79" s="182"/>
      <c r="AV79" s="182"/>
      <c r="AW79" s="475" t="e">
        <f t="shared" si="47"/>
        <v>#N/A</v>
      </c>
      <c r="AX79" s="669"/>
    </row>
    <row r="80" spans="2:50">
      <c r="B80" s="683"/>
      <c r="C80" s="327">
        <v>4</v>
      </c>
      <c r="D80" s="569"/>
      <c r="E80" s="569"/>
      <c r="F80" s="569"/>
      <c r="G80" s="182"/>
      <c r="H80" s="669"/>
      <c r="I80" s="536" t="e">
        <f t="shared" si="36"/>
        <v>#DIV/0!</v>
      </c>
      <c r="J80" s="536" t="e">
        <f t="shared" si="36"/>
        <v>#DIV/0!</v>
      </c>
      <c r="K80" s="200" t="e">
        <f t="shared" si="36"/>
        <v>#DIV/0!</v>
      </c>
      <c r="L80" s="654"/>
      <c r="M80" s="199" t="e">
        <f>RANK(K80, K$77:$K$106)</f>
        <v>#DIV/0!</v>
      </c>
      <c r="N80" s="661"/>
      <c r="O80" s="661"/>
      <c r="P80" s="182"/>
      <c r="Q80" s="182"/>
      <c r="R80" s="182"/>
      <c r="S80" s="334" t="e">
        <f t="shared" si="49"/>
        <v>#N/A</v>
      </c>
      <c r="T80" s="669"/>
      <c r="U80" s="182"/>
      <c r="V80" s="182"/>
      <c r="W80" s="182"/>
      <c r="X80" s="475" t="e">
        <f t="shared" si="37"/>
        <v>#N/A</v>
      </c>
      <c r="Y80" s="669"/>
      <c r="Z80" s="182"/>
      <c r="AA80" s="182"/>
      <c r="AB80" s="182"/>
      <c r="AC80" s="475" t="e">
        <f t="shared" si="39"/>
        <v>#N/A</v>
      </c>
      <c r="AD80" s="669"/>
      <c r="AE80" s="182"/>
      <c r="AF80" s="182"/>
      <c r="AG80" s="182"/>
      <c r="AH80" s="475" t="e">
        <f t="shared" si="41"/>
        <v>#N/A</v>
      </c>
      <c r="AI80" s="669"/>
      <c r="AJ80" s="182"/>
      <c r="AK80" s="182"/>
      <c r="AL80" s="182"/>
      <c r="AM80" s="475" t="e">
        <f t="shared" si="43"/>
        <v>#N/A</v>
      </c>
      <c r="AN80" s="669"/>
      <c r="AO80" s="182"/>
      <c r="AP80" s="182"/>
      <c r="AQ80" s="182"/>
      <c r="AR80" s="475" t="e">
        <f t="shared" si="45"/>
        <v>#N/A</v>
      </c>
      <c r="AS80" s="669"/>
      <c r="AT80" s="182"/>
      <c r="AU80" s="182"/>
      <c r="AV80" s="182"/>
      <c r="AW80" s="475" t="e">
        <f t="shared" si="47"/>
        <v>#N/A</v>
      </c>
      <c r="AX80" s="669"/>
    </row>
    <row r="81" spans="2:50">
      <c r="B81" s="683"/>
      <c r="C81" s="327">
        <v>5</v>
      </c>
      <c r="D81" s="569"/>
      <c r="E81" s="569"/>
      <c r="F81" s="569"/>
      <c r="G81" s="182"/>
      <c r="H81" s="669"/>
      <c r="I81" s="536" t="e">
        <f t="shared" si="36"/>
        <v>#DIV/0!</v>
      </c>
      <c r="J81" s="536" t="e">
        <f t="shared" si="36"/>
        <v>#DIV/0!</v>
      </c>
      <c r="K81" s="200" t="e">
        <f t="shared" si="36"/>
        <v>#DIV/0!</v>
      </c>
      <c r="L81" s="654"/>
      <c r="M81" s="199" t="e">
        <f>RANK(K81, K$77:$K$106)</f>
        <v>#DIV/0!</v>
      </c>
      <c r="N81" s="661"/>
      <c r="O81" s="661"/>
      <c r="P81" s="182"/>
      <c r="Q81" s="182"/>
      <c r="R81" s="182"/>
      <c r="S81" s="334" t="e">
        <f t="shared" si="49"/>
        <v>#N/A</v>
      </c>
      <c r="T81" s="669"/>
      <c r="U81" s="182"/>
      <c r="V81" s="182"/>
      <c r="W81" s="182"/>
      <c r="X81" s="475" t="e">
        <f t="shared" si="37"/>
        <v>#N/A</v>
      </c>
      <c r="Y81" s="669"/>
      <c r="Z81" s="182"/>
      <c r="AA81" s="182"/>
      <c r="AB81" s="182"/>
      <c r="AC81" s="475" t="e">
        <f t="shared" si="39"/>
        <v>#N/A</v>
      </c>
      <c r="AD81" s="669"/>
      <c r="AE81" s="182"/>
      <c r="AF81" s="182"/>
      <c r="AG81" s="182"/>
      <c r="AH81" s="475" t="e">
        <f t="shared" si="41"/>
        <v>#N/A</v>
      </c>
      <c r="AI81" s="669"/>
      <c r="AJ81" s="182"/>
      <c r="AK81" s="182"/>
      <c r="AL81" s="182"/>
      <c r="AM81" s="475" t="e">
        <f t="shared" si="43"/>
        <v>#N/A</v>
      </c>
      <c r="AN81" s="669"/>
      <c r="AO81" s="182"/>
      <c r="AP81" s="182"/>
      <c r="AQ81" s="182"/>
      <c r="AR81" s="475" t="e">
        <f t="shared" si="45"/>
        <v>#N/A</v>
      </c>
      <c r="AS81" s="669"/>
      <c r="AT81" s="182"/>
      <c r="AU81" s="182"/>
      <c r="AV81" s="182"/>
      <c r="AW81" s="475" t="e">
        <f t="shared" si="47"/>
        <v>#N/A</v>
      </c>
      <c r="AX81" s="669"/>
    </row>
    <row r="82" spans="2:50">
      <c r="B82" s="683"/>
      <c r="C82" s="327">
        <v>6</v>
      </c>
      <c r="D82" s="569"/>
      <c r="E82" s="569"/>
      <c r="F82" s="569"/>
      <c r="G82" s="182"/>
      <c r="H82" s="669"/>
      <c r="I82" s="536" t="e">
        <f t="shared" si="36"/>
        <v>#DIV/0!</v>
      </c>
      <c r="J82" s="536" t="e">
        <f t="shared" si="36"/>
        <v>#DIV/0!</v>
      </c>
      <c r="K82" s="200" t="e">
        <f t="shared" si="36"/>
        <v>#DIV/0!</v>
      </c>
      <c r="L82" s="654"/>
      <c r="M82" s="199" t="e">
        <f>RANK(K82, K$77:$K$106)</f>
        <v>#DIV/0!</v>
      </c>
      <c r="N82" s="661"/>
      <c r="O82" s="661"/>
      <c r="P82" s="182"/>
      <c r="Q82" s="182"/>
      <c r="R82" s="182"/>
      <c r="S82" s="334" t="e">
        <f t="shared" si="49"/>
        <v>#N/A</v>
      </c>
      <c r="T82" s="669"/>
      <c r="U82" s="182"/>
      <c r="V82" s="182"/>
      <c r="W82" s="182"/>
      <c r="X82" s="475" t="e">
        <f t="shared" si="37"/>
        <v>#N/A</v>
      </c>
      <c r="Y82" s="669"/>
      <c r="Z82" s="182"/>
      <c r="AA82" s="182"/>
      <c r="AB82" s="182"/>
      <c r="AC82" s="475" t="e">
        <f t="shared" si="39"/>
        <v>#N/A</v>
      </c>
      <c r="AD82" s="669"/>
      <c r="AE82" s="182"/>
      <c r="AF82" s="182"/>
      <c r="AG82" s="182"/>
      <c r="AH82" s="475" t="e">
        <f t="shared" si="41"/>
        <v>#N/A</v>
      </c>
      <c r="AI82" s="669"/>
      <c r="AJ82" s="182"/>
      <c r="AK82" s="182"/>
      <c r="AL82" s="182"/>
      <c r="AM82" s="475" t="e">
        <f t="shared" si="43"/>
        <v>#N/A</v>
      </c>
      <c r="AN82" s="669"/>
      <c r="AO82" s="182"/>
      <c r="AP82" s="182"/>
      <c r="AQ82" s="182"/>
      <c r="AR82" s="475" t="e">
        <f t="shared" si="45"/>
        <v>#N/A</v>
      </c>
      <c r="AS82" s="669"/>
      <c r="AT82" s="182"/>
      <c r="AU82" s="182"/>
      <c r="AV82" s="182"/>
      <c r="AW82" s="475" t="e">
        <f t="shared" si="47"/>
        <v>#N/A</v>
      </c>
      <c r="AX82" s="669"/>
    </row>
    <row r="83" spans="2:50">
      <c r="B83" s="683"/>
      <c r="C83" s="327">
        <v>7</v>
      </c>
      <c r="D83" s="569"/>
      <c r="E83" s="569"/>
      <c r="F83" s="569"/>
      <c r="G83" s="182"/>
      <c r="H83" s="669"/>
      <c r="I83" s="536" t="e">
        <f t="shared" si="36"/>
        <v>#DIV/0!</v>
      </c>
      <c r="J83" s="536" t="e">
        <f t="shared" si="36"/>
        <v>#DIV/0!</v>
      </c>
      <c r="K83" s="200" t="e">
        <f t="shared" si="36"/>
        <v>#DIV/0!</v>
      </c>
      <c r="L83" s="654"/>
      <c r="M83" s="199" t="e">
        <f>RANK(K83, K$77:$K$106)</f>
        <v>#DIV/0!</v>
      </c>
      <c r="N83" s="661"/>
      <c r="O83" s="661"/>
      <c r="P83" s="182"/>
      <c r="Q83" s="182"/>
      <c r="R83" s="182"/>
      <c r="S83" s="334" t="e">
        <f t="shared" si="49"/>
        <v>#N/A</v>
      </c>
      <c r="T83" s="669"/>
      <c r="U83" s="182"/>
      <c r="V83" s="182"/>
      <c r="W83" s="182"/>
      <c r="X83" s="475" t="e">
        <f t="shared" si="37"/>
        <v>#N/A</v>
      </c>
      <c r="Y83" s="669"/>
      <c r="Z83" s="182"/>
      <c r="AA83" s="182"/>
      <c r="AB83" s="182"/>
      <c r="AC83" s="475" t="e">
        <f t="shared" si="39"/>
        <v>#N/A</v>
      </c>
      <c r="AD83" s="669"/>
      <c r="AE83" s="182"/>
      <c r="AF83" s="182"/>
      <c r="AG83" s="182"/>
      <c r="AH83" s="475" t="e">
        <f t="shared" si="41"/>
        <v>#N/A</v>
      </c>
      <c r="AI83" s="669"/>
      <c r="AJ83" s="182"/>
      <c r="AK83" s="182"/>
      <c r="AL83" s="182"/>
      <c r="AM83" s="475" t="e">
        <f t="shared" si="43"/>
        <v>#N/A</v>
      </c>
      <c r="AN83" s="669"/>
      <c r="AO83" s="182"/>
      <c r="AP83" s="182"/>
      <c r="AQ83" s="182"/>
      <c r="AR83" s="475" t="e">
        <f t="shared" si="45"/>
        <v>#N/A</v>
      </c>
      <c r="AS83" s="669"/>
      <c r="AT83" s="182"/>
      <c r="AU83" s="182"/>
      <c r="AV83" s="182"/>
      <c r="AW83" s="475" t="e">
        <f t="shared" si="47"/>
        <v>#N/A</v>
      </c>
      <c r="AX83" s="669"/>
    </row>
    <row r="84" spans="2:50">
      <c r="B84" s="683"/>
      <c r="C84" s="327">
        <v>8</v>
      </c>
      <c r="D84" s="569"/>
      <c r="E84" s="569"/>
      <c r="F84" s="569"/>
      <c r="G84" s="182"/>
      <c r="H84" s="669"/>
      <c r="I84" s="536" t="e">
        <f t="shared" si="36"/>
        <v>#DIV/0!</v>
      </c>
      <c r="J84" s="536" t="e">
        <f t="shared" si="36"/>
        <v>#DIV/0!</v>
      </c>
      <c r="K84" s="200" t="e">
        <f t="shared" si="36"/>
        <v>#DIV/0!</v>
      </c>
      <c r="L84" s="654"/>
      <c r="M84" s="199" t="e">
        <f>RANK(K84, K$77:$K$106)</f>
        <v>#DIV/0!</v>
      </c>
      <c r="N84" s="661"/>
      <c r="O84" s="661"/>
      <c r="P84" s="182"/>
      <c r="Q84" s="182"/>
      <c r="R84" s="182"/>
      <c r="S84" s="334" t="e">
        <f t="shared" si="49"/>
        <v>#N/A</v>
      </c>
      <c r="T84" s="669"/>
      <c r="U84" s="182"/>
      <c r="V84" s="182"/>
      <c r="W84" s="182"/>
      <c r="X84" s="475" t="e">
        <f t="shared" si="37"/>
        <v>#N/A</v>
      </c>
      <c r="Y84" s="669"/>
      <c r="Z84" s="182"/>
      <c r="AA84" s="182"/>
      <c r="AB84" s="182"/>
      <c r="AC84" s="475" t="e">
        <f t="shared" si="39"/>
        <v>#N/A</v>
      </c>
      <c r="AD84" s="669"/>
      <c r="AE84" s="182"/>
      <c r="AF84" s="182"/>
      <c r="AG84" s="182"/>
      <c r="AH84" s="475" t="e">
        <f t="shared" si="41"/>
        <v>#N/A</v>
      </c>
      <c r="AI84" s="669"/>
      <c r="AJ84" s="182"/>
      <c r="AK84" s="182"/>
      <c r="AL84" s="182"/>
      <c r="AM84" s="475" t="e">
        <f t="shared" si="43"/>
        <v>#N/A</v>
      </c>
      <c r="AN84" s="669"/>
      <c r="AO84" s="182"/>
      <c r="AP84" s="182"/>
      <c r="AQ84" s="182"/>
      <c r="AR84" s="475" t="e">
        <f t="shared" si="45"/>
        <v>#N/A</v>
      </c>
      <c r="AS84" s="669"/>
      <c r="AT84" s="182"/>
      <c r="AU84" s="182"/>
      <c r="AV84" s="182"/>
      <c r="AW84" s="475" t="e">
        <f t="shared" si="47"/>
        <v>#N/A</v>
      </c>
      <c r="AX84" s="669"/>
    </row>
    <row r="85" spans="2:50">
      <c r="B85" s="683"/>
      <c r="C85" s="327">
        <v>9</v>
      </c>
      <c r="D85" s="569"/>
      <c r="E85" s="569"/>
      <c r="F85" s="569"/>
      <c r="G85" s="182"/>
      <c r="H85" s="669"/>
      <c r="I85" s="536" t="e">
        <f t="shared" si="36"/>
        <v>#DIV/0!</v>
      </c>
      <c r="J85" s="536" t="e">
        <f t="shared" si="36"/>
        <v>#DIV/0!</v>
      </c>
      <c r="K85" s="200" t="e">
        <f t="shared" si="36"/>
        <v>#DIV/0!</v>
      </c>
      <c r="L85" s="654"/>
      <c r="M85" s="199" t="e">
        <f>RANK(K85, K$77:$K$106)</f>
        <v>#DIV/0!</v>
      </c>
      <c r="N85" s="661"/>
      <c r="O85" s="661"/>
      <c r="P85" s="182"/>
      <c r="Q85" s="182"/>
      <c r="R85" s="182"/>
      <c r="S85" s="334" t="e">
        <f t="shared" si="49"/>
        <v>#N/A</v>
      </c>
      <c r="T85" s="669"/>
      <c r="U85" s="182"/>
      <c r="V85" s="182"/>
      <c r="W85" s="182"/>
      <c r="X85" s="475" t="e">
        <f t="shared" si="37"/>
        <v>#N/A</v>
      </c>
      <c r="Y85" s="669"/>
      <c r="Z85" s="182"/>
      <c r="AA85" s="182"/>
      <c r="AB85" s="182"/>
      <c r="AC85" s="475" t="e">
        <f t="shared" si="39"/>
        <v>#N/A</v>
      </c>
      <c r="AD85" s="669"/>
      <c r="AE85" s="182"/>
      <c r="AF85" s="182"/>
      <c r="AG85" s="182"/>
      <c r="AH85" s="475" t="e">
        <f t="shared" si="41"/>
        <v>#N/A</v>
      </c>
      <c r="AI85" s="669"/>
      <c r="AJ85" s="182"/>
      <c r="AK85" s="182"/>
      <c r="AL85" s="182"/>
      <c r="AM85" s="475" t="e">
        <f t="shared" si="43"/>
        <v>#N/A</v>
      </c>
      <c r="AN85" s="669"/>
      <c r="AO85" s="182"/>
      <c r="AP85" s="182"/>
      <c r="AQ85" s="182"/>
      <c r="AR85" s="475" t="e">
        <f t="shared" si="45"/>
        <v>#N/A</v>
      </c>
      <c r="AS85" s="669"/>
      <c r="AT85" s="182"/>
      <c r="AU85" s="182"/>
      <c r="AV85" s="182"/>
      <c r="AW85" s="475" t="e">
        <f t="shared" si="47"/>
        <v>#N/A</v>
      </c>
      <c r="AX85" s="669"/>
    </row>
    <row r="86" spans="2:50">
      <c r="B86" s="683"/>
      <c r="C86" s="327">
        <v>10</v>
      </c>
      <c r="D86" s="569"/>
      <c r="E86" s="569"/>
      <c r="F86" s="569"/>
      <c r="G86" s="182"/>
      <c r="H86" s="669"/>
      <c r="I86" s="536" t="e">
        <f t="shared" si="36"/>
        <v>#DIV/0!</v>
      </c>
      <c r="J86" s="536" t="e">
        <f t="shared" si="36"/>
        <v>#DIV/0!</v>
      </c>
      <c r="K86" s="200" t="e">
        <f t="shared" si="36"/>
        <v>#DIV/0!</v>
      </c>
      <c r="L86" s="654"/>
      <c r="M86" s="199" t="e">
        <f>RANK(K86, K$77:$K$106)</f>
        <v>#DIV/0!</v>
      </c>
      <c r="N86" s="661"/>
      <c r="O86" s="661"/>
      <c r="P86" s="182"/>
      <c r="Q86" s="182"/>
      <c r="R86" s="182"/>
      <c r="S86" s="334" t="e">
        <f t="shared" si="49"/>
        <v>#N/A</v>
      </c>
      <c r="T86" s="669"/>
      <c r="U86" s="182"/>
      <c r="V86" s="182"/>
      <c r="W86" s="182"/>
      <c r="X86" s="475" t="e">
        <f t="shared" si="37"/>
        <v>#N/A</v>
      </c>
      <c r="Y86" s="669"/>
      <c r="Z86" s="182"/>
      <c r="AA86" s="182"/>
      <c r="AB86" s="182"/>
      <c r="AC86" s="475" t="e">
        <f t="shared" si="39"/>
        <v>#N/A</v>
      </c>
      <c r="AD86" s="669"/>
      <c r="AE86" s="182"/>
      <c r="AF86" s="182"/>
      <c r="AG86" s="182"/>
      <c r="AH86" s="475" t="e">
        <f t="shared" si="41"/>
        <v>#N/A</v>
      </c>
      <c r="AI86" s="669"/>
      <c r="AJ86" s="182"/>
      <c r="AK86" s="182"/>
      <c r="AL86" s="182"/>
      <c r="AM86" s="475" t="e">
        <f t="shared" si="43"/>
        <v>#N/A</v>
      </c>
      <c r="AN86" s="669"/>
      <c r="AO86" s="182"/>
      <c r="AP86" s="182"/>
      <c r="AQ86" s="182"/>
      <c r="AR86" s="475" t="e">
        <f t="shared" si="45"/>
        <v>#N/A</v>
      </c>
      <c r="AS86" s="669"/>
      <c r="AT86" s="182"/>
      <c r="AU86" s="182"/>
      <c r="AV86" s="182"/>
      <c r="AW86" s="475" t="e">
        <f t="shared" si="47"/>
        <v>#N/A</v>
      </c>
      <c r="AX86" s="669"/>
    </row>
    <row r="87" spans="2:50">
      <c r="B87" s="683"/>
      <c r="C87" s="327">
        <v>11</v>
      </c>
      <c r="D87" s="569"/>
      <c r="E87" s="569"/>
      <c r="F87" s="569"/>
      <c r="G87" s="182"/>
      <c r="H87" s="669"/>
      <c r="I87" s="536" t="e">
        <f t="shared" si="36"/>
        <v>#DIV/0!</v>
      </c>
      <c r="J87" s="536" t="e">
        <f t="shared" si="36"/>
        <v>#DIV/0!</v>
      </c>
      <c r="K87" s="200" t="e">
        <f t="shared" si="36"/>
        <v>#DIV/0!</v>
      </c>
      <c r="L87" s="654"/>
      <c r="M87" s="199" t="e">
        <f>RANK(K87, K$77:$K$106)</f>
        <v>#DIV/0!</v>
      </c>
      <c r="N87" s="661"/>
      <c r="O87" s="661"/>
      <c r="P87" s="182"/>
      <c r="Q87" s="182"/>
      <c r="R87" s="182"/>
      <c r="S87" s="334" t="e">
        <f t="shared" si="49"/>
        <v>#N/A</v>
      </c>
      <c r="T87" s="669"/>
      <c r="U87" s="182"/>
      <c r="V87" s="182"/>
      <c r="W87" s="182"/>
      <c r="X87" s="475" t="e">
        <f t="shared" si="37"/>
        <v>#N/A</v>
      </c>
      <c r="Y87" s="669"/>
      <c r="Z87" s="182"/>
      <c r="AA87" s="182"/>
      <c r="AB87" s="182"/>
      <c r="AC87" s="475" t="e">
        <f t="shared" si="39"/>
        <v>#N/A</v>
      </c>
      <c r="AD87" s="669"/>
      <c r="AE87" s="182"/>
      <c r="AF87" s="182"/>
      <c r="AG87" s="182"/>
      <c r="AH87" s="475" t="e">
        <f t="shared" si="41"/>
        <v>#N/A</v>
      </c>
      <c r="AI87" s="669"/>
      <c r="AJ87" s="182"/>
      <c r="AK87" s="182"/>
      <c r="AL87" s="182"/>
      <c r="AM87" s="475" t="e">
        <f t="shared" si="43"/>
        <v>#N/A</v>
      </c>
      <c r="AN87" s="669"/>
      <c r="AO87" s="182"/>
      <c r="AP87" s="182"/>
      <c r="AQ87" s="182"/>
      <c r="AR87" s="475" t="e">
        <f t="shared" si="45"/>
        <v>#N/A</v>
      </c>
      <c r="AS87" s="669"/>
      <c r="AT87" s="182"/>
      <c r="AU87" s="182"/>
      <c r="AV87" s="182"/>
      <c r="AW87" s="475" t="e">
        <f t="shared" si="47"/>
        <v>#N/A</v>
      </c>
      <c r="AX87" s="669"/>
    </row>
    <row r="88" spans="2:50">
      <c r="B88" s="683"/>
      <c r="C88" s="327">
        <v>12</v>
      </c>
      <c r="D88" s="569"/>
      <c r="E88" s="569"/>
      <c r="F88" s="569"/>
      <c r="G88" s="182"/>
      <c r="H88" s="669"/>
      <c r="I88" s="536" t="e">
        <f t="shared" si="36"/>
        <v>#DIV/0!</v>
      </c>
      <c r="J88" s="536" t="e">
        <f t="shared" si="36"/>
        <v>#DIV/0!</v>
      </c>
      <c r="K88" s="200" t="e">
        <f t="shared" si="36"/>
        <v>#DIV/0!</v>
      </c>
      <c r="L88" s="654"/>
      <c r="M88" s="199" t="e">
        <f>RANK(K88, K$77:$K$106)</f>
        <v>#DIV/0!</v>
      </c>
      <c r="N88" s="661"/>
      <c r="O88" s="661"/>
      <c r="P88" s="182"/>
      <c r="Q88" s="182"/>
      <c r="R88" s="182"/>
      <c r="S88" s="334" t="e">
        <f t="shared" si="49"/>
        <v>#N/A</v>
      </c>
      <c r="T88" s="669"/>
      <c r="U88" s="182"/>
      <c r="V88" s="182"/>
      <c r="W88" s="182"/>
      <c r="X88" s="475" t="e">
        <f t="shared" si="37"/>
        <v>#N/A</v>
      </c>
      <c r="Y88" s="669"/>
      <c r="Z88" s="182"/>
      <c r="AA88" s="182"/>
      <c r="AB88" s="182"/>
      <c r="AC88" s="475" t="e">
        <f t="shared" si="39"/>
        <v>#N/A</v>
      </c>
      <c r="AD88" s="669"/>
      <c r="AE88" s="182"/>
      <c r="AF88" s="182"/>
      <c r="AG88" s="182"/>
      <c r="AH88" s="475" t="e">
        <f t="shared" si="41"/>
        <v>#N/A</v>
      </c>
      <c r="AI88" s="669"/>
      <c r="AJ88" s="182"/>
      <c r="AK88" s="182"/>
      <c r="AL88" s="182"/>
      <c r="AM88" s="475" t="e">
        <f t="shared" si="43"/>
        <v>#N/A</v>
      </c>
      <c r="AN88" s="669"/>
      <c r="AO88" s="182"/>
      <c r="AP88" s="182"/>
      <c r="AQ88" s="182"/>
      <c r="AR88" s="475" t="e">
        <f t="shared" si="45"/>
        <v>#N/A</v>
      </c>
      <c r="AS88" s="669"/>
      <c r="AT88" s="182"/>
      <c r="AU88" s="182"/>
      <c r="AV88" s="182"/>
      <c r="AW88" s="475" t="e">
        <f t="shared" si="47"/>
        <v>#N/A</v>
      </c>
      <c r="AX88" s="669"/>
    </row>
    <row r="89" spans="2:50">
      <c r="B89" s="683"/>
      <c r="C89" s="327">
        <v>13</v>
      </c>
      <c r="D89" s="569"/>
      <c r="E89" s="569"/>
      <c r="F89" s="569"/>
      <c r="G89" s="182"/>
      <c r="H89" s="669"/>
      <c r="I89" s="536" t="e">
        <f t="shared" si="36"/>
        <v>#DIV/0!</v>
      </c>
      <c r="J89" s="536" t="e">
        <f t="shared" si="36"/>
        <v>#DIV/0!</v>
      </c>
      <c r="K89" s="200" t="e">
        <f t="shared" si="36"/>
        <v>#DIV/0!</v>
      </c>
      <c r="L89" s="654"/>
      <c r="M89" s="199" t="e">
        <f>RANK(K89, K$77:$K$106)</f>
        <v>#DIV/0!</v>
      </c>
      <c r="N89" s="661"/>
      <c r="O89" s="661"/>
      <c r="P89" s="182"/>
      <c r="Q89" s="182"/>
      <c r="R89" s="182"/>
      <c r="S89" s="334" t="e">
        <f t="shared" si="49"/>
        <v>#N/A</v>
      </c>
      <c r="T89" s="669"/>
      <c r="U89" s="182"/>
      <c r="V89" s="182"/>
      <c r="W89" s="182"/>
      <c r="X89" s="475" t="e">
        <f t="shared" si="37"/>
        <v>#N/A</v>
      </c>
      <c r="Y89" s="669"/>
      <c r="Z89" s="182"/>
      <c r="AA89" s="182"/>
      <c r="AB89" s="182"/>
      <c r="AC89" s="475" t="e">
        <f t="shared" si="39"/>
        <v>#N/A</v>
      </c>
      <c r="AD89" s="669"/>
      <c r="AE89" s="182"/>
      <c r="AF89" s="182"/>
      <c r="AG89" s="182"/>
      <c r="AH89" s="475" t="e">
        <f t="shared" si="41"/>
        <v>#N/A</v>
      </c>
      <c r="AI89" s="669"/>
      <c r="AJ89" s="182"/>
      <c r="AK89" s="182"/>
      <c r="AL89" s="182"/>
      <c r="AM89" s="475" t="e">
        <f t="shared" si="43"/>
        <v>#N/A</v>
      </c>
      <c r="AN89" s="669"/>
      <c r="AO89" s="182"/>
      <c r="AP89" s="182"/>
      <c r="AQ89" s="182"/>
      <c r="AR89" s="475" t="e">
        <f t="shared" si="45"/>
        <v>#N/A</v>
      </c>
      <c r="AS89" s="669"/>
      <c r="AT89" s="182"/>
      <c r="AU89" s="182"/>
      <c r="AV89" s="182"/>
      <c r="AW89" s="475" t="e">
        <f t="shared" si="47"/>
        <v>#N/A</v>
      </c>
      <c r="AX89" s="669"/>
    </row>
    <row r="90" spans="2:50">
      <c r="B90" s="683"/>
      <c r="C90" s="327">
        <v>14</v>
      </c>
      <c r="D90" s="569"/>
      <c r="E90" s="569"/>
      <c r="F90" s="569"/>
      <c r="G90" s="182"/>
      <c r="H90" s="669"/>
      <c r="I90" s="536" t="e">
        <f t="shared" si="36"/>
        <v>#DIV/0!</v>
      </c>
      <c r="J90" s="536" t="e">
        <f t="shared" si="36"/>
        <v>#DIV/0!</v>
      </c>
      <c r="K90" s="200" t="e">
        <f t="shared" si="36"/>
        <v>#DIV/0!</v>
      </c>
      <c r="L90" s="654"/>
      <c r="M90" s="199" t="e">
        <f>RANK(K90, K$77:$K$106)</f>
        <v>#DIV/0!</v>
      </c>
      <c r="N90" s="661"/>
      <c r="O90" s="661"/>
      <c r="P90" s="182"/>
      <c r="Q90" s="182"/>
      <c r="R90" s="182"/>
      <c r="S90" s="334" t="e">
        <f t="shared" si="49"/>
        <v>#N/A</v>
      </c>
      <c r="T90" s="669"/>
      <c r="U90" s="182"/>
      <c r="V90" s="182"/>
      <c r="W90" s="182"/>
      <c r="X90" s="475" t="e">
        <f t="shared" si="37"/>
        <v>#N/A</v>
      </c>
      <c r="Y90" s="669"/>
      <c r="Z90" s="182"/>
      <c r="AA90" s="182"/>
      <c r="AB90" s="182"/>
      <c r="AC90" s="475" t="e">
        <f t="shared" si="39"/>
        <v>#N/A</v>
      </c>
      <c r="AD90" s="669"/>
      <c r="AE90" s="182"/>
      <c r="AF90" s="182"/>
      <c r="AG90" s="182"/>
      <c r="AH90" s="475" t="e">
        <f t="shared" si="41"/>
        <v>#N/A</v>
      </c>
      <c r="AI90" s="669"/>
      <c r="AJ90" s="182"/>
      <c r="AK90" s="182"/>
      <c r="AL90" s="182"/>
      <c r="AM90" s="475" t="e">
        <f t="shared" si="43"/>
        <v>#N/A</v>
      </c>
      <c r="AN90" s="669"/>
      <c r="AO90" s="182"/>
      <c r="AP90" s="182"/>
      <c r="AQ90" s="182"/>
      <c r="AR90" s="475" t="e">
        <f t="shared" si="45"/>
        <v>#N/A</v>
      </c>
      <c r="AS90" s="669"/>
      <c r="AT90" s="182"/>
      <c r="AU90" s="182"/>
      <c r="AV90" s="182"/>
      <c r="AW90" s="475" t="e">
        <f t="shared" si="47"/>
        <v>#N/A</v>
      </c>
      <c r="AX90" s="669"/>
    </row>
    <row r="91" spans="2:50">
      <c r="B91" s="683"/>
      <c r="C91" s="327">
        <v>15</v>
      </c>
      <c r="D91" s="569"/>
      <c r="E91" s="569"/>
      <c r="F91" s="569"/>
      <c r="G91" s="182"/>
      <c r="H91" s="669"/>
      <c r="I91" s="536" t="e">
        <f t="shared" si="36"/>
        <v>#DIV/0!</v>
      </c>
      <c r="J91" s="536" t="e">
        <f t="shared" si="36"/>
        <v>#DIV/0!</v>
      </c>
      <c r="K91" s="200" t="e">
        <f t="shared" si="36"/>
        <v>#DIV/0!</v>
      </c>
      <c r="L91" s="654"/>
      <c r="M91" s="199" t="e">
        <f>RANK(K91, K$77:$K$106)</f>
        <v>#DIV/0!</v>
      </c>
      <c r="N91" s="661"/>
      <c r="O91" s="661"/>
      <c r="P91" s="182"/>
      <c r="Q91" s="182"/>
      <c r="R91" s="182"/>
      <c r="S91" s="334" t="e">
        <f t="shared" si="49"/>
        <v>#N/A</v>
      </c>
      <c r="T91" s="669"/>
      <c r="U91" s="182"/>
      <c r="V91" s="182"/>
      <c r="W91" s="182"/>
      <c r="X91" s="475" t="e">
        <f t="shared" si="37"/>
        <v>#N/A</v>
      </c>
      <c r="Y91" s="669"/>
      <c r="Z91" s="182"/>
      <c r="AA91" s="182"/>
      <c r="AB91" s="182"/>
      <c r="AC91" s="475" t="e">
        <f t="shared" si="39"/>
        <v>#N/A</v>
      </c>
      <c r="AD91" s="669"/>
      <c r="AE91" s="182"/>
      <c r="AF91" s="182"/>
      <c r="AG91" s="182"/>
      <c r="AH91" s="475" t="e">
        <f t="shared" si="41"/>
        <v>#N/A</v>
      </c>
      <c r="AI91" s="669"/>
      <c r="AJ91" s="182"/>
      <c r="AK91" s="182"/>
      <c r="AL91" s="182"/>
      <c r="AM91" s="475" t="e">
        <f t="shared" si="43"/>
        <v>#N/A</v>
      </c>
      <c r="AN91" s="669"/>
      <c r="AO91" s="182"/>
      <c r="AP91" s="182"/>
      <c r="AQ91" s="182"/>
      <c r="AR91" s="475" t="e">
        <f t="shared" si="45"/>
        <v>#N/A</v>
      </c>
      <c r="AS91" s="669"/>
      <c r="AT91" s="182"/>
      <c r="AU91" s="182"/>
      <c r="AV91" s="182"/>
      <c r="AW91" s="475" t="e">
        <f t="shared" si="47"/>
        <v>#N/A</v>
      </c>
      <c r="AX91" s="669"/>
    </row>
    <row r="92" spans="2:50">
      <c r="B92" s="683"/>
      <c r="C92" s="327">
        <v>16</v>
      </c>
      <c r="D92" s="569"/>
      <c r="E92" s="569"/>
      <c r="F92" s="569"/>
      <c r="G92" s="182"/>
      <c r="H92" s="669"/>
      <c r="I92" s="536" t="e">
        <f t="shared" si="36"/>
        <v>#DIV/0!</v>
      </c>
      <c r="J92" s="536" t="e">
        <f t="shared" si="36"/>
        <v>#DIV/0!</v>
      </c>
      <c r="K92" s="200" t="e">
        <f t="shared" si="36"/>
        <v>#DIV/0!</v>
      </c>
      <c r="L92" s="654"/>
      <c r="M92" s="199" t="e">
        <f>RANK(K92, K$77:$K$106)</f>
        <v>#DIV/0!</v>
      </c>
      <c r="N92" s="661"/>
      <c r="O92" s="661"/>
      <c r="P92" s="182"/>
      <c r="Q92" s="182"/>
      <c r="R92" s="182"/>
      <c r="S92" s="334" t="e">
        <f t="shared" si="49"/>
        <v>#N/A</v>
      </c>
      <c r="T92" s="669"/>
      <c r="U92" s="182"/>
      <c r="V92" s="182"/>
      <c r="W92" s="182"/>
      <c r="X92" s="475" t="e">
        <f t="shared" si="37"/>
        <v>#N/A</v>
      </c>
      <c r="Y92" s="669"/>
      <c r="Z92" s="182"/>
      <c r="AA92" s="182"/>
      <c r="AB92" s="182"/>
      <c r="AC92" s="475" t="e">
        <f t="shared" si="39"/>
        <v>#N/A</v>
      </c>
      <c r="AD92" s="669"/>
      <c r="AE92" s="182"/>
      <c r="AF92" s="182"/>
      <c r="AG92" s="182"/>
      <c r="AH92" s="475" t="e">
        <f t="shared" si="41"/>
        <v>#N/A</v>
      </c>
      <c r="AI92" s="669"/>
      <c r="AJ92" s="182"/>
      <c r="AK92" s="182"/>
      <c r="AL92" s="182"/>
      <c r="AM92" s="475" t="e">
        <f t="shared" si="43"/>
        <v>#N/A</v>
      </c>
      <c r="AN92" s="669"/>
      <c r="AO92" s="182"/>
      <c r="AP92" s="182"/>
      <c r="AQ92" s="182"/>
      <c r="AR92" s="475" t="e">
        <f t="shared" si="45"/>
        <v>#N/A</v>
      </c>
      <c r="AS92" s="669"/>
      <c r="AT92" s="182"/>
      <c r="AU92" s="182"/>
      <c r="AV92" s="182"/>
      <c r="AW92" s="475" t="e">
        <f t="shared" si="47"/>
        <v>#N/A</v>
      </c>
      <c r="AX92" s="669"/>
    </row>
    <row r="93" spans="2:50">
      <c r="B93" s="683"/>
      <c r="C93" s="327">
        <v>17</v>
      </c>
      <c r="D93" s="569"/>
      <c r="E93" s="569"/>
      <c r="F93" s="569"/>
      <c r="G93" s="182"/>
      <c r="H93" s="669"/>
      <c r="I93" s="536" t="e">
        <f t="shared" ref="I93:K97" si="50">AVERAGE(P93,U93,Z93,AE93,AJ93,AO93,AT93)</f>
        <v>#DIV/0!</v>
      </c>
      <c r="J93" s="536" t="e">
        <f t="shared" si="50"/>
        <v>#DIV/0!</v>
      </c>
      <c r="K93" s="200" t="e">
        <f t="shared" si="50"/>
        <v>#DIV/0!</v>
      </c>
      <c r="L93" s="654"/>
      <c r="M93" s="199" t="e">
        <f>RANK(K93, K$77:$K$106)</f>
        <v>#DIV/0!</v>
      </c>
      <c r="N93" s="661"/>
      <c r="O93" s="661"/>
      <c r="P93" s="182"/>
      <c r="Q93" s="182"/>
      <c r="R93" s="182"/>
      <c r="S93" s="334" t="e">
        <f t="shared" si="49"/>
        <v>#N/A</v>
      </c>
      <c r="T93" s="669"/>
      <c r="U93" s="182"/>
      <c r="V93" s="182"/>
      <c r="W93" s="182"/>
      <c r="X93" s="475" t="e">
        <f t="shared" ref="X93:X106" si="51">RANK(W93, W$77:W$106)</f>
        <v>#N/A</v>
      </c>
      <c r="Y93" s="669"/>
      <c r="Z93" s="182"/>
      <c r="AA93" s="182"/>
      <c r="AB93" s="182"/>
      <c r="AC93" s="475" t="e">
        <f t="shared" ref="AC93:AC106" si="52">RANK(AB93, AB$77:AB$106)</f>
        <v>#N/A</v>
      </c>
      <c r="AD93" s="669"/>
      <c r="AE93" s="182"/>
      <c r="AF93" s="182"/>
      <c r="AG93" s="182"/>
      <c r="AH93" s="475" t="e">
        <f t="shared" ref="AH93:AH106" si="53">RANK(AG93, AG$77:AG$106)</f>
        <v>#N/A</v>
      </c>
      <c r="AI93" s="669"/>
      <c r="AJ93" s="182"/>
      <c r="AK93" s="182"/>
      <c r="AL93" s="182"/>
      <c r="AM93" s="475" t="e">
        <f t="shared" ref="AM93:AM106" si="54">RANK(AL93, AL$77:AL$106)</f>
        <v>#N/A</v>
      </c>
      <c r="AN93" s="669"/>
      <c r="AO93" s="182"/>
      <c r="AP93" s="182"/>
      <c r="AQ93" s="182"/>
      <c r="AR93" s="475" t="e">
        <f t="shared" ref="AR93:AR106" si="55">RANK(AQ93, AQ$77:AQ$106)</f>
        <v>#N/A</v>
      </c>
      <c r="AS93" s="669"/>
      <c r="AT93" s="182"/>
      <c r="AU93" s="182"/>
      <c r="AV93" s="182"/>
      <c r="AW93" s="475" t="e">
        <f t="shared" ref="AW93:AW106" si="56">RANK(AV93, AV$77:AV$106)</f>
        <v>#N/A</v>
      </c>
      <c r="AX93" s="669"/>
    </row>
    <row r="94" spans="2:50">
      <c r="B94" s="683"/>
      <c r="C94" s="327">
        <v>18</v>
      </c>
      <c r="D94" s="569"/>
      <c r="E94" s="569"/>
      <c r="F94" s="569"/>
      <c r="G94" s="182"/>
      <c r="H94" s="669"/>
      <c r="I94" s="536" t="e">
        <f t="shared" si="50"/>
        <v>#DIV/0!</v>
      </c>
      <c r="J94" s="536" t="e">
        <f t="shared" si="50"/>
        <v>#DIV/0!</v>
      </c>
      <c r="K94" s="200" t="e">
        <f t="shared" si="50"/>
        <v>#DIV/0!</v>
      </c>
      <c r="L94" s="654"/>
      <c r="M94" s="199" t="e">
        <f>RANK(K94, K$77:$K$106)</f>
        <v>#DIV/0!</v>
      </c>
      <c r="N94" s="661"/>
      <c r="O94" s="661"/>
      <c r="P94" s="182"/>
      <c r="Q94" s="182"/>
      <c r="R94" s="182"/>
      <c r="S94" s="334" t="e">
        <f t="shared" si="49"/>
        <v>#N/A</v>
      </c>
      <c r="T94" s="669"/>
      <c r="U94" s="182"/>
      <c r="V94" s="182"/>
      <c r="W94" s="182"/>
      <c r="X94" s="475" t="e">
        <f t="shared" si="51"/>
        <v>#N/A</v>
      </c>
      <c r="Y94" s="669"/>
      <c r="Z94" s="182"/>
      <c r="AA94" s="182"/>
      <c r="AB94" s="182"/>
      <c r="AC94" s="475" t="e">
        <f t="shared" si="52"/>
        <v>#N/A</v>
      </c>
      <c r="AD94" s="669"/>
      <c r="AE94" s="182"/>
      <c r="AF94" s="182"/>
      <c r="AG94" s="182"/>
      <c r="AH94" s="475" t="e">
        <f t="shared" si="53"/>
        <v>#N/A</v>
      </c>
      <c r="AI94" s="669"/>
      <c r="AJ94" s="182"/>
      <c r="AK94" s="182"/>
      <c r="AL94" s="182"/>
      <c r="AM94" s="475" t="e">
        <f t="shared" si="54"/>
        <v>#N/A</v>
      </c>
      <c r="AN94" s="669"/>
      <c r="AO94" s="182"/>
      <c r="AP94" s="182"/>
      <c r="AQ94" s="182"/>
      <c r="AR94" s="475" t="e">
        <f t="shared" si="55"/>
        <v>#N/A</v>
      </c>
      <c r="AS94" s="669"/>
      <c r="AT94" s="182"/>
      <c r="AU94" s="182"/>
      <c r="AV94" s="182"/>
      <c r="AW94" s="475" t="e">
        <f t="shared" si="56"/>
        <v>#N/A</v>
      </c>
      <c r="AX94" s="669"/>
    </row>
    <row r="95" spans="2:50">
      <c r="B95" s="683"/>
      <c r="C95" s="327">
        <v>19</v>
      </c>
      <c r="D95" s="569"/>
      <c r="E95" s="569"/>
      <c r="F95" s="569"/>
      <c r="G95" s="182"/>
      <c r="H95" s="669"/>
      <c r="I95" s="536" t="e">
        <f t="shared" si="50"/>
        <v>#DIV/0!</v>
      </c>
      <c r="J95" s="536" t="e">
        <f t="shared" si="50"/>
        <v>#DIV/0!</v>
      </c>
      <c r="K95" s="200" t="e">
        <f t="shared" si="50"/>
        <v>#DIV/0!</v>
      </c>
      <c r="L95" s="654"/>
      <c r="M95" s="199" t="e">
        <f>RANK(K95, K$77:$K$106)</f>
        <v>#DIV/0!</v>
      </c>
      <c r="N95" s="661"/>
      <c r="O95" s="661"/>
      <c r="P95" s="182"/>
      <c r="Q95" s="182"/>
      <c r="R95" s="182"/>
      <c r="S95" s="334" t="e">
        <f t="shared" si="49"/>
        <v>#N/A</v>
      </c>
      <c r="T95" s="669"/>
      <c r="U95" s="182"/>
      <c r="V95" s="182"/>
      <c r="W95" s="182"/>
      <c r="X95" s="475" t="e">
        <f t="shared" si="51"/>
        <v>#N/A</v>
      </c>
      <c r="Y95" s="669"/>
      <c r="Z95" s="182"/>
      <c r="AA95" s="182"/>
      <c r="AB95" s="182"/>
      <c r="AC95" s="475" t="e">
        <f t="shared" si="52"/>
        <v>#N/A</v>
      </c>
      <c r="AD95" s="669"/>
      <c r="AE95" s="182"/>
      <c r="AF95" s="182"/>
      <c r="AG95" s="182"/>
      <c r="AH95" s="475" t="e">
        <f t="shared" si="53"/>
        <v>#N/A</v>
      </c>
      <c r="AI95" s="669"/>
      <c r="AJ95" s="182"/>
      <c r="AK95" s="182"/>
      <c r="AL95" s="182"/>
      <c r="AM95" s="475" t="e">
        <f t="shared" si="54"/>
        <v>#N/A</v>
      </c>
      <c r="AN95" s="669"/>
      <c r="AO95" s="182"/>
      <c r="AP95" s="182"/>
      <c r="AQ95" s="182"/>
      <c r="AR95" s="475" t="e">
        <f t="shared" si="55"/>
        <v>#N/A</v>
      </c>
      <c r="AS95" s="669"/>
      <c r="AT95" s="182"/>
      <c r="AU95" s="182"/>
      <c r="AV95" s="182"/>
      <c r="AW95" s="475" t="e">
        <f t="shared" si="56"/>
        <v>#N/A</v>
      </c>
      <c r="AX95" s="669"/>
    </row>
    <row r="96" spans="2:50">
      <c r="B96" s="683"/>
      <c r="C96" s="327">
        <v>20</v>
      </c>
      <c r="D96" s="569"/>
      <c r="E96" s="569"/>
      <c r="F96" s="569"/>
      <c r="G96" s="182"/>
      <c r="H96" s="669"/>
      <c r="I96" s="536" t="e">
        <f t="shared" si="50"/>
        <v>#DIV/0!</v>
      </c>
      <c r="J96" s="536" t="e">
        <f t="shared" si="50"/>
        <v>#DIV/0!</v>
      </c>
      <c r="K96" s="200" t="e">
        <f t="shared" si="50"/>
        <v>#DIV/0!</v>
      </c>
      <c r="L96" s="654"/>
      <c r="M96" s="199" t="e">
        <f>RANK(K96, K$77:$K$106)</f>
        <v>#DIV/0!</v>
      </c>
      <c r="N96" s="661"/>
      <c r="O96" s="661"/>
      <c r="P96" s="182"/>
      <c r="Q96" s="182"/>
      <c r="R96" s="182"/>
      <c r="S96" s="334" t="e">
        <f t="shared" si="49"/>
        <v>#N/A</v>
      </c>
      <c r="T96" s="669"/>
      <c r="U96" s="182"/>
      <c r="V96" s="182"/>
      <c r="W96" s="182"/>
      <c r="X96" s="475" t="e">
        <f t="shared" si="51"/>
        <v>#N/A</v>
      </c>
      <c r="Y96" s="669"/>
      <c r="Z96" s="182"/>
      <c r="AA96" s="182"/>
      <c r="AB96" s="182"/>
      <c r="AC96" s="475" t="e">
        <f t="shared" si="52"/>
        <v>#N/A</v>
      </c>
      <c r="AD96" s="669"/>
      <c r="AE96" s="182"/>
      <c r="AF96" s="182"/>
      <c r="AG96" s="182"/>
      <c r="AH96" s="475" t="e">
        <f t="shared" si="53"/>
        <v>#N/A</v>
      </c>
      <c r="AI96" s="669"/>
      <c r="AJ96" s="182"/>
      <c r="AK96" s="182"/>
      <c r="AL96" s="182"/>
      <c r="AM96" s="475" t="e">
        <f t="shared" si="54"/>
        <v>#N/A</v>
      </c>
      <c r="AN96" s="669"/>
      <c r="AO96" s="182"/>
      <c r="AP96" s="182"/>
      <c r="AQ96" s="182"/>
      <c r="AR96" s="475" t="e">
        <f t="shared" si="55"/>
        <v>#N/A</v>
      </c>
      <c r="AS96" s="669"/>
      <c r="AT96" s="182"/>
      <c r="AU96" s="182"/>
      <c r="AV96" s="182"/>
      <c r="AW96" s="475" t="e">
        <f t="shared" si="56"/>
        <v>#N/A</v>
      </c>
      <c r="AX96" s="669"/>
    </row>
    <row r="97" spans="2:50">
      <c r="B97" s="683"/>
      <c r="C97" s="327">
        <v>21</v>
      </c>
      <c r="D97" s="572"/>
      <c r="E97" s="569"/>
      <c r="F97" s="569"/>
      <c r="G97" s="182"/>
      <c r="H97" s="669"/>
      <c r="I97" s="536" t="e">
        <f t="shared" si="50"/>
        <v>#DIV/0!</v>
      </c>
      <c r="J97" s="536" t="e">
        <f t="shared" si="50"/>
        <v>#DIV/0!</v>
      </c>
      <c r="K97" s="200" t="e">
        <f t="shared" si="50"/>
        <v>#DIV/0!</v>
      </c>
      <c r="L97" s="654"/>
      <c r="M97" s="199" t="e">
        <f>RANK(K97, K$77:$K$106)</f>
        <v>#DIV/0!</v>
      </c>
      <c r="N97" s="661"/>
      <c r="O97" s="661"/>
      <c r="P97" s="569"/>
      <c r="Q97" s="182"/>
      <c r="R97" s="570"/>
      <c r="S97" s="334" t="e">
        <f t="shared" si="49"/>
        <v>#N/A</v>
      </c>
      <c r="T97" s="669"/>
      <c r="U97" s="569"/>
      <c r="V97" s="182"/>
      <c r="W97" s="570"/>
      <c r="X97" s="475" t="e">
        <f t="shared" si="51"/>
        <v>#N/A</v>
      </c>
      <c r="Y97" s="669"/>
      <c r="Z97" s="569"/>
      <c r="AA97" s="182"/>
      <c r="AB97" s="570"/>
      <c r="AC97" s="475" t="e">
        <f t="shared" si="52"/>
        <v>#N/A</v>
      </c>
      <c r="AD97" s="669"/>
      <c r="AE97" s="569"/>
      <c r="AF97" s="182"/>
      <c r="AG97" s="570"/>
      <c r="AH97" s="475" t="e">
        <f t="shared" si="53"/>
        <v>#N/A</v>
      </c>
      <c r="AI97" s="669"/>
      <c r="AJ97" s="569"/>
      <c r="AK97" s="182"/>
      <c r="AL97" s="570"/>
      <c r="AM97" s="475" t="e">
        <f t="shared" si="54"/>
        <v>#N/A</v>
      </c>
      <c r="AN97" s="669"/>
      <c r="AO97" s="569"/>
      <c r="AP97" s="182"/>
      <c r="AQ97" s="570"/>
      <c r="AR97" s="475" t="e">
        <f t="shared" si="55"/>
        <v>#N/A</v>
      </c>
      <c r="AS97" s="669"/>
      <c r="AT97" s="569"/>
      <c r="AU97" s="182"/>
      <c r="AV97" s="570"/>
      <c r="AW97" s="475" t="e">
        <f t="shared" si="56"/>
        <v>#N/A</v>
      </c>
      <c r="AX97" s="669"/>
    </row>
    <row r="98" spans="2:50">
      <c r="B98" s="683"/>
      <c r="C98" s="327">
        <v>22</v>
      </c>
      <c r="D98" s="569"/>
      <c r="E98" s="569"/>
      <c r="F98" s="569"/>
      <c r="G98" s="569"/>
      <c r="H98" s="669"/>
      <c r="I98" s="536"/>
      <c r="J98" s="536"/>
      <c r="K98" s="200"/>
      <c r="L98" s="654"/>
      <c r="M98" s="199" t="e">
        <f>RANK(K98, K$77:$K$106)</f>
        <v>#DIV/0!</v>
      </c>
      <c r="N98" s="661"/>
      <c r="O98" s="661"/>
      <c r="P98" s="569"/>
      <c r="Q98" s="182"/>
      <c r="R98" s="570"/>
      <c r="S98" s="334" t="e">
        <f t="shared" si="49"/>
        <v>#N/A</v>
      </c>
      <c r="T98" s="669"/>
      <c r="U98" s="569"/>
      <c r="V98" s="182"/>
      <c r="W98" s="570"/>
      <c r="X98" s="475" t="e">
        <f t="shared" si="51"/>
        <v>#N/A</v>
      </c>
      <c r="Y98" s="669"/>
      <c r="Z98" s="569"/>
      <c r="AA98" s="182"/>
      <c r="AB98" s="570"/>
      <c r="AC98" s="475" t="e">
        <f t="shared" si="52"/>
        <v>#N/A</v>
      </c>
      <c r="AD98" s="669"/>
      <c r="AE98" s="569"/>
      <c r="AF98" s="182"/>
      <c r="AG98" s="570"/>
      <c r="AH98" s="475" t="e">
        <f t="shared" si="53"/>
        <v>#N/A</v>
      </c>
      <c r="AI98" s="669"/>
      <c r="AJ98" s="569"/>
      <c r="AK98" s="182"/>
      <c r="AL98" s="570"/>
      <c r="AM98" s="475" t="e">
        <f t="shared" si="54"/>
        <v>#N/A</v>
      </c>
      <c r="AN98" s="669"/>
      <c r="AO98" s="569"/>
      <c r="AP98" s="182"/>
      <c r="AQ98" s="570"/>
      <c r="AR98" s="475" t="e">
        <f t="shared" si="55"/>
        <v>#N/A</v>
      </c>
      <c r="AS98" s="669"/>
      <c r="AT98" s="569"/>
      <c r="AU98" s="182"/>
      <c r="AV98" s="570"/>
      <c r="AW98" s="475" t="e">
        <f t="shared" si="56"/>
        <v>#N/A</v>
      </c>
      <c r="AX98" s="669"/>
    </row>
    <row r="99" spans="2:50">
      <c r="B99" s="683"/>
      <c r="C99" s="327">
        <v>23</v>
      </c>
      <c r="D99" s="569"/>
      <c r="E99" s="569"/>
      <c r="F99" s="569"/>
      <c r="G99" s="569"/>
      <c r="H99" s="669"/>
      <c r="I99" s="536"/>
      <c r="J99" s="536"/>
      <c r="K99" s="200"/>
      <c r="L99" s="654"/>
      <c r="M99" s="199" t="e">
        <f>RANK(K99, K$77:$K$106)</f>
        <v>#DIV/0!</v>
      </c>
      <c r="N99" s="661"/>
      <c r="O99" s="661"/>
      <c r="P99" s="569"/>
      <c r="Q99" s="182"/>
      <c r="R99" s="570"/>
      <c r="S99" s="334" t="e">
        <f t="shared" si="49"/>
        <v>#N/A</v>
      </c>
      <c r="T99" s="669"/>
      <c r="U99" s="569"/>
      <c r="V99" s="182"/>
      <c r="W99" s="570"/>
      <c r="X99" s="475" t="e">
        <f t="shared" si="51"/>
        <v>#N/A</v>
      </c>
      <c r="Y99" s="669"/>
      <c r="Z99" s="569"/>
      <c r="AA99" s="182"/>
      <c r="AB99" s="570"/>
      <c r="AC99" s="475" t="e">
        <f t="shared" si="52"/>
        <v>#N/A</v>
      </c>
      <c r="AD99" s="669"/>
      <c r="AE99" s="569"/>
      <c r="AF99" s="182"/>
      <c r="AG99" s="570"/>
      <c r="AH99" s="475" t="e">
        <f t="shared" si="53"/>
        <v>#N/A</v>
      </c>
      <c r="AI99" s="669"/>
      <c r="AJ99" s="569"/>
      <c r="AK99" s="182"/>
      <c r="AL99" s="570"/>
      <c r="AM99" s="475" t="e">
        <f t="shared" si="54"/>
        <v>#N/A</v>
      </c>
      <c r="AN99" s="669"/>
      <c r="AO99" s="569"/>
      <c r="AP99" s="182"/>
      <c r="AQ99" s="570"/>
      <c r="AR99" s="475" t="e">
        <f t="shared" si="55"/>
        <v>#N/A</v>
      </c>
      <c r="AS99" s="669"/>
      <c r="AT99" s="569"/>
      <c r="AU99" s="182"/>
      <c r="AV99" s="570"/>
      <c r="AW99" s="475" t="e">
        <f t="shared" si="56"/>
        <v>#N/A</v>
      </c>
      <c r="AX99" s="669"/>
    </row>
    <row r="100" spans="2:50">
      <c r="B100" s="683"/>
      <c r="C100" s="327">
        <v>24</v>
      </c>
      <c r="D100" s="569"/>
      <c r="E100" s="569"/>
      <c r="F100" s="569"/>
      <c r="G100" s="569"/>
      <c r="H100" s="669"/>
      <c r="I100" s="536"/>
      <c r="J100" s="536"/>
      <c r="K100" s="200"/>
      <c r="L100" s="654"/>
      <c r="M100" s="199" t="e">
        <f>RANK(K100, K$77:$K$106)</f>
        <v>#DIV/0!</v>
      </c>
      <c r="N100" s="661"/>
      <c r="O100" s="661"/>
      <c r="P100" s="569"/>
      <c r="Q100" s="182"/>
      <c r="R100" s="570"/>
      <c r="S100" s="334" t="e">
        <f t="shared" si="49"/>
        <v>#N/A</v>
      </c>
      <c r="T100" s="669"/>
      <c r="U100" s="569"/>
      <c r="V100" s="182"/>
      <c r="W100" s="570"/>
      <c r="X100" s="475" t="e">
        <f t="shared" si="51"/>
        <v>#N/A</v>
      </c>
      <c r="Y100" s="669"/>
      <c r="Z100" s="569"/>
      <c r="AA100" s="182"/>
      <c r="AB100" s="570"/>
      <c r="AC100" s="475" t="e">
        <f t="shared" si="52"/>
        <v>#N/A</v>
      </c>
      <c r="AD100" s="669"/>
      <c r="AE100" s="569"/>
      <c r="AF100" s="182"/>
      <c r="AG100" s="570"/>
      <c r="AH100" s="475" t="e">
        <f t="shared" si="53"/>
        <v>#N/A</v>
      </c>
      <c r="AI100" s="669"/>
      <c r="AJ100" s="569"/>
      <c r="AK100" s="182"/>
      <c r="AL100" s="570"/>
      <c r="AM100" s="475" t="e">
        <f t="shared" si="54"/>
        <v>#N/A</v>
      </c>
      <c r="AN100" s="669"/>
      <c r="AO100" s="569"/>
      <c r="AP100" s="182"/>
      <c r="AQ100" s="570"/>
      <c r="AR100" s="475" t="e">
        <f t="shared" si="55"/>
        <v>#N/A</v>
      </c>
      <c r="AS100" s="669"/>
      <c r="AT100" s="569"/>
      <c r="AU100" s="182"/>
      <c r="AV100" s="570"/>
      <c r="AW100" s="475" t="e">
        <f t="shared" si="56"/>
        <v>#N/A</v>
      </c>
      <c r="AX100" s="669"/>
    </row>
    <row r="101" spans="2:50">
      <c r="B101" s="683"/>
      <c r="C101" s="327">
        <v>25</v>
      </c>
      <c r="D101" s="569"/>
      <c r="E101" s="569"/>
      <c r="F101" s="569"/>
      <c r="G101" s="569"/>
      <c r="H101" s="669"/>
      <c r="I101" s="202"/>
      <c r="J101" s="202"/>
      <c r="K101" s="202"/>
      <c r="L101" s="654"/>
      <c r="M101" s="199" t="e">
        <f>RANK(K101, K$77:$K$106)</f>
        <v>#DIV/0!</v>
      </c>
      <c r="N101" s="661"/>
      <c r="O101" s="661"/>
      <c r="P101" s="569"/>
      <c r="Q101" s="182"/>
      <c r="R101" s="570"/>
      <c r="S101" s="334" t="e">
        <f t="shared" si="49"/>
        <v>#N/A</v>
      </c>
      <c r="T101" s="669"/>
      <c r="U101" s="569"/>
      <c r="V101" s="182"/>
      <c r="W101" s="570"/>
      <c r="X101" s="475" t="e">
        <f t="shared" si="51"/>
        <v>#N/A</v>
      </c>
      <c r="Y101" s="669"/>
      <c r="Z101" s="569"/>
      <c r="AA101" s="182"/>
      <c r="AB101" s="570"/>
      <c r="AC101" s="475" t="e">
        <f t="shared" si="52"/>
        <v>#N/A</v>
      </c>
      <c r="AD101" s="669"/>
      <c r="AE101" s="569"/>
      <c r="AF101" s="182"/>
      <c r="AG101" s="570"/>
      <c r="AH101" s="475" t="e">
        <f t="shared" si="53"/>
        <v>#N/A</v>
      </c>
      <c r="AI101" s="669"/>
      <c r="AJ101" s="569"/>
      <c r="AK101" s="182"/>
      <c r="AL101" s="570"/>
      <c r="AM101" s="475" t="e">
        <f t="shared" si="54"/>
        <v>#N/A</v>
      </c>
      <c r="AN101" s="669"/>
      <c r="AO101" s="569"/>
      <c r="AP101" s="182"/>
      <c r="AQ101" s="570"/>
      <c r="AR101" s="475" t="e">
        <f t="shared" si="55"/>
        <v>#N/A</v>
      </c>
      <c r="AS101" s="669"/>
      <c r="AT101" s="569"/>
      <c r="AU101" s="182"/>
      <c r="AV101" s="570"/>
      <c r="AW101" s="475" t="e">
        <f t="shared" si="56"/>
        <v>#N/A</v>
      </c>
      <c r="AX101" s="669"/>
    </row>
    <row r="102" spans="2:50">
      <c r="B102" s="683"/>
      <c r="C102" s="327">
        <v>26</v>
      </c>
      <c r="D102" s="569"/>
      <c r="E102" s="569"/>
      <c r="F102" s="569"/>
      <c r="G102" s="569"/>
      <c r="H102" s="669"/>
      <c r="I102" s="202"/>
      <c r="J102" s="202"/>
      <c r="K102" s="202"/>
      <c r="L102" s="654"/>
      <c r="M102" s="199" t="e">
        <f>RANK(K102, K$77:$K$106)</f>
        <v>#DIV/0!</v>
      </c>
      <c r="N102" s="661"/>
      <c r="O102" s="661"/>
      <c r="P102" s="569"/>
      <c r="Q102" s="182"/>
      <c r="R102" s="570"/>
      <c r="S102" s="334" t="e">
        <f t="shared" si="49"/>
        <v>#N/A</v>
      </c>
      <c r="T102" s="669"/>
      <c r="U102" s="569"/>
      <c r="V102" s="182"/>
      <c r="W102" s="570"/>
      <c r="X102" s="475" t="e">
        <f t="shared" si="51"/>
        <v>#N/A</v>
      </c>
      <c r="Y102" s="669"/>
      <c r="Z102" s="569"/>
      <c r="AA102" s="182"/>
      <c r="AB102" s="570"/>
      <c r="AC102" s="475" t="e">
        <f t="shared" si="52"/>
        <v>#N/A</v>
      </c>
      <c r="AD102" s="669"/>
      <c r="AE102" s="569"/>
      <c r="AF102" s="182"/>
      <c r="AG102" s="570"/>
      <c r="AH102" s="475" t="e">
        <f t="shared" si="53"/>
        <v>#N/A</v>
      </c>
      <c r="AI102" s="669"/>
      <c r="AJ102" s="569"/>
      <c r="AK102" s="182"/>
      <c r="AL102" s="570"/>
      <c r="AM102" s="475" t="e">
        <f t="shared" si="54"/>
        <v>#N/A</v>
      </c>
      <c r="AN102" s="669"/>
      <c r="AO102" s="569"/>
      <c r="AP102" s="182"/>
      <c r="AQ102" s="570"/>
      <c r="AR102" s="475" t="e">
        <f t="shared" si="55"/>
        <v>#N/A</v>
      </c>
      <c r="AS102" s="669"/>
      <c r="AT102" s="569"/>
      <c r="AU102" s="182"/>
      <c r="AV102" s="570"/>
      <c r="AW102" s="475" t="e">
        <f t="shared" si="56"/>
        <v>#N/A</v>
      </c>
      <c r="AX102" s="669"/>
    </row>
    <row r="103" spans="2:50">
      <c r="B103" s="683"/>
      <c r="C103" s="327">
        <v>27</v>
      </c>
      <c r="D103" s="569"/>
      <c r="E103" s="569"/>
      <c r="F103" s="569"/>
      <c r="G103" s="569"/>
      <c r="H103" s="669"/>
      <c r="I103" s="202"/>
      <c r="J103" s="202"/>
      <c r="K103" s="202"/>
      <c r="L103" s="654"/>
      <c r="M103" s="199" t="e">
        <f>RANK(K103, K$77:$K$106)</f>
        <v>#DIV/0!</v>
      </c>
      <c r="N103" s="661"/>
      <c r="O103" s="661"/>
      <c r="P103" s="569"/>
      <c r="Q103" s="182"/>
      <c r="R103" s="570"/>
      <c r="S103" s="334" t="e">
        <f t="shared" si="49"/>
        <v>#N/A</v>
      </c>
      <c r="T103" s="669"/>
      <c r="U103" s="569"/>
      <c r="V103" s="182"/>
      <c r="W103" s="570"/>
      <c r="X103" s="475" t="e">
        <f t="shared" si="51"/>
        <v>#N/A</v>
      </c>
      <c r="Y103" s="669"/>
      <c r="Z103" s="569"/>
      <c r="AA103" s="182"/>
      <c r="AB103" s="570"/>
      <c r="AC103" s="475" t="e">
        <f t="shared" si="52"/>
        <v>#N/A</v>
      </c>
      <c r="AD103" s="669"/>
      <c r="AE103" s="569"/>
      <c r="AF103" s="182"/>
      <c r="AG103" s="570"/>
      <c r="AH103" s="475" t="e">
        <f t="shared" si="53"/>
        <v>#N/A</v>
      </c>
      <c r="AI103" s="669"/>
      <c r="AJ103" s="569"/>
      <c r="AK103" s="182"/>
      <c r="AL103" s="570"/>
      <c r="AM103" s="475" t="e">
        <f t="shared" si="54"/>
        <v>#N/A</v>
      </c>
      <c r="AN103" s="669"/>
      <c r="AO103" s="569"/>
      <c r="AP103" s="182"/>
      <c r="AQ103" s="570"/>
      <c r="AR103" s="475" t="e">
        <f t="shared" si="55"/>
        <v>#N/A</v>
      </c>
      <c r="AS103" s="669"/>
      <c r="AT103" s="569"/>
      <c r="AU103" s="182"/>
      <c r="AV103" s="570"/>
      <c r="AW103" s="475" t="e">
        <f t="shared" si="56"/>
        <v>#N/A</v>
      </c>
      <c r="AX103" s="669"/>
    </row>
    <row r="104" spans="2:50">
      <c r="B104" s="683"/>
      <c r="C104" s="327">
        <v>28</v>
      </c>
      <c r="D104" s="569"/>
      <c r="E104" s="569"/>
      <c r="F104" s="569"/>
      <c r="G104" s="569"/>
      <c r="H104" s="669"/>
      <c r="I104" s="202"/>
      <c r="J104" s="202"/>
      <c r="K104" s="202"/>
      <c r="L104" s="654"/>
      <c r="M104" s="199" t="e">
        <f>RANK(K104, K$77:$K$106)</f>
        <v>#DIV/0!</v>
      </c>
      <c r="N104" s="661"/>
      <c r="O104" s="661"/>
      <c r="P104" s="569"/>
      <c r="Q104" s="182"/>
      <c r="R104" s="570"/>
      <c r="S104" s="334" t="e">
        <f t="shared" si="49"/>
        <v>#N/A</v>
      </c>
      <c r="T104" s="669"/>
      <c r="U104" s="569"/>
      <c r="V104" s="182"/>
      <c r="W104" s="570"/>
      <c r="X104" s="475" t="e">
        <f t="shared" si="51"/>
        <v>#N/A</v>
      </c>
      <c r="Y104" s="669"/>
      <c r="Z104" s="569"/>
      <c r="AA104" s="182"/>
      <c r="AB104" s="570"/>
      <c r="AC104" s="475" t="e">
        <f t="shared" si="52"/>
        <v>#N/A</v>
      </c>
      <c r="AD104" s="669"/>
      <c r="AE104" s="569"/>
      <c r="AF104" s="182"/>
      <c r="AG104" s="570"/>
      <c r="AH104" s="475" t="e">
        <f t="shared" si="53"/>
        <v>#N/A</v>
      </c>
      <c r="AI104" s="669"/>
      <c r="AJ104" s="569"/>
      <c r="AK104" s="182"/>
      <c r="AL104" s="570"/>
      <c r="AM104" s="475" t="e">
        <f t="shared" si="54"/>
        <v>#N/A</v>
      </c>
      <c r="AN104" s="669"/>
      <c r="AO104" s="569"/>
      <c r="AP104" s="182"/>
      <c r="AQ104" s="570"/>
      <c r="AR104" s="475" t="e">
        <f t="shared" si="55"/>
        <v>#N/A</v>
      </c>
      <c r="AS104" s="669"/>
      <c r="AT104" s="569"/>
      <c r="AU104" s="182"/>
      <c r="AV104" s="570"/>
      <c r="AW104" s="475" t="e">
        <f t="shared" si="56"/>
        <v>#N/A</v>
      </c>
      <c r="AX104" s="669"/>
    </row>
    <row r="105" spans="2:50">
      <c r="B105" s="683"/>
      <c r="C105" s="327">
        <v>29</v>
      </c>
      <c r="D105" s="569"/>
      <c r="E105" s="569"/>
      <c r="F105" s="569"/>
      <c r="G105" s="569"/>
      <c r="H105" s="669"/>
      <c r="I105" s="202"/>
      <c r="J105" s="202"/>
      <c r="K105" s="202"/>
      <c r="L105" s="654"/>
      <c r="M105" s="199" t="e">
        <f>RANK(K105, K$77:$K$106)</f>
        <v>#DIV/0!</v>
      </c>
      <c r="N105" s="661"/>
      <c r="O105" s="661"/>
      <c r="P105" s="569"/>
      <c r="Q105" s="182"/>
      <c r="R105" s="570"/>
      <c r="S105" s="334" t="e">
        <f t="shared" si="49"/>
        <v>#N/A</v>
      </c>
      <c r="T105" s="669"/>
      <c r="U105" s="569"/>
      <c r="V105" s="182"/>
      <c r="W105" s="570"/>
      <c r="X105" s="475" t="e">
        <f t="shared" si="51"/>
        <v>#N/A</v>
      </c>
      <c r="Y105" s="669"/>
      <c r="Z105" s="569"/>
      <c r="AA105" s="182"/>
      <c r="AB105" s="570"/>
      <c r="AC105" s="475" t="e">
        <f t="shared" si="52"/>
        <v>#N/A</v>
      </c>
      <c r="AD105" s="669"/>
      <c r="AE105" s="569"/>
      <c r="AF105" s="182"/>
      <c r="AG105" s="570"/>
      <c r="AH105" s="475" t="e">
        <f t="shared" si="53"/>
        <v>#N/A</v>
      </c>
      <c r="AI105" s="669"/>
      <c r="AJ105" s="569"/>
      <c r="AK105" s="182"/>
      <c r="AL105" s="570"/>
      <c r="AM105" s="475" t="e">
        <f t="shared" si="54"/>
        <v>#N/A</v>
      </c>
      <c r="AN105" s="669"/>
      <c r="AO105" s="569"/>
      <c r="AP105" s="182"/>
      <c r="AQ105" s="570"/>
      <c r="AR105" s="475" t="e">
        <f t="shared" si="55"/>
        <v>#N/A</v>
      </c>
      <c r="AS105" s="669"/>
      <c r="AT105" s="569"/>
      <c r="AU105" s="182"/>
      <c r="AV105" s="570"/>
      <c r="AW105" s="475" t="e">
        <f t="shared" si="56"/>
        <v>#N/A</v>
      </c>
      <c r="AX105" s="669"/>
    </row>
    <row r="106" spans="2:50">
      <c r="B106" s="684"/>
      <c r="C106" s="327">
        <v>30</v>
      </c>
      <c r="D106" s="569"/>
      <c r="E106" s="569"/>
      <c r="F106" s="569"/>
      <c r="G106" s="569"/>
      <c r="H106" s="670"/>
      <c r="I106" s="202"/>
      <c r="J106" s="202"/>
      <c r="K106" s="202"/>
      <c r="L106" s="655"/>
      <c r="M106" s="199" t="e">
        <f>RANK(K106, K$77:$K$106)</f>
        <v>#DIV/0!</v>
      </c>
      <c r="N106" s="662"/>
      <c r="O106" s="662"/>
      <c r="P106" s="569"/>
      <c r="Q106" s="182"/>
      <c r="R106" s="570"/>
      <c r="S106" s="334" t="e">
        <f t="shared" si="49"/>
        <v>#N/A</v>
      </c>
      <c r="T106" s="670"/>
      <c r="U106" s="569"/>
      <c r="V106" s="182"/>
      <c r="W106" s="570"/>
      <c r="X106" s="475" t="e">
        <f t="shared" si="51"/>
        <v>#N/A</v>
      </c>
      <c r="Y106" s="670"/>
      <c r="Z106" s="569"/>
      <c r="AA106" s="182"/>
      <c r="AB106" s="570"/>
      <c r="AC106" s="475" t="e">
        <f t="shared" si="52"/>
        <v>#N/A</v>
      </c>
      <c r="AD106" s="670"/>
      <c r="AE106" s="569"/>
      <c r="AF106" s="182"/>
      <c r="AG106" s="570"/>
      <c r="AH106" s="475" t="e">
        <f t="shared" si="53"/>
        <v>#N/A</v>
      </c>
      <c r="AI106" s="670"/>
      <c r="AJ106" s="569"/>
      <c r="AK106" s="182"/>
      <c r="AL106" s="570"/>
      <c r="AM106" s="475" t="e">
        <f t="shared" si="54"/>
        <v>#N/A</v>
      </c>
      <c r="AN106" s="670"/>
      <c r="AO106" s="569"/>
      <c r="AP106" s="182"/>
      <c r="AQ106" s="570"/>
      <c r="AR106" s="475" t="e">
        <f t="shared" si="55"/>
        <v>#N/A</v>
      </c>
      <c r="AS106" s="670"/>
      <c r="AT106" s="569"/>
      <c r="AU106" s="182"/>
      <c r="AV106" s="570"/>
      <c r="AW106" s="475" t="e">
        <f t="shared" si="56"/>
        <v>#N/A</v>
      </c>
      <c r="AX106" s="670"/>
    </row>
    <row r="107" spans="2:50" ht="15.75">
      <c r="B107" s="671" t="s">
        <v>163</v>
      </c>
      <c r="C107" s="672"/>
      <c r="D107" s="672"/>
      <c r="E107" s="672"/>
      <c r="F107" s="672"/>
      <c r="G107" s="672"/>
      <c r="H107" s="673"/>
      <c r="I107" s="208"/>
      <c r="J107" s="208"/>
      <c r="K107" s="208"/>
      <c r="L107" s="208"/>
      <c r="M107" s="207"/>
      <c r="N107" s="660" t="s">
        <v>156</v>
      </c>
      <c r="O107" s="660" t="s">
        <v>155</v>
      </c>
      <c r="P107" s="666">
        <f>P72+7</f>
        <v>46105</v>
      </c>
      <c r="Q107" s="667"/>
      <c r="R107" s="667"/>
      <c r="S107" s="667"/>
      <c r="T107" s="667"/>
      <c r="U107" s="663">
        <f>P107+1</f>
        <v>46106</v>
      </c>
      <c r="V107" s="664"/>
      <c r="W107" s="664"/>
      <c r="X107" s="664"/>
      <c r="Y107" s="665"/>
      <c r="Z107" s="663">
        <f>U107+1</f>
        <v>46107</v>
      </c>
      <c r="AA107" s="664"/>
      <c r="AB107" s="664"/>
      <c r="AC107" s="664"/>
      <c r="AD107" s="665"/>
      <c r="AE107" s="663">
        <f>Z107+1</f>
        <v>46108</v>
      </c>
      <c r="AF107" s="664"/>
      <c r="AG107" s="664"/>
      <c r="AH107" s="664"/>
      <c r="AI107" s="665"/>
      <c r="AJ107" s="663">
        <f>AE107+1</f>
        <v>46109</v>
      </c>
      <c r="AK107" s="664"/>
      <c r="AL107" s="664"/>
      <c r="AM107" s="664"/>
      <c r="AN107" s="665"/>
      <c r="AO107" s="663">
        <f>AJ107+1</f>
        <v>46110</v>
      </c>
      <c r="AP107" s="664"/>
      <c r="AQ107" s="664"/>
      <c r="AR107" s="664"/>
      <c r="AS107" s="665"/>
      <c r="AT107" s="663">
        <f>AO107+1</f>
        <v>46111</v>
      </c>
      <c r="AU107" s="664"/>
      <c r="AV107" s="664"/>
      <c r="AW107" s="664"/>
      <c r="AX107" s="665"/>
    </row>
    <row r="108" spans="2:50" ht="15.75">
      <c r="B108" s="674"/>
      <c r="C108" s="674"/>
      <c r="D108" s="674"/>
      <c r="E108" s="674"/>
      <c r="F108" s="674"/>
      <c r="G108" s="674"/>
      <c r="H108" s="674"/>
      <c r="I108" s="205"/>
      <c r="J108" s="205"/>
      <c r="K108" s="205"/>
      <c r="L108" s="205"/>
      <c r="M108" s="206"/>
      <c r="N108" s="662"/>
      <c r="O108" s="662"/>
      <c r="P108" s="666" t="s">
        <v>336</v>
      </c>
      <c r="Q108" s="667"/>
      <c r="R108" s="667"/>
      <c r="S108" s="667"/>
      <c r="T108" s="667"/>
      <c r="U108" s="666" t="s">
        <v>337</v>
      </c>
      <c r="V108" s="667"/>
      <c r="W108" s="667"/>
      <c r="X108" s="667"/>
      <c r="Y108" s="667"/>
      <c r="Z108" s="666" t="s">
        <v>338</v>
      </c>
      <c r="AA108" s="667"/>
      <c r="AB108" s="667"/>
      <c r="AC108" s="667"/>
      <c r="AD108" s="667"/>
      <c r="AE108" s="666" t="s">
        <v>339</v>
      </c>
      <c r="AF108" s="667"/>
      <c r="AG108" s="667"/>
      <c r="AH108" s="667"/>
      <c r="AI108" s="667"/>
      <c r="AJ108" s="666" t="s">
        <v>340</v>
      </c>
      <c r="AK108" s="667"/>
      <c r="AL108" s="667"/>
      <c r="AM108" s="667"/>
      <c r="AN108" s="667"/>
      <c r="AO108" s="666" t="s">
        <v>341</v>
      </c>
      <c r="AP108" s="667"/>
      <c r="AQ108" s="667"/>
      <c r="AR108" s="667"/>
      <c r="AS108" s="667"/>
      <c r="AT108" s="666" t="s">
        <v>342</v>
      </c>
      <c r="AU108" s="667"/>
      <c r="AV108" s="667"/>
      <c r="AW108" s="667"/>
      <c r="AX108" s="667"/>
    </row>
    <row r="109" spans="2:50">
      <c r="B109" s="659" t="s">
        <v>419</v>
      </c>
      <c r="C109" s="659" t="s">
        <v>429</v>
      </c>
      <c r="D109" s="659"/>
      <c r="E109" s="659" t="s">
        <v>420</v>
      </c>
      <c r="F109" s="659"/>
      <c r="G109" s="659"/>
      <c r="H109" s="675" t="s">
        <v>416</v>
      </c>
      <c r="I109" s="643" t="s">
        <v>421</v>
      </c>
      <c r="J109" s="643"/>
      <c r="K109" s="643"/>
      <c r="L109" s="644" t="s">
        <v>416</v>
      </c>
      <c r="M109" s="650" t="s">
        <v>417</v>
      </c>
      <c r="N109" s="659"/>
      <c r="O109" s="659" t="s">
        <v>422</v>
      </c>
      <c r="P109" s="656" t="s">
        <v>418</v>
      </c>
      <c r="Q109" s="657"/>
      <c r="R109" s="657"/>
      <c r="S109" s="658"/>
      <c r="T109" s="659" t="s">
        <v>416</v>
      </c>
      <c r="U109" s="656" t="s">
        <v>418</v>
      </c>
      <c r="V109" s="657"/>
      <c r="W109" s="657"/>
      <c r="X109" s="658"/>
      <c r="Y109" s="659" t="s">
        <v>416</v>
      </c>
      <c r="Z109" s="656" t="s">
        <v>418</v>
      </c>
      <c r="AA109" s="657"/>
      <c r="AB109" s="657"/>
      <c r="AC109" s="658"/>
      <c r="AD109" s="659" t="s">
        <v>416</v>
      </c>
      <c r="AE109" s="656" t="s">
        <v>418</v>
      </c>
      <c r="AF109" s="657"/>
      <c r="AG109" s="657"/>
      <c r="AH109" s="658"/>
      <c r="AI109" s="659" t="s">
        <v>416</v>
      </c>
      <c r="AJ109" s="656" t="s">
        <v>418</v>
      </c>
      <c r="AK109" s="657"/>
      <c r="AL109" s="657"/>
      <c r="AM109" s="658"/>
      <c r="AN109" s="659" t="s">
        <v>416</v>
      </c>
      <c r="AO109" s="656" t="s">
        <v>418</v>
      </c>
      <c r="AP109" s="657"/>
      <c r="AQ109" s="657"/>
      <c r="AR109" s="658"/>
      <c r="AS109" s="659" t="s">
        <v>416</v>
      </c>
      <c r="AT109" s="656" t="s">
        <v>418</v>
      </c>
      <c r="AU109" s="657"/>
      <c r="AV109" s="657"/>
      <c r="AW109" s="658"/>
      <c r="AX109" s="659" t="s">
        <v>416</v>
      </c>
    </row>
    <row r="110" spans="2:50">
      <c r="B110" s="659"/>
      <c r="C110" s="659"/>
      <c r="D110" s="659"/>
      <c r="E110" s="659" t="s">
        <v>423</v>
      </c>
      <c r="F110" s="659"/>
      <c r="G110" s="659"/>
      <c r="H110" s="676"/>
      <c r="I110" s="643" t="s">
        <v>423</v>
      </c>
      <c r="J110" s="643"/>
      <c r="K110" s="643"/>
      <c r="L110" s="645"/>
      <c r="M110" s="651"/>
      <c r="N110" s="659"/>
      <c r="O110" s="659"/>
      <c r="P110" s="656" t="s">
        <v>424</v>
      </c>
      <c r="Q110" s="657"/>
      <c r="R110" s="657"/>
      <c r="S110" s="658"/>
      <c r="T110" s="659"/>
      <c r="U110" s="656" t="s">
        <v>424</v>
      </c>
      <c r="V110" s="657"/>
      <c r="W110" s="657"/>
      <c r="X110" s="658"/>
      <c r="Y110" s="659"/>
      <c r="Z110" s="656" t="s">
        <v>424</v>
      </c>
      <c r="AA110" s="657"/>
      <c r="AB110" s="657"/>
      <c r="AC110" s="658"/>
      <c r="AD110" s="659"/>
      <c r="AE110" s="656" t="s">
        <v>424</v>
      </c>
      <c r="AF110" s="657"/>
      <c r="AG110" s="657"/>
      <c r="AH110" s="658"/>
      <c r="AI110" s="659"/>
      <c r="AJ110" s="656" t="s">
        <v>424</v>
      </c>
      <c r="AK110" s="657"/>
      <c r="AL110" s="657"/>
      <c r="AM110" s="658"/>
      <c r="AN110" s="659"/>
      <c r="AO110" s="656" t="s">
        <v>424</v>
      </c>
      <c r="AP110" s="657"/>
      <c r="AQ110" s="657"/>
      <c r="AR110" s="658"/>
      <c r="AS110" s="659"/>
      <c r="AT110" s="656" t="s">
        <v>424</v>
      </c>
      <c r="AU110" s="657"/>
      <c r="AV110" s="657"/>
      <c r="AW110" s="658"/>
      <c r="AX110" s="659"/>
    </row>
    <row r="111" spans="2:50">
      <c r="B111" s="659"/>
      <c r="C111" s="659"/>
      <c r="D111" s="659"/>
      <c r="E111" s="308" t="s">
        <v>425</v>
      </c>
      <c r="F111" s="308" t="s">
        <v>426</v>
      </c>
      <c r="G111" s="308" t="s">
        <v>427</v>
      </c>
      <c r="H111" s="677"/>
      <c r="I111" s="307" t="s">
        <v>425</v>
      </c>
      <c r="J111" s="307" t="s">
        <v>426</v>
      </c>
      <c r="K111" s="307" t="s">
        <v>427</v>
      </c>
      <c r="L111" s="646"/>
      <c r="M111" s="652"/>
      <c r="N111" s="659"/>
      <c r="O111" s="659"/>
      <c r="P111" s="308" t="s">
        <v>425</v>
      </c>
      <c r="Q111" s="308" t="s">
        <v>426</v>
      </c>
      <c r="R111" s="308" t="s">
        <v>427</v>
      </c>
      <c r="S111" s="308" t="s">
        <v>417</v>
      </c>
      <c r="T111" s="659"/>
      <c r="U111" s="308" t="s">
        <v>425</v>
      </c>
      <c r="V111" s="308" t="s">
        <v>426</v>
      </c>
      <c r="W111" s="308" t="s">
        <v>427</v>
      </c>
      <c r="X111" s="308" t="s">
        <v>417</v>
      </c>
      <c r="Y111" s="659"/>
      <c r="Z111" s="308" t="s">
        <v>425</v>
      </c>
      <c r="AA111" s="308" t="s">
        <v>426</v>
      </c>
      <c r="AB111" s="308" t="s">
        <v>427</v>
      </c>
      <c r="AC111" s="308" t="s">
        <v>417</v>
      </c>
      <c r="AD111" s="659"/>
      <c r="AE111" s="308" t="s">
        <v>425</v>
      </c>
      <c r="AF111" s="308" t="s">
        <v>426</v>
      </c>
      <c r="AG111" s="308" t="s">
        <v>427</v>
      </c>
      <c r="AH111" s="308" t="s">
        <v>417</v>
      </c>
      <c r="AI111" s="659"/>
      <c r="AJ111" s="308" t="s">
        <v>425</v>
      </c>
      <c r="AK111" s="308" t="s">
        <v>426</v>
      </c>
      <c r="AL111" s="308" t="s">
        <v>427</v>
      </c>
      <c r="AM111" s="308" t="s">
        <v>417</v>
      </c>
      <c r="AN111" s="659"/>
      <c r="AO111" s="308" t="s">
        <v>425</v>
      </c>
      <c r="AP111" s="308" t="s">
        <v>426</v>
      </c>
      <c r="AQ111" s="308" t="s">
        <v>427</v>
      </c>
      <c r="AR111" s="308" t="s">
        <v>417</v>
      </c>
      <c r="AS111" s="659"/>
      <c r="AT111" s="308" t="s">
        <v>425</v>
      </c>
      <c r="AU111" s="308" t="s">
        <v>426</v>
      </c>
      <c r="AV111" s="308" t="s">
        <v>427</v>
      </c>
      <c r="AW111" s="308" t="s">
        <v>417</v>
      </c>
      <c r="AX111" s="659"/>
    </row>
    <row r="112" spans="2:50">
      <c r="B112" s="667" t="s">
        <v>150</v>
      </c>
      <c r="C112" s="309">
        <v>1</v>
      </c>
      <c r="D112" s="569"/>
      <c r="E112" s="569"/>
      <c r="F112" s="569"/>
      <c r="G112" s="182"/>
      <c r="H112" s="668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40" t="str">
        <f>IFERROR(AVERAGE(K112:K141),"-")</f>
        <v>-</v>
      </c>
      <c r="M112" s="199" t="e">
        <f>RANK(K112, K$112:$K$141)</f>
        <v>#DIV/0!</v>
      </c>
      <c r="N112" s="659"/>
      <c r="O112" s="659"/>
      <c r="P112" s="425"/>
      <c r="Q112" s="182"/>
      <c r="R112" s="182"/>
      <c r="S112" s="309" t="e">
        <f>RANK(R112, R$112:R$141)</f>
        <v>#N/A</v>
      </c>
      <c r="T112" s="668" t="e">
        <f>AVERAGE(R112:R141)</f>
        <v>#DIV/0!</v>
      </c>
      <c r="U112" s="425"/>
      <c r="V112" s="182"/>
      <c r="W112" s="182"/>
      <c r="X112" s="475" t="e">
        <f t="shared" ref="X112:X127" si="57">RANK(W112, W$112:W$141)</f>
        <v>#N/A</v>
      </c>
      <c r="Y112" s="668" t="e">
        <f t="shared" ref="Y112" si="58">AVERAGE(W112:W141)</f>
        <v>#DIV/0!</v>
      </c>
      <c r="Z112" s="425"/>
      <c r="AA112" s="182"/>
      <c r="AB112" s="182"/>
      <c r="AC112" s="475" t="e">
        <f t="shared" ref="AC112:AC127" si="59">RANK(AB112, AB$112:AB$141)</f>
        <v>#N/A</v>
      </c>
      <c r="AD112" s="668" t="e">
        <f t="shared" ref="AD112" si="60">AVERAGE(AB112:AB141)</f>
        <v>#DIV/0!</v>
      </c>
      <c r="AE112" s="425"/>
      <c r="AF112" s="182"/>
      <c r="AG112" s="182"/>
      <c r="AH112" s="475" t="e">
        <f t="shared" ref="AH112:AH127" si="61">RANK(AG112, AG$112:AG$141)</f>
        <v>#N/A</v>
      </c>
      <c r="AI112" s="668" t="e">
        <f t="shared" ref="AI112" si="62">AVERAGE(AG112:AG141)</f>
        <v>#DIV/0!</v>
      </c>
      <c r="AJ112" s="425"/>
      <c r="AK112" s="182"/>
      <c r="AL112" s="182"/>
      <c r="AM112" s="475" t="e">
        <f t="shared" ref="AM112:AM127" si="63">RANK(AL112, AL$112:AL$141)</f>
        <v>#N/A</v>
      </c>
      <c r="AN112" s="668" t="e">
        <f t="shared" ref="AN112" si="64">AVERAGE(AL112:AL141)</f>
        <v>#DIV/0!</v>
      </c>
      <c r="AO112" s="425"/>
      <c r="AP112" s="182"/>
      <c r="AQ112" s="182"/>
      <c r="AR112" s="475" t="e">
        <f t="shared" ref="AR112:AR127" si="65">RANK(AQ112, AQ$112:AQ$141)</f>
        <v>#N/A</v>
      </c>
      <c r="AS112" s="668" t="e">
        <f t="shared" ref="AS112" si="66">AVERAGE(AQ112:AQ141)</f>
        <v>#DIV/0!</v>
      </c>
      <c r="AT112" s="425"/>
      <c r="AU112" s="182"/>
      <c r="AV112" s="182"/>
      <c r="AW112" s="475" t="e">
        <f t="shared" ref="AW112:AW127" si="67">RANK(AV112, AV$112:AV$141)</f>
        <v>#N/A</v>
      </c>
      <c r="AX112" s="668" t="e">
        <f t="shared" ref="AX112" si="68">AVERAGE(AV112:AV141)</f>
        <v>#DIV/0!</v>
      </c>
    </row>
    <row r="113" spans="2:50">
      <c r="B113" s="667"/>
      <c r="C113" s="309">
        <v>2</v>
      </c>
      <c r="D113" s="571"/>
      <c r="E113" s="569"/>
      <c r="F113" s="569"/>
      <c r="G113" s="182"/>
      <c r="H113" s="669"/>
      <c r="I113" s="199" t="e">
        <f t="shared" ref="I113:I130" si="69">AVERAGE(P113,U113,Z113,AE113,AJ113,AO113,AT113)</f>
        <v>#DIV/0!</v>
      </c>
      <c r="J113" s="199" t="e">
        <f t="shared" ref="J113:J130" si="70">AVERAGE(Q113,V113,AA113,AF113,AK113,AP113,AU113)</f>
        <v>#DIV/0!</v>
      </c>
      <c r="K113" s="200" t="e">
        <f t="shared" ref="K113:K130" si="71">AVERAGE(R113,W113,AB113,AG113,AL113,AQ113,AV113)</f>
        <v>#DIV/0!</v>
      </c>
      <c r="L113" s="641"/>
      <c r="M113" s="199" t="e">
        <f>RANK(K113, K$112:$K$141)</f>
        <v>#DIV/0!</v>
      </c>
      <c r="N113" s="659"/>
      <c r="O113" s="659"/>
      <c r="P113" s="182"/>
      <c r="Q113" s="182"/>
      <c r="R113" s="182"/>
      <c r="S113" s="339" t="e">
        <f t="shared" ref="S113:S141" si="72">RANK(R113, R$112:R$141)</f>
        <v>#N/A</v>
      </c>
      <c r="T113" s="669"/>
      <c r="U113" s="182"/>
      <c r="V113" s="182"/>
      <c r="W113" s="182"/>
      <c r="X113" s="475" t="e">
        <f t="shared" si="57"/>
        <v>#N/A</v>
      </c>
      <c r="Y113" s="669"/>
      <c r="Z113" s="182"/>
      <c r="AA113" s="182"/>
      <c r="AB113" s="182"/>
      <c r="AC113" s="475" t="e">
        <f t="shared" si="59"/>
        <v>#N/A</v>
      </c>
      <c r="AD113" s="669"/>
      <c r="AE113" s="182"/>
      <c r="AF113" s="182"/>
      <c r="AG113" s="182"/>
      <c r="AH113" s="475" t="e">
        <f t="shared" si="61"/>
        <v>#N/A</v>
      </c>
      <c r="AI113" s="669"/>
      <c r="AJ113" s="182"/>
      <c r="AK113" s="182"/>
      <c r="AL113" s="182"/>
      <c r="AM113" s="475" t="e">
        <f t="shared" si="63"/>
        <v>#N/A</v>
      </c>
      <c r="AN113" s="669"/>
      <c r="AO113" s="182"/>
      <c r="AP113" s="182"/>
      <c r="AQ113" s="182"/>
      <c r="AR113" s="475" t="e">
        <f t="shared" si="65"/>
        <v>#N/A</v>
      </c>
      <c r="AS113" s="669"/>
      <c r="AT113" s="182"/>
      <c r="AU113" s="182"/>
      <c r="AV113" s="182"/>
      <c r="AW113" s="475" t="e">
        <f t="shared" si="67"/>
        <v>#N/A</v>
      </c>
      <c r="AX113" s="669"/>
    </row>
    <row r="114" spans="2:50">
      <c r="B114" s="667"/>
      <c r="C114" s="309">
        <v>3</v>
      </c>
      <c r="D114" s="569"/>
      <c r="E114" s="569"/>
      <c r="F114" s="569"/>
      <c r="G114" s="182"/>
      <c r="H114" s="669"/>
      <c r="I114" s="199" t="e">
        <f t="shared" si="69"/>
        <v>#DIV/0!</v>
      </c>
      <c r="J114" s="199" t="e">
        <f t="shared" si="70"/>
        <v>#DIV/0!</v>
      </c>
      <c r="K114" s="200" t="e">
        <f t="shared" si="71"/>
        <v>#DIV/0!</v>
      </c>
      <c r="L114" s="641"/>
      <c r="M114" s="199" t="e">
        <f>RANK(K114, K$112:$K$141)</f>
        <v>#DIV/0!</v>
      </c>
      <c r="N114" s="659"/>
      <c r="O114" s="659"/>
      <c r="P114" s="182"/>
      <c r="Q114" s="182"/>
      <c r="R114" s="182"/>
      <c r="S114" s="339" t="e">
        <f t="shared" si="72"/>
        <v>#N/A</v>
      </c>
      <c r="T114" s="669"/>
      <c r="U114" s="182"/>
      <c r="V114" s="182"/>
      <c r="W114" s="182"/>
      <c r="X114" s="475" t="e">
        <f t="shared" si="57"/>
        <v>#N/A</v>
      </c>
      <c r="Y114" s="669"/>
      <c r="Z114" s="182"/>
      <c r="AA114" s="182"/>
      <c r="AB114" s="182"/>
      <c r="AC114" s="475" t="e">
        <f t="shared" si="59"/>
        <v>#N/A</v>
      </c>
      <c r="AD114" s="669"/>
      <c r="AE114" s="182"/>
      <c r="AF114" s="182"/>
      <c r="AG114" s="182"/>
      <c r="AH114" s="475" t="e">
        <f t="shared" si="61"/>
        <v>#N/A</v>
      </c>
      <c r="AI114" s="669"/>
      <c r="AJ114" s="182"/>
      <c r="AK114" s="182"/>
      <c r="AL114" s="182"/>
      <c r="AM114" s="475" t="e">
        <f t="shared" si="63"/>
        <v>#N/A</v>
      </c>
      <c r="AN114" s="669"/>
      <c r="AO114" s="182"/>
      <c r="AP114" s="182"/>
      <c r="AQ114" s="182"/>
      <c r="AR114" s="475" t="e">
        <f t="shared" si="65"/>
        <v>#N/A</v>
      </c>
      <c r="AS114" s="669"/>
      <c r="AT114" s="182"/>
      <c r="AU114" s="182"/>
      <c r="AV114" s="182"/>
      <c r="AW114" s="475" t="e">
        <f t="shared" si="67"/>
        <v>#N/A</v>
      </c>
      <c r="AX114" s="669"/>
    </row>
    <row r="115" spans="2:50">
      <c r="B115" s="667"/>
      <c r="C115" s="309">
        <v>4</v>
      </c>
      <c r="D115" s="569"/>
      <c r="E115" s="569"/>
      <c r="F115" s="569"/>
      <c r="G115" s="182"/>
      <c r="H115" s="669"/>
      <c r="I115" s="199" t="e">
        <f t="shared" si="69"/>
        <v>#DIV/0!</v>
      </c>
      <c r="J115" s="199" t="e">
        <f t="shared" si="70"/>
        <v>#DIV/0!</v>
      </c>
      <c r="K115" s="200" t="e">
        <f t="shared" si="71"/>
        <v>#DIV/0!</v>
      </c>
      <c r="L115" s="641"/>
      <c r="M115" s="199" t="e">
        <f>RANK(K115, K$112:$K$141)</f>
        <v>#DIV/0!</v>
      </c>
      <c r="N115" s="659"/>
      <c r="O115" s="659"/>
      <c r="P115" s="182"/>
      <c r="Q115" s="182"/>
      <c r="R115" s="182"/>
      <c r="S115" s="339" t="e">
        <f t="shared" si="72"/>
        <v>#N/A</v>
      </c>
      <c r="T115" s="669"/>
      <c r="U115" s="182"/>
      <c r="V115" s="182"/>
      <c r="W115" s="182"/>
      <c r="X115" s="475" t="e">
        <f t="shared" si="57"/>
        <v>#N/A</v>
      </c>
      <c r="Y115" s="669"/>
      <c r="Z115" s="182"/>
      <c r="AA115" s="182"/>
      <c r="AB115" s="182"/>
      <c r="AC115" s="475" t="e">
        <f t="shared" si="59"/>
        <v>#N/A</v>
      </c>
      <c r="AD115" s="669"/>
      <c r="AE115" s="182"/>
      <c r="AF115" s="182"/>
      <c r="AG115" s="182"/>
      <c r="AH115" s="475" t="e">
        <f t="shared" si="61"/>
        <v>#N/A</v>
      </c>
      <c r="AI115" s="669"/>
      <c r="AJ115" s="182"/>
      <c r="AK115" s="182"/>
      <c r="AL115" s="182"/>
      <c r="AM115" s="475" t="e">
        <f t="shared" si="63"/>
        <v>#N/A</v>
      </c>
      <c r="AN115" s="669"/>
      <c r="AO115" s="182"/>
      <c r="AP115" s="182"/>
      <c r="AQ115" s="182"/>
      <c r="AR115" s="475" t="e">
        <f t="shared" si="65"/>
        <v>#N/A</v>
      </c>
      <c r="AS115" s="669"/>
      <c r="AT115" s="182"/>
      <c r="AU115" s="182"/>
      <c r="AV115" s="182"/>
      <c r="AW115" s="475" t="e">
        <f t="shared" si="67"/>
        <v>#N/A</v>
      </c>
      <c r="AX115" s="669"/>
    </row>
    <row r="116" spans="2:50">
      <c r="B116" s="667"/>
      <c r="C116" s="309">
        <v>5</v>
      </c>
      <c r="D116" s="569"/>
      <c r="E116" s="569"/>
      <c r="F116" s="569"/>
      <c r="G116" s="182"/>
      <c r="H116" s="669"/>
      <c r="I116" s="199" t="e">
        <f t="shared" si="69"/>
        <v>#DIV/0!</v>
      </c>
      <c r="J116" s="199" t="e">
        <f t="shared" si="70"/>
        <v>#DIV/0!</v>
      </c>
      <c r="K116" s="200" t="e">
        <f t="shared" si="71"/>
        <v>#DIV/0!</v>
      </c>
      <c r="L116" s="641"/>
      <c r="M116" s="199" t="e">
        <f>RANK(K116, K$112:$K$141)</f>
        <v>#DIV/0!</v>
      </c>
      <c r="N116" s="659"/>
      <c r="O116" s="659"/>
      <c r="P116" s="182"/>
      <c r="Q116" s="182"/>
      <c r="R116" s="182"/>
      <c r="S116" s="339" t="e">
        <f t="shared" si="72"/>
        <v>#N/A</v>
      </c>
      <c r="T116" s="669"/>
      <c r="U116" s="182"/>
      <c r="V116" s="182"/>
      <c r="W116" s="182"/>
      <c r="X116" s="475" t="e">
        <f t="shared" si="57"/>
        <v>#N/A</v>
      </c>
      <c r="Y116" s="669"/>
      <c r="Z116" s="182"/>
      <c r="AA116" s="182"/>
      <c r="AB116" s="182"/>
      <c r="AC116" s="475" t="e">
        <f t="shared" si="59"/>
        <v>#N/A</v>
      </c>
      <c r="AD116" s="669"/>
      <c r="AE116" s="182"/>
      <c r="AF116" s="182"/>
      <c r="AG116" s="182"/>
      <c r="AH116" s="475" t="e">
        <f t="shared" si="61"/>
        <v>#N/A</v>
      </c>
      <c r="AI116" s="669"/>
      <c r="AJ116" s="182"/>
      <c r="AK116" s="182"/>
      <c r="AL116" s="182"/>
      <c r="AM116" s="475" t="e">
        <f t="shared" si="63"/>
        <v>#N/A</v>
      </c>
      <c r="AN116" s="669"/>
      <c r="AO116" s="182"/>
      <c r="AP116" s="182"/>
      <c r="AQ116" s="182"/>
      <c r="AR116" s="475" t="e">
        <f t="shared" si="65"/>
        <v>#N/A</v>
      </c>
      <c r="AS116" s="669"/>
      <c r="AT116" s="182"/>
      <c r="AU116" s="182"/>
      <c r="AV116" s="182"/>
      <c r="AW116" s="475" t="e">
        <f t="shared" si="67"/>
        <v>#N/A</v>
      </c>
      <c r="AX116" s="669"/>
    </row>
    <row r="117" spans="2:50">
      <c r="B117" s="667"/>
      <c r="C117" s="309">
        <v>6</v>
      </c>
      <c r="D117" s="569"/>
      <c r="E117" s="569"/>
      <c r="F117" s="569"/>
      <c r="G117" s="182"/>
      <c r="H117" s="669"/>
      <c r="I117" s="199" t="e">
        <f t="shared" si="69"/>
        <v>#DIV/0!</v>
      </c>
      <c r="J117" s="199" t="e">
        <f t="shared" si="70"/>
        <v>#DIV/0!</v>
      </c>
      <c r="K117" s="200" t="e">
        <f t="shared" si="71"/>
        <v>#DIV/0!</v>
      </c>
      <c r="L117" s="641"/>
      <c r="M117" s="199" t="e">
        <f>RANK(K117, K$112:$K$141)</f>
        <v>#DIV/0!</v>
      </c>
      <c r="N117" s="659"/>
      <c r="O117" s="659"/>
      <c r="P117" s="182"/>
      <c r="Q117" s="182"/>
      <c r="R117" s="182"/>
      <c r="S117" s="339" t="e">
        <f t="shared" si="72"/>
        <v>#N/A</v>
      </c>
      <c r="T117" s="669"/>
      <c r="U117" s="182"/>
      <c r="V117" s="182"/>
      <c r="W117" s="182"/>
      <c r="X117" s="475" t="e">
        <f t="shared" si="57"/>
        <v>#N/A</v>
      </c>
      <c r="Y117" s="669"/>
      <c r="Z117" s="182"/>
      <c r="AA117" s="182"/>
      <c r="AB117" s="182"/>
      <c r="AC117" s="475" t="e">
        <f t="shared" si="59"/>
        <v>#N/A</v>
      </c>
      <c r="AD117" s="669"/>
      <c r="AE117" s="182"/>
      <c r="AF117" s="182"/>
      <c r="AG117" s="182"/>
      <c r="AH117" s="475" t="e">
        <f t="shared" si="61"/>
        <v>#N/A</v>
      </c>
      <c r="AI117" s="669"/>
      <c r="AJ117" s="182"/>
      <c r="AK117" s="182"/>
      <c r="AL117" s="182"/>
      <c r="AM117" s="475" t="e">
        <f t="shared" si="63"/>
        <v>#N/A</v>
      </c>
      <c r="AN117" s="669"/>
      <c r="AO117" s="182"/>
      <c r="AP117" s="182"/>
      <c r="AQ117" s="182"/>
      <c r="AR117" s="475" t="e">
        <f t="shared" si="65"/>
        <v>#N/A</v>
      </c>
      <c r="AS117" s="669"/>
      <c r="AT117" s="182"/>
      <c r="AU117" s="182"/>
      <c r="AV117" s="182"/>
      <c r="AW117" s="475" t="e">
        <f t="shared" si="67"/>
        <v>#N/A</v>
      </c>
      <c r="AX117" s="669"/>
    </row>
    <row r="118" spans="2:50">
      <c r="B118" s="667"/>
      <c r="C118" s="309">
        <v>7</v>
      </c>
      <c r="D118" s="569"/>
      <c r="E118" s="569"/>
      <c r="F118" s="569"/>
      <c r="G118" s="182"/>
      <c r="H118" s="669"/>
      <c r="I118" s="199" t="e">
        <f t="shared" si="69"/>
        <v>#DIV/0!</v>
      </c>
      <c r="J118" s="199" t="e">
        <f t="shared" si="70"/>
        <v>#DIV/0!</v>
      </c>
      <c r="K118" s="200" t="e">
        <f t="shared" si="71"/>
        <v>#DIV/0!</v>
      </c>
      <c r="L118" s="641"/>
      <c r="M118" s="199" t="e">
        <f>RANK(K118, K$112:$K$141)</f>
        <v>#DIV/0!</v>
      </c>
      <c r="N118" s="659"/>
      <c r="O118" s="659"/>
      <c r="P118" s="182"/>
      <c r="Q118" s="182"/>
      <c r="R118" s="182"/>
      <c r="S118" s="339" t="e">
        <f t="shared" si="72"/>
        <v>#N/A</v>
      </c>
      <c r="T118" s="669"/>
      <c r="U118" s="182"/>
      <c r="V118" s="182"/>
      <c r="W118" s="182"/>
      <c r="X118" s="475" t="e">
        <f t="shared" si="57"/>
        <v>#N/A</v>
      </c>
      <c r="Y118" s="669"/>
      <c r="Z118" s="182"/>
      <c r="AA118" s="182"/>
      <c r="AB118" s="182"/>
      <c r="AC118" s="475" t="e">
        <f t="shared" si="59"/>
        <v>#N/A</v>
      </c>
      <c r="AD118" s="669"/>
      <c r="AE118" s="182"/>
      <c r="AF118" s="182"/>
      <c r="AG118" s="182"/>
      <c r="AH118" s="475" t="e">
        <f t="shared" si="61"/>
        <v>#N/A</v>
      </c>
      <c r="AI118" s="669"/>
      <c r="AJ118" s="182"/>
      <c r="AK118" s="182"/>
      <c r="AL118" s="182"/>
      <c r="AM118" s="475" t="e">
        <f t="shared" si="63"/>
        <v>#N/A</v>
      </c>
      <c r="AN118" s="669"/>
      <c r="AO118" s="182"/>
      <c r="AP118" s="182"/>
      <c r="AQ118" s="182"/>
      <c r="AR118" s="475" t="e">
        <f t="shared" si="65"/>
        <v>#N/A</v>
      </c>
      <c r="AS118" s="669"/>
      <c r="AT118" s="182"/>
      <c r="AU118" s="182"/>
      <c r="AV118" s="182"/>
      <c r="AW118" s="475" t="e">
        <f t="shared" si="67"/>
        <v>#N/A</v>
      </c>
      <c r="AX118" s="669"/>
    </row>
    <row r="119" spans="2:50">
      <c r="B119" s="667"/>
      <c r="C119" s="309">
        <v>8</v>
      </c>
      <c r="D119" s="569"/>
      <c r="E119" s="569"/>
      <c r="F119" s="569"/>
      <c r="G119" s="182"/>
      <c r="H119" s="669"/>
      <c r="I119" s="199" t="e">
        <f t="shared" si="69"/>
        <v>#DIV/0!</v>
      </c>
      <c r="J119" s="199" t="e">
        <f t="shared" si="70"/>
        <v>#DIV/0!</v>
      </c>
      <c r="K119" s="200" t="e">
        <f t="shared" si="71"/>
        <v>#DIV/0!</v>
      </c>
      <c r="L119" s="641"/>
      <c r="M119" s="199" t="e">
        <f>RANK(K119, K$112:$K$141)</f>
        <v>#DIV/0!</v>
      </c>
      <c r="N119" s="659"/>
      <c r="O119" s="659"/>
      <c r="P119" s="182"/>
      <c r="Q119" s="182"/>
      <c r="R119" s="182"/>
      <c r="S119" s="339" t="e">
        <f t="shared" si="72"/>
        <v>#N/A</v>
      </c>
      <c r="T119" s="669"/>
      <c r="U119" s="182"/>
      <c r="V119" s="182"/>
      <c r="W119" s="182"/>
      <c r="X119" s="475" t="e">
        <f t="shared" si="57"/>
        <v>#N/A</v>
      </c>
      <c r="Y119" s="669"/>
      <c r="Z119" s="182"/>
      <c r="AA119" s="182"/>
      <c r="AB119" s="182"/>
      <c r="AC119" s="475" t="e">
        <f t="shared" si="59"/>
        <v>#N/A</v>
      </c>
      <c r="AD119" s="669"/>
      <c r="AE119" s="182"/>
      <c r="AF119" s="182"/>
      <c r="AG119" s="182"/>
      <c r="AH119" s="475" t="e">
        <f t="shared" si="61"/>
        <v>#N/A</v>
      </c>
      <c r="AI119" s="669"/>
      <c r="AJ119" s="182"/>
      <c r="AK119" s="182"/>
      <c r="AL119" s="182"/>
      <c r="AM119" s="475" t="e">
        <f t="shared" si="63"/>
        <v>#N/A</v>
      </c>
      <c r="AN119" s="669"/>
      <c r="AO119" s="182"/>
      <c r="AP119" s="182"/>
      <c r="AQ119" s="182"/>
      <c r="AR119" s="475" t="e">
        <f t="shared" si="65"/>
        <v>#N/A</v>
      </c>
      <c r="AS119" s="669"/>
      <c r="AT119" s="182"/>
      <c r="AU119" s="182"/>
      <c r="AV119" s="182"/>
      <c r="AW119" s="475" t="e">
        <f t="shared" si="67"/>
        <v>#N/A</v>
      </c>
      <c r="AX119" s="669"/>
    </row>
    <row r="120" spans="2:50">
      <c r="B120" s="667"/>
      <c r="C120" s="309">
        <v>9</v>
      </c>
      <c r="D120" s="569"/>
      <c r="E120" s="569"/>
      <c r="F120" s="569"/>
      <c r="G120" s="182"/>
      <c r="H120" s="669"/>
      <c r="I120" s="199" t="e">
        <f t="shared" si="69"/>
        <v>#DIV/0!</v>
      </c>
      <c r="J120" s="199" t="e">
        <f t="shared" si="70"/>
        <v>#DIV/0!</v>
      </c>
      <c r="K120" s="200" t="e">
        <f t="shared" si="71"/>
        <v>#DIV/0!</v>
      </c>
      <c r="L120" s="641"/>
      <c r="M120" s="199" t="e">
        <f>RANK(K120, K$112:$K$141)</f>
        <v>#DIV/0!</v>
      </c>
      <c r="N120" s="659"/>
      <c r="O120" s="659"/>
      <c r="P120" s="182"/>
      <c r="Q120" s="182"/>
      <c r="R120" s="182"/>
      <c r="S120" s="339" t="e">
        <f t="shared" si="72"/>
        <v>#N/A</v>
      </c>
      <c r="T120" s="669"/>
      <c r="U120" s="182"/>
      <c r="V120" s="182"/>
      <c r="W120" s="182"/>
      <c r="X120" s="475" t="e">
        <f t="shared" si="57"/>
        <v>#N/A</v>
      </c>
      <c r="Y120" s="669"/>
      <c r="Z120" s="182"/>
      <c r="AA120" s="182"/>
      <c r="AB120" s="182"/>
      <c r="AC120" s="475" t="e">
        <f t="shared" si="59"/>
        <v>#N/A</v>
      </c>
      <c r="AD120" s="669"/>
      <c r="AE120" s="182"/>
      <c r="AF120" s="182"/>
      <c r="AG120" s="182"/>
      <c r="AH120" s="475" t="e">
        <f t="shared" si="61"/>
        <v>#N/A</v>
      </c>
      <c r="AI120" s="669"/>
      <c r="AJ120" s="182"/>
      <c r="AK120" s="182"/>
      <c r="AL120" s="182"/>
      <c r="AM120" s="475" t="e">
        <f t="shared" si="63"/>
        <v>#N/A</v>
      </c>
      <c r="AN120" s="669"/>
      <c r="AO120" s="182"/>
      <c r="AP120" s="182"/>
      <c r="AQ120" s="182"/>
      <c r="AR120" s="475" t="e">
        <f t="shared" si="65"/>
        <v>#N/A</v>
      </c>
      <c r="AS120" s="669"/>
      <c r="AT120" s="182"/>
      <c r="AU120" s="182"/>
      <c r="AV120" s="182"/>
      <c r="AW120" s="475" t="e">
        <f t="shared" si="67"/>
        <v>#N/A</v>
      </c>
      <c r="AX120" s="669"/>
    </row>
    <row r="121" spans="2:50">
      <c r="B121" s="667"/>
      <c r="C121" s="309">
        <v>10</v>
      </c>
      <c r="D121" s="569"/>
      <c r="E121" s="569"/>
      <c r="F121" s="569"/>
      <c r="G121" s="182"/>
      <c r="H121" s="669"/>
      <c r="I121" s="199" t="e">
        <f t="shared" si="69"/>
        <v>#DIV/0!</v>
      </c>
      <c r="J121" s="199" t="e">
        <f t="shared" si="70"/>
        <v>#DIV/0!</v>
      </c>
      <c r="K121" s="200" t="e">
        <f t="shared" si="71"/>
        <v>#DIV/0!</v>
      </c>
      <c r="L121" s="641"/>
      <c r="M121" s="199" t="e">
        <f>RANK(K121, K$112:$K$141)</f>
        <v>#DIV/0!</v>
      </c>
      <c r="N121" s="659"/>
      <c r="O121" s="659"/>
      <c r="P121" s="182"/>
      <c r="Q121" s="182"/>
      <c r="R121" s="182"/>
      <c r="S121" s="339" t="e">
        <f t="shared" si="72"/>
        <v>#N/A</v>
      </c>
      <c r="T121" s="669"/>
      <c r="U121" s="182"/>
      <c r="V121" s="182"/>
      <c r="W121" s="182"/>
      <c r="X121" s="475" t="e">
        <f t="shared" si="57"/>
        <v>#N/A</v>
      </c>
      <c r="Y121" s="669"/>
      <c r="Z121" s="182"/>
      <c r="AA121" s="182"/>
      <c r="AB121" s="182"/>
      <c r="AC121" s="475" t="e">
        <f t="shared" si="59"/>
        <v>#N/A</v>
      </c>
      <c r="AD121" s="669"/>
      <c r="AE121" s="182"/>
      <c r="AF121" s="182"/>
      <c r="AG121" s="182"/>
      <c r="AH121" s="475" t="e">
        <f t="shared" si="61"/>
        <v>#N/A</v>
      </c>
      <c r="AI121" s="669"/>
      <c r="AJ121" s="182"/>
      <c r="AK121" s="182"/>
      <c r="AL121" s="182"/>
      <c r="AM121" s="475" t="e">
        <f t="shared" si="63"/>
        <v>#N/A</v>
      </c>
      <c r="AN121" s="669"/>
      <c r="AO121" s="182"/>
      <c r="AP121" s="182"/>
      <c r="AQ121" s="182"/>
      <c r="AR121" s="475" t="e">
        <f t="shared" si="65"/>
        <v>#N/A</v>
      </c>
      <c r="AS121" s="669"/>
      <c r="AT121" s="182"/>
      <c r="AU121" s="182"/>
      <c r="AV121" s="182"/>
      <c r="AW121" s="475" t="e">
        <f t="shared" si="67"/>
        <v>#N/A</v>
      </c>
      <c r="AX121" s="669"/>
    </row>
    <row r="122" spans="2:50">
      <c r="B122" s="667"/>
      <c r="C122" s="309">
        <v>11</v>
      </c>
      <c r="D122" s="569"/>
      <c r="E122" s="569"/>
      <c r="F122" s="569"/>
      <c r="G122" s="182"/>
      <c r="H122" s="669"/>
      <c r="I122" s="199" t="e">
        <f t="shared" si="69"/>
        <v>#DIV/0!</v>
      </c>
      <c r="J122" s="199" t="e">
        <f t="shared" si="70"/>
        <v>#DIV/0!</v>
      </c>
      <c r="K122" s="200" t="e">
        <f t="shared" si="71"/>
        <v>#DIV/0!</v>
      </c>
      <c r="L122" s="641"/>
      <c r="M122" s="199" t="e">
        <f>RANK(K122, K$112:$K$141)</f>
        <v>#DIV/0!</v>
      </c>
      <c r="N122" s="659"/>
      <c r="O122" s="659"/>
      <c r="P122" s="182"/>
      <c r="Q122" s="182"/>
      <c r="R122" s="182"/>
      <c r="S122" s="339" t="e">
        <f t="shared" si="72"/>
        <v>#N/A</v>
      </c>
      <c r="T122" s="669"/>
      <c r="U122" s="182"/>
      <c r="V122" s="182"/>
      <c r="W122" s="182"/>
      <c r="X122" s="475" t="e">
        <f t="shared" si="57"/>
        <v>#N/A</v>
      </c>
      <c r="Y122" s="669"/>
      <c r="Z122" s="182"/>
      <c r="AA122" s="182"/>
      <c r="AB122" s="182"/>
      <c r="AC122" s="475" t="e">
        <f t="shared" si="59"/>
        <v>#N/A</v>
      </c>
      <c r="AD122" s="669"/>
      <c r="AE122" s="182"/>
      <c r="AF122" s="182"/>
      <c r="AG122" s="182"/>
      <c r="AH122" s="475" t="e">
        <f t="shared" si="61"/>
        <v>#N/A</v>
      </c>
      <c r="AI122" s="669"/>
      <c r="AJ122" s="182"/>
      <c r="AK122" s="182"/>
      <c r="AL122" s="182"/>
      <c r="AM122" s="475" t="e">
        <f t="shared" si="63"/>
        <v>#N/A</v>
      </c>
      <c r="AN122" s="669"/>
      <c r="AO122" s="182"/>
      <c r="AP122" s="182"/>
      <c r="AQ122" s="182"/>
      <c r="AR122" s="475" t="e">
        <f t="shared" si="65"/>
        <v>#N/A</v>
      </c>
      <c r="AS122" s="669"/>
      <c r="AT122" s="182"/>
      <c r="AU122" s="182"/>
      <c r="AV122" s="182"/>
      <c r="AW122" s="475" t="e">
        <f t="shared" si="67"/>
        <v>#N/A</v>
      </c>
      <c r="AX122" s="669"/>
    </row>
    <row r="123" spans="2:50">
      <c r="B123" s="667"/>
      <c r="C123" s="309">
        <v>12</v>
      </c>
      <c r="D123" s="569"/>
      <c r="E123" s="569"/>
      <c r="F123" s="569"/>
      <c r="G123" s="182"/>
      <c r="H123" s="669"/>
      <c r="I123" s="199" t="e">
        <f t="shared" si="69"/>
        <v>#DIV/0!</v>
      </c>
      <c r="J123" s="199" t="e">
        <f t="shared" si="70"/>
        <v>#DIV/0!</v>
      </c>
      <c r="K123" s="200" t="e">
        <f t="shared" si="71"/>
        <v>#DIV/0!</v>
      </c>
      <c r="L123" s="641"/>
      <c r="M123" s="199" t="e">
        <f>RANK(K123, K$112:$K$141)</f>
        <v>#DIV/0!</v>
      </c>
      <c r="N123" s="659"/>
      <c r="O123" s="659"/>
      <c r="P123" s="182"/>
      <c r="Q123" s="182"/>
      <c r="R123" s="182"/>
      <c r="S123" s="339" t="e">
        <f t="shared" si="72"/>
        <v>#N/A</v>
      </c>
      <c r="T123" s="669"/>
      <c r="U123" s="182"/>
      <c r="V123" s="182"/>
      <c r="W123" s="182"/>
      <c r="X123" s="475" t="e">
        <f t="shared" si="57"/>
        <v>#N/A</v>
      </c>
      <c r="Y123" s="669"/>
      <c r="Z123" s="182"/>
      <c r="AA123" s="182"/>
      <c r="AB123" s="182"/>
      <c r="AC123" s="475" t="e">
        <f t="shared" si="59"/>
        <v>#N/A</v>
      </c>
      <c r="AD123" s="669"/>
      <c r="AE123" s="182"/>
      <c r="AF123" s="182"/>
      <c r="AG123" s="182"/>
      <c r="AH123" s="475" t="e">
        <f t="shared" si="61"/>
        <v>#N/A</v>
      </c>
      <c r="AI123" s="669"/>
      <c r="AJ123" s="182"/>
      <c r="AK123" s="182"/>
      <c r="AL123" s="182"/>
      <c r="AM123" s="475" t="e">
        <f t="shared" si="63"/>
        <v>#N/A</v>
      </c>
      <c r="AN123" s="669"/>
      <c r="AO123" s="182"/>
      <c r="AP123" s="182"/>
      <c r="AQ123" s="182"/>
      <c r="AR123" s="475" t="e">
        <f t="shared" si="65"/>
        <v>#N/A</v>
      </c>
      <c r="AS123" s="669"/>
      <c r="AT123" s="182"/>
      <c r="AU123" s="182"/>
      <c r="AV123" s="182"/>
      <c r="AW123" s="475" t="e">
        <f t="shared" si="67"/>
        <v>#N/A</v>
      </c>
      <c r="AX123" s="669"/>
    </row>
    <row r="124" spans="2:50">
      <c r="B124" s="667"/>
      <c r="C124" s="309">
        <v>13</v>
      </c>
      <c r="D124" s="569"/>
      <c r="E124" s="569"/>
      <c r="F124" s="569"/>
      <c r="G124" s="182"/>
      <c r="H124" s="669"/>
      <c r="I124" s="199" t="e">
        <f t="shared" si="69"/>
        <v>#DIV/0!</v>
      </c>
      <c r="J124" s="199" t="e">
        <f t="shared" si="70"/>
        <v>#DIV/0!</v>
      </c>
      <c r="K124" s="200" t="e">
        <f t="shared" si="71"/>
        <v>#DIV/0!</v>
      </c>
      <c r="L124" s="641"/>
      <c r="M124" s="199" t="e">
        <f>RANK(K124, K$112:$K$141)</f>
        <v>#DIV/0!</v>
      </c>
      <c r="N124" s="659"/>
      <c r="O124" s="659"/>
      <c r="P124" s="182"/>
      <c r="Q124" s="182"/>
      <c r="R124" s="182"/>
      <c r="S124" s="339" t="e">
        <f t="shared" si="72"/>
        <v>#N/A</v>
      </c>
      <c r="T124" s="669"/>
      <c r="U124" s="182"/>
      <c r="V124" s="182"/>
      <c r="W124" s="182"/>
      <c r="X124" s="475" t="e">
        <f t="shared" si="57"/>
        <v>#N/A</v>
      </c>
      <c r="Y124" s="669"/>
      <c r="Z124" s="182"/>
      <c r="AA124" s="182"/>
      <c r="AB124" s="182"/>
      <c r="AC124" s="475" t="e">
        <f t="shared" si="59"/>
        <v>#N/A</v>
      </c>
      <c r="AD124" s="669"/>
      <c r="AE124" s="182"/>
      <c r="AF124" s="182"/>
      <c r="AG124" s="182"/>
      <c r="AH124" s="475" t="e">
        <f t="shared" si="61"/>
        <v>#N/A</v>
      </c>
      <c r="AI124" s="669"/>
      <c r="AJ124" s="182"/>
      <c r="AK124" s="182"/>
      <c r="AL124" s="182"/>
      <c r="AM124" s="475" t="e">
        <f t="shared" si="63"/>
        <v>#N/A</v>
      </c>
      <c r="AN124" s="669"/>
      <c r="AO124" s="182"/>
      <c r="AP124" s="182"/>
      <c r="AQ124" s="182"/>
      <c r="AR124" s="475" t="e">
        <f t="shared" si="65"/>
        <v>#N/A</v>
      </c>
      <c r="AS124" s="669"/>
      <c r="AT124" s="182"/>
      <c r="AU124" s="182"/>
      <c r="AV124" s="182"/>
      <c r="AW124" s="475" t="e">
        <f t="shared" si="67"/>
        <v>#N/A</v>
      </c>
      <c r="AX124" s="669"/>
    </row>
    <row r="125" spans="2:50">
      <c r="B125" s="667"/>
      <c r="C125" s="309">
        <v>14</v>
      </c>
      <c r="D125" s="569"/>
      <c r="E125" s="569"/>
      <c r="F125" s="569"/>
      <c r="G125" s="182"/>
      <c r="H125" s="669"/>
      <c r="I125" s="199" t="e">
        <f t="shared" si="69"/>
        <v>#DIV/0!</v>
      </c>
      <c r="J125" s="199" t="e">
        <f t="shared" si="70"/>
        <v>#DIV/0!</v>
      </c>
      <c r="K125" s="200" t="e">
        <f t="shared" si="71"/>
        <v>#DIV/0!</v>
      </c>
      <c r="L125" s="641"/>
      <c r="M125" s="199" t="e">
        <f>RANK(K125, K$112:$K$141)</f>
        <v>#DIV/0!</v>
      </c>
      <c r="N125" s="659"/>
      <c r="O125" s="659"/>
      <c r="P125" s="182"/>
      <c r="Q125" s="182"/>
      <c r="R125" s="182"/>
      <c r="S125" s="339" t="e">
        <f t="shared" si="72"/>
        <v>#N/A</v>
      </c>
      <c r="T125" s="669"/>
      <c r="U125" s="182"/>
      <c r="V125" s="182"/>
      <c r="W125" s="182"/>
      <c r="X125" s="475" t="e">
        <f t="shared" si="57"/>
        <v>#N/A</v>
      </c>
      <c r="Y125" s="669"/>
      <c r="Z125" s="182"/>
      <c r="AA125" s="182"/>
      <c r="AB125" s="182"/>
      <c r="AC125" s="475" t="e">
        <f t="shared" si="59"/>
        <v>#N/A</v>
      </c>
      <c r="AD125" s="669"/>
      <c r="AE125" s="182"/>
      <c r="AF125" s="182"/>
      <c r="AG125" s="182"/>
      <c r="AH125" s="475" t="e">
        <f t="shared" si="61"/>
        <v>#N/A</v>
      </c>
      <c r="AI125" s="669"/>
      <c r="AJ125" s="182"/>
      <c r="AK125" s="182"/>
      <c r="AL125" s="182"/>
      <c r="AM125" s="475" t="e">
        <f t="shared" si="63"/>
        <v>#N/A</v>
      </c>
      <c r="AN125" s="669"/>
      <c r="AO125" s="182"/>
      <c r="AP125" s="182"/>
      <c r="AQ125" s="182"/>
      <c r="AR125" s="475" t="e">
        <f t="shared" si="65"/>
        <v>#N/A</v>
      </c>
      <c r="AS125" s="669"/>
      <c r="AT125" s="182"/>
      <c r="AU125" s="182"/>
      <c r="AV125" s="182"/>
      <c r="AW125" s="475" t="e">
        <f t="shared" si="67"/>
        <v>#N/A</v>
      </c>
      <c r="AX125" s="669"/>
    </row>
    <row r="126" spans="2:50">
      <c r="B126" s="667"/>
      <c r="C126" s="309">
        <v>15</v>
      </c>
      <c r="D126" s="569"/>
      <c r="E126" s="569"/>
      <c r="F126" s="569"/>
      <c r="G126" s="182"/>
      <c r="H126" s="669"/>
      <c r="I126" s="199" t="e">
        <f t="shared" si="69"/>
        <v>#DIV/0!</v>
      </c>
      <c r="J126" s="199" t="e">
        <f t="shared" si="70"/>
        <v>#DIV/0!</v>
      </c>
      <c r="K126" s="200" t="e">
        <f t="shared" si="71"/>
        <v>#DIV/0!</v>
      </c>
      <c r="L126" s="641"/>
      <c r="M126" s="199" t="e">
        <f>RANK(K126, K$112:$K$141)</f>
        <v>#DIV/0!</v>
      </c>
      <c r="N126" s="659"/>
      <c r="O126" s="659"/>
      <c r="P126" s="182"/>
      <c r="Q126" s="182"/>
      <c r="R126" s="182"/>
      <c r="S126" s="339" t="e">
        <f t="shared" si="72"/>
        <v>#N/A</v>
      </c>
      <c r="T126" s="669"/>
      <c r="U126" s="182"/>
      <c r="V126" s="182"/>
      <c r="W126" s="182"/>
      <c r="X126" s="475" t="e">
        <f t="shared" si="57"/>
        <v>#N/A</v>
      </c>
      <c r="Y126" s="669"/>
      <c r="Z126" s="182"/>
      <c r="AA126" s="182"/>
      <c r="AB126" s="182"/>
      <c r="AC126" s="475" t="e">
        <f t="shared" si="59"/>
        <v>#N/A</v>
      </c>
      <c r="AD126" s="669"/>
      <c r="AE126" s="182"/>
      <c r="AF126" s="182"/>
      <c r="AG126" s="182"/>
      <c r="AH126" s="475" t="e">
        <f t="shared" si="61"/>
        <v>#N/A</v>
      </c>
      <c r="AI126" s="669"/>
      <c r="AJ126" s="182"/>
      <c r="AK126" s="182"/>
      <c r="AL126" s="182"/>
      <c r="AM126" s="475" t="e">
        <f t="shared" si="63"/>
        <v>#N/A</v>
      </c>
      <c r="AN126" s="669"/>
      <c r="AO126" s="182"/>
      <c r="AP126" s="182"/>
      <c r="AQ126" s="182"/>
      <c r="AR126" s="475" t="e">
        <f t="shared" si="65"/>
        <v>#N/A</v>
      </c>
      <c r="AS126" s="669"/>
      <c r="AT126" s="182"/>
      <c r="AU126" s="182"/>
      <c r="AV126" s="182"/>
      <c r="AW126" s="475" t="e">
        <f t="shared" si="67"/>
        <v>#N/A</v>
      </c>
      <c r="AX126" s="669"/>
    </row>
    <row r="127" spans="2:50">
      <c r="B127" s="667"/>
      <c r="C127" s="309">
        <v>16</v>
      </c>
      <c r="D127" s="569"/>
      <c r="E127" s="569"/>
      <c r="F127" s="569"/>
      <c r="G127" s="182"/>
      <c r="H127" s="669"/>
      <c r="I127" s="199" t="e">
        <f t="shared" si="69"/>
        <v>#DIV/0!</v>
      </c>
      <c r="J127" s="199" t="e">
        <f t="shared" si="70"/>
        <v>#DIV/0!</v>
      </c>
      <c r="K127" s="200" t="e">
        <f t="shared" si="71"/>
        <v>#DIV/0!</v>
      </c>
      <c r="L127" s="641"/>
      <c r="M127" s="199" t="e">
        <f>RANK(K127, K$112:$K$141)</f>
        <v>#DIV/0!</v>
      </c>
      <c r="N127" s="659"/>
      <c r="O127" s="659"/>
      <c r="P127" s="182"/>
      <c r="Q127" s="182"/>
      <c r="R127" s="182"/>
      <c r="S127" s="339" t="e">
        <f t="shared" si="72"/>
        <v>#N/A</v>
      </c>
      <c r="T127" s="669"/>
      <c r="U127" s="182"/>
      <c r="V127" s="182"/>
      <c r="W127" s="182"/>
      <c r="X127" s="475" t="e">
        <f t="shared" si="57"/>
        <v>#N/A</v>
      </c>
      <c r="Y127" s="669"/>
      <c r="Z127" s="182"/>
      <c r="AA127" s="182"/>
      <c r="AB127" s="182"/>
      <c r="AC127" s="475" t="e">
        <f t="shared" si="59"/>
        <v>#N/A</v>
      </c>
      <c r="AD127" s="669"/>
      <c r="AE127" s="182"/>
      <c r="AF127" s="182"/>
      <c r="AG127" s="182"/>
      <c r="AH127" s="475" t="e">
        <f t="shared" si="61"/>
        <v>#N/A</v>
      </c>
      <c r="AI127" s="669"/>
      <c r="AJ127" s="182"/>
      <c r="AK127" s="182"/>
      <c r="AL127" s="182"/>
      <c r="AM127" s="475" t="e">
        <f t="shared" si="63"/>
        <v>#N/A</v>
      </c>
      <c r="AN127" s="669"/>
      <c r="AO127" s="182"/>
      <c r="AP127" s="182"/>
      <c r="AQ127" s="182"/>
      <c r="AR127" s="475" t="e">
        <f t="shared" si="65"/>
        <v>#N/A</v>
      </c>
      <c r="AS127" s="669"/>
      <c r="AT127" s="182"/>
      <c r="AU127" s="182"/>
      <c r="AV127" s="182"/>
      <c r="AW127" s="475" t="e">
        <f t="shared" si="67"/>
        <v>#N/A</v>
      </c>
      <c r="AX127" s="669"/>
    </row>
    <row r="128" spans="2:50">
      <c r="B128" s="667"/>
      <c r="C128" s="309">
        <v>17</v>
      </c>
      <c r="D128" s="569"/>
      <c r="E128" s="569"/>
      <c r="F128" s="569"/>
      <c r="G128" s="182"/>
      <c r="H128" s="669"/>
      <c r="I128" s="199" t="e">
        <f t="shared" si="69"/>
        <v>#DIV/0!</v>
      </c>
      <c r="J128" s="199" t="e">
        <f t="shared" si="70"/>
        <v>#DIV/0!</v>
      </c>
      <c r="K128" s="200" t="e">
        <f t="shared" si="71"/>
        <v>#DIV/0!</v>
      </c>
      <c r="L128" s="641"/>
      <c r="M128" s="199" t="e">
        <f>RANK(K128, K$112:$K$141)</f>
        <v>#DIV/0!</v>
      </c>
      <c r="N128" s="659"/>
      <c r="O128" s="659"/>
      <c r="P128" s="182"/>
      <c r="Q128" s="182"/>
      <c r="R128" s="182"/>
      <c r="S128" s="339" t="e">
        <f t="shared" si="72"/>
        <v>#N/A</v>
      </c>
      <c r="T128" s="669"/>
      <c r="U128" s="182"/>
      <c r="V128" s="182"/>
      <c r="W128" s="182"/>
      <c r="X128" s="475" t="e">
        <f t="shared" ref="X128:X141" si="73">RANK(W128, W$112:W$141)</f>
        <v>#N/A</v>
      </c>
      <c r="Y128" s="669"/>
      <c r="Z128" s="182"/>
      <c r="AA128" s="182"/>
      <c r="AB128" s="182"/>
      <c r="AC128" s="475" t="e">
        <f t="shared" ref="AC128:AC141" si="74">RANK(AB128, AB$112:AB$141)</f>
        <v>#N/A</v>
      </c>
      <c r="AD128" s="669"/>
      <c r="AE128" s="182"/>
      <c r="AF128" s="182"/>
      <c r="AG128" s="182"/>
      <c r="AH128" s="475" t="e">
        <f t="shared" ref="AH128:AH141" si="75">RANK(AG128, AG$112:AG$141)</f>
        <v>#N/A</v>
      </c>
      <c r="AI128" s="669"/>
      <c r="AJ128" s="182"/>
      <c r="AK128" s="182"/>
      <c r="AL128" s="182"/>
      <c r="AM128" s="475" t="e">
        <f t="shared" ref="AM128:AM141" si="76">RANK(AL128, AL$112:AL$141)</f>
        <v>#N/A</v>
      </c>
      <c r="AN128" s="669"/>
      <c r="AO128" s="182"/>
      <c r="AP128" s="182"/>
      <c r="AQ128" s="182"/>
      <c r="AR128" s="475" t="e">
        <f t="shared" ref="AR128:AR141" si="77">RANK(AQ128, AQ$112:AQ$141)</f>
        <v>#N/A</v>
      </c>
      <c r="AS128" s="669"/>
      <c r="AT128" s="182"/>
      <c r="AU128" s="182"/>
      <c r="AV128" s="182"/>
      <c r="AW128" s="475" t="e">
        <f t="shared" ref="AW128:AW141" si="78">RANK(AV128, AV$112:AV$141)</f>
        <v>#N/A</v>
      </c>
      <c r="AX128" s="669"/>
    </row>
    <row r="129" spans="2:50">
      <c r="B129" s="667"/>
      <c r="C129" s="309">
        <v>18</v>
      </c>
      <c r="D129" s="569"/>
      <c r="E129" s="569"/>
      <c r="F129" s="569"/>
      <c r="G129" s="182"/>
      <c r="H129" s="669"/>
      <c r="I129" s="199" t="e">
        <f t="shared" si="69"/>
        <v>#DIV/0!</v>
      </c>
      <c r="J129" s="199" t="e">
        <f t="shared" si="70"/>
        <v>#DIV/0!</v>
      </c>
      <c r="K129" s="200" t="e">
        <f t="shared" si="71"/>
        <v>#DIV/0!</v>
      </c>
      <c r="L129" s="641"/>
      <c r="M129" s="199" t="e">
        <f>RANK(K129, K$112:$K$141)</f>
        <v>#DIV/0!</v>
      </c>
      <c r="N129" s="659"/>
      <c r="O129" s="659"/>
      <c r="P129" s="182"/>
      <c r="Q129" s="182"/>
      <c r="R129" s="182"/>
      <c r="S129" s="339" t="e">
        <f t="shared" si="72"/>
        <v>#N/A</v>
      </c>
      <c r="T129" s="669"/>
      <c r="U129" s="182"/>
      <c r="V129" s="182"/>
      <c r="W129" s="182"/>
      <c r="X129" s="475" t="e">
        <f t="shared" si="73"/>
        <v>#N/A</v>
      </c>
      <c r="Y129" s="669"/>
      <c r="Z129" s="182"/>
      <c r="AA129" s="182"/>
      <c r="AB129" s="182"/>
      <c r="AC129" s="475" t="e">
        <f t="shared" si="74"/>
        <v>#N/A</v>
      </c>
      <c r="AD129" s="669"/>
      <c r="AE129" s="182"/>
      <c r="AF129" s="182"/>
      <c r="AG129" s="182"/>
      <c r="AH129" s="475" t="e">
        <f t="shared" si="75"/>
        <v>#N/A</v>
      </c>
      <c r="AI129" s="669"/>
      <c r="AJ129" s="182"/>
      <c r="AK129" s="182"/>
      <c r="AL129" s="182"/>
      <c r="AM129" s="475" t="e">
        <f t="shared" si="76"/>
        <v>#N/A</v>
      </c>
      <c r="AN129" s="669"/>
      <c r="AO129" s="182"/>
      <c r="AP129" s="182"/>
      <c r="AQ129" s="182"/>
      <c r="AR129" s="475" t="e">
        <f t="shared" si="77"/>
        <v>#N/A</v>
      </c>
      <c r="AS129" s="669"/>
      <c r="AT129" s="182"/>
      <c r="AU129" s="182"/>
      <c r="AV129" s="182"/>
      <c r="AW129" s="475" t="e">
        <f t="shared" si="78"/>
        <v>#N/A</v>
      </c>
      <c r="AX129" s="669"/>
    </row>
    <row r="130" spans="2:50">
      <c r="B130" s="667"/>
      <c r="C130" s="309">
        <v>19</v>
      </c>
      <c r="D130" s="569"/>
      <c r="E130" s="569"/>
      <c r="F130" s="569"/>
      <c r="G130" s="182"/>
      <c r="H130" s="669"/>
      <c r="I130" s="199" t="e">
        <f t="shared" si="69"/>
        <v>#DIV/0!</v>
      </c>
      <c r="J130" s="199" t="e">
        <f t="shared" si="70"/>
        <v>#DIV/0!</v>
      </c>
      <c r="K130" s="200" t="e">
        <f t="shared" si="71"/>
        <v>#DIV/0!</v>
      </c>
      <c r="L130" s="641"/>
      <c r="M130" s="199" t="e">
        <f>RANK(K130, K$112:$K$141)</f>
        <v>#DIV/0!</v>
      </c>
      <c r="N130" s="659"/>
      <c r="O130" s="659"/>
      <c r="P130" s="182"/>
      <c r="Q130" s="182"/>
      <c r="R130" s="182"/>
      <c r="S130" s="339" t="e">
        <f t="shared" si="72"/>
        <v>#N/A</v>
      </c>
      <c r="T130" s="669"/>
      <c r="U130" s="182"/>
      <c r="V130" s="182"/>
      <c r="W130" s="182"/>
      <c r="X130" s="475" t="e">
        <f t="shared" si="73"/>
        <v>#N/A</v>
      </c>
      <c r="Y130" s="669"/>
      <c r="Z130" s="182"/>
      <c r="AA130" s="182"/>
      <c r="AB130" s="182"/>
      <c r="AC130" s="475" t="e">
        <f t="shared" si="74"/>
        <v>#N/A</v>
      </c>
      <c r="AD130" s="669"/>
      <c r="AE130" s="182"/>
      <c r="AF130" s="182"/>
      <c r="AG130" s="182"/>
      <c r="AH130" s="475" t="e">
        <f t="shared" si="75"/>
        <v>#N/A</v>
      </c>
      <c r="AI130" s="669"/>
      <c r="AJ130" s="182"/>
      <c r="AK130" s="182"/>
      <c r="AL130" s="182"/>
      <c r="AM130" s="475" t="e">
        <f t="shared" si="76"/>
        <v>#N/A</v>
      </c>
      <c r="AN130" s="669"/>
      <c r="AO130" s="182"/>
      <c r="AP130" s="182"/>
      <c r="AQ130" s="182"/>
      <c r="AR130" s="475" t="e">
        <f t="shared" si="77"/>
        <v>#N/A</v>
      </c>
      <c r="AS130" s="669"/>
      <c r="AT130" s="182"/>
      <c r="AU130" s="182"/>
      <c r="AV130" s="182"/>
      <c r="AW130" s="475" t="e">
        <f t="shared" si="78"/>
        <v>#N/A</v>
      </c>
      <c r="AX130" s="669"/>
    </row>
    <row r="131" spans="2:50">
      <c r="B131" s="667"/>
      <c r="C131" s="309">
        <v>20</v>
      </c>
      <c r="D131" s="569"/>
      <c r="E131" s="569"/>
      <c r="F131" s="569"/>
      <c r="G131" s="182"/>
      <c r="H131" s="669"/>
      <c r="I131" s="538" t="e">
        <f t="shared" ref="I131:I132" si="79">AVERAGE(P131,U131,Z131,AE131,AJ131,AO131,AT131)</f>
        <v>#DIV/0!</v>
      </c>
      <c r="J131" s="538" t="e">
        <f t="shared" ref="J131:J132" si="80">AVERAGE(Q131,V131,AA131,AF131,AK131,AP131,AU131)</f>
        <v>#DIV/0!</v>
      </c>
      <c r="K131" s="200" t="e">
        <f t="shared" ref="K131:K132" si="81">AVERAGE(R131,W131,AB131,AG131,AL131,AQ131,AV131)</f>
        <v>#DIV/0!</v>
      </c>
      <c r="L131" s="641"/>
      <c r="M131" s="199" t="e">
        <f>RANK(K131, K$112:$K$141)</f>
        <v>#DIV/0!</v>
      </c>
      <c r="N131" s="659"/>
      <c r="O131" s="659"/>
      <c r="P131" s="182"/>
      <c r="Q131" s="182"/>
      <c r="R131" s="182"/>
      <c r="S131" s="339" t="e">
        <f t="shared" si="72"/>
        <v>#N/A</v>
      </c>
      <c r="T131" s="669"/>
      <c r="U131" s="182"/>
      <c r="V131" s="182"/>
      <c r="W131" s="182"/>
      <c r="X131" s="475" t="e">
        <f t="shared" si="73"/>
        <v>#N/A</v>
      </c>
      <c r="Y131" s="669"/>
      <c r="Z131" s="182"/>
      <c r="AA131" s="182"/>
      <c r="AB131" s="182"/>
      <c r="AC131" s="475" t="e">
        <f t="shared" si="74"/>
        <v>#N/A</v>
      </c>
      <c r="AD131" s="669"/>
      <c r="AE131" s="182"/>
      <c r="AF131" s="182"/>
      <c r="AG131" s="182"/>
      <c r="AH131" s="475" t="e">
        <f t="shared" si="75"/>
        <v>#N/A</v>
      </c>
      <c r="AI131" s="669"/>
      <c r="AJ131" s="182"/>
      <c r="AK131" s="182"/>
      <c r="AL131" s="182"/>
      <c r="AM131" s="475" t="e">
        <f t="shared" si="76"/>
        <v>#N/A</v>
      </c>
      <c r="AN131" s="669"/>
      <c r="AO131" s="182"/>
      <c r="AP131" s="182"/>
      <c r="AQ131" s="182"/>
      <c r="AR131" s="475" t="e">
        <f t="shared" si="77"/>
        <v>#N/A</v>
      </c>
      <c r="AS131" s="669"/>
      <c r="AT131" s="182"/>
      <c r="AU131" s="182"/>
      <c r="AV131" s="182"/>
      <c r="AW131" s="475" t="e">
        <f t="shared" si="78"/>
        <v>#N/A</v>
      </c>
      <c r="AX131" s="669"/>
    </row>
    <row r="132" spans="2:50">
      <c r="B132" s="667"/>
      <c r="C132" s="309">
        <v>21</v>
      </c>
      <c r="D132" s="572"/>
      <c r="E132" s="569"/>
      <c r="F132" s="569"/>
      <c r="G132" s="182"/>
      <c r="H132" s="669"/>
      <c r="I132" s="538" t="e">
        <f t="shared" si="79"/>
        <v>#DIV/0!</v>
      </c>
      <c r="J132" s="538" t="e">
        <f t="shared" si="80"/>
        <v>#DIV/0!</v>
      </c>
      <c r="K132" s="200" t="e">
        <f t="shared" si="81"/>
        <v>#DIV/0!</v>
      </c>
      <c r="L132" s="641"/>
      <c r="M132" s="199" t="e">
        <f>RANK(K132, K$112:$K$141)</f>
        <v>#DIV/0!</v>
      </c>
      <c r="N132" s="659"/>
      <c r="O132" s="659"/>
      <c r="P132" s="569"/>
      <c r="Q132" s="182"/>
      <c r="R132" s="570"/>
      <c r="S132" s="339" t="e">
        <f t="shared" si="72"/>
        <v>#N/A</v>
      </c>
      <c r="T132" s="669"/>
      <c r="U132" s="569"/>
      <c r="V132" s="182"/>
      <c r="W132" s="570"/>
      <c r="X132" s="475" t="e">
        <f t="shared" si="73"/>
        <v>#N/A</v>
      </c>
      <c r="Y132" s="669"/>
      <c r="Z132" s="569"/>
      <c r="AA132" s="182"/>
      <c r="AB132" s="570"/>
      <c r="AC132" s="475" t="e">
        <f t="shared" si="74"/>
        <v>#N/A</v>
      </c>
      <c r="AD132" s="669"/>
      <c r="AE132" s="569"/>
      <c r="AF132" s="182"/>
      <c r="AG132" s="570"/>
      <c r="AH132" s="475" t="e">
        <f t="shared" si="75"/>
        <v>#N/A</v>
      </c>
      <c r="AI132" s="669"/>
      <c r="AJ132" s="569"/>
      <c r="AK132" s="182"/>
      <c r="AL132" s="570"/>
      <c r="AM132" s="475" t="e">
        <f t="shared" si="76"/>
        <v>#N/A</v>
      </c>
      <c r="AN132" s="669"/>
      <c r="AO132" s="569"/>
      <c r="AP132" s="182"/>
      <c r="AQ132" s="570"/>
      <c r="AR132" s="475" t="e">
        <f t="shared" si="77"/>
        <v>#N/A</v>
      </c>
      <c r="AS132" s="669"/>
      <c r="AT132" s="569"/>
      <c r="AU132" s="182"/>
      <c r="AV132" s="570"/>
      <c r="AW132" s="475" t="e">
        <f t="shared" si="78"/>
        <v>#N/A</v>
      </c>
      <c r="AX132" s="669"/>
    </row>
    <row r="133" spans="2:50">
      <c r="B133" s="667"/>
      <c r="C133" s="309">
        <v>22</v>
      </c>
      <c r="D133" s="569"/>
      <c r="E133" s="569"/>
      <c r="F133" s="569"/>
      <c r="G133" s="569"/>
      <c r="H133" s="669"/>
      <c r="I133" s="538"/>
      <c r="J133" s="538"/>
      <c r="K133" s="200"/>
      <c r="L133" s="641"/>
      <c r="M133" s="199" t="e">
        <f>RANK(K133, K$112:$K$141)</f>
        <v>#DIV/0!</v>
      </c>
      <c r="N133" s="659"/>
      <c r="O133" s="659"/>
      <c r="P133" s="569"/>
      <c r="Q133" s="182"/>
      <c r="R133" s="570"/>
      <c r="S133" s="339" t="e">
        <f t="shared" si="72"/>
        <v>#N/A</v>
      </c>
      <c r="T133" s="669"/>
      <c r="U133" s="569"/>
      <c r="V133" s="182"/>
      <c r="W133" s="570"/>
      <c r="X133" s="475" t="e">
        <f t="shared" si="73"/>
        <v>#N/A</v>
      </c>
      <c r="Y133" s="669"/>
      <c r="Z133" s="569"/>
      <c r="AA133" s="182"/>
      <c r="AB133" s="570"/>
      <c r="AC133" s="475" t="e">
        <f t="shared" si="74"/>
        <v>#N/A</v>
      </c>
      <c r="AD133" s="669"/>
      <c r="AE133" s="569"/>
      <c r="AF133" s="182"/>
      <c r="AG133" s="570"/>
      <c r="AH133" s="475" t="e">
        <f t="shared" si="75"/>
        <v>#N/A</v>
      </c>
      <c r="AI133" s="669"/>
      <c r="AJ133" s="569"/>
      <c r="AK133" s="182"/>
      <c r="AL133" s="570"/>
      <c r="AM133" s="475" t="e">
        <f t="shared" si="76"/>
        <v>#N/A</v>
      </c>
      <c r="AN133" s="669"/>
      <c r="AO133" s="569"/>
      <c r="AP133" s="182"/>
      <c r="AQ133" s="570"/>
      <c r="AR133" s="475" t="e">
        <f t="shared" si="77"/>
        <v>#N/A</v>
      </c>
      <c r="AS133" s="669"/>
      <c r="AT133" s="569"/>
      <c r="AU133" s="182"/>
      <c r="AV133" s="570"/>
      <c r="AW133" s="475" t="e">
        <f t="shared" si="78"/>
        <v>#N/A</v>
      </c>
      <c r="AX133" s="669"/>
    </row>
    <row r="134" spans="2:50">
      <c r="B134" s="667"/>
      <c r="C134" s="309">
        <v>23</v>
      </c>
      <c r="D134" s="569"/>
      <c r="E134" s="569"/>
      <c r="F134" s="569"/>
      <c r="G134" s="569"/>
      <c r="H134" s="669"/>
      <c r="I134" s="538"/>
      <c r="J134" s="538"/>
      <c r="K134" s="200"/>
      <c r="L134" s="641"/>
      <c r="M134" s="199" t="e">
        <f>RANK(K134, K$112:$K$141)</f>
        <v>#DIV/0!</v>
      </c>
      <c r="N134" s="659"/>
      <c r="O134" s="659"/>
      <c r="P134" s="569"/>
      <c r="Q134" s="182"/>
      <c r="R134" s="570"/>
      <c r="S134" s="339" t="e">
        <f t="shared" si="72"/>
        <v>#N/A</v>
      </c>
      <c r="T134" s="669"/>
      <c r="U134" s="569"/>
      <c r="V134" s="182"/>
      <c r="W134" s="570"/>
      <c r="X134" s="475" t="e">
        <f t="shared" si="73"/>
        <v>#N/A</v>
      </c>
      <c r="Y134" s="669"/>
      <c r="Z134" s="569"/>
      <c r="AA134" s="182"/>
      <c r="AB134" s="570"/>
      <c r="AC134" s="475" t="e">
        <f t="shared" si="74"/>
        <v>#N/A</v>
      </c>
      <c r="AD134" s="669"/>
      <c r="AE134" s="569"/>
      <c r="AF134" s="182"/>
      <c r="AG134" s="570"/>
      <c r="AH134" s="475" t="e">
        <f t="shared" si="75"/>
        <v>#N/A</v>
      </c>
      <c r="AI134" s="669"/>
      <c r="AJ134" s="569"/>
      <c r="AK134" s="182"/>
      <c r="AL134" s="570"/>
      <c r="AM134" s="475" t="e">
        <f t="shared" si="76"/>
        <v>#N/A</v>
      </c>
      <c r="AN134" s="669"/>
      <c r="AO134" s="569"/>
      <c r="AP134" s="182"/>
      <c r="AQ134" s="570"/>
      <c r="AR134" s="475" t="e">
        <f t="shared" si="77"/>
        <v>#N/A</v>
      </c>
      <c r="AS134" s="669"/>
      <c r="AT134" s="569"/>
      <c r="AU134" s="182"/>
      <c r="AV134" s="570"/>
      <c r="AW134" s="475" t="e">
        <f t="shared" si="78"/>
        <v>#N/A</v>
      </c>
      <c r="AX134" s="669"/>
    </row>
    <row r="135" spans="2:50">
      <c r="B135" s="667"/>
      <c r="C135" s="309">
        <v>24</v>
      </c>
      <c r="D135" s="569"/>
      <c r="E135" s="569"/>
      <c r="F135" s="569"/>
      <c r="G135" s="569"/>
      <c r="H135" s="669"/>
      <c r="I135" s="538"/>
      <c r="J135" s="538"/>
      <c r="K135" s="200"/>
      <c r="L135" s="641"/>
      <c r="M135" s="199" t="e">
        <f>RANK(K135, K$112:$K$141)</f>
        <v>#DIV/0!</v>
      </c>
      <c r="N135" s="659"/>
      <c r="O135" s="659"/>
      <c r="P135" s="569"/>
      <c r="Q135" s="182"/>
      <c r="R135" s="570"/>
      <c r="S135" s="339" t="e">
        <f t="shared" si="72"/>
        <v>#N/A</v>
      </c>
      <c r="T135" s="669"/>
      <c r="U135" s="569"/>
      <c r="V135" s="182"/>
      <c r="W135" s="570"/>
      <c r="X135" s="475" t="e">
        <f t="shared" si="73"/>
        <v>#N/A</v>
      </c>
      <c r="Y135" s="669"/>
      <c r="Z135" s="569"/>
      <c r="AA135" s="182"/>
      <c r="AB135" s="570"/>
      <c r="AC135" s="475" t="e">
        <f t="shared" si="74"/>
        <v>#N/A</v>
      </c>
      <c r="AD135" s="669"/>
      <c r="AE135" s="569"/>
      <c r="AF135" s="182"/>
      <c r="AG135" s="570"/>
      <c r="AH135" s="475" t="e">
        <f t="shared" si="75"/>
        <v>#N/A</v>
      </c>
      <c r="AI135" s="669"/>
      <c r="AJ135" s="569"/>
      <c r="AK135" s="182"/>
      <c r="AL135" s="570"/>
      <c r="AM135" s="475" t="e">
        <f t="shared" si="76"/>
        <v>#N/A</v>
      </c>
      <c r="AN135" s="669"/>
      <c r="AO135" s="569"/>
      <c r="AP135" s="182"/>
      <c r="AQ135" s="570"/>
      <c r="AR135" s="475" t="e">
        <f t="shared" si="77"/>
        <v>#N/A</v>
      </c>
      <c r="AS135" s="669"/>
      <c r="AT135" s="569"/>
      <c r="AU135" s="182"/>
      <c r="AV135" s="570"/>
      <c r="AW135" s="475" t="e">
        <f t="shared" si="78"/>
        <v>#N/A</v>
      </c>
      <c r="AX135" s="669"/>
    </row>
    <row r="136" spans="2:50">
      <c r="B136" s="667"/>
      <c r="C136" s="309">
        <v>25</v>
      </c>
      <c r="D136" s="569"/>
      <c r="E136" s="569"/>
      <c r="F136" s="569"/>
      <c r="G136" s="569"/>
      <c r="H136" s="669"/>
      <c r="I136" s="202"/>
      <c r="J136" s="202"/>
      <c r="K136" s="202"/>
      <c r="L136" s="641"/>
      <c r="M136" s="199" t="e">
        <f>RANK(K136, K$112:$K$141)</f>
        <v>#DIV/0!</v>
      </c>
      <c r="N136" s="659"/>
      <c r="O136" s="659"/>
      <c r="P136" s="569"/>
      <c r="Q136" s="182"/>
      <c r="R136" s="570"/>
      <c r="S136" s="339" t="e">
        <f t="shared" si="72"/>
        <v>#N/A</v>
      </c>
      <c r="T136" s="669"/>
      <c r="U136" s="569"/>
      <c r="V136" s="182"/>
      <c r="W136" s="570"/>
      <c r="X136" s="475" t="e">
        <f t="shared" si="73"/>
        <v>#N/A</v>
      </c>
      <c r="Y136" s="669"/>
      <c r="Z136" s="569"/>
      <c r="AA136" s="182"/>
      <c r="AB136" s="570"/>
      <c r="AC136" s="475" t="e">
        <f t="shared" si="74"/>
        <v>#N/A</v>
      </c>
      <c r="AD136" s="669"/>
      <c r="AE136" s="569"/>
      <c r="AF136" s="182"/>
      <c r="AG136" s="570"/>
      <c r="AH136" s="475" t="e">
        <f t="shared" si="75"/>
        <v>#N/A</v>
      </c>
      <c r="AI136" s="669"/>
      <c r="AJ136" s="569"/>
      <c r="AK136" s="182"/>
      <c r="AL136" s="570"/>
      <c r="AM136" s="475" t="e">
        <f t="shared" si="76"/>
        <v>#N/A</v>
      </c>
      <c r="AN136" s="669"/>
      <c r="AO136" s="569"/>
      <c r="AP136" s="182"/>
      <c r="AQ136" s="570"/>
      <c r="AR136" s="475" t="e">
        <f t="shared" si="77"/>
        <v>#N/A</v>
      </c>
      <c r="AS136" s="669"/>
      <c r="AT136" s="569"/>
      <c r="AU136" s="182"/>
      <c r="AV136" s="570"/>
      <c r="AW136" s="475" t="e">
        <f t="shared" si="78"/>
        <v>#N/A</v>
      </c>
      <c r="AX136" s="669"/>
    </row>
    <row r="137" spans="2:50">
      <c r="B137" s="667"/>
      <c r="C137" s="309">
        <v>26</v>
      </c>
      <c r="D137" s="569"/>
      <c r="E137" s="569"/>
      <c r="F137" s="569"/>
      <c r="G137" s="569"/>
      <c r="H137" s="669"/>
      <c r="I137" s="202"/>
      <c r="J137" s="202"/>
      <c r="K137" s="202"/>
      <c r="L137" s="641"/>
      <c r="M137" s="199" t="e">
        <f>RANK(K137, K$112:$K$141)</f>
        <v>#DIV/0!</v>
      </c>
      <c r="N137" s="659"/>
      <c r="O137" s="659"/>
      <c r="P137" s="569"/>
      <c r="Q137" s="182"/>
      <c r="R137" s="570"/>
      <c r="S137" s="339" t="e">
        <f t="shared" si="72"/>
        <v>#N/A</v>
      </c>
      <c r="T137" s="669"/>
      <c r="U137" s="569"/>
      <c r="V137" s="182"/>
      <c r="W137" s="570"/>
      <c r="X137" s="475" t="e">
        <f t="shared" si="73"/>
        <v>#N/A</v>
      </c>
      <c r="Y137" s="669"/>
      <c r="Z137" s="569"/>
      <c r="AA137" s="182"/>
      <c r="AB137" s="570"/>
      <c r="AC137" s="475" t="e">
        <f t="shared" si="74"/>
        <v>#N/A</v>
      </c>
      <c r="AD137" s="669"/>
      <c r="AE137" s="569"/>
      <c r="AF137" s="182"/>
      <c r="AG137" s="570"/>
      <c r="AH137" s="475" t="e">
        <f t="shared" si="75"/>
        <v>#N/A</v>
      </c>
      <c r="AI137" s="669"/>
      <c r="AJ137" s="569"/>
      <c r="AK137" s="182"/>
      <c r="AL137" s="570"/>
      <c r="AM137" s="475" t="e">
        <f t="shared" si="76"/>
        <v>#N/A</v>
      </c>
      <c r="AN137" s="669"/>
      <c r="AO137" s="569"/>
      <c r="AP137" s="182"/>
      <c r="AQ137" s="570"/>
      <c r="AR137" s="475" t="e">
        <f t="shared" si="77"/>
        <v>#N/A</v>
      </c>
      <c r="AS137" s="669"/>
      <c r="AT137" s="569"/>
      <c r="AU137" s="182"/>
      <c r="AV137" s="570"/>
      <c r="AW137" s="475" t="e">
        <f t="shared" si="78"/>
        <v>#N/A</v>
      </c>
      <c r="AX137" s="669"/>
    </row>
    <row r="138" spans="2:50">
      <c r="B138" s="667"/>
      <c r="C138" s="309">
        <v>27</v>
      </c>
      <c r="D138" s="569"/>
      <c r="E138" s="569"/>
      <c r="F138" s="569"/>
      <c r="G138" s="569"/>
      <c r="H138" s="669"/>
      <c r="I138" s="202"/>
      <c r="J138" s="202"/>
      <c r="K138" s="202"/>
      <c r="L138" s="641"/>
      <c r="M138" s="199" t="e">
        <f>RANK(K138, K$112:$K$141)</f>
        <v>#DIV/0!</v>
      </c>
      <c r="N138" s="659"/>
      <c r="O138" s="659"/>
      <c r="P138" s="569"/>
      <c r="Q138" s="182"/>
      <c r="R138" s="570"/>
      <c r="S138" s="339" t="e">
        <f t="shared" si="72"/>
        <v>#N/A</v>
      </c>
      <c r="T138" s="669"/>
      <c r="U138" s="569"/>
      <c r="V138" s="182"/>
      <c r="W138" s="570"/>
      <c r="X138" s="475" t="e">
        <f t="shared" si="73"/>
        <v>#N/A</v>
      </c>
      <c r="Y138" s="669"/>
      <c r="Z138" s="569"/>
      <c r="AA138" s="182"/>
      <c r="AB138" s="570"/>
      <c r="AC138" s="475" t="e">
        <f t="shared" si="74"/>
        <v>#N/A</v>
      </c>
      <c r="AD138" s="669"/>
      <c r="AE138" s="569"/>
      <c r="AF138" s="182"/>
      <c r="AG138" s="570"/>
      <c r="AH138" s="475" t="e">
        <f t="shared" si="75"/>
        <v>#N/A</v>
      </c>
      <c r="AI138" s="669"/>
      <c r="AJ138" s="569"/>
      <c r="AK138" s="182"/>
      <c r="AL138" s="570"/>
      <c r="AM138" s="475" t="e">
        <f t="shared" si="76"/>
        <v>#N/A</v>
      </c>
      <c r="AN138" s="669"/>
      <c r="AO138" s="569"/>
      <c r="AP138" s="182"/>
      <c r="AQ138" s="570"/>
      <c r="AR138" s="475" t="e">
        <f t="shared" si="77"/>
        <v>#N/A</v>
      </c>
      <c r="AS138" s="669"/>
      <c r="AT138" s="569"/>
      <c r="AU138" s="182"/>
      <c r="AV138" s="570"/>
      <c r="AW138" s="475" t="e">
        <f t="shared" si="78"/>
        <v>#N/A</v>
      </c>
      <c r="AX138" s="669"/>
    </row>
    <row r="139" spans="2:50">
      <c r="B139" s="667"/>
      <c r="C139" s="309">
        <v>28</v>
      </c>
      <c r="D139" s="569"/>
      <c r="E139" s="569"/>
      <c r="F139" s="569"/>
      <c r="G139" s="569"/>
      <c r="H139" s="669"/>
      <c r="I139" s="202"/>
      <c r="J139" s="202"/>
      <c r="K139" s="202"/>
      <c r="L139" s="641"/>
      <c r="M139" s="199" t="e">
        <f>RANK(K139, K$112:$K$141)</f>
        <v>#DIV/0!</v>
      </c>
      <c r="N139" s="659"/>
      <c r="O139" s="659"/>
      <c r="P139" s="569"/>
      <c r="Q139" s="182"/>
      <c r="R139" s="570"/>
      <c r="S139" s="339" t="e">
        <f t="shared" si="72"/>
        <v>#N/A</v>
      </c>
      <c r="T139" s="669"/>
      <c r="U139" s="569"/>
      <c r="V139" s="182"/>
      <c r="W139" s="570"/>
      <c r="X139" s="475" t="e">
        <f t="shared" si="73"/>
        <v>#N/A</v>
      </c>
      <c r="Y139" s="669"/>
      <c r="Z139" s="569"/>
      <c r="AA139" s="182"/>
      <c r="AB139" s="570"/>
      <c r="AC139" s="475" t="e">
        <f t="shared" si="74"/>
        <v>#N/A</v>
      </c>
      <c r="AD139" s="669"/>
      <c r="AE139" s="569"/>
      <c r="AF139" s="182"/>
      <c r="AG139" s="570"/>
      <c r="AH139" s="475" t="e">
        <f t="shared" si="75"/>
        <v>#N/A</v>
      </c>
      <c r="AI139" s="669"/>
      <c r="AJ139" s="569"/>
      <c r="AK139" s="182"/>
      <c r="AL139" s="570"/>
      <c r="AM139" s="475" t="e">
        <f t="shared" si="76"/>
        <v>#N/A</v>
      </c>
      <c r="AN139" s="669"/>
      <c r="AO139" s="569"/>
      <c r="AP139" s="182"/>
      <c r="AQ139" s="570"/>
      <c r="AR139" s="475" t="e">
        <f t="shared" si="77"/>
        <v>#N/A</v>
      </c>
      <c r="AS139" s="669"/>
      <c r="AT139" s="569"/>
      <c r="AU139" s="182"/>
      <c r="AV139" s="570"/>
      <c r="AW139" s="475" t="e">
        <f t="shared" si="78"/>
        <v>#N/A</v>
      </c>
      <c r="AX139" s="669"/>
    </row>
    <row r="140" spans="2:50">
      <c r="B140" s="667"/>
      <c r="C140" s="309">
        <v>29</v>
      </c>
      <c r="D140" s="569"/>
      <c r="E140" s="569"/>
      <c r="F140" s="569"/>
      <c r="G140" s="569"/>
      <c r="H140" s="669"/>
      <c r="I140" s="202"/>
      <c r="J140" s="202"/>
      <c r="K140" s="202"/>
      <c r="L140" s="641"/>
      <c r="M140" s="199" t="e">
        <f>RANK(K140, K$112:$K$141)</f>
        <v>#DIV/0!</v>
      </c>
      <c r="N140" s="659"/>
      <c r="O140" s="659"/>
      <c r="P140" s="569"/>
      <c r="Q140" s="182"/>
      <c r="R140" s="570"/>
      <c r="S140" s="339" t="e">
        <f t="shared" si="72"/>
        <v>#N/A</v>
      </c>
      <c r="T140" s="669"/>
      <c r="U140" s="569"/>
      <c r="V140" s="182"/>
      <c r="W140" s="570"/>
      <c r="X140" s="475" t="e">
        <f t="shared" si="73"/>
        <v>#N/A</v>
      </c>
      <c r="Y140" s="669"/>
      <c r="Z140" s="569"/>
      <c r="AA140" s="182"/>
      <c r="AB140" s="570"/>
      <c r="AC140" s="475" t="e">
        <f t="shared" si="74"/>
        <v>#N/A</v>
      </c>
      <c r="AD140" s="669"/>
      <c r="AE140" s="569"/>
      <c r="AF140" s="182"/>
      <c r="AG140" s="570"/>
      <c r="AH140" s="475" t="e">
        <f t="shared" si="75"/>
        <v>#N/A</v>
      </c>
      <c r="AI140" s="669"/>
      <c r="AJ140" s="569"/>
      <c r="AK140" s="182"/>
      <c r="AL140" s="570"/>
      <c r="AM140" s="475" t="e">
        <f t="shared" si="76"/>
        <v>#N/A</v>
      </c>
      <c r="AN140" s="669"/>
      <c r="AO140" s="569"/>
      <c r="AP140" s="182"/>
      <c r="AQ140" s="570"/>
      <c r="AR140" s="475" t="e">
        <f t="shared" si="77"/>
        <v>#N/A</v>
      </c>
      <c r="AS140" s="669"/>
      <c r="AT140" s="569"/>
      <c r="AU140" s="182"/>
      <c r="AV140" s="570"/>
      <c r="AW140" s="475" t="e">
        <f t="shared" si="78"/>
        <v>#N/A</v>
      </c>
      <c r="AX140" s="669"/>
    </row>
    <row r="141" spans="2:50">
      <c r="B141" s="667"/>
      <c r="C141" s="309">
        <v>30</v>
      </c>
      <c r="D141" s="569"/>
      <c r="E141" s="569"/>
      <c r="F141" s="569"/>
      <c r="G141" s="569"/>
      <c r="H141" s="670"/>
      <c r="I141" s="202"/>
      <c r="J141" s="202"/>
      <c r="K141" s="202"/>
      <c r="L141" s="642"/>
      <c r="M141" s="199" t="e">
        <f>RANK(K141, K$112:$K$141)</f>
        <v>#DIV/0!</v>
      </c>
      <c r="N141" s="659"/>
      <c r="O141" s="659"/>
      <c r="P141" s="569"/>
      <c r="Q141" s="182"/>
      <c r="R141" s="570"/>
      <c r="S141" s="339" t="e">
        <f t="shared" si="72"/>
        <v>#N/A</v>
      </c>
      <c r="T141" s="670"/>
      <c r="U141" s="569"/>
      <c r="V141" s="182"/>
      <c r="W141" s="570"/>
      <c r="X141" s="475" t="e">
        <f t="shared" si="73"/>
        <v>#N/A</v>
      </c>
      <c r="Y141" s="670"/>
      <c r="Z141" s="569"/>
      <c r="AA141" s="182"/>
      <c r="AB141" s="570"/>
      <c r="AC141" s="475" t="e">
        <f t="shared" si="74"/>
        <v>#N/A</v>
      </c>
      <c r="AD141" s="670"/>
      <c r="AE141" s="569"/>
      <c r="AF141" s="182"/>
      <c r="AG141" s="570"/>
      <c r="AH141" s="475" t="e">
        <f t="shared" si="75"/>
        <v>#N/A</v>
      </c>
      <c r="AI141" s="670"/>
      <c r="AJ141" s="569"/>
      <c r="AK141" s="182"/>
      <c r="AL141" s="570"/>
      <c r="AM141" s="475" t="e">
        <f t="shared" si="76"/>
        <v>#N/A</v>
      </c>
      <c r="AN141" s="670"/>
      <c r="AO141" s="569"/>
      <c r="AP141" s="182"/>
      <c r="AQ141" s="570"/>
      <c r="AR141" s="475" t="e">
        <f t="shared" si="77"/>
        <v>#N/A</v>
      </c>
      <c r="AS141" s="670"/>
      <c r="AT141" s="569"/>
      <c r="AU141" s="182"/>
      <c r="AV141" s="570"/>
      <c r="AW141" s="475" t="e">
        <f t="shared" si="78"/>
        <v>#N/A</v>
      </c>
      <c r="AX141" s="670"/>
    </row>
    <row r="142" spans="2:50" ht="15.75">
      <c r="B142" s="671" t="s">
        <v>163</v>
      </c>
      <c r="C142" s="672"/>
      <c r="D142" s="672"/>
      <c r="E142" s="672"/>
      <c r="F142" s="672"/>
      <c r="G142" s="672"/>
      <c r="H142" s="673"/>
      <c r="I142" s="208"/>
      <c r="J142" s="208"/>
      <c r="K142" s="208"/>
      <c r="L142" s="208"/>
      <c r="M142" s="207"/>
      <c r="N142" s="660" t="s">
        <v>156</v>
      </c>
      <c r="O142" s="660" t="s">
        <v>155</v>
      </c>
      <c r="P142" s="666">
        <f>P107+7</f>
        <v>46112</v>
      </c>
      <c r="Q142" s="667"/>
      <c r="R142" s="667"/>
      <c r="S142" s="667"/>
      <c r="T142" s="667"/>
      <c r="U142" s="663">
        <f>P142+1</f>
        <v>46113</v>
      </c>
      <c r="V142" s="664"/>
      <c r="W142" s="664"/>
      <c r="X142" s="664"/>
      <c r="Y142" s="665"/>
      <c r="Z142" s="663">
        <f>U142+1</f>
        <v>46114</v>
      </c>
      <c r="AA142" s="664"/>
      <c r="AB142" s="664"/>
      <c r="AC142" s="664"/>
      <c r="AD142" s="665"/>
      <c r="AE142" s="663">
        <f>Z142+1</f>
        <v>46115</v>
      </c>
      <c r="AF142" s="664"/>
      <c r="AG142" s="664"/>
      <c r="AH142" s="664"/>
      <c r="AI142" s="665"/>
      <c r="AJ142" s="663">
        <f>AE142+1</f>
        <v>46116</v>
      </c>
      <c r="AK142" s="664"/>
      <c r="AL142" s="664"/>
      <c r="AM142" s="664"/>
      <c r="AN142" s="665"/>
      <c r="AO142" s="663">
        <f>AJ142+1</f>
        <v>46117</v>
      </c>
      <c r="AP142" s="664"/>
      <c r="AQ142" s="664"/>
      <c r="AR142" s="664"/>
      <c r="AS142" s="665"/>
      <c r="AT142" s="663">
        <f>AO142+1</f>
        <v>46118</v>
      </c>
      <c r="AU142" s="664"/>
      <c r="AV142" s="664"/>
      <c r="AW142" s="664"/>
      <c r="AX142" s="665"/>
    </row>
    <row r="143" spans="2:50" ht="15.75">
      <c r="B143" s="674"/>
      <c r="C143" s="674"/>
      <c r="D143" s="674"/>
      <c r="E143" s="674"/>
      <c r="F143" s="674"/>
      <c r="G143" s="674"/>
      <c r="H143" s="674"/>
      <c r="I143" s="205"/>
      <c r="J143" s="205"/>
      <c r="K143" s="205"/>
      <c r="L143" s="205"/>
      <c r="M143" s="206"/>
      <c r="N143" s="662"/>
      <c r="O143" s="662"/>
      <c r="P143" s="666" t="s">
        <v>336</v>
      </c>
      <c r="Q143" s="667"/>
      <c r="R143" s="667"/>
      <c r="S143" s="667"/>
      <c r="T143" s="667"/>
      <c r="U143" s="666" t="s">
        <v>337</v>
      </c>
      <c r="V143" s="667"/>
      <c r="W143" s="667"/>
      <c r="X143" s="667"/>
      <c r="Y143" s="667"/>
      <c r="Z143" s="666" t="s">
        <v>338</v>
      </c>
      <c r="AA143" s="667"/>
      <c r="AB143" s="667"/>
      <c r="AC143" s="667"/>
      <c r="AD143" s="667"/>
      <c r="AE143" s="666" t="s">
        <v>339</v>
      </c>
      <c r="AF143" s="667"/>
      <c r="AG143" s="667"/>
      <c r="AH143" s="667"/>
      <c r="AI143" s="667"/>
      <c r="AJ143" s="666" t="s">
        <v>340</v>
      </c>
      <c r="AK143" s="667"/>
      <c r="AL143" s="667"/>
      <c r="AM143" s="667"/>
      <c r="AN143" s="667"/>
      <c r="AO143" s="666" t="s">
        <v>341</v>
      </c>
      <c r="AP143" s="667"/>
      <c r="AQ143" s="667"/>
      <c r="AR143" s="667"/>
      <c r="AS143" s="667"/>
      <c r="AT143" s="666" t="s">
        <v>342</v>
      </c>
      <c r="AU143" s="667"/>
      <c r="AV143" s="667"/>
      <c r="AW143" s="667"/>
      <c r="AX143" s="667"/>
    </row>
    <row r="144" spans="2:50">
      <c r="B144" s="659" t="s">
        <v>460</v>
      </c>
      <c r="C144" s="659" t="s">
        <v>461</v>
      </c>
      <c r="D144" s="659"/>
      <c r="E144" s="659" t="s">
        <v>462</v>
      </c>
      <c r="F144" s="659"/>
      <c r="G144" s="659"/>
      <c r="H144" s="675" t="s">
        <v>463</v>
      </c>
      <c r="I144" s="643" t="s">
        <v>464</v>
      </c>
      <c r="J144" s="643"/>
      <c r="K144" s="643"/>
      <c r="L144" s="644" t="s">
        <v>463</v>
      </c>
      <c r="M144" s="650" t="s">
        <v>465</v>
      </c>
      <c r="N144" s="659"/>
      <c r="O144" s="659" t="s">
        <v>466</v>
      </c>
      <c r="P144" s="656" t="s">
        <v>467</v>
      </c>
      <c r="Q144" s="657"/>
      <c r="R144" s="657"/>
      <c r="S144" s="658"/>
      <c r="T144" s="659" t="s">
        <v>463</v>
      </c>
      <c r="U144" s="656" t="s">
        <v>467</v>
      </c>
      <c r="V144" s="657"/>
      <c r="W144" s="657"/>
      <c r="X144" s="658"/>
      <c r="Y144" s="659" t="s">
        <v>463</v>
      </c>
      <c r="Z144" s="656" t="s">
        <v>467</v>
      </c>
      <c r="AA144" s="657"/>
      <c r="AB144" s="657"/>
      <c r="AC144" s="658"/>
      <c r="AD144" s="659" t="s">
        <v>463</v>
      </c>
      <c r="AE144" s="656" t="s">
        <v>467</v>
      </c>
      <c r="AF144" s="657"/>
      <c r="AG144" s="657"/>
      <c r="AH144" s="658"/>
      <c r="AI144" s="659" t="s">
        <v>463</v>
      </c>
      <c r="AJ144" s="656" t="s">
        <v>467</v>
      </c>
      <c r="AK144" s="657"/>
      <c r="AL144" s="657"/>
      <c r="AM144" s="658"/>
      <c r="AN144" s="659" t="s">
        <v>463</v>
      </c>
      <c r="AO144" s="656" t="s">
        <v>467</v>
      </c>
      <c r="AP144" s="657"/>
      <c r="AQ144" s="657"/>
      <c r="AR144" s="658"/>
      <c r="AS144" s="659" t="s">
        <v>463</v>
      </c>
      <c r="AT144" s="656" t="s">
        <v>467</v>
      </c>
      <c r="AU144" s="657"/>
      <c r="AV144" s="657"/>
      <c r="AW144" s="658"/>
      <c r="AX144" s="659" t="s">
        <v>463</v>
      </c>
    </row>
    <row r="145" spans="2:50">
      <c r="B145" s="659"/>
      <c r="C145" s="659"/>
      <c r="D145" s="659"/>
      <c r="E145" s="659" t="s">
        <v>468</v>
      </c>
      <c r="F145" s="659"/>
      <c r="G145" s="659"/>
      <c r="H145" s="676"/>
      <c r="I145" s="643" t="s">
        <v>468</v>
      </c>
      <c r="J145" s="643"/>
      <c r="K145" s="643"/>
      <c r="L145" s="645"/>
      <c r="M145" s="651"/>
      <c r="N145" s="659"/>
      <c r="O145" s="659"/>
      <c r="P145" s="656" t="s">
        <v>469</v>
      </c>
      <c r="Q145" s="657"/>
      <c r="R145" s="657"/>
      <c r="S145" s="658"/>
      <c r="T145" s="659"/>
      <c r="U145" s="656" t="s">
        <v>469</v>
      </c>
      <c r="V145" s="657"/>
      <c r="W145" s="657"/>
      <c r="X145" s="658"/>
      <c r="Y145" s="659"/>
      <c r="Z145" s="656" t="s">
        <v>469</v>
      </c>
      <c r="AA145" s="657"/>
      <c r="AB145" s="657"/>
      <c r="AC145" s="658"/>
      <c r="AD145" s="659"/>
      <c r="AE145" s="656" t="s">
        <v>469</v>
      </c>
      <c r="AF145" s="657"/>
      <c r="AG145" s="657"/>
      <c r="AH145" s="658"/>
      <c r="AI145" s="659"/>
      <c r="AJ145" s="656" t="s">
        <v>469</v>
      </c>
      <c r="AK145" s="657"/>
      <c r="AL145" s="657"/>
      <c r="AM145" s="658"/>
      <c r="AN145" s="659"/>
      <c r="AO145" s="656" t="s">
        <v>469</v>
      </c>
      <c r="AP145" s="657"/>
      <c r="AQ145" s="657"/>
      <c r="AR145" s="658"/>
      <c r="AS145" s="659"/>
      <c r="AT145" s="656" t="s">
        <v>469</v>
      </c>
      <c r="AU145" s="657"/>
      <c r="AV145" s="657"/>
      <c r="AW145" s="658"/>
      <c r="AX145" s="659"/>
    </row>
    <row r="146" spans="2:50">
      <c r="B146" s="659"/>
      <c r="C146" s="659"/>
      <c r="D146" s="659"/>
      <c r="E146" s="302" t="s">
        <v>470</v>
      </c>
      <c r="F146" s="302" t="s">
        <v>471</v>
      </c>
      <c r="G146" s="302" t="s">
        <v>472</v>
      </c>
      <c r="H146" s="677"/>
      <c r="I146" s="303" t="s">
        <v>470</v>
      </c>
      <c r="J146" s="303" t="s">
        <v>471</v>
      </c>
      <c r="K146" s="303" t="s">
        <v>472</v>
      </c>
      <c r="L146" s="646"/>
      <c r="M146" s="652"/>
      <c r="N146" s="659"/>
      <c r="O146" s="659"/>
      <c r="P146" s="302" t="s">
        <v>470</v>
      </c>
      <c r="Q146" s="302" t="s">
        <v>471</v>
      </c>
      <c r="R146" s="302" t="s">
        <v>472</v>
      </c>
      <c r="S146" s="302" t="s">
        <v>465</v>
      </c>
      <c r="T146" s="659"/>
      <c r="U146" s="302" t="s">
        <v>470</v>
      </c>
      <c r="V146" s="302" t="s">
        <v>471</v>
      </c>
      <c r="W146" s="302" t="s">
        <v>472</v>
      </c>
      <c r="X146" s="302" t="s">
        <v>465</v>
      </c>
      <c r="Y146" s="659"/>
      <c r="Z146" s="302" t="s">
        <v>470</v>
      </c>
      <c r="AA146" s="302" t="s">
        <v>471</v>
      </c>
      <c r="AB146" s="302" t="s">
        <v>472</v>
      </c>
      <c r="AC146" s="302" t="s">
        <v>465</v>
      </c>
      <c r="AD146" s="659"/>
      <c r="AE146" s="302" t="s">
        <v>470</v>
      </c>
      <c r="AF146" s="302" t="s">
        <v>471</v>
      </c>
      <c r="AG146" s="302" t="s">
        <v>472</v>
      </c>
      <c r="AH146" s="302" t="s">
        <v>465</v>
      </c>
      <c r="AI146" s="659"/>
      <c r="AJ146" s="302" t="s">
        <v>470</v>
      </c>
      <c r="AK146" s="302" t="s">
        <v>471</v>
      </c>
      <c r="AL146" s="302" t="s">
        <v>472</v>
      </c>
      <c r="AM146" s="302" t="s">
        <v>465</v>
      </c>
      <c r="AN146" s="659"/>
      <c r="AO146" s="302" t="s">
        <v>470</v>
      </c>
      <c r="AP146" s="302" t="s">
        <v>471</v>
      </c>
      <c r="AQ146" s="302" t="s">
        <v>472</v>
      </c>
      <c r="AR146" s="302" t="s">
        <v>465</v>
      </c>
      <c r="AS146" s="659"/>
      <c r="AT146" s="302" t="s">
        <v>470</v>
      </c>
      <c r="AU146" s="302" t="s">
        <v>471</v>
      </c>
      <c r="AV146" s="302" t="s">
        <v>472</v>
      </c>
      <c r="AW146" s="302" t="s">
        <v>465</v>
      </c>
      <c r="AX146" s="659"/>
    </row>
    <row r="147" spans="2:50">
      <c r="B147" s="667" t="s">
        <v>150</v>
      </c>
      <c r="C147" s="301">
        <v>1</v>
      </c>
      <c r="D147" s="566"/>
      <c r="E147" s="566"/>
      <c r="F147" s="566"/>
      <c r="G147" s="182"/>
      <c r="H147" s="668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40" t="str">
        <f>IFERROR(AVERAGE(K147:K176),"-")</f>
        <v>-</v>
      </c>
      <c r="M147" s="199" t="e">
        <f>RANK(K147, K$147:$K$176)</f>
        <v>#DIV/0!</v>
      </c>
      <c r="N147" s="659"/>
      <c r="O147" s="659"/>
      <c r="P147" s="425"/>
      <c r="Q147" s="182"/>
      <c r="R147" s="182"/>
      <c r="S147" s="301" t="e">
        <f>RANK(R147, R$147:R$176)</f>
        <v>#N/A</v>
      </c>
      <c r="T147" s="668" t="e">
        <f>AVERAGE(R147:R176)</f>
        <v>#DIV/0!</v>
      </c>
      <c r="U147" s="425"/>
      <c r="V147" s="182"/>
      <c r="W147" s="182"/>
      <c r="X147" s="475" t="e">
        <f t="shared" ref="X147:X162" si="82">RANK(W147, W$147:W$176)</f>
        <v>#N/A</v>
      </c>
      <c r="Y147" s="668" t="e">
        <f t="shared" ref="Y147" si="83">AVERAGE(W147:W176)</f>
        <v>#DIV/0!</v>
      </c>
      <c r="Z147" s="425"/>
      <c r="AA147" s="182"/>
      <c r="AB147" s="182"/>
      <c r="AC147" s="475" t="e">
        <f t="shared" ref="AC147:AC162" si="84">RANK(AB147, AB$147:AB$176)</f>
        <v>#N/A</v>
      </c>
      <c r="AD147" s="668" t="e">
        <f t="shared" ref="AD147" si="85">AVERAGE(AB147:AB176)</f>
        <v>#DIV/0!</v>
      </c>
      <c r="AE147" s="425"/>
      <c r="AF147" s="182"/>
      <c r="AG147" s="182"/>
      <c r="AH147" s="475" t="e">
        <f t="shared" ref="AH147:AH162" si="86">RANK(AG147, AG$147:AG$176)</f>
        <v>#N/A</v>
      </c>
      <c r="AI147" s="668" t="e">
        <f t="shared" ref="AI147" si="87">AVERAGE(AG147:AG176)</f>
        <v>#DIV/0!</v>
      </c>
      <c r="AJ147" s="425"/>
      <c r="AK147" s="182"/>
      <c r="AL147" s="182"/>
      <c r="AM147" s="475" t="e">
        <f t="shared" ref="AM147:AM162" si="88">RANK(AL147, AL$147:AL$176)</f>
        <v>#N/A</v>
      </c>
      <c r="AN147" s="668" t="e">
        <f t="shared" ref="AN147" si="89">AVERAGE(AL147:AL176)</f>
        <v>#DIV/0!</v>
      </c>
      <c r="AO147" s="425"/>
      <c r="AP147" s="182"/>
      <c r="AQ147" s="182"/>
      <c r="AR147" s="475" t="e">
        <f t="shared" ref="AR147:AR162" si="90">RANK(AQ147, AQ$147:AQ$176)</f>
        <v>#N/A</v>
      </c>
      <c r="AS147" s="668" t="e">
        <f t="shared" ref="AS147" si="91">AVERAGE(AQ147:AQ176)</f>
        <v>#DIV/0!</v>
      </c>
      <c r="AT147" s="425"/>
      <c r="AU147" s="182"/>
      <c r="AV147" s="182"/>
      <c r="AW147" s="475" t="e">
        <f t="shared" ref="AW147:AW162" si="92">RANK(AV147, AV$147:AV$176)</f>
        <v>#N/A</v>
      </c>
      <c r="AX147" s="668" t="e">
        <f t="shared" ref="AX147" si="93">AVERAGE(AV147:AV176)</f>
        <v>#DIV/0!</v>
      </c>
    </row>
    <row r="148" spans="2:50">
      <c r="B148" s="667"/>
      <c r="C148" s="301">
        <v>2</v>
      </c>
      <c r="D148" s="565"/>
      <c r="E148" s="566"/>
      <c r="F148" s="566"/>
      <c r="G148" s="182"/>
      <c r="H148" s="669"/>
      <c r="I148" s="199" t="e">
        <f t="shared" ref="I148:I156" si="94">AVERAGE(P148,U148,Z148,AE148,AJ148,AO148,AT148)</f>
        <v>#DIV/0!</v>
      </c>
      <c r="J148" s="199" t="e">
        <f t="shared" ref="J148:J156" si="95">AVERAGE(Q148,V148,AA148,AF148,AK148,AP148,AU148)</f>
        <v>#DIV/0!</v>
      </c>
      <c r="K148" s="200" t="e">
        <f t="shared" ref="K148:K156" si="96">AVERAGE(R148,W148,AB148,AG148,AL148,AQ148,AV148)</f>
        <v>#DIV/0!</v>
      </c>
      <c r="L148" s="641"/>
      <c r="M148" s="199" t="e">
        <f>RANK(K148, K$147:$K$176)</f>
        <v>#DIV/0!</v>
      </c>
      <c r="N148" s="659"/>
      <c r="O148" s="659"/>
      <c r="P148" s="182"/>
      <c r="Q148" s="182"/>
      <c r="R148" s="182"/>
      <c r="S148" s="301" t="e">
        <f t="shared" ref="S148:S176" si="97">RANK(R148, R$147:R$176)</f>
        <v>#N/A</v>
      </c>
      <c r="T148" s="669"/>
      <c r="U148" s="182"/>
      <c r="V148" s="182"/>
      <c r="W148" s="182"/>
      <c r="X148" s="475" t="e">
        <f t="shared" si="82"/>
        <v>#N/A</v>
      </c>
      <c r="Y148" s="669"/>
      <c r="Z148" s="182"/>
      <c r="AA148" s="182"/>
      <c r="AB148" s="182"/>
      <c r="AC148" s="475" t="e">
        <f t="shared" si="84"/>
        <v>#N/A</v>
      </c>
      <c r="AD148" s="669"/>
      <c r="AE148" s="182"/>
      <c r="AF148" s="182"/>
      <c r="AG148" s="182"/>
      <c r="AH148" s="475" t="e">
        <f t="shared" si="86"/>
        <v>#N/A</v>
      </c>
      <c r="AI148" s="669"/>
      <c r="AJ148" s="182"/>
      <c r="AK148" s="182"/>
      <c r="AL148" s="182"/>
      <c r="AM148" s="475" t="e">
        <f t="shared" si="88"/>
        <v>#N/A</v>
      </c>
      <c r="AN148" s="669"/>
      <c r="AO148" s="182"/>
      <c r="AP148" s="182"/>
      <c r="AQ148" s="182"/>
      <c r="AR148" s="475" t="e">
        <f t="shared" si="90"/>
        <v>#N/A</v>
      </c>
      <c r="AS148" s="669"/>
      <c r="AT148" s="182"/>
      <c r="AU148" s="182"/>
      <c r="AV148" s="182"/>
      <c r="AW148" s="475" t="e">
        <f t="shared" si="92"/>
        <v>#N/A</v>
      </c>
      <c r="AX148" s="669"/>
    </row>
    <row r="149" spans="2:50">
      <c r="B149" s="667"/>
      <c r="C149" s="301">
        <v>3</v>
      </c>
      <c r="D149" s="566"/>
      <c r="E149" s="566"/>
      <c r="F149" s="566"/>
      <c r="G149" s="182"/>
      <c r="H149" s="669"/>
      <c r="I149" s="199" t="e">
        <f t="shared" si="94"/>
        <v>#DIV/0!</v>
      </c>
      <c r="J149" s="199" t="e">
        <f t="shared" si="95"/>
        <v>#DIV/0!</v>
      </c>
      <c r="K149" s="200" t="e">
        <f t="shared" si="96"/>
        <v>#DIV/0!</v>
      </c>
      <c r="L149" s="641"/>
      <c r="M149" s="199" t="e">
        <f>RANK(K149, K$147:$K$176)</f>
        <v>#DIV/0!</v>
      </c>
      <c r="N149" s="659"/>
      <c r="O149" s="659"/>
      <c r="P149" s="182"/>
      <c r="Q149" s="182"/>
      <c r="R149" s="182"/>
      <c r="S149" s="301" t="e">
        <f t="shared" si="97"/>
        <v>#N/A</v>
      </c>
      <c r="T149" s="669"/>
      <c r="U149" s="182"/>
      <c r="V149" s="182"/>
      <c r="W149" s="182"/>
      <c r="X149" s="475" t="e">
        <f t="shared" si="82"/>
        <v>#N/A</v>
      </c>
      <c r="Y149" s="669"/>
      <c r="Z149" s="182"/>
      <c r="AA149" s="182"/>
      <c r="AB149" s="182"/>
      <c r="AC149" s="475" t="e">
        <f t="shared" si="84"/>
        <v>#N/A</v>
      </c>
      <c r="AD149" s="669"/>
      <c r="AE149" s="182"/>
      <c r="AF149" s="182"/>
      <c r="AG149" s="182"/>
      <c r="AH149" s="475" t="e">
        <f t="shared" si="86"/>
        <v>#N/A</v>
      </c>
      <c r="AI149" s="669"/>
      <c r="AJ149" s="182"/>
      <c r="AK149" s="182"/>
      <c r="AL149" s="182"/>
      <c r="AM149" s="475" t="e">
        <f t="shared" si="88"/>
        <v>#N/A</v>
      </c>
      <c r="AN149" s="669"/>
      <c r="AO149" s="182"/>
      <c r="AP149" s="182"/>
      <c r="AQ149" s="182"/>
      <c r="AR149" s="475" t="e">
        <f t="shared" si="90"/>
        <v>#N/A</v>
      </c>
      <c r="AS149" s="669"/>
      <c r="AT149" s="182"/>
      <c r="AU149" s="182"/>
      <c r="AV149" s="182"/>
      <c r="AW149" s="475" t="e">
        <f t="shared" si="92"/>
        <v>#N/A</v>
      </c>
      <c r="AX149" s="669"/>
    </row>
    <row r="150" spans="2:50">
      <c r="B150" s="667"/>
      <c r="C150" s="301">
        <v>4</v>
      </c>
      <c r="D150" s="566"/>
      <c r="E150" s="566"/>
      <c r="F150" s="566"/>
      <c r="G150" s="182"/>
      <c r="H150" s="669"/>
      <c r="I150" s="199" t="e">
        <f t="shared" si="94"/>
        <v>#DIV/0!</v>
      </c>
      <c r="J150" s="199" t="e">
        <f t="shared" si="95"/>
        <v>#DIV/0!</v>
      </c>
      <c r="K150" s="200" t="e">
        <f t="shared" si="96"/>
        <v>#DIV/0!</v>
      </c>
      <c r="L150" s="641"/>
      <c r="M150" s="199" t="e">
        <f>RANK(K150, K$147:$K$176)</f>
        <v>#DIV/0!</v>
      </c>
      <c r="N150" s="659"/>
      <c r="O150" s="659"/>
      <c r="P150" s="182"/>
      <c r="Q150" s="182"/>
      <c r="R150" s="182"/>
      <c r="S150" s="301" t="e">
        <f t="shared" si="97"/>
        <v>#N/A</v>
      </c>
      <c r="T150" s="669"/>
      <c r="U150" s="182"/>
      <c r="V150" s="182"/>
      <c r="W150" s="182"/>
      <c r="X150" s="475" t="e">
        <f t="shared" si="82"/>
        <v>#N/A</v>
      </c>
      <c r="Y150" s="669"/>
      <c r="Z150" s="182"/>
      <c r="AA150" s="182"/>
      <c r="AB150" s="182"/>
      <c r="AC150" s="475" t="e">
        <f t="shared" si="84"/>
        <v>#N/A</v>
      </c>
      <c r="AD150" s="669"/>
      <c r="AE150" s="182"/>
      <c r="AF150" s="182"/>
      <c r="AG150" s="182"/>
      <c r="AH150" s="475" t="e">
        <f t="shared" si="86"/>
        <v>#N/A</v>
      </c>
      <c r="AI150" s="669"/>
      <c r="AJ150" s="182"/>
      <c r="AK150" s="182"/>
      <c r="AL150" s="182"/>
      <c r="AM150" s="475" t="e">
        <f t="shared" si="88"/>
        <v>#N/A</v>
      </c>
      <c r="AN150" s="669"/>
      <c r="AO150" s="182"/>
      <c r="AP150" s="182"/>
      <c r="AQ150" s="182"/>
      <c r="AR150" s="475" t="e">
        <f t="shared" si="90"/>
        <v>#N/A</v>
      </c>
      <c r="AS150" s="669"/>
      <c r="AT150" s="182"/>
      <c r="AU150" s="182"/>
      <c r="AV150" s="182"/>
      <c r="AW150" s="475" t="e">
        <f t="shared" si="92"/>
        <v>#N/A</v>
      </c>
      <c r="AX150" s="669"/>
    </row>
    <row r="151" spans="2:50">
      <c r="B151" s="667"/>
      <c r="C151" s="301">
        <v>5</v>
      </c>
      <c r="D151" s="566"/>
      <c r="E151" s="566"/>
      <c r="F151" s="566"/>
      <c r="G151" s="182"/>
      <c r="H151" s="669"/>
      <c r="I151" s="199" t="e">
        <f t="shared" si="94"/>
        <v>#DIV/0!</v>
      </c>
      <c r="J151" s="199" t="e">
        <f t="shared" si="95"/>
        <v>#DIV/0!</v>
      </c>
      <c r="K151" s="200" t="e">
        <f t="shared" si="96"/>
        <v>#DIV/0!</v>
      </c>
      <c r="L151" s="641"/>
      <c r="M151" s="199" t="e">
        <f>RANK(K151, K$147:$K$176)</f>
        <v>#DIV/0!</v>
      </c>
      <c r="N151" s="659"/>
      <c r="O151" s="659"/>
      <c r="P151" s="182"/>
      <c r="Q151" s="182"/>
      <c r="R151" s="182"/>
      <c r="S151" s="301" t="e">
        <f t="shared" si="97"/>
        <v>#N/A</v>
      </c>
      <c r="T151" s="669"/>
      <c r="U151" s="182"/>
      <c r="V151" s="182"/>
      <c r="W151" s="182"/>
      <c r="X151" s="475" t="e">
        <f t="shared" si="82"/>
        <v>#N/A</v>
      </c>
      <c r="Y151" s="669"/>
      <c r="Z151" s="182"/>
      <c r="AA151" s="182"/>
      <c r="AB151" s="182"/>
      <c r="AC151" s="475" t="e">
        <f t="shared" si="84"/>
        <v>#N/A</v>
      </c>
      <c r="AD151" s="669"/>
      <c r="AE151" s="182"/>
      <c r="AF151" s="182"/>
      <c r="AG151" s="182"/>
      <c r="AH151" s="475" t="e">
        <f t="shared" si="86"/>
        <v>#N/A</v>
      </c>
      <c r="AI151" s="669"/>
      <c r="AJ151" s="182"/>
      <c r="AK151" s="182"/>
      <c r="AL151" s="182"/>
      <c r="AM151" s="475" t="e">
        <f t="shared" si="88"/>
        <v>#N/A</v>
      </c>
      <c r="AN151" s="669"/>
      <c r="AO151" s="182"/>
      <c r="AP151" s="182"/>
      <c r="AQ151" s="182"/>
      <c r="AR151" s="475" t="e">
        <f t="shared" si="90"/>
        <v>#N/A</v>
      </c>
      <c r="AS151" s="669"/>
      <c r="AT151" s="182"/>
      <c r="AU151" s="182"/>
      <c r="AV151" s="182"/>
      <c r="AW151" s="475" t="e">
        <f t="shared" si="92"/>
        <v>#N/A</v>
      </c>
      <c r="AX151" s="669"/>
    </row>
    <row r="152" spans="2:50">
      <c r="B152" s="667"/>
      <c r="C152" s="301">
        <v>6</v>
      </c>
      <c r="D152" s="566"/>
      <c r="E152" s="566"/>
      <c r="F152" s="566"/>
      <c r="G152" s="182"/>
      <c r="H152" s="669"/>
      <c r="I152" s="199" t="e">
        <f t="shared" si="94"/>
        <v>#DIV/0!</v>
      </c>
      <c r="J152" s="199" t="e">
        <f t="shared" si="95"/>
        <v>#DIV/0!</v>
      </c>
      <c r="K152" s="200" t="e">
        <f t="shared" si="96"/>
        <v>#DIV/0!</v>
      </c>
      <c r="L152" s="641"/>
      <c r="M152" s="199" t="e">
        <f>RANK(K152, K$147:$K$176)</f>
        <v>#DIV/0!</v>
      </c>
      <c r="N152" s="659"/>
      <c r="O152" s="659"/>
      <c r="P152" s="182"/>
      <c r="Q152" s="182"/>
      <c r="R152" s="182"/>
      <c r="S152" s="301" t="e">
        <f t="shared" si="97"/>
        <v>#N/A</v>
      </c>
      <c r="T152" s="669"/>
      <c r="U152" s="182"/>
      <c r="V152" s="182"/>
      <c r="W152" s="182"/>
      <c r="X152" s="475" t="e">
        <f t="shared" si="82"/>
        <v>#N/A</v>
      </c>
      <c r="Y152" s="669"/>
      <c r="Z152" s="182"/>
      <c r="AA152" s="182"/>
      <c r="AB152" s="182"/>
      <c r="AC152" s="475" t="e">
        <f t="shared" si="84"/>
        <v>#N/A</v>
      </c>
      <c r="AD152" s="669"/>
      <c r="AE152" s="182"/>
      <c r="AF152" s="182"/>
      <c r="AG152" s="182"/>
      <c r="AH152" s="475" t="e">
        <f t="shared" si="86"/>
        <v>#N/A</v>
      </c>
      <c r="AI152" s="669"/>
      <c r="AJ152" s="182"/>
      <c r="AK152" s="182"/>
      <c r="AL152" s="182"/>
      <c r="AM152" s="475" t="e">
        <f t="shared" si="88"/>
        <v>#N/A</v>
      </c>
      <c r="AN152" s="669"/>
      <c r="AO152" s="182"/>
      <c r="AP152" s="182"/>
      <c r="AQ152" s="182"/>
      <c r="AR152" s="475" t="e">
        <f t="shared" si="90"/>
        <v>#N/A</v>
      </c>
      <c r="AS152" s="669"/>
      <c r="AT152" s="182"/>
      <c r="AU152" s="182"/>
      <c r="AV152" s="182"/>
      <c r="AW152" s="475" t="e">
        <f t="shared" si="92"/>
        <v>#N/A</v>
      </c>
      <c r="AX152" s="669"/>
    </row>
    <row r="153" spans="2:50">
      <c r="B153" s="667"/>
      <c r="C153" s="301">
        <v>7</v>
      </c>
      <c r="D153" s="566"/>
      <c r="E153" s="566"/>
      <c r="F153" s="566"/>
      <c r="G153" s="182"/>
      <c r="H153" s="669"/>
      <c r="I153" s="199" t="e">
        <f t="shared" si="94"/>
        <v>#DIV/0!</v>
      </c>
      <c r="J153" s="199" t="e">
        <f t="shared" si="95"/>
        <v>#DIV/0!</v>
      </c>
      <c r="K153" s="200" t="e">
        <f t="shared" si="96"/>
        <v>#DIV/0!</v>
      </c>
      <c r="L153" s="641"/>
      <c r="M153" s="199" t="e">
        <f>RANK(K153, K$147:$K$176)</f>
        <v>#DIV/0!</v>
      </c>
      <c r="N153" s="659"/>
      <c r="O153" s="659"/>
      <c r="P153" s="182"/>
      <c r="Q153" s="182"/>
      <c r="R153" s="182"/>
      <c r="S153" s="301" t="e">
        <f t="shared" si="97"/>
        <v>#N/A</v>
      </c>
      <c r="T153" s="669"/>
      <c r="U153" s="182"/>
      <c r="V153" s="182"/>
      <c r="W153" s="182"/>
      <c r="X153" s="475" t="e">
        <f t="shared" si="82"/>
        <v>#N/A</v>
      </c>
      <c r="Y153" s="669"/>
      <c r="Z153" s="182"/>
      <c r="AA153" s="182"/>
      <c r="AB153" s="182"/>
      <c r="AC153" s="475" t="e">
        <f t="shared" si="84"/>
        <v>#N/A</v>
      </c>
      <c r="AD153" s="669"/>
      <c r="AE153" s="182"/>
      <c r="AF153" s="182"/>
      <c r="AG153" s="182"/>
      <c r="AH153" s="475" t="e">
        <f t="shared" si="86"/>
        <v>#N/A</v>
      </c>
      <c r="AI153" s="669"/>
      <c r="AJ153" s="182"/>
      <c r="AK153" s="182"/>
      <c r="AL153" s="182"/>
      <c r="AM153" s="475" t="e">
        <f t="shared" si="88"/>
        <v>#N/A</v>
      </c>
      <c r="AN153" s="669"/>
      <c r="AO153" s="182"/>
      <c r="AP153" s="182"/>
      <c r="AQ153" s="182"/>
      <c r="AR153" s="475" t="e">
        <f t="shared" si="90"/>
        <v>#N/A</v>
      </c>
      <c r="AS153" s="669"/>
      <c r="AT153" s="182"/>
      <c r="AU153" s="182"/>
      <c r="AV153" s="182"/>
      <c r="AW153" s="475" t="e">
        <f t="shared" si="92"/>
        <v>#N/A</v>
      </c>
      <c r="AX153" s="669"/>
    </row>
    <row r="154" spans="2:50">
      <c r="B154" s="667"/>
      <c r="C154" s="301">
        <v>8</v>
      </c>
      <c r="D154" s="566"/>
      <c r="E154" s="566"/>
      <c r="F154" s="566"/>
      <c r="G154" s="182"/>
      <c r="H154" s="669"/>
      <c r="I154" s="199" t="e">
        <f t="shared" si="94"/>
        <v>#DIV/0!</v>
      </c>
      <c r="J154" s="199" t="e">
        <f t="shared" si="95"/>
        <v>#DIV/0!</v>
      </c>
      <c r="K154" s="200" t="e">
        <f t="shared" si="96"/>
        <v>#DIV/0!</v>
      </c>
      <c r="L154" s="641"/>
      <c r="M154" s="199" t="e">
        <f>RANK(K154, K$147:$K$176)</f>
        <v>#DIV/0!</v>
      </c>
      <c r="N154" s="659"/>
      <c r="O154" s="659"/>
      <c r="P154" s="182"/>
      <c r="Q154" s="182"/>
      <c r="R154" s="182"/>
      <c r="S154" s="301" t="e">
        <f t="shared" si="97"/>
        <v>#N/A</v>
      </c>
      <c r="T154" s="669"/>
      <c r="U154" s="182"/>
      <c r="V154" s="182"/>
      <c r="W154" s="182"/>
      <c r="X154" s="475" t="e">
        <f t="shared" si="82"/>
        <v>#N/A</v>
      </c>
      <c r="Y154" s="669"/>
      <c r="Z154" s="182"/>
      <c r="AA154" s="182"/>
      <c r="AB154" s="182"/>
      <c r="AC154" s="475" t="e">
        <f t="shared" si="84"/>
        <v>#N/A</v>
      </c>
      <c r="AD154" s="669"/>
      <c r="AE154" s="182"/>
      <c r="AF154" s="182"/>
      <c r="AG154" s="182"/>
      <c r="AH154" s="475" t="e">
        <f t="shared" si="86"/>
        <v>#N/A</v>
      </c>
      <c r="AI154" s="669"/>
      <c r="AJ154" s="182"/>
      <c r="AK154" s="182"/>
      <c r="AL154" s="182"/>
      <c r="AM154" s="475" t="e">
        <f t="shared" si="88"/>
        <v>#N/A</v>
      </c>
      <c r="AN154" s="669"/>
      <c r="AO154" s="182"/>
      <c r="AP154" s="182"/>
      <c r="AQ154" s="182"/>
      <c r="AR154" s="475" t="e">
        <f t="shared" si="90"/>
        <v>#N/A</v>
      </c>
      <c r="AS154" s="669"/>
      <c r="AT154" s="182"/>
      <c r="AU154" s="182"/>
      <c r="AV154" s="182"/>
      <c r="AW154" s="475" t="e">
        <f t="shared" si="92"/>
        <v>#N/A</v>
      </c>
      <c r="AX154" s="669"/>
    </row>
    <row r="155" spans="2:50">
      <c r="B155" s="667"/>
      <c r="C155" s="301">
        <v>9</v>
      </c>
      <c r="D155" s="566"/>
      <c r="E155" s="566"/>
      <c r="F155" s="566"/>
      <c r="G155" s="182"/>
      <c r="H155" s="669"/>
      <c r="I155" s="199" t="e">
        <f t="shared" si="94"/>
        <v>#DIV/0!</v>
      </c>
      <c r="J155" s="199" t="e">
        <f t="shared" si="95"/>
        <v>#DIV/0!</v>
      </c>
      <c r="K155" s="200" t="e">
        <f t="shared" si="96"/>
        <v>#DIV/0!</v>
      </c>
      <c r="L155" s="641"/>
      <c r="M155" s="199" t="e">
        <f>RANK(K155, K$147:$K$176)</f>
        <v>#DIV/0!</v>
      </c>
      <c r="N155" s="659"/>
      <c r="O155" s="659"/>
      <c r="P155" s="182"/>
      <c r="Q155" s="182"/>
      <c r="R155" s="182"/>
      <c r="S155" s="301" t="e">
        <f t="shared" si="97"/>
        <v>#N/A</v>
      </c>
      <c r="T155" s="669"/>
      <c r="U155" s="182"/>
      <c r="V155" s="182"/>
      <c r="W155" s="182"/>
      <c r="X155" s="475" t="e">
        <f t="shared" si="82"/>
        <v>#N/A</v>
      </c>
      <c r="Y155" s="669"/>
      <c r="Z155" s="182"/>
      <c r="AA155" s="182"/>
      <c r="AB155" s="182"/>
      <c r="AC155" s="475" t="e">
        <f t="shared" si="84"/>
        <v>#N/A</v>
      </c>
      <c r="AD155" s="669"/>
      <c r="AE155" s="182"/>
      <c r="AF155" s="182"/>
      <c r="AG155" s="182"/>
      <c r="AH155" s="475" t="e">
        <f t="shared" si="86"/>
        <v>#N/A</v>
      </c>
      <c r="AI155" s="669"/>
      <c r="AJ155" s="182"/>
      <c r="AK155" s="182"/>
      <c r="AL155" s="182"/>
      <c r="AM155" s="475" t="e">
        <f t="shared" si="88"/>
        <v>#N/A</v>
      </c>
      <c r="AN155" s="669"/>
      <c r="AO155" s="182"/>
      <c r="AP155" s="182"/>
      <c r="AQ155" s="182"/>
      <c r="AR155" s="475" t="e">
        <f t="shared" si="90"/>
        <v>#N/A</v>
      </c>
      <c r="AS155" s="669"/>
      <c r="AT155" s="182"/>
      <c r="AU155" s="182"/>
      <c r="AV155" s="182"/>
      <c r="AW155" s="475" t="e">
        <f t="shared" si="92"/>
        <v>#N/A</v>
      </c>
      <c r="AX155" s="669"/>
    </row>
    <row r="156" spans="2:50">
      <c r="B156" s="667"/>
      <c r="C156" s="301">
        <v>10</v>
      </c>
      <c r="D156" s="566"/>
      <c r="E156" s="566"/>
      <c r="F156" s="566"/>
      <c r="G156" s="182"/>
      <c r="H156" s="669"/>
      <c r="I156" s="199" t="e">
        <f t="shared" si="94"/>
        <v>#DIV/0!</v>
      </c>
      <c r="J156" s="199" t="e">
        <f t="shared" si="95"/>
        <v>#DIV/0!</v>
      </c>
      <c r="K156" s="200" t="e">
        <f t="shared" si="96"/>
        <v>#DIV/0!</v>
      </c>
      <c r="L156" s="641"/>
      <c r="M156" s="199" t="e">
        <f>RANK(K156, K$147:$K$176)</f>
        <v>#DIV/0!</v>
      </c>
      <c r="N156" s="659"/>
      <c r="O156" s="659"/>
      <c r="P156" s="182"/>
      <c r="Q156" s="182"/>
      <c r="R156" s="182"/>
      <c r="S156" s="301" t="e">
        <f t="shared" si="97"/>
        <v>#N/A</v>
      </c>
      <c r="T156" s="669"/>
      <c r="U156" s="182"/>
      <c r="V156" s="182"/>
      <c r="W156" s="182"/>
      <c r="X156" s="475" t="e">
        <f t="shared" si="82"/>
        <v>#N/A</v>
      </c>
      <c r="Y156" s="669"/>
      <c r="Z156" s="182"/>
      <c r="AA156" s="182"/>
      <c r="AB156" s="182"/>
      <c r="AC156" s="475" t="e">
        <f t="shared" si="84"/>
        <v>#N/A</v>
      </c>
      <c r="AD156" s="669"/>
      <c r="AE156" s="182"/>
      <c r="AF156" s="182"/>
      <c r="AG156" s="182"/>
      <c r="AH156" s="475" t="e">
        <f t="shared" si="86"/>
        <v>#N/A</v>
      </c>
      <c r="AI156" s="669"/>
      <c r="AJ156" s="182"/>
      <c r="AK156" s="182"/>
      <c r="AL156" s="182"/>
      <c r="AM156" s="475" t="e">
        <f t="shared" si="88"/>
        <v>#N/A</v>
      </c>
      <c r="AN156" s="669"/>
      <c r="AO156" s="182"/>
      <c r="AP156" s="182"/>
      <c r="AQ156" s="182"/>
      <c r="AR156" s="475" t="e">
        <f t="shared" si="90"/>
        <v>#N/A</v>
      </c>
      <c r="AS156" s="669"/>
      <c r="AT156" s="182"/>
      <c r="AU156" s="182"/>
      <c r="AV156" s="182"/>
      <c r="AW156" s="475" t="e">
        <f t="shared" si="92"/>
        <v>#N/A</v>
      </c>
      <c r="AX156" s="669"/>
    </row>
    <row r="157" spans="2:50">
      <c r="B157" s="667"/>
      <c r="C157" s="301">
        <v>11</v>
      </c>
      <c r="D157" s="566"/>
      <c r="E157" s="566"/>
      <c r="F157" s="566"/>
      <c r="G157" s="182"/>
      <c r="H157" s="669"/>
      <c r="I157" s="199" t="e">
        <f t="shared" ref="I157:I166" si="98">AVERAGE(P157,U157,Z157,AE157,AJ157,AO157,AT157)</f>
        <v>#DIV/0!</v>
      </c>
      <c r="J157" s="199" t="e">
        <f t="shared" ref="J157:J166" si="99">AVERAGE(Q157,V157,AA157,AF157,AK157,AP157,AU157)</f>
        <v>#DIV/0!</v>
      </c>
      <c r="K157" s="200" t="e">
        <f t="shared" ref="K157:K166" si="100">AVERAGE(R157,W157,AB157,AG157,AL157,AQ157,AV157)</f>
        <v>#DIV/0!</v>
      </c>
      <c r="L157" s="641"/>
      <c r="M157" s="199" t="e">
        <f>RANK(K157, K$147:$K$176)</f>
        <v>#DIV/0!</v>
      </c>
      <c r="N157" s="659"/>
      <c r="O157" s="659"/>
      <c r="P157" s="182"/>
      <c r="Q157" s="182"/>
      <c r="R157" s="182"/>
      <c r="S157" s="301" t="e">
        <f t="shared" si="97"/>
        <v>#N/A</v>
      </c>
      <c r="T157" s="669"/>
      <c r="U157" s="182"/>
      <c r="V157" s="182"/>
      <c r="W157" s="182"/>
      <c r="X157" s="475" t="e">
        <f t="shared" si="82"/>
        <v>#N/A</v>
      </c>
      <c r="Y157" s="669"/>
      <c r="Z157" s="182"/>
      <c r="AA157" s="182"/>
      <c r="AB157" s="182"/>
      <c r="AC157" s="475" t="e">
        <f t="shared" si="84"/>
        <v>#N/A</v>
      </c>
      <c r="AD157" s="669"/>
      <c r="AE157" s="182"/>
      <c r="AF157" s="182"/>
      <c r="AG157" s="182"/>
      <c r="AH157" s="475" t="e">
        <f t="shared" si="86"/>
        <v>#N/A</v>
      </c>
      <c r="AI157" s="669"/>
      <c r="AJ157" s="182"/>
      <c r="AK157" s="182"/>
      <c r="AL157" s="182"/>
      <c r="AM157" s="475" t="e">
        <f t="shared" si="88"/>
        <v>#N/A</v>
      </c>
      <c r="AN157" s="669"/>
      <c r="AO157" s="182"/>
      <c r="AP157" s="182"/>
      <c r="AQ157" s="182"/>
      <c r="AR157" s="475" t="e">
        <f t="shared" si="90"/>
        <v>#N/A</v>
      </c>
      <c r="AS157" s="669"/>
      <c r="AT157" s="182"/>
      <c r="AU157" s="182"/>
      <c r="AV157" s="182"/>
      <c r="AW157" s="475" t="e">
        <f t="shared" si="92"/>
        <v>#N/A</v>
      </c>
      <c r="AX157" s="669"/>
    </row>
    <row r="158" spans="2:50">
      <c r="B158" s="667"/>
      <c r="C158" s="301">
        <v>12</v>
      </c>
      <c r="D158" s="566"/>
      <c r="E158" s="566"/>
      <c r="F158" s="566"/>
      <c r="G158" s="182"/>
      <c r="H158" s="669"/>
      <c r="I158" s="199" t="e">
        <f t="shared" si="98"/>
        <v>#DIV/0!</v>
      </c>
      <c r="J158" s="199" t="e">
        <f t="shared" si="99"/>
        <v>#DIV/0!</v>
      </c>
      <c r="K158" s="200" t="e">
        <f t="shared" si="100"/>
        <v>#DIV/0!</v>
      </c>
      <c r="L158" s="641"/>
      <c r="M158" s="199" t="e">
        <f>RANK(K158, K$147:$K$176)</f>
        <v>#DIV/0!</v>
      </c>
      <c r="N158" s="659"/>
      <c r="O158" s="659"/>
      <c r="P158" s="182"/>
      <c r="Q158" s="182"/>
      <c r="R158" s="182"/>
      <c r="S158" s="301" t="e">
        <f t="shared" si="97"/>
        <v>#N/A</v>
      </c>
      <c r="T158" s="669"/>
      <c r="U158" s="182"/>
      <c r="V158" s="182"/>
      <c r="W158" s="182"/>
      <c r="X158" s="475" t="e">
        <f t="shared" si="82"/>
        <v>#N/A</v>
      </c>
      <c r="Y158" s="669"/>
      <c r="Z158" s="182"/>
      <c r="AA158" s="182"/>
      <c r="AB158" s="182"/>
      <c r="AC158" s="475" t="e">
        <f t="shared" si="84"/>
        <v>#N/A</v>
      </c>
      <c r="AD158" s="669"/>
      <c r="AE158" s="182"/>
      <c r="AF158" s="182"/>
      <c r="AG158" s="182"/>
      <c r="AH158" s="475" t="e">
        <f t="shared" si="86"/>
        <v>#N/A</v>
      </c>
      <c r="AI158" s="669"/>
      <c r="AJ158" s="182"/>
      <c r="AK158" s="182"/>
      <c r="AL158" s="182"/>
      <c r="AM158" s="475" t="e">
        <f t="shared" si="88"/>
        <v>#N/A</v>
      </c>
      <c r="AN158" s="669"/>
      <c r="AO158" s="182"/>
      <c r="AP158" s="182"/>
      <c r="AQ158" s="182"/>
      <c r="AR158" s="475" t="e">
        <f t="shared" si="90"/>
        <v>#N/A</v>
      </c>
      <c r="AS158" s="669"/>
      <c r="AT158" s="182"/>
      <c r="AU158" s="182"/>
      <c r="AV158" s="182"/>
      <c r="AW158" s="475" t="e">
        <f t="shared" si="92"/>
        <v>#N/A</v>
      </c>
      <c r="AX158" s="669"/>
    </row>
    <row r="159" spans="2:50">
      <c r="B159" s="667"/>
      <c r="C159" s="301">
        <v>13</v>
      </c>
      <c r="D159" s="566"/>
      <c r="E159" s="566"/>
      <c r="F159" s="566"/>
      <c r="G159" s="182"/>
      <c r="H159" s="669"/>
      <c r="I159" s="199" t="e">
        <f t="shared" si="98"/>
        <v>#DIV/0!</v>
      </c>
      <c r="J159" s="199" t="e">
        <f t="shared" si="99"/>
        <v>#DIV/0!</v>
      </c>
      <c r="K159" s="200" t="e">
        <f t="shared" si="100"/>
        <v>#DIV/0!</v>
      </c>
      <c r="L159" s="641"/>
      <c r="M159" s="199" t="e">
        <f>RANK(K159, K$147:$K$176)</f>
        <v>#DIV/0!</v>
      </c>
      <c r="N159" s="659"/>
      <c r="O159" s="659"/>
      <c r="P159" s="182"/>
      <c r="Q159" s="182"/>
      <c r="R159" s="182"/>
      <c r="S159" s="301" t="e">
        <f t="shared" si="97"/>
        <v>#N/A</v>
      </c>
      <c r="T159" s="669"/>
      <c r="U159" s="182"/>
      <c r="V159" s="182"/>
      <c r="W159" s="182"/>
      <c r="X159" s="475" t="e">
        <f t="shared" si="82"/>
        <v>#N/A</v>
      </c>
      <c r="Y159" s="669"/>
      <c r="Z159" s="182"/>
      <c r="AA159" s="182"/>
      <c r="AB159" s="182"/>
      <c r="AC159" s="475" t="e">
        <f t="shared" si="84"/>
        <v>#N/A</v>
      </c>
      <c r="AD159" s="669"/>
      <c r="AE159" s="182"/>
      <c r="AF159" s="182"/>
      <c r="AG159" s="182"/>
      <c r="AH159" s="475" t="e">
        <f t="shared" si="86"/>
        <v>#N/A</v>
      </c>
      <c r="AI159" s="669"/>
      <c r="AJ159" s="182"/>
      <c r="AK159" s="182"/>
      <c r="AL159" s="182"/>
      <c r="AM159" s="475" t="e">
        <f t="shared" si="88"/>
        <v>#N/A</v>
      </c>
      <c r="AN159" s="669"/>
      <c r="AO159" s="182"/>
      <c r="AP159" s="182"/>
      <c r="AQ159" s="182"/>
      <c r="AR159" s="475" t="e">
        <f t="shared" si="90"/>
        <v>#N/A</v>
      </c>
      <c r="AS159" s="669"/>
      <c r="AT159" s="182"/>
      <c r="AU159" s="182"/>
      <c r="AV159" s="182"/>
      <c r="AW159" s="475" t="e">
        <f t="shared" si="92"/>
        <v>#N/A</v>
      </c>
      <c r="AX159" s="669"/>
    </row>
    <row r="160" spans="2:50">
      <c r="B160" s="667"/>
      <c r="C160" s="301">
        <v>14</v>
      </c>
      <c r="D160" s="566"/>
      <c r="E160" s="566"/>
      <c r="F160" s="566"/>
      <c r="G160" s="182"/>
      <c r="H160" s="669"/>
      <c r="I160" s="199" t="e">
        <f t="shared" si="98"/>
        <v>#DIV/0!</v>
      </c>
      <c r="J160" s="199" t="e">
        <f t="shared" si="99"/>
        <v>#DIV/0!</v>
      </c>
      <c r="K160" s="200" t="e">
        <f t="shared" si="100"/>
        <v>#DIV/0!</v>
      </c>
      <c r="L160" s="641"/>
      <c r="M160" s="199" t="e">
        <f>RANK(K160, K$147:$K$176)</f>
        <v>#DIV/0!</v>
      </c>
      <c r="N160" s="659"/>
      <c r="O160" s="659"/>
      <c r="P160" s="182"/>
      <c r="Q160" s="182"/>
      <c r="R160" s="182"/>
      <c r="S160" s="301" t="e">
        <f t="shared" si="97"/>
        <v>#N/A</v>
      </c>
      <c r="T160" s="669"/>
      <c r="U160" s="182"/>
      <c r="V160" s="182"/>
      <c r="W160" s="182"/>
      <c r="X160" s="475" t="e">
        <f t="shared" si="82"/>
        <v>#N/A</v>
      </c>
      <c r="Y160" s="669"/>
      <c r="Z160" s="182"/>
      <c r="AA160" s="182"/>
      <c r="AB160" s="182"/>
      <c r="AC160" s="475" t="e">
        <f t="shared" si="84"/>
        <v>#N/A</v>
      </c>
      <c r="AD160" s="669"/>
      <c r="AE160" s="182"/>
      <c r="AF160" s="182"/>
      <c r="AG160" s="182"/>
      <c r="AH160" s="475" t="e">
        <f t="shared" si="86"/>
        <v>#N/A</v>
      </c>
      <c r="AI160" s="669"/>
      <c r="AJ160" s="182"/>
      <c r="AK160" s="182"/>
      <c r="AL160" s="182"/>
      <c r="AM160" s="475" t="e">
        <f t="shared" si="88"/>
        <v>#N/A</v>
      </c>
      <c r="AN160" s="669"/>
      <c r="AO160" s="182"/>
      <c r="AP160" s="182"/>
      <c r="AQ160" s="182"/>
      <c r="AR160" s="475" t="e">
        <f t="shared" si="90"/>
        <v>#N/A</v>
      </c>
      <c r="AS160" s="669"/>
      <c r="AT160" s="182"/>
      <c r="AU160" s="182"/>
      <c r="AV160" s="182"/>
      <c r="AW160" s="475" t="e">
        <f t="shared" si="92"/>
        <v>#N/A</v>
      </c>
      <c r="AX160" s="669"/>
    </row>
    <row r="161" spans="2:50">
      <c r="B161" s="667"/>
      <c r="C161" s="301">
        <v>15</v>
      </c>
      <c r="D161" s="566"/>
      <c r="E161" s="566"/>
      <c r="F161" s="566"/>
      <c r="G161" s="182"/>
      <c r="H161" s="669"/>
      <c r="I161" s="199" t="e">
        <f t="shared" si="98"/>
        <v>#DIV/0!</v>
      </c>
      <c r="J161" s="199" t="e">
        <f t="shared" si="99"/>
        <v>#DIV/0!</v>
      </c>
      <c r="K161" s="200" t="e">
        <f t="shared" si="100"/>
        <v>#DIV/0!</v>
      </c>
      <c r="L161" s="641"/>
      <c r="M161" s="199" t="e">
        <f>RANK(K161, K$147:$K$176)</f>
        <v>#DIV/0!</v>
      </c>
      <c r="N161" s="659"/>
      <c r="O161" s="659"/>
      <c r="P161" s="182"/>
      <c r="Q161" s="182"/>
      <c r="R161" s="182"/>
      <c r="S161" s="301" t="e">
        <f t="shared" ref="S161:S175" si="101">RANK(R161, R$147:R$176)</f>
        <v>#N/A</v>
      </c>
      <c r="T161" s="669"/>
      <c r="U161" s="182"/>
      <c r="V161" s="182"/>
      <c r="W161" s="182"/>
      <c r="X161" s="475" t="e">
        <f t="shared" si="82"/>
        <v>#N/A</v>
      </c>
      <c r="Y161" s="669"/>
      <c r="Z161" s="182"/>
      <c r="AA161" s="182"/>
      <c r="AB161" s="182"/>
      <c r="AC161" s="475" t="e">
        <f t="shared" si="84"/>
        <v>#N/A</v>
      </c>
      <c r="AD161" s="669"/>
      <c r="AE161" s="182"/>
      <c r="AF161" s="182"/>
      <c r="AG161" s="182"/>
      <c r="AH161" s="475" t="e">
        <f t="shared" si="86"/>
        <v>#N/A</v>
      </c>
      <c r="AI161" s="669"/>
      <c r="AJ161" s="182"/>
      <c r="AK161" s="182"/>
      <c r="AL161" s="182"/>
      <c r="AM161" s="475" t="e">
        <f t="shared" si="88"/>
        <v>#N/A</v>
      </c>
      <c r="AN161" s="669"/>
      <c r="AO161" s="182"/>
      <c r="AP161" s="182"/>
      <c r="AQ161" s="182"/>
      <c r="AR161" s="475" t="e">
        <f t="shared" si="90"/>
        <v>#N/A</v>
      </c>
      <c r="AS161" s="669"/>
      <c r="AT161" s="182"/>
      <c r="AU161" s="182"/>
      <c r="AV161" s="182"/>
      <c r="AW161" s="475" t="e">
        <f t="shared" si="92"/>
        <v>#N/A</v>
      </c>
      <c r="AX161" s="669"/>
    </row>
    <row r="162" spans="2:50">
      <c r="B162" s="667"/>
      <c r="C162" s="301">
        <v>16</v>
      </c>
      <c r="D162" s="566"/>
      <c r="E162" s="566"/>
      <c r="F162" s="566"/>
      <c r="G162" s="182"/>
      <c r="H162" s="669"/>
      <c r="I162" s="199" t="e">
        <f t="shared" si="98"/>
        <v>#DIV/0!</v>
      </c>
      <c r="J162" s="199" t="e">
        <f t="shared" si="99"/>
        <v>#DIV/0!</v>
      </c>
      <c r="K162" s="200" t="e">
        <f t="shared" si="100"/>
        <v>#DIV/0!</v>
      </c>
      <c r="L162" s="641"/>
      <c r="M162" s="199" t="e">
        <f>RANK(K162, K$147:$K$176)</f>
        <v>#DIV/0!</v>
      </c>
      <c r="N162" s="659"/>
      <c r="O162" s="659"/>
      <c r="P162" s="182"/>
      <c r="Q162" s="182"/>
      <c r="R162" s="182"/>
      <c r="S162" s="301" t="e">
        <f t="shared" si="101"/>
        <v>#N/A</v>
      </c>
      <c r="T162" s="669"/>
      <c r="U162" s="182"/>
      <c r="V162" s="182"/>
      <c r="W162" s="182"/>
      <c r="X162" s="475" t="e">
        <f t="shared" si="82"/>
        <v>#N/A</v>
      </c>
      <c r="Y162" s="669"/>
      <c r="Z162" s="182"/>
      <c r="AA162" s="182"/>
      <c r="AB162" s="182"/>
      <c r="AC162" s="475" t="e">
        <f t="shared" si="84"/>
        <v>#N/A</v>
      </c>
      <c r="AD162" s="669"/>
      <c r="AE162" s="182"/>
      <c r="AF162" s="182"/>
      <c r="AG162" s="182"/>
      <c r="AH162" s="475" t="e">
        <f t="shared" si="86"/>
        <v>#N/A</v>
      </c>
      <c r="AI162" s="669"/>
      <c r="AJ162" s="182"/>
      <c r="AK162" s="182"/>
      <c r="AL162" s="182"/>
      <c r="AM162" s="475" t="e">
        <f t="shared" si="88"/>
        <v>#N/A</v>
      </c>
      <c r="AN162" s="669"/>
      <c r="AO162" s="182"/>
      <c r="AP162" s="182"/>
      <c r="AQ162" s="182"/>
      <c r="AR162" s="475" t="e">
        <f t="shared" si="90"/>
        <v>#N/A</v>
      </c>
      <c r="AS162" s="669"/>
      <c r="AT162" s="182"/>
      <c r="AU162" s="182"/>
      <c r="AV162" s="182"/>
      <c r="AW162" s="475" t="e">
        <f t="shared" si="92"/>
        <v>#N/A</v>
      </c>
      <c r="AX162" s="669"/>
    </row>
    <row r="163" spans="2:50">
      <c r="B163" s="667"/>
      <c r="C163" s="301">
        <v>17</v>
      </c>
      <c r="D163" s="566"/>
      <c r="E163" s="566"/>
      <c r="F163" s="566"/>
      <c r="G163" s="182"/>
      <c r="H163" s="669"/>
      <c r="I163" s="199" t="e">
        <f t="shared" si="98"/>
        <v>#DIV/0!</v>
      </c>
      <c r="J163" s="199" t="e">
        <f t="shared" si="99"/>
        <v>#DIV/0!</v>
      </c>
      <c r="K163" s="200" t="e">
        <f t="shared" si="100"/>
        <v>#DIV/0!</v>
      </c>
      <c r="L163" s="641"/>
      <c r="M163" s="199" t="e">
        <f>RANK(K163, K$147:$K$176)</f>
        <v>#DIV/0!</v>
      </c>
      <c r="N163" s="659"/>
      <c r="O163" s="659"/>
      <c r="P163" s="182"/>
      <c r="Q163" s="182"/>
      <c r="R163" s="182"/>
      <c r="S163" s="301" t="e">
        <f t="shared" si="101"/>
        <v>#N/A</v>
      </c>
      <c r="T163" s="669"/>
      <c r="U163" s="182"/>
      <c r="V163" s="182"/>
      <c r="W163" s="182"/>
      <c r="X163" s="475" t="e">
        <f t="shared" ref="X163:X176" si="102">RANK(W163, W$147:W$176)</f>
        <v>#N/A</v>
      </c>
      <c r="Y163" s="669"/>
      <c r="Z163" s="182"/>
      <c r="AA163" s="182"/>
      <c r="AB163" s="182"/>
      <c r="AC163" s="475" t="e">
        <f t="shared" ref="AC163:AC176" si="103">RANK(AB163, AB$147:AB$176)</f>
        <v>#N/A</v>
      </c>
      <c r="AD163" s="669"/>
      <c r="AE163" s="182"/>
      <c r="AF163" s="182"/>
      <c r="AG163" s="182"/>
      <c r="AH163" s="475" t="e">
        <f t="shared" ref="AH163:AH176" si="104">RANK(AG163, AG$147:AG$176)</f>
        <v>#N/A</v>
      </c>
      <c r="AI163" s="669"/>
      <c r="AJ163" s="182"/>
      <c r="AK163" s="182"/>
      <c r="AL163" s="182"/>
      <c r="AM163" s="475" t="e">
        <f t="shared" ref="AM163:AM176" si="105">RANK(AL163, AL$147:AL$176)</f>
        <v>#N/A</v>
      </c>
      <c r="AN163" s="669"/>
      <c r="AO163" s="182"/>
      <c r="AP163" s="182"/>
      <c r="AQ163" s="182"/>
      <c r="AR163" s="475" t="e">
        <f t="shared" ref="AR163:AR176" si="106">RANK(AQ163, AQ$147:AQ$176)</f>
        <v>#N/A</v>
      </c>
      <c r="AS163" s="669"/>
      <c r="AT163" s="182"/>
      <c r="AU163" s="182"/>
      <c r="AV163" s="182"/>
      <c r="AW163" s="475" t="e">
        <f t="shared" ref="AW163:AW176" si="107">RANK(AV163, AV$147:AV$176)</f>
        <v>#N/A</v>
      </c>
      <c r="AX163" s="669"/>
    </row>
    <row r="164" spans="2:50">
      <c r="B164" s="667"/>
      <c r="C164" s="301">
        <v>18</v>
      </c>
      <c r="D164" s="566"/>
      <c r="E164" s="566"/>
      <c r="F164" s="566"/>
      <c r="G164" s="182"/>
      <c r="H164" s="669"/>
      <c r="I164" s="199" t="e">
        <f t="shared" si="98"/>
        <v>#DIV/0!</v>
      </c>
      <c r="J164" s="199" t="e">
        <f t="shared" si="99"/>
        <v>#DIV/0!</v>
      </c>
      <c r="K164" s="200" t="e">
        <f t="shared" si="100"/>
        <v>#DIV/0!</v>
      </c>
      <c r="L164" s="641"/>
      <c r="M164" s="199" t="e">
        <f>RANK(K164, K$147:$K$176)</f>
        <v>#DIV/0!</v>
      </c>
      <c r="N164" s="659"/>
      <c r="O164" s="659"/>
      <c r="P164" s="182"/>
      <c r="Q164" s="182"/>
      <c r="R164" s="182"/>
      <c r="S164" s="301" t="e">
        <f t="shared" si="101"/>
        <v>#N/A</v>
      </c>
      <c r="T164" s="669"/>
      <c r="U164" s="182"/>
      <c r="V164" s="182"/>
      <c r="W164" s="182"/>
      <c r="X164" s="475" t="e">
        <f t="shared" si="102"/>
        <v>#N/A</v>
      </c>
      <c r="Y164" s="669"/>
      <c r="Z164" s="182"/>
      <c r="AA164" s="182"/>
      <c r="AB164" s="182"/>
      <c r="AC164" s="475" t="e">
        <f t="shared" si="103"/>
        <v>#N/A</v>
      </c>
      <c r="AD164" s="669"/>
      <c r="AE164" s="182"/>
      <c r="AF164" s="182"/>
      <c r="AG164" s="182"/>
      <c r="AH164" s="475" t="e">
        <f t="shared" si="104"/>
        <v>#N/A</v>
      </c>
      <c r="AI164" s="669"/>
      <c r="AJ164" s="182"/>
      <c r="AK164" s="182"/>
      <c r="AL164" s="182"/>
      <c r="AM164" s="475" t="e">
        <f t="shared" si="105"/>
        <v>#N/A</v>
      </c>
      <c r="AN164" s="669"/>
      <c r="AO164" s="182"/>
      <c r="AP164" s="182"/>
      <c r="AQ164" s="182"/>
      <c r="AR164" s="475" t="e">
        <f t="shared" si="106"/>
        <v>#N/A</v>
      </c>
      <c r="AS164" s="669"/>
      <c r="AT164" s="182"/>
      <c r="AU164" s="182"/>
      <c r="AV164" s="182"/>
      <c r="AW164" s="475" t="e">
        <f t="shared" si="107"/>
        <v>#N/A</v>
      </c>
      <c r="AX164" s="669"/>
    </row>
    <row r="165" spans="2:50">
      <c r="B165" s="667"/>
      <c r="C165" s="301">
        <v>19</v>
      </c>
      <c r="D165" s="566"/>
      <c r="E165" s="566"/>
      <c r="F165" s="566"/>
      <c r="G165" s="182"/>
      <c r="H165" s="669"/>
      <c r="I165" s="199" t="e">
        <f t="shared" si="98"/>
        <v>#DIV/0!</v>
      </c>
      <c r="J165" s="199" t="e">
        <f t="shared" si="99"/>
        <v>#DIV/0!</v>
      </c>
      <c r="K165" s="200" t="e">
        <f t="shared" si="100"/>
        <v>#DIV/0!</v>
      </c>
      <c r="L165" s="641"/>
      <c r="M165" s="199" t="e">
        <f>RANK(K165, K$147:$K$176)</f>
        <v>#DIV/0!</v>
      </c>
      <c r="N165" s="659"/>
      <c r="O165" s="659"/>
      <c r="P165" s="182"/>
      <c r="Q165" s="182"/>
      <c r="R165" s="182"/>
      <c r="S165" s="301" t="e">
        <f t="shared" si="101"/>
        <v>#N/A</v>
      </c>
      <c r="T165" s="669"/>
      <c r="U165" s="182"/>
      <c r="V165" s="182"/>
      <c r="W165" s="182"/>
      <c r="X165" s="475" t="e">
        <f t="shared" si="102"/>
        <v>#N/A</v>
      </c>
      <c r="Y165" s="669"/>
      <c r="Z165" s="182"/>
      <c r="AA165" s="182"/>
      <c r="AB165" s="182"/>
      <c r="AC165" s="475" t="e">
        <f t="shared" si="103"/>
        <v>#N/A</v>
      </c>
      <c r="AD165" s="669"/>
      <c r="AE165" s="182"/>
      <c r="AF165" s="182"/>
      <c r="AG165" s="182"/>
      <c r="AH165" s="475" t="e">
        <f t="shared" si="104"/>
        <v>#N/A</v>
      </c>
      <c r="AI165" s="669"/>
      <c r="AJ165" s="182"/>
      <c r="AK165" s="182"/>
      <c r="AL165" s="182"/>
      <c r="AM165" s="475" t="e">
        <f t="shared" si="105"/>
        <v>#N/A</v>
      </c>
      <c r="AN165" s="669"/>
      <c r="AO165" s="182"/>
      <c r="AP165" s="182"/>
      <c r="AQ165" s="182"/>
      <c r="AR165" s="475" t="e">
        <f t="shared" si="106"/>
        <v>#N/A</v>
      </c>
      <c r="AS165" s="669"/>
      <c r="AT165" s="182"/>
      <c r="AU165" s="182"/>
      <c r="AV165" s="182"/>
      <c r="AW165" s="475" t="e">
        <f t="shared" si="107"/>
        <v>#N/A</v>
      </c>
      <c r="AX165" s="669"/>
    </row>
    <row r="166" spans="2:50">
      <c r="B166" s="667"/>
      <c r="C166" s="301">
        <v>20</v>
      </c>
      <c r="D166" s="566"/>
      <c r="E166" s="566"/>
      <c r="F166" s="566"/>
      <c r="G166" s="182"/>
      <c r="H166" s="669"/>
      <c r="I166" s="199" t="e">
        <f t="shared" si="98"/>
        <v>#DIV/0!</v>
      </c>
      <c r="J166" s="199" t="e">
        <f t="shared" si="99"/>
        <v>#DIV/0!</v>
      </c>
      <c r="K166" s="200" t="e">
        <f t="shared" si="100"/>
        <v>#DIV/0!</v>
      </c>
      <c r="L166" s="641"/>
      <c r="M166" s="199" t="e">
        <f>RANK(K166, K$147:$K$176)</f>
        <v>#DIV/0!</v>
      </c>
      <c r="N166" s="659"/>
      <c r="O166" s="659"/>
      <c r="P166" s="182"/>
      <c r="Q166" s="182"/>
      <c r="R166" s="182"/>
      <c r="S166" s="301" t="e">
        <f t="shared" si="101"/>
        <v>#N/A</v>
      </c>
      <c r="T166" s="669"/>
      <c r="U166" s="182"/>
      <c r="V166" s="182"/>
      <c r="W166" s="182"/>
      <c r="X166" s="475" t="e">
        <f t="shared" si="102"/>
        <v>#N/A</v>
      </c>
      <c r="Y166" s="669"/>
      <c r="Z166" s="182"/>
      <c r="AA166" s="182"/>
      <c r="AB166" s="182"/>
      <c r="AC166" s="475" t="e">
        <f t="shared" si="103"/>
        <v>#N/A</v>
      </c>
      <c r="AD166" s="669"/>
      <c r="AE166" s="182"/>
      <c r="AF166" s="182"/>
      <c r="AG166" s="182"/>
      <c r="AH166" s="475" t="e">
        <f t="shared" si="104"/>
        <v>#N/A</v>
      </c>
      <c r="AI166" s="669"/>
      <c r="AJ166" s="182"/>
      <c r="AK166" s="182"/>
      <c r="AL166" s="182"/>
      <c r="AM166" s="475" t="e">
        <f t="shared" si="105"/>
        <v>#N/A</v>
      </c>
      <c r="AN166" s="669"/>
      <c r="AO166" s="182"/>
      <c r="AP166" s="182"/>
      <c r="AQ166" s="182"/>
      <c r="AR166" s="475" t="e">
        <f t="shared" si="106"/>
        <v>#N/A</v>
      </c>
      <c r="AS166" s="669"/>
      <c r="AT166" s="182"/>
      <c r="AU166" s="182"/>
      <c r="AV166" s="182"/>
      <c r="AW166" s="475" t="e">
        <f t="shared" si="107"/>
        <v>#N/A</v>
      </c>
      <c r="AX166" s="669"/>
    </row>
    <row r="167" spans="2:50">
      <c r="B167" s="667"/>
      <c r="C167" s="301">
        <v>21</v>
      </c>
      <c r="D167" s="567"/>
      <c r="E167" s="566"/>
      <c r="F167" s="566"/>
      <c r="G167" s="182"/>
      <c r="H167" s="669"/>
      <c r="I167" s="547" t="e">
        <f t="shared" ref="I167" si="108">AVERAGE(P167,U167,Z167,AE167,AJ167,AO167,AT167)</f>
        <v>#DIV/0!</v>
      </c>
      <c r="J167" s="547" t="e">
        <f t="shared" ref="J167" si="109">AVERAGE(Q167,V167,AA167,AF167,AK167,AP167,AU167)</f>
        <v>#DIV/0!</v>
      </c>
      <c r="K167" s="200" t="e">
        <f t="shared" ref="K167" si="110">AVERAGE(R167,W167,AB167,AG167,AL167,AQ167,AV167)</f>
        <v>#DIV/0!</v>
      </c>
      <c r="L167" s="641"/>
      <c r="M167" s="199" t="e">
        <f>RANK(K167, K$147:$K$176)</f>
        <v>#DIV/0!</v>
      </c>
      <c r="N167" s="659"/>
      <c r="O167" s="659"/>
      <c r="P167" s="569"/>
      <c r="Q167" s="182"/>
      <c r="R167" s="570"/>
      <c r="S167" s="301" t="e">
        <f t="shared" si="101"/>
        <v>#N/A</v>
      </c>
      <c r="T167" s="669"/>
      <c r="U167" s="569"/>
      <c r="V167" s="182"/>
      <c r="W167" s="570"/>
      <c r="X167" s="475" t="e">
        <f t="shared" si="102"/>
        <v>#N/A</v>
      </c>
      <c r="Y167" s="669"/>
      <c r="Z167" s="569"/>
      <c r="AA167" s="182"/>
      <c r="AB167" s="570"/>
      <c r="AC167" s="475" t="e">
        <f t="shared" si="103"/>
        <v>#N/A</v>
      </c>
      <c r="AD167" s="669"/>
      <c r="AE167" s="569"/>
      <c r="AF167" s="182"/>
      <c r="AG167" s="570"/>
      <c r="AH167" s="475" t="e">
        <f t="shared" si="104"/>
        <v>#N/A</v>
      </c>
      <c r="AI167" s="669"/>
      <c r="AJ167" s="569"/>
      <c r="AK167" s="182"/>
      <c r="AL167" s="570"/>
      <c r="AM167" s="475" t="e">
        <f t="shared" si="105"/>
        <v>#N/A</v>
      </c>
      <c r="AN167" s="669"/>
      <c r="AO167" s="569"/>
      <c r="AP167" s="182"/>
      <c r="AQ167" s="570"/>
      <c r="AR167" s="475" t="e">
        <f t="shared" si="106"/>
        <v>#N/A</v>
      </c>
      <c r="AS167" s="669"/>
      <c r="AT167" s="569"/>
      <c r="AU167" s="182"/>
      <c r="AV167" s="570"/>
      <c r="AW167" s="475" t="e">
        <f t="shared" si="107"/>
        <v>#N/A</v>
      </c>
      <c r="AX167" s="669"/>
    </row>
    <row r="168" spans="2:50">
      <c r="B168" s="667"/>
      <c r="C168" s="301">
        <v>22</v>
      </c>
      <c r="D168" s="301"/>
      <c r="E168" s="301"/>
      <c r="F168" s="301"/>
      <c r="G168" s="301"/>
      <c r="H168" s="669"/>
      <c r="I168" s="547"/>
      <c r="J168" s="547"/>
      <c r="K168" s="200"/>
      <c r="L168" s="641"/>
      <c r="M168" s="199" t="e">
        <f>RANK(K168, K$147:$K$176)</f>
        <v>#DIV/0!</v>
      </c>
      <c r="N168" s="659"/>
      <c r="O168" s="659"/>
      <c r="P168" s="569"/>
      <c r="Q168" s="182"/>
      <c r="R168" s="570"/>
      <c r="S168" s="301" t="e">
        <f t="shared" si="101"/>
        <v>#N/A</v>
      </c>
      <c r="T168" s="669"/>
      <c r="U168" s="569"/>
      <c r="V168" s="182"/>
      <c r="W168" s="570"/>
      <c r="X168" s="475" t="e">
        <f t="shared" si="102"/>
        <v>#N/A</v>
      </c>
      <c r="Y168" s="669"/>
      <c r="Z168" s="569"/>
      <c r="AA168" s="182"/>
      <c r="AB168" s="570"/>
      <c r="AC168" s="475" t="e">
        <f t="shared" si="103"/>
        <v>#N/A</v>
      </c>
      <c r="AD168" s="669"/>
      <c r="AE168" s="569"/>
      <c r="AF168" s="182"/>
      <c r="AG168" s="570"/>
      <c r="AH168" s="475" t="e">
        <f t="shared" si="104"/>
        <v>#N/A</v>
      </c>
      <c r="AI168" s="669"/>
      <c r="AJ168" s="569"/>
      <c r="AK168" s="182"/>
      <c r="AL168" s="570"/>
      <c r="AM168" s="475" t="e">
        <f t="shared" si="105"/>
        <v>#N/A</v>
      </c>
      <c r="AN168" s="669"/>
      <c r="AO168" s="569"/>
      <c r="AP168" s="182"/>
      <c r="AQ168" s="570"/>
      <c r="AR168" s="475" t="e">
        <f t="shared" si="106"/>
        <v>#N/A</v>
      </c>
      <c r="AS168" s="669"/>
      <c r="AT168" s="569"/>
      <c r="AU168" s="182"/>
      <c r="AV168" s="570"/>
      <c r="AW168" s="475" t="e">
        <f t="shared" si="107"/>
        <v>#N/A</v>
      </c>
      <c r="AX168" s="669"/>
    </row>
    <row r="169" spans="2:50">
      <c r="B169" s="667"/>
      <c r="C169" s="301">
        <v>23</v>
      </c>
      <c r="D169" s="301"/>
      <c r="E169" s="301"/>
      <c r="F169" s="301"/>
      <c r="G169" s="301"/>
      <c r="H169" s="669"/>
      <c r="I169" s="199"/>
      <c r="J169" s="199"/>
      <c r="K169" s="200"/>
      <c r="L169" s="641"/>
      <c r="M169" s="199" t="e">
        <f>RANK(K169, K$147:$K$176)</f>
        <v>#DIV/0!</v>
      </c>
      <c r="N169" s="659"/>
      <c r="O169" s="659"/>
      <c r="P169" s="569"/>
      <c r="Q169" s="182"/>
      <c r="R169" s="570"/>
      <c r="S169" s="301" t="e">
        <f t="shared" si="101"/>
        <v>#N/A</v>
      </c>
      <c r="T169" s="669"/>
      <c r="U169" s="569"/>
      <c r="V169" s="182"/>
      <c r="W169" s="570"/>
      <c r="X169" s="475" t="e">
        <f t="shared" si="102"/>
        <v>#N/A</v>
      </c>
      <c r="Y169" s="669"/>
      <c r="Z169" s="569"/>
      <c r="AA169" s="182"/>
      <c r="AB169" s="570"/>
      <c r="AC169" s="475" t="e">
        <f t="shared" si="103"/>
        <v>#N/A</v>
      </c>
      <c r="AD169" s="669"/>
      <c r="AE169" s="569"/>
      <c r="AF169" s="182"/>
      <c r="AG169" s="570"/>
      <c r="AH169" s="475" t="e">
        <f t="shared" si="104"/>
        <v>#N/A</v>
      </c>
      <c r="AI169" s="669"/>
      <c r="AJ169" s="569"/>
      <c r="AK169" s="182"/>
      <c r="AL169" s="570"/>
      <c r="AM169" s="475" t="e">
        <f t="shared" si="105"/>
        <v>#N/A</v>
      </c>
      <c r="AN169" s="669"/>
      <c r="AO169" s="569"/>
      <c r="AP169" s="182"/>
      <c r="AQ169" s="570"/>
      <c r="AR169" s="475" t="e">
        <f t="shared" si="106"/>
        <v>#N/A</v>
      </c>
      <c r="AS169" s="669"/>
      <c r="AT169" s="569"/>
      <c r="AU169" s="182"/>
      <c r="AV169" s="570"/>
      <c r="AW169" s="475" t="e">
        <f t="shared" si="107"/>
        <v>#N/A</v>
      </c>
      <c r="AX169" s="669"/>
    </row>
    <row r="170" spans="2:50">
      <c r="B170" s="667"/>
      <c r="C170" s="301">
        <v>24</v>
      </c>
      <c r="D170" s="301"/>
      <c r="E170" s="301"/>
      <c r="F170" s="301"/>
      <c r="G170" s="301"/>
      <c r="H170" s="669"/>
      <c r="I170" s="445"/>
      <c r="J170" s="445"/>
      <c r="K170" s="200"/>
      <c r="L170" s="641"/>
      <c r="M170" s="199" t="e">
        <f>RANK(K170, K$147:$K$176)</f>
        <v>#DIV/0!</v>
      </c>
      <c r="N170" s="659"/>
      <c r="O170" s="659"/>
      <c r="P170" s="569"/>
      <c r="Q170" s="182"/>
      <c r="R170" s="570"/>
      <c r="S170" s="301" t="e">
        <f t="shared" si="101"/>
        <v>#N/A</v>
      </c>
      <c r="T170" s="669"/>
      <c r="U170" s="569"/>
      <c r="V170" s="182"/>
      <c r="W170" s="570"/>
      <c r="X170" s="475" t="e">
        <f t="shared" si="102"/>
        <v>#N/A</v>
      </c>
      <c r="Y170" s="669"/>
      <c r="Z170" s="569"/>
      <c r="AA170" s="182"/>
      <c r="AB170" s="570"/>
      <c r="AC170" s="475" t="e">
        <f t="shared" si="103"/>
        <v>#N/A</v>
      </c>
      <c r="AD170" s="669"/>
      <c r="AE170" s="569"/>
      <c r="AF170" s="182"/>
      <c r="AG170" s="570"/>
      <c r="AH170" s="475" t="e">
        <f t="shared" si="104"/>
        <v>#N/A</v>
      </c>
      <c r="AI170" s="669"/>
      <c r="AJ170" s="569"/>
      <c r="AK170" s="182"/>
      <c r="AL170" s="570"/>
      <c r="AM170" s="475" t="e">
        <f t="shared" si="105"/>
        <v>#N/A</v>
      </c>
      <c r="AN170" s="669"/>
      <c r="AO170" s="569"/>
      <c r="AP170" s="182"/>
      <c r="AQ170" s="570"/>
      <c r="AR170" s="475" t="e">
        <f t="shared" si="106"/>
        <v>#N/A</v>
      </c>
      <c r="AS170" s="669"/>
      <c r="AT170" s="569"/>
      <c r="AU170" s="182"/>
      <c r="AV170" s="570"/>
      <c r="AW170" s="475" t="e">
        <f t="shared" si="107"/>
        <v>#N/A</v>
      </c>
      <c r="AX170" s="669"/>
    </row>
    <row r="171" spans="2:50">
      <c r="B171" s="667"/>
      <c r="C171" s="301">
        <v>25</v>
      </c>
      <c r="D171" s="301"/>
      <c r="E171" s="301"/>
      <c r="F171" s="301"/>
      <c r="G171" s="301"/>
      <c r="H171" s="669"/>
      <c r="I171" s="202"/>
      <c r="J171" s="202"/>
      <c r="K171" s="202"/>
      <c r="L171" s="641"/>
      <c r="M171" s="199" t="e">
        <f>RANK(K171, K$147:$K$176)</f>
        <v>#DIV/0!</v>
      </c>
      <c r="N171" s="659"/>
      <c r="O171" s="659"/>
      <c r="P171" s="569"/>
      <c r="Q171" s="182"/>
      <c r="R171" s="570"/>
      <c r="S171" s="301" t="e">
        <f t="shared" si="101"/>
        <v>#N/A</v>
      </c>
      <c r="T171" s="669"/>
      <c r="U171" s="569"/>
      <c r="V171" s="182"/>
      <c r="W171" s="570"/>
      <c r="X171" s="475" t="e">
        <f t="shared" si="102"/>
        <v>#N/A</v>
      </c>
      <c r="Y171" s="669"/>
      <c r="Z171" s="569"/>
      <c r="AA171" s="182"/>
      <c r="AB171" s="570"/>
      <c r="AC171" s="475" t="e">
        <f t="shared" si="103"/>
        <v>#N/A</v>
      </c>
      <c r="AD171" s="669"/>
      <c r="AE171" s="569"/>
      <c r="AF171" s="182"/>
      <c r="AG171" s="570"/>
      <c r="AH171" s="475" t="e">
        <f t="shared" si="104"/>
        <v>#N/A</v>
      </c>
      <c r="AI171" s="669"/>
      <c r="AJ171" s="569"/>
      <c r="AK171" s="182"/>
      <c r="AL171" s="570"/>
      <c r="AM171" s="475" t="e">
        <f t="shared" si="105"/>
        <v>#N/A</v>
      </c>
      <c r="AN171" s="669"/>
      <c r="AO171" s="569"/>
      <c r="AP171" s="182"/>
      <c r="AQ171" s="570"/>
      <c r="AR171" s="475" t="e">
        <f t="shared" si="106"/>
        <v>#N/A</v>
      </c>
      <c r="AS171" s="669"/>
      <c r="AT171" s="569"/>
      <c r="AU171" s="182"/>
      <c r="AV171" s="570"/>
      <c r="AW171" s="475" t="e">
        <f t="shared" si="107"/>
        <v>#N/A</v>
      </c>
      <c r="AX171" s="669"/>
    </row>
    <row r="172" spans="2:50">
      <c r="B172" s="667"/>
      <c r="C172" s="301">
        <v>26</v>
      </c>
      <c r="D172" s="301"/>
      <c r="E172" s="301"/>
      <c r="F172" s="301"/>
      <c r="G172" s="301"/>
      <c r="H172" s="669"/>
      <c r="I172" s="202"/>
      <c r="J172" s="202"/>
      <c r="K172" s="202"/>
      <c r="L172" s="641"/>
      <c r="M172" s="199" t="e">
        <f>RANK(K172, K$147:$K$176)</f>
        <v>#DIV/0!</v>
      </c>
      <c r="N172" s="659"/>
      <c r="O172" s="659"/>
      <c r="P172" s="569"/>
      <c r="Q172" s="182"/>
      <c r="R172" s="570"/>
      <c r="S172" s="301" t="e">
        <f t="shared" si="101"/>
        <v>#N/A</v>
      </c>
      <c r="T172" s="669"/>
      <c r="U172" s="569"/>
      <c r="V172" s="182"/>
      <c r="W172" s="570"/>
      <c r="X172" s="475" t="e">
        <f t="shared" si="102"/>
        <v>#N/A</v>
      </c>
      <c r="Y172" s="669"/>
      <c r="Z172" s="569"/>
      <c r="AA172" s="182"/>
      <c r="AB172" s="570"/>
      <c r="AC172" s="475" t="e">
        <f t="shared" si="103"/>
        <v>#N/A</v>
      </c>
      <c r="AD172" s="669"/>
      <c r="AE172" s="569"/>
      <c r="AF172" s="182"/>
      <c r="AG172" s="570"/>
      <c r="AH172" s="475" t="e">
        <f t="shared" si="104"/>
        <v>#N/A</v>
      </c>
      <c r="AI172" s="669"/>
      <c r="AJ172" s="569"/>
      <c r="AK172" s="182"/>
      <c r="AL172" s="570"/>
      <c r="AM172" s="475" t="e">
        <f t="shared" si="105"/>
        <v>#N/A</v>
      </c>
      <c r="AN172" s="669"/>
      <c r="AO172" s="569"/>
      <c r="AP172" s="182"/>
      <c r="AQ172" s="570"/>
      <c r="AR172" s="475" t="e">
        <f t="shared" si="106"/>
        <v>#N/A</v>
      </c>
      <c r="AS172" s="669"/>
      <c r="AT172" s="569"/>
      <c r="AU172" s="182"/>
      <c r="AV172" s="570"/>
      <c r="AW172" s="475" t="e">
        <f t="shared" si="107"/>
        <v>#N/A</v>
      </c>
      <c r="AX172" s="669"/>
    </row>
    <row r="173" spans="2:50">
      <c r="B173" s="667"/>
      <c r="C173" s="301">
        <v>27</v>
      </c>
      <c r="D173" s="301"/>
      <c r="E173" s="301"/>
      <c r="F173" s="301"/>
      <c r="G173" s="301"/>
      <c r="H173" s="669"/>
      <c r="I173" s="202"/>
      <c r="J173" s="202"/>
      <c r="K173" s="202"/>
      <c r="L173" s="641"/>
      <c r="M173" s="199" t="e">
        <f>RANK(K173, K$147:$K$176)</f>
        <v>#DIV/0!</v>
      </c>
      <c r="N173" s="659"/>
      <c r="O173" s="659"/>
      <c r="P173" s="569"/>
      <c r="Q173" s="182"/>
      <c r="R173" s="570"/>
      <c r="S173" s="301" t="e">
        <f t="shared" si="101"/>
        <v>#N/A</v>
      </c>
      <c r="T173" s="669"/>
      <c r="U173" s="569"/>
      <c r="V173" s="182"/>
      <c r="W173" s="570"/>
      <c r="X173" s="475" t="e">
        <f t="shared" si="102"/>
        <v>#N/A</v>
      </c>
      <c r="Y173" s="669"/>
      <c r="Z173" s="569"/>
      <c r="AA173" s="182"/>
      <c r="AB173" s="570"/>
      <c r="AC173" s="475" t="e">
        <f t="shared" si="103"/>
        <v>#N/A</v>
      </c>
      <c r="AD173" s="669"/>
      <c r="AE173" s="569"/>
      <c r="AF173" s="182"/>
      <c r="AG173" s="570"/>
      <c r="AH173" s="475" t="e">
        <f t="shared" si="104"/>
        <v>#N/A</v>
      </c>
      <c r="AI173" s="669"/>
      <c r="AJ173" s="569"/>
      <c r="AK173" s="182"/>
      <c r="AL173" s="570"/>
      <c r="AM173" s="475" t="e">
        <f t="shared" si="105"/>
        <v>#N/A</v>
      </c>
      <c r="AN173" s="669"/>
      <c r="AO173" s="569"/>
      <c r="AP173" s="182"/>
      <c r="AQ173" s="570"/>
      <c r="AR173" s="475" t="e">
        <f t="shared" si="106"/>
        <v>#N/A</v>
      </c>
      <c r="AS173" s="669"/>
      <c r="AT173" s="569"/>
      <c r="AU173" s="182"/>
      <c r="AV173" s="570"/>
      <c r="AW173" s="475" t="e">
        <f t="shared" si="107"/>
        <v>#N/A</v>
      </c>
      <c r="AX173" s="669"/>
    </row>
    <row r="174" spans="2:50">
      <c r="B174" s="667"/>
      <c r="C174" s="301">
        <v>28</v>
      </c>
      <c r="D174" s="301"/>
      <c r="E174" s="301"/>
      <c r="F174" s="301"/>
      <c r="G174" s="301"/>
      <c r="H174" s="669"/>
      <c r="I174" s="202"/>
      <c r="J174" s="202"/>
      <c r="K174" s="202"/>
      <c r="L174" s="641"/>
      <c r="M174" s="199" t="e">
        <f>RANK(K174, K$147:$K$176)</f>
        <v>#DIV/0!</v>
      </c>
      <c r="N174" s="659"/>
      <c r="O174" s="659"/>
      <c r="P174" s="569"/>
      <c r="Q174" s="182"/>
      <c r="R174" s="570"/>
      <c r="S174" s="301" t="e">
        <f t="shared" si="101"/>
        <v>#N/A</v>
      </c>
      <c r="T174" s="669"/>
      <c r="U174" s="569"/>
      <c r="V174" s="182"/>
      <c r="W174" s="570"/>
      <c r="X174" s="475" t="e">
        <f t="shared" si="102"/>
        <v>#N/A</v>
      </c>
      <c r="Y174" s="669"/>
      <c r="Z174" s="569"/>
      <c r="AA174" s="182"/>
      <c r="AB174" s="570"/>
      <c r="AC174" s="475" t="e">
        <f t="shared" si="103"/>
        <v>#N/A</v>
      </c>
      <c r="AD174" s="669"/>
      <c r="AE174" s="569"/>
      <c r="AF174" s="182"/>
      <c r="AG174" s="570"/>
      <c r="AH174" s="475" t="e">
        <f t="shared" si="104"/>
        <v>#N/A</v>
      </c>
      <c r="AI174" s="669"/>
      <c r="AJ174" s="569"/>
      <c r="AK174" s="182"/>
      <c r="AL174" s="570"/>
      <c r="AM174" s="475" t="e">
        <f t="shared" si="105"/>
        <v>#N/A</v>
      </c>
      <c r="AN174" s="669"/>
      <c r="AO174" s="569"/>
      <c r="AP174" s="182"/>
      <c r="AQ174" s="570"/>
      <c r="AR174" s="475" t="e">
        <f t="shared" si="106"/>
        <v>#N/A</v>
      </c>
      <c r="AS174" s="669"/>
      <c r="AT174" s="569"/>
      <c r="AU174" s="182"/>
      <c r="AV174" s="570"/>
      <c r="AW174" s="475" t="e">
        <f t="shared" si="107"/>
        <v>#N/A</v>
      </c>
      <c r="AX174" s="669"/>
    </row>
    <row r="175" spans="2:50">
      <c r="B175" s="667"/>
      <c r="C175" s="301">
        <v>29</v>
      </c>
      <c r="D175" s="301"/>
      <c r="E175" s="301"/>
      <c r="F175" s="301"/>
      <c r="G175" s="301"/>
      <c r="H175" s="669"/>
      <c r="I175" s="202"/>
      <c r="J175" s="202"/>
      <c r="K175" s="202"/>
      <c r="L175" s="641"/>
      <c r="M175" s="199" t="e">
        <f>RANK(K175, K$147:$K$176)</f>
        <v>#DIV/0!</v>
      </c>
      <c r="N175" s="659"/>
      <c r="O175" s="659"/>
      <c r="P175" s="569"/>
      <c r="Q175" s="182"/>
      <c r="R175" s="570"/>
      <c r="S175" s="301" t="e">
        <f t="shared" si="101"/>
        <v>#N/A</v>
      </c>
      <c r="T175" s="669"/>
      <c r="U175" s="569"/>
      <c r="V175" s="182"/>
      <c r="W175" s="570"/>
      <c r="X175" s="475" t="e">
        <f t="shared" si="102"/>
        <v>#N/A</v>
      </c>
      <c r="Y175" s="669"/>
      <c r="Z175" s="569"/>
      <c r="AA175" s="182"/>
      <c r="AB175" s="570"/>
      <c r="AC175" s="475" t="e">
        <f t="shared" si="103"/>
        <v>#N/A</v>
      </c>
      <c r="AD175" s="669"/>
      <c r="AE175" s="569"/>
      <c r="AF175" s="182"/>
      <c r="AG175" s="570"/>
      <c r="AH175" s="475" t="e">
        <f t="shared" si="104"/>
        <v>#N/A</v>
      </c>
      <c r="AI175" s="669"/>
      <c r="AJ175" s="569"/>
      <c r="AK175" s="182"/>
      <c r="AL175" s="570"/>
      <c r="AM175" s="475" t="e">
        <f t="shared" si="105"/>
        <v>#N/A</v>
      </c>
      <c r="AN175" s="669"/>
      <c r="AO175" s="569"/>
      <c r="AP175" s="182"/>
      <c r="AQ175" s="570"/>
      <c r="AR175" s="475" t="e">
        <f t="shared" si="106"/>
        <v>#N/A</v>
      </c>
      <c r="AS175" s="669"/>
      <c r="AT175" s="569"/>
      <c r="AU175" s="182"/>
      <c r="AV175" s="570"/>
      <c r="AW175" s="475" t="e">
        <f t="shared" si="107"/>
        <v>#N/A</v>
      </c>
      <c r="AX175" s="669"/>
    </row>
    <row r="176" spans="2:50">
      <c r="B176" s="667"/>
      <c r="C176" s="301">
        <v>30</v>
      </c>
      <c r="D176" s="301"/>
      <c r="E176" s="301"/>
      <c r="F176" s="301"/>
      <c r="G176" s="301"/>
      <c r="H176" s="670"/>
      <c r="I176" s="202"/>
      <c r="J176" s="202"/>
      <c r="K176" s="202"/>
      <c r="L176" s="642"/>
      <c r="M176" s="199" t="e">
        <f>RANK(K176, K$147:$K$176)</f>
        <v>#DIV/0!</v>
      </c>
      <c r="N176" s="659"/>
      <c r="O176" s="659"/>
      <c r="P176" s="569"/>
      <c r="Q176" s="182"/>
      <c r="R176" s="570"/>
      <c r="S176" s="301" t="e">
        <f t="shared" si="97"/>
        <v>#N/A</v>
      </c>
      <c r="T176" s="670"/>
      <c r="U176" s="569"/>
      <c r="V176" s="182"/>
      <c r="W176" s="570"/>
      <c r="X176" s="475" t="e">
        <f t="shared" si="102"/>
        <v>#N/A</v>
      </c>
      <c r="Y176" s="670"/>
      <c r="Z176" s="569"/>
      <c r="AA176" s="182"/>
      <c r="AB176" s="570"/>
      <c r="AC176" s="475" t="e">
        <f t="shared" si="103"/>
        <v>#N/A</v>
      </c>
      <c r="AD176" s="670"/>
      <c r="AE176" s="569"/>
      <c r="AF176" s="182"/>
      <c r="AG176" s="570"/>
      <c r="AH176" s="475" t="e">
        <f t="shared" si="104"/>
        <v>#N/A</v>
      </c>
      <c r="AI176" s="670"/>
      <c r="AJ176" s="569"/>
      <c r="AK176" s="182"/>
      <c r="AL176" s="570"/>
      <c r="AM176" s="475" t="e">
        <f t="shared" si="105"/>
        <v>#N/A</v>
      </c>
      <c r="AN176" s="670"/>
      <c r="AO176" s="569"/>
      <c r="AP176" s="182"/>
      <c r="AQ176" s="570"/>
      <c r="AR176" s="475" t="e">
        <f t="shared" si="106"/>
        <v>#N/A</v>
      </c>
      <c r="AS176" s="670"/>
      <c r="AT176" s="569"/>
      <c r="AU176" s="182"/>
      <c r="AV176" s="570"/>
      <c r="AW176" s="475" t="e">
        <f t="shared" si="107"/>
        <v>#N/A</v>
      </c>
      <c r="AX176" s="670"/>
    </row>
    <row r="177" spans="2:50" ht="15.75">
      <c r="B177" s="671" t="s">
        <v>163</v>
      </c>
      <c r="C177" s="672"/>
      <c r="D177" s="672"/>
      <c r="E177" s="672"/>
      <c r="F177" s="672"/>
      <c r="G177" s="672"/>
      <c r="H177" s="673"/>
      <c r="I177" s="208"/>
      <c r="J177" s="208"/>
      <c r="K177" s="208"/>
      <c r="L177" s="208"/>
      <c r="M177" s="207"/>
      <c r="N177" s="660" t="s">
        <v>156</v>
      </c>
      <c r="O177" s="660" t="s">
        <v>105</v>
      </c>
      <c r="P177" s="666">
        <f>P142+7</f>
        <v>46119</v>
      </c>
      <c r="Q177" s="667"/>
      <c r="R177" s="667"/>
      <c r="S177" s="667"/>
      <c r="T177" s="667"/>
      <c r="U177" s="663">
        <f>P177+1</f>
        <v>46120</v>
      </c>
      <c r="V177" s="664"/>
      <c r="W177" s="664"/>
      <c r="X177" s="664"/>
      <c r="Y177" s="665"/>
      <c r="Z177" s="663">
        <f>U177+1</f>
        <v>46121</v>
      </c>
      <c r="AA177" s="664"/>
      <c r="AB177" s="664"/>
      <c r="AC177" s="664"/>
      <c r="AD177" s="665"/>
      <c r="AE177" s="663">
        <f>Z177+1</f>
        <v>46122</v>
      </c>
      <c r="AF177" s="664"/>
      <c r="AG177" s="664"/>
      <c r="AH177" s="664"/>
      <c r="AI177" s="665"/>
      <c r="AJ177" s="663">
        <f>AE177+1</f>
        <v>46123</v>
      </c>
      <c r="AK177" s="664"/>
      <c r="AL177" s="664"/>
      <c r="AM177" s="664"/>
      <c r="AN177" s="665"/>
      <c r="AO177" s="663">
        <f>AJ177+1</f>
        <v>46124</v>
      </c>
      <c r="AP177" s="664"/>
      <c r="AQ177" s="664"/>
      <c r="AR177" s="664"/>
      <c r="AS177" s="665"/>
      <c r="AT177" s="663">
        <f>AO177+1</f>
        <v>46125</v>
      </c>
      <c r="AU177" s="664"/>
      <c r="AV177" s="664"/>
      <c r="AW177" s="664"/>
      <c r="AX177" s="665"/>
    </row>
    <row r="178" spans="2:50" ht="15.75">
      <c r="B178" s="674"/>
      <c r="C178" s="674"/>
      <c r="D178" s="674"/>
      <c r="E178" s="674"/>
      <c r="F178" s="674"/>
      <c r="G178" s="674"/>
      <c r="H178" s="674"/>
      <c r="I178" s="205"/>
      <c r="J178" s="205"/>
      <c r="K178" s="205"/>
      <c r="L178" s="205"/>
      <c r="M178" s="206"/>
      <c r="N178" s="662"/>
      <c r="O178" s="662"/>
      <c r="P178" s="666" t="s">
        <v>158</v>
      </c>
      <c r="Q178" s="667"/>
      <c r="R178" s="667"/>
      <c r="S178" s="667"/>
      <c r="T178" s="667"/>
      <c r="U178" s="666" t="s">
        <v>114</v>
      </c>
      <c r="V178" s="667"/>
      <c r="W178" s="667"/>
      <c r="X178" s="667"/>
      <c r="Y178" s="667"/>
      <c r="Z178" s="666" t="s">
        <v>159</v>
      </c>
      <c r="AA178" s="667"/>
      <c r="AB178" s="667"/>
      <c r="AC178" s="667"/>
      <c r="AD178" s="667"/>
      <c r="AE178" s="666" t="s">
        <v>157</v>
      </c>
      <c r="AF178" s="667"/>
      <c r="AG178" s="667"/>
      <c r="AH178" s="667"/>
      <c r="AI178" s="667"/>
      <c r="AJ178" s="666" t="s">
        <v>160</v>
      </c>
      <c r="AK178" s="667"/>
      <c r="AL178" s="667"/>
      <c r="AM178" s="667"/>
      <c r="AN178" s="667"/>
      <c r="AO178" s="666" t="s">
        <v>115</v>
      </c>
      <c r="AP178" s="667"/>
      <c r="AQ178" s="667"/>
      <c r="AR178" s="667"/>
      <c r="AS178" s="667"/>
      <c r="AT178" s="666" t="s">
        <v>162</v>
      </c>
      <c r="AU178" s="667"/>
      <c r="AV178" s="667"/>
      <c r="AW178" s="667"/>
      <c r="AX178" s="667"/>
    </row>
    <row r="179" spans="2:50">
      <c r="B179" s="659" t="s">
        <v>154</v>
      </c>
      <c r="C179" s="659" t="s">
        <v>429</v>
      </c>
      <c r="D179" s="659"/>
      <c r="E179" s="659" t="s">
        <v>420</v>
      </c>
      <c r="F179" s="659"/>
      <c r="G179" s="659"/>
      <c r="H179" s="675" t="s">
        <v>416</v>
      </c>
      <c r="I179" s="659" t="s">
        <v>421</v>
      </c>
      <c r="J179" s="659"/>
      <c r="K179" s="659"/>
      <c r="L179" s="675" t="s">
        <v>416</v>
      </c>
      <c r="M179" s="660" t="s">
        <v>417</v>
      </c>
      <c r="N179" s="659"/>
      <c r="O179" s="659" t="s">
        <v>422</v>
      </c>
      <c r="P179" s="656" t="s">
        <v>418</v>
      </c>
      <c r="Q179" s="657"/>
      <c r="R179" s="657"/>
      <c r="S179" s="658"/>
      <c r="T179" s="659" t="s">
        <v>416</v>
      </c>
      <c r="U179" s="656" t="s">
        <v>418</v>
      </c>
      <c r="V179" s="657"/>
      <c r="W179" s="657"/>
      <c r="X179" s="658"/>
      <c r="Y179" s="659" t="s">
        <v>416</v>
      </c>
      <c r="Z179" s="656" t="s">
        <v>418</v>
      </c>
      <c r="AA179" s="657"/>
      <c r="AB179" s="657"/>
      <c r="AC179" s="658"/>
      <c r="AD179" s="659" t="s">
        <v>416</v>
      </c>
      <c r="AE179" s="656" t="s">
        <v>418</v>
      </c>
      <c r="AF179" s="657"/>
      <c r="AG179" s="657"/>
      <c r="AH179" s="658"/>
      <c r="AI179" s="659" t="s">
        <v>416</v>
      </c>
      <c r="AJ179" s="656" t="s">
        <v>418</v>
      </c>
      <c r="AK179" s="657"/>
      <c r="AL179" s="657"/>
      <c r="AM179" s="658"/>
      <c r="AN179" s="659" t="s">
        <v>416</v>
      </c>
      <c r="AO179" s="656" t="s">
        <v>418</v>
      </c>
      <c r="AP179" s="657"/>
      <c r="AQ179" s="657"/>
      <c r="AR179" s="658"/>
      <c r="AS179" s="659" t="s">
        <v>416</v>
      </c>
      <c r="AT179" s="693" t="s">
        <v>418</v>
      </c>
      <c r="AU179" s="694"/>
      <c r="AV179" s="694"/>
      <c r="AW179" s="695"/>
      <c r="AX179" s="696" t="s">
        <v>416</v>
      </c>
    </row>
    <row r="180" spans="2:50">
      <c r="B180" s="659"/>
      <c r="C180" s="659"/>
      <c r="D180" s="659"/>
      <c r="E180" s="659" t="s">
        <v>423</v>
      </c>
      <c r="F180" s="659"/>
      <c r="G180" s="659"/>
      <c r="H180" s="676"/>
      <c r="I180" s="659" t="s">
        <v>423</v>
      </c>
      <c r="J180" s="659"/>
      <c r="K180" s="659"/>
      <c r="L180" s="676"/>
      <c r="M180" s="661"/>
      <c r="N180" s="659"/>
      <c r="O180" s="659"/>
      <c r="P180" s="656" t="s">
        <v>424</v>
      </c>
      <c r="Q180" s="657"/>
      <c r="R180" s="657"/>
      <c r="S180" s="658"/>
      <c r="T180" s="659"/>
      <c r="U180" s="656" t="s">
        <v>424</v>
      </c>
      <c r="V180" s="657"/>
      <c r="W180" s="657"/>
      <c r="X180" s="658"/>
      <c r="Y180" s="659"/>
      <c r="Z180" s="656" t="s">
        <v>424</v>
      </c>
      <c r="AA180" s="657"/>
      <c r="AB180" s="657"/>
      <c r="AC180" s="658"/>
      <c r="AD180" s="659"/>
      <c r="AE180" s="656" t="s">
        <v>424</v>
      </c>
      <c r="AF180" s="657"/>
      <c r="AG180" s="657"/>
      <c r="AH180" s="658"/>
      <c r="AI180" s="659"/>
      <c r="AJ180" s="656" t="s">
        <v>424</v>
      </c>
      <c r="AK180" s="657"/>
      <c r="AL180" s="657"/>
      <c r="AM180" s="658"/>
      <c r="AN180" s="659"/>
      <c r="AO180" s="656" t="s">
        <v>424</v>
      </c>
      <c r="AP180" s="657"/>
      <c r="AQ180" s="657"/>
      <c r="AR180" s="658"/>
      <c r="AS180" s="659"/>
      <c r="AT180" s="693" t="s">
        <v>424</v>
      </c>
      <c r="AU180" s="694"/>
      <c r="AV180" s="694"/>
      <c r="AW180" s="695"/>
      <c r="AX180" s="696"/>
    </row>
    <row r="181" spans="2:50">
      <c r="B181" s="659"/>
      <c r="C181" s="659"/>
      <c r="D181" s="659"/>
      <c r="E181" s="488" t="s">
        <v>425</v>
      </c>
      <c r="F181" s="488" t="s">
        <v>426</v>
      </c>
      <c r="G181" s="488" t="s">
        <v>427</v>
      </c>
      <c r="H181" s="677"/>
      <c r="I181" s="488" t="s">
        <v>425</v>
      </c>
      <c r="J181" s="488" t="s">
        <v>426</v>
      </c>
      <c r="K181" s="488" t="s">
        <v>427</v>
      </c>
      <c r="L181" s="677"/>
      <c r="M181" s="662"/>
      <c r="N181" s="659"/>
      <c r="O181" s="659"/>
      <c r="P181" s="488" t="s">
        <v>425</v>
      </c>
      <c r="Q181" s="488" t="s">
        <v>426</v>
      </c>
      <c r="R181" s="488" t="s">
        <v>427</v>
      </c>
      <c r="S181" s="488" t="s">
        <v>417</v>
      </c>
      <c r="T181" s="659"/>
      <c r="U181" s="488" t="s">
        <v>425</v>
      </c>
      <c r="V181" s="488" t="s">
        <v>426</v>
      </c>
      <c r="W181" s="488" t="s">
        <v>427</v>
      </c>
      <c r="X181" s="488" t="s">
        <v>417</v>
      </c>
      <c r="Y181" s="659"/>
      <c r="Z181" s="488" t="s">
        <v>425</v>
      </c>
      <c r="AA181" s="488" t="s">
        <v>426</v>
      </c>
      <c r="AB181" s="488" t="s">
        <v>427</v>
      </c>
      <c r="AC181" s="488" t="s">
        <v>417</v>
      </c>
      <c r="AD181" s="659"/>
      <c r="AE181" s="488" t="s">
        <v>425</v>
      </c>
      <c r="AF181" s="488" t="s">
        <v>426</v>
      </c>
      <c r="AG181" s="488" t="s">
        <v>427</v>
      </c>
      <c r="AH181" s="488" t="s">
        <v>417</v>
      </c>
      <c r="AI181" s="659"/>
      <c r="AJ181" s="488" t="s">
        <v>425</v>
      </c>
      <c r="AK181" s="488" t="s">
        <v>426</v>
      </c>
      <c r="AL181" s="488" t="s">
        <v>427</v>
      </c>
      <c r="AM181" s="488" t="s">
        <v>417</v>
      </c>
      <c r="AN181" s="659"/>
      <c r="AO181" s="488" t="s">
        <v>425</v>
      </c>
      <c r="AP181" s="488" t="s">
        <v>426</v>
      </c>
      <c r="AQ181" s="488" t="s">
        <v>427</v>
      </c>
      <c r="AR181" s="488" t="s">
        <v>417</v>
      </c>
      <c r="AS181" s="659"/>
      <c r="AT181" s="492" t="s">
        <v>425</v>
      </c>
      <c r="AU181" s="492" t="s">
        <v>426</v>
      </c>
      <c r="AV181" s="492" t="s">
        <v>427</v>
      </c>
      <c r="AW181" s="492" t="s">
        <v>417</v>
      </c>
      <c r="AX181" s="696"/>
    </row>
    <row r="182" spans="2:50">
      <c r="B182" s="691" t="s">
        <v>672</v>
      </c>
      <c r="C182" s="493">
        <v>1</v>
      </c>
      <c r="D182" s="493"/>
      <c r="E182" s="494"/>
      <c r="F182" s="494"/>
      <c r="G182" s="494"/>
      <c r="H182" s="703" t="e">
        <f>AVERAGE(G182:G211)</f>
        <v>#DIV/0!</v>
      </c>
      <c r="I182" s="494" t="e">
        <f>AVERAGE(P182,U182,Z182,AE182,AJ182,AO182,AT182)</f>
        <v>#DIV/0!</v>
      </c>
      <c r="J182" s="494" t="e">
        <f>AVERAGE(Q182,V182,AA182,AF182,AK182,AP182,AU182)</f>
        <v>#DIV/0!</v>
      </c>
      <c r="K182" s="495" t="e">
        <f>AVERAGE(R182,W182,AB182,AG182,AL182,AQ182,AV182)</f>
        <v>#DIV/0!</v>
      </c>
      <c r="L182" s="640" t="str">
        <f>IFERROR(AVERAGE(K182:K211),"-")</f>
        <v>-</v>
      </c>
      <c r="M182" s="494" t="e">
        <f>RANK(K182, K$182:$K$211)</f>
        <v>#DIV/0!</v>
      </c>
      <c r="N182" s="659"/>
      <c r="O182" s="659"/>
      <c r="P182" s="182"/>
      <c r="Q182" s="182"/>
      <c r="R182" s="182"/>
      <c r="S182" s="493" t="e">
        <f>RANK(R182, R$112:R$141)</f>
        <v>#N/A</v>
      </c>
      <c r="T182" s="706" t="e">
        <f>AVERAGE(R182:R211)</f>
        <v>#DIV/0!</v>
      </c>
      <c r="U182" s="182"/>
      <c r="V182" s="182"/>
      <c r="W182" s="182"/>
      <c r="X182" s="493" t="e">
        <f>RANK(W182, W$112:W$141)</f>
        <v>#N/A</v>
      </c>
      <c r="Y182" s="706" t="e">
        <f>AVERAGE(W182:W211)</f>
        <v>#DIV/0!</v>
      </c>
      <c r="Z182" s="182"/>
      <c r="AA182" s="182"/>
      <c r="AB182" s="182"/>
      <c r="AC182" s="493" t="e">
        <f>RANK(AB182, AB$112:AB$141)</f>
        <v>#N/A</v>
      </c>
      <c r="AD182" s="706" t="e">
        <f>AVERAGE(AB182:AB211)</f>
        <v>#DIV/0!</v>
      </c>
      <c r="AE182" s="182"/>
      <c r="AF182" s="182"/>
      <c r="AG182" s="182"/>
      <c r="AH182" s="493" t="e">
        <f>RANK(AG182, AG$112:AG$141)</f>
        <v>#N/A</v>
      </c>
      <c r="AI182" s="706" t="e">
        <f>AVERAGE(AG182:AG211)</f>
        <v>#DIV/0!</v>
      </c>
      <c r="AJ182" s="182"/>
      <c r="AK182" s="182"/>
      <c r="AL182" s="182"/>
      <c r="AM182" s="493" t="e">
        <f>RANK(AL182, AL$112:AL$141)</f>
        <v>#N/A</v>
      </c>
      <c r="AN182" s="706" t="e">
        <f>AVERAGE(AL182:AL211)</f>
        <v>#DIV/0!</v>
      </c>
      <c r="AO182" s="182"/>
      <c r="AP182" s="182"/>
      <c r="AQ182" s="182"/>
      <c r="AR182" s="493" t="e">
        <f>RANK(AQ182, AQ$112:AQ$141)</f>
        <v>#N/A</v>
      </c>
      <c r="AS182" s="706" t="e">
        <f>AVERAGE(AQ182:AQ211)</f>
        <v>#DIV/0!</v>
      </c>
      <c r="AT182" s="182"/>
      <c r="AU182" s="182"/>
      <c r="AV182" s="182"/>
      <c r="AW182" s="496" t="e">
        <f>RANK(AV182, AV$112:AV$141)</f>
        <v>#N/A</v>
      </c>
      <c r="AX182" s="697" t="e">
        <f>AVERAGE(AV182:AV211)</f>
        <v>#DIV/0!</v>
      </c>
    </row>
    <row r="183" spans="2:50">
      <c r="B183" s="692"/>
      <c r="C183" s="493">
        <v>2</v>
      </c>
      <c r="D183" s="493"/>
      <c r="E183" s="494"/>
      <c r="F183" s="494"/>
      <c r="G183" s="494"/>
      <c r="H183" s="704"/>
      <c r="I183" s="494" t="e">
        <f t="shared" ref="I183:K198" si="111">AVERAGE(P183,U183,Z183,AE183,AJ183,AO183,AT183)</f>
        <v>#DIV/0!</v>
      </c>
      <c r="J183" s="494" t="e">
        <f t="shared" si="111"/>
        <v>#DIV/0!</v>
      </c>
      <c r="K183" s="495" t="e">
        <f t="shared" si="111"/>
        <v>#DIV/0!</v>
      </c>
      <c r="L183" s="641"/>
      <c r="M183" s="494" t="e">
        <f>RANK(K183, K$182:$K$211)</f>
        <v>#DIV/0!</v>
      </c>
      <c r="N183" s="659"/>
      <c r="O183" s="659"/>
      <c r="P183" s="182"/>
      <c r="Q183" s="182"/>
      <c r="R183" s="182"/>
      <c r="S183" s="493" t="e">
        <f t="shared" ref="S183:S211" si="112">RANK(R183, R$112:R$141)</f>
        <v>#N/A</v>
      </c>
      <c r="T183" s="706"/>
      <c r="U183" s="182"/>
      <c r="V183" s="182"/>
      <c r="W183" s="182"/>
      <c r="X183" s="493" t="e">
        <f t="shared" ref="X183:X211" si="113">RANK(W183, W$112:W$141)</f>
        <v>#N/A</v>
      </c>
      <c r="Y183" s="706"/>
      <c r="Z183" s="182"/>
      <c r="AA183" s="182"/>
      <c r="AB183" s="182"/>
      <c r="AC183" s="493" t="e">
        <f t="shared" ref="AC183:AC211" si="114">RANK(AB183, AB$112:AB$141)</f>
        <v>#N/A</v>
      </c>
      <c r="AD183" s="706"/>
      <c r="AE183" s="182"/>
      <c r="AF183" s="182"/>
      <c r="AG183" s="182"/>
      <c r="AH183" s="493" t="e">
        <f t="shared" ref="AH183:AH211" si="115">RANK(AG183, AG$112:AG$141)</f>
        <v>#N/A</v>
      </c>
      <c r="AI183" s="706"/>
      <c r="AJ183" s="182"/>
      <c r="AK183" s="182"/>
      <c r="AL183" s="182"/>
      <c r="AM183" s="493" t="e">
        <f t="shared" ref="AM183:AM211" si="116">RANK(AL183, AL$112:AL$141)</f>
        <v>#N/A</v>
      </c>
      <c r="AN183" s="706"/>
      <c r="AO183" s="182"/>
      <c r="AP183" s="182"/>
      <c r="AQ183" s="182"/>
      <c r="AR183" s="493" t="e">
        <f t="shared" ref="AR183:AR211" si="117">RANK(AQ183, AQ$112:AQ$141)</f>
        <v>#N/A</v>
      </c>
      <c r="AS183" s="706"/>
      <c r="AT183" s="182"/>
      <c r="AU183" s="182"/>
      <c r="AV183" s="182"/>
      <c r="AW183" s="496" t="e">
        <f t="shared" ref="AW183:AW211" si="118">RANK(AV183, AV$112:AV$141)</f>
        <v>#N/A</v>
      </c>
      <c r="AX183" s="697"/>
    </row>
    <row r="184" spans="2:50">
      <c r="B184" s="692"/>
      <c r="C184" s="493">
        <v>3</v>
      </c>
      <c r="D184" s="493"/>
      <c r="E184" s="494"/>
      <c r="F184" s="494"/>
      <c r="G184" s="494"/>
      <c r="H184" s="704"/>
      <c r="I184" s="494" t="e">
        <f t="shared" si="111"/>
        <v>#DIV/0!</v>
      </c>
      <c r="J184" s="494" t="e">
        <f t="shared" si="111"/>
        <v>#DIV/0!</v>
      </c>
      <c r="K184" s="495" t="e">
        <f t="shared" si="111"/>
        <v>#DIV/0!</v>
      </c>
      <c r="L184" s="641"/>
      <c r="M184" s="494" t="e">
        <f>RANK(K184, K$182:$K$211)</f>
        <v>#DIV/0!</v>
      </c>
      <c r="N184" s="659"/>
      <c r="O184" s="659"/>
      <c r="P184" s="182"/>
      <c r="Q184" s="182"/>
      <c r="R184" s="182"/>
      <c r="S184" s="493" t="e">
        <f t="shared" si="112"/>
        <v>#N/A</v>
      </c>
      <c r="T184" s="706"/>
      <c r="U184" s="182"/>
      <c r="V184" s="182"/>
      <c r="W184" s="182"/>
      <c r="X184" s="493" t="e">
        <f t="shared" si="113"/>
        <v>#N/A</v>
      </c>
      <c r="Y184" s="706"/>
      <c r="Z184" s="182"/>
      <c r="AA184" s="182"/>
      <c r="AB184" s="182"/>
      <c r="AC184" s="493" t="e">
        <f t="shared" si="114"/>
        <v>#N/A</v>
      </c>
      <c r="AD184" s="706"/>
      <c r="AE184" s="182"/>
      <c r="AF184" s="182"/>
      <c r="AG184" s="182"/>
      <c r="AH184" s="493" t="e">
        <f t="shared" si="115"/>
        <v>#N/A</v>
      </c>
      <c r="AI184" s="706"/>
      <c r="AJ184" s="182"/>
      <c r="AK184" s="182"/>
      <c r="AL184" s="182"/>
      <c r="AM184" s="493" t="e">
        <f t="shared" si="116"/>
        <v>#N/A</v>
      </c>
      <c r="AN184" s="706"/>
      <c r="AO184" s="182"/>
      <c r="AP184" s="182"/>
      <c r="AQ184" s="182"/>
      <c r="AR184" s="493" t="e">
        <f t="shared" si="117"/>
        <v>#N/A</v>
      </c>
      <c r="AS184" s="706"/>
      <c r="AT184" s="182"/>
      <c r="AU184" s="182"/>
      <c r="AV184" s="182"/>
      <c r="AW184" s="496" t="e">
        <f t="shared" si="118"/>
        <v>#N/A</v>
      </c>
      <c r="AX184" s="697"/>
    </row>
    <row r="185" spans="2:50">
      <c r="B185" s="692"/>
      <c r="C185" s="493">
        <v>4</v>
      </c>
      <c r="D185" s="493"/>
      <c r="E185" s="494"/>
      <c r="F185" s="494"/>
      <c r="G185" s="494"/>
      <c r="H185" s="704"/>
      <c r="I185" s="494" t="e">
        <f t="shared" si="111"/>
        <v>#DIV/0!</v>
      </c>
      <c r="J185" s="494" t="e">
        <f t="shared" si="111"/>
        <v>#DIV/0!</v>
      </c>
      <c r="K185" s="495" t="e">
        <f t="shared" si="111"/>
        <v>#DIV/0!</v>
      </c>
      <c r="L185" s="641"/>
      <c r="M185" s="494" t="e">
        <f>RANK(K185, K$182:$K$211)</f>
        <v>#DIV/0!</v>
      </c>
      <c r="N185" s="659"/>
      <c r="O185" s="659"/>
      <c r="P185" s="182"/>
      <c r="Q185" s="182"/>
      <c r="R185" s="182"/>
      <c r="S185" s="493" t="e">
        <f t="shared" si="112"/>
        <v>#N/A</v>
      </c>
      <c r="T185" s="706"/>
      <c r="U185" s="182"/>
      <c r="V185" s="182"/>
      <c r="W185" s="182"/>
      <c r="X185" s="493" t="e">
        <f t="shared" si="113"/>
        <v>#N/A</v>
      </c>
      <c r="Y185" s="706"/>
      <c r="Z185" s="182"/>
      <c r="AA185" s="182"/>
      <c r="AB185" s="182"/>
      <c r="AC185" s="493" t="e">
        <f t="shared" si="114"/>
        <v>#N/A</v>
      </c>
      <c r="AD185" s="706"/>
      <c r="AE185" s="182"/>
      <c r="AF185" s="182"/>
      <c r="AG185" s="182"/>
      <c r="AH185" s="493" t="e">
        <f t="shared" si="115"/>
        <v>#N/A</v>
      </c>
      <c r="AI185" s="706"/>
      <c r="AJ185" s="182"/>
      <c r="AK185" s="182"/>
      <c r="AL185" s="182"/>
      <c r="AM185" s="493" t="e">
        <f t="shared" si="116"/>
        <v>#N/A</v>
      </c>
      <c r="AN185" s="706"/>
      <c r="AO185" s="182"/>
      <c r="AP185" s="182"/>
      <c r="AQ185" s="182"/>
      <c r="AR185" s="493" t="e">
        <f t="shared" si="117"/>
        <v>#N/A</v>
      </c>
      <c r="AS185" s="706"/>
      <c r="AT185" s="182"/>
      <c r="AU185" s="182"/>
      <c r="AV185" s="182"/>
      <c r="AW185" s="496" t="e">
        <f t="shared" si="118"/>
        <v>#N/A</v>
      </c>
      <c r="AX185" s="697"/>
    </row>
    <row r="186" spans="2:50">
      <c r="B186" s="692"/>
      <c r="C186" s="493">
        <v>5</v>
      </c>
      <c r="D186" s="493"/>
      <c r="E186" s="494"/>
      <c r="F186" s="494"/>
      <c r="G186" s="494"/>
      <c r="H186" s="704"/>
      <c r="I186" s="494" t="e">
        <f t="shared" si="111"/>
        <v>#DIV/0!</v>
      </c>
      <c r="J186" s="494" t="e">
        <f t="shared" si="111"/>
        <v>#DIV/0!</v>
      </c>
      <c r="K186" s="495" t="e">
        <f t="shared" si="111"/>
        <v>#DIV/0!</v>
      </c>
      <c r="L186" s="641"/>
      <c r="M186" s="494" t="e">
        <f>RANK(K186, K$182:$K$211)</f>
        <v>#DIV/0!</v>
      </c>
      <c r="N186" s="659"/>
      <c r="O186" s="659"/>
      <c r="P186" s="182"/>
      <c r="Q186" s="182"/>
      <c r="R186" s="182"/>
      <c r="S186" s="493" t="e">
        <f t="shared" si="112"/>
        <v>#N/A</v>
      </c>
      <c r="T186" s="706"/>
      <c r="U186" s="182"/>
      <c r="V186" s="182"/>
      <c r="W186" s="182"/>
      <c r="X186" s="493" t="e">
        <f t="shared" si="113"/>
        <v>#N/A</v>
      </c>
      <c r="Y186" s="706"/>
      <c r="Z186" s="182"/>
      <c r="AA186" s="182"/>
      <c r="AB186" s="182"/>
      <c r="AC186" s="493" t="e">
        <f t="shared" si="114"/>
        <v>#N/A</v>
      </c>
      <c r="AD186" s="706"/>
      <c r="AE186" s="182"/>
      <c r="AF186" s="182"/>
      <c r="AG186" s="182"/>
      <c r="AH186" s="493" t="e">
        <f t="shared" si="115"/>
        <v>#N/A</v>
      </c>
      <c r="AI186" s="706"/>
      <c r="AJ186" s="182"/>
      <c r="AK186" s="182"/>
      <c r="AL186" s="182"/>
      <c r="AM186" s="493" t="e">
        <f t="shared" si="116"/>
        <v>#N/A</v>
      </c>
      <c r="AN186" s="706"/>
      <c r="AO186" s="182"/>
      <c r="AP186" s="182"/>
      <c r="AQ186" s="182"/>
      <c r="AR186" s="493" t="e">
        <f t="shared" si="117"/>
        <v>#N/A</v>
      </c>
      <c r="AS186" s="706"/>
      <c r="AT186" s="182"/>
      <c r="AU186" s="182"/>
      <c r="AV186" s="182"/>
      <c r="AW186" s="496" t="e">
        <f t="shared" si="118"/>
        <v>#N/A</v>
      </c>
      <c r="AX186" s="697"/>
    </row>
    <row r="187" spans="2:50">
      <c r="B187" s="692"/>
      <c r="C187" s="493">
        <v>6</v>
      </c>
      <c r="D187" s="493"/>
      <c r="E187" s="494"/>
      <c r="F187" s="494"/>
      <c r="G187" s="494"/>
      <c r="H187" s="704"/>
      <c r="I187" s="494" t="e">
        <f t="shared" si="111"/>
        <v>#DIV/0!</v>
      </c>
      <c r="J187" s="494" t="e">
        <f t="shared" si="111"/>
        <v>#DIV/0!</v>
      </c>
      <c r="K187" s="495" t="e">
        <f t="shared" si="111"/>
        <v>#DIV/0!</v>
      </c>
      <c r="L187" s="641"/>
      <c r="M187" s="494" t="e">
        <f>RANK(K187, K$182:$K$211)</f>
        <v>#DIV/0!</v>
      </c>
      <c r="N187" s="659"/>
      <c r="O187" s="659"/>
      <c r="P187" s="182"/>
      <c r="Q187" s="182"/>
      <c r="R187" s="182"/>
      <c r="S187" s="493" t="e">
        <f t="shared" si="112"/>
        <v>#N/A</v>
      </c>
      <c r="T187" s="706"/>
      <c r="U187" s="182"/>
      <c r="V187" s="182"/>
      <c r="W187" s="182"/>
      <c r="X187" s="493" t="e">
        <f t="shared" si="113"/>
        <v>#N/A</v>
      </c>
      <c r="Y187" s="706"/>
      <c r="Z187" s="182"/>
      <c r="AA187" s="182"/>
      <c r="AB187" s="182"/>
      <c r="AC187" s="493" t="e">
        <f t="shared" si="114"/>
        <v>#N/A</v>
      </c>
      <c r="AD187" s="706"/>
      <c r="AE187" s="182"/>
      <c r="AF187" s="182"/>
      <c r="AG187" s="182"/>
      <c r="AH187" s="493" t="e">
        <f t="shared" si="115"/>
        <v>#N/A</v>
      </c>
      <c r="AI187" s="706"/>
      <c r="AJ187" s="182"/>
      <c r="AK187" s="182"/>
      <c r="AL187" s="182"/>
      <c r="AM187" s="493" t="e">
        <f t="shared" si="116"/>
        <v>#N/A</v>
      </c>
      <c r="AN187" s="706"/>
      <c r="AO187" s="182"/>
      <c r="AP187" s="182"/>
      <c r="AQ187" s="182"/>
      <c r="AR187" s="493" t="e">
        <f t="shared" si="117"/>
        <v>#N/A</v>
      </c>
      <c r="AS187" s="706"/>
      <c r="AT187" s="182"/>
      <c r="AU187" s="182"/>
      <c r="AV187" s="182"/>
      <c r="AW187" s="496" t="e">
        <f t="shared" si="118"/>
        <v>#N/A</v>
      </c>
      <c r="AX187" s="697"/>
    </row>
    <row r="188" spans="2:50">
      <c r="B188" s="692"/>
      <c r="C188" s="493">
        <v>7</v>
      </c>
      <c r="D188" s="493"/>
      <c r="E188" s="494"/>
      <c r="F188" s="494"/>
      <c r="G188" s="494"/>
      <c r="H188" s="704"/>
      <c r="I188" s="494" t="e">
        <f t="shared" si="111"/>
        <v>#DIV/0!</v>
      </c>
      <c r="J188" s="494" t="e">
        <f t="shared" si="111"/>
        <v>#DIV/0!</v>
      </c>
      <c r="K188" s="495" t="e">
        <f t="shared" si="111"/>
        <v>#DIV/0!</v>
      </c>
      <c r="L188" s="641"/>
      <c r="M188" s="494" t="e">
        <f>RANK(K188, K$182:$K$211)</f>
        <v>#DIV/0!</v>
      </c>
      <c r="N188" s="659"/>
      <c r="O188" s="659"/>
      <c r="P188" s="182"/>
      <c r="Q188" s="182"/>
      <c r="R188" s="182"/>
      <c r="S188" s="493" t="e">
        <f t="shared" si="112"/>
        <v>#N/A</v>
      </c>
      <c r="T188" s="706"/>
      <c r="U188" s="182"/>
      <c r="V188" s="182"/>
      <c r="W188" s="182"/>
      <c r="X188" s="493" t="e">
        <f t="shared" si="113"/>
        <v>#N/A</v>
      </c>
      <c r="Y188" s="706"/>
      <c r="Z188" s="182"/>
      <c r="AA188" s="182"/>
      <c r="AB188" s="182"/>
      <c r="AC188" s="493" t="e">
        <f t="shared" si="114"/>
        <v>#N/A</v>
      </c>
      <c r="AD188" s="706"/>
      <c r="AE188" s="182"/>
      <c r="AF188" s="182"/>
      <c r="AG188" s="182"/>
      <c r="AH188" s="493" t="e">
        <f t="shared" si="115"/>
        <v>#N/A</v>
      </c>
      <c r="AI188" s="706"/>
      <c r="AJ188" s="182"/>
      <c r="AK188" s="182"/>
      <c r="AL188" s="182"/>
      <c r="AM188" s="493" t="e">
        <f t="shared" si="116"/>
        <v>#N/A</v>
      </c>
      <c r="AN188" s="706"/>
      <c r="AO188" s="182"/>
      <c r="AP188" s="182"/>
      <c r="AQ188" s="182"/>
      <c r="AR188" s="493" t="e">
        <f t="shared" si="117"/>
        <v>#N/A</v>
      </c>
      <c r="AS188" s="706"/>
      <c r="AT188" s="182"/>
      <c r="AU188" s="182"/>
      <c r="AV188" s="182"/>
      <c r="AW188" s="496" t="e">
        <f t="shared" si="118"/>
        <v>#N/A</v>
      </c>
      <c r="AX188" s="697"/>
    </row>
    <row r="189" spans="2:50">
      <c r="B189" s="692"/>
      <c r="C189" s="493">
        <v>8</v>
      </c>
      <c r="D189" s="493"/>
      <c r="E189" s="494"/>
      <c r="F189" s="494"/>
      <c r="G189" s="494"/>
      <c r="H189" s="704"/>
      <c r="I189" s="494" t="e">
        <f t="shared" si="111"/>
        <v>#DIV/0!</v>
      </c>
      <c r="J189" s="494" t="e">
        <f t="shared" si="111"/>
        <v>#DIV/0!</v>
      </c>
      <c r="K189" s="495" t="e">
        <f t="shared" si="111"/>
        <v>#DIV/0!</v>
      </c>
      <c r="L189" s="641"/>
      <c r="M189" s="494" t="e">
        <f>RANK(K189, K$182:$K$211)</f>
        <v>#DIV/0!</v>
      </c>
      <c r="N189" s="659"/>
      <c r="O189" s="659"/>
      <c r="P189" s="182"/>
      <c r="Q189" s="182"/>
      <c r="R189" s="182"/>
      <c r="S189" s="493" t="e">
        <f t="shared" si="112"/>
        <v>#N/A</v>
      </c>
      <c r="T189" s="706"/>
      <c r="U189" s="182"/>
      <c r="V189" s="182"/>
      <c r="W189" s="182"/>
      <c r="X189" s="493" t="e">
        <f t="shared" si="113"/>
        <v>#N/A</v>
      </c>
      <c r="Y189" s="706"/>
      <c r="Z189" s="182"/>
      <c r="AA189" s="182"/>
      <c r="AB189" s="182"/>
      <c r="AC189" s="493" t="e">
        <f t="shared" si="114"/>
        <v>#N/A</v>
      </c>
      <c r="AD189" s="706"/>
      <c r="AE189" s="182"/>
      <c r="AF189" s="182"/>
      <c r="AG189" s="182"/>
      <c r="AH189" s="493" t="e">
        <f t="shared" si="115"/>
        <v>#N/A</v>
      </c>
      <c r="AI189" s="706"/>
      <c r="AJ189" s="182"/>
      <c r="AK189" s="182"/>
      <c r="AL189" s="182"/>
      <c r="AM189" s="493" t="e">
        <f t="shared" si="116"/>
        <v>#N/A</v>
      </c>
      <c r="AN189" s="706"/>
      <c r="AO189" s="182"/>
      <c r="AP189" s="182"/>
      <c r="AQ189" s="182"/>
      <c r="AR189" s="493" t="e">
        <f t="shared" si="117"/>
        <v>#N/A</v>
      </c>
      <c r="AS189" s="706"/>
      <c r="AT189" s="182"/>
      <c r="AU189" s="182"/>
      <c r="AV189" s="182"/>
      <c r="AW189" s="496" t="e">
        <f t="shared" si="118"/>
        <v>#N/A</v>
      </c>
      <c r="AX189" s="697"/>
    </row>
    <row r="190" spans="2:50">
      <c r="B190" s="692"/>
      <c r="C190" s="493">
        <v>9</v>
      </c>
      <c r="D190" s="493"/>
      <c r="E190" s="494"/>
      <c r="F190" s="494"/>
      <c r="G190" s="494"/>
      <c r="H190" s="704"/>
      <c r="I190" s="494" t="e">
        <f t="shared" si="111"/>
        <v>#DIV/0!</v>
      </c>
      <c r="J190" s="494" t="e">
        <f t="shared" si="111"/>
        <v>#DIV/0!</v>
      </c>
      <c r="K190" s="495" t="e">
        <f t="shared" si="111"/>
        <v>#DIV/0!</v>
      </c>
      <c r="L190" s="641"/>
      <c r="M190" s="494" t="e">
        <f>RANK(K190, K$182:$K$211)</f>
        <v>#DIV/0!</v>
      </c>
      <c r="N190" s="659"/>
      <c r="O190" s="659"/>
      <c r="P190" s="182"/>
      <c r="Q190" s="182"/>
      <c r="R190" s="182"/>
      <c r="S190" s="493" t="e">
        <f t="shared" si="112"/>
        <v>#N/A</v>
      </c>
      <c r="T190" s="706"/>
      <c r="U190" s="182"/>
      <c r="V190" s="182"/>
      <c r="W190" s="182"/>
      <c r="X190" s="493" t="e">
        <f t="shared" si="113"/>
        <v>#N/A</v>
      </c>
      <c r="Y190" s="706"/>
      <c r="Z190" s="182"/>
      <c r="AA190" s="182"/>
      <c r="AB190" s="182"/>
      <c r="AC190" s="493" t="e">
        <f t="shared" si="114"/>
        <v>#N/A</v>
      </c>
      <c r="AD190" s="706"/>
      <c r="AE190" s="182"/>
      <c r="AF190" s="182"/>
      <c r="AG190" s="182"/>
      <c r="AH190" s="493" t="e">
        <f t="shared" si="115"/>
        <v>#N/A</v>
      </c>
      <c r="AI190" s="706"/>
      <c r="AJ190" s="182"/>
      <c r="AK190" s="182"/>
      <c r="AL190" s="182"/>
      <c r="AM190" s="493" t="e">
        <f t="shared" si="116"/>
        <v>#N/A</v>
      </c>
      <c r="AN190" s="706"/>
      <c r="AO190" s="182"/>
      <c r="AP190" s="182"/>
      <c r="AQ190" s="182"/>
      <c r="AR190" s="493" t="e">
        <f t="shared" si="117"/>
        <v>#N/A</v>
      </c>
      <c r="AS190" s="706"/>
      <c r="AT190" s="182"/>
      <c r="AU190" s="182"/>
      <c r="AV190" s="182"/>
      <c r="AW190" s="496" t="e">
        <f t="shared" si="118"/>
        <v>#N/A</v>
      </c>
      <c r="AX190" s="697"/>
    </row>
    <row r="191" spans="2:50">
      <c r="B191" s="692"/>
      <c r="C191" s="493">
        <v>10</v>
      </c>
      <c r="D191" s="493"/>
      <c r="E191" s="494"/>
      <c r="F191" s="494"/>
      <c r="G191" s="494"/>
      <c r="H191" s="704"/>
      <c r="I191" s="494" t="e">
        <f t="shared" si="111"/>
        <v>#DIV/0!</v>
      </c>
      <c r="J191" s="494" t="e">
        <f t="shared" si="111"/>
        <v>#DIV/0!</v>
      </c>
      <c r="K191" s="495" t="e">
        <f t="shared" si="111"/>
        <v>#DIV/0!</v>
      </c>
      <c r="L191" s="641"/>
      <c r="M191" s="494" t="e">
        <f>RANK(K191, K$182:$K$211)</f>
        <v>#DIV/0!</v>
      </c>
      <c r="N191" s="659"/>
      <c r="O191" s="659"/>
      <c r="P191" s="182"/>
      <c r="Q191" s="182"/>
      <c r="R191" s="182"/>
      <c r="S191" s="493" t="e">
        <f t="shared" si="112"/>
        <v>#N/A</v>
      </c>
      <c r="T191" s="706"/>
      <c r="U191" s="182"/>
      <c r="V191" s="182"/>
      <c r="W191" s="182"/>
      <c r="X191" s="493" t="e">
        <f t="shared" si="113"/>
        <v>#N/A</v>
      </c>
      <c r="Y191" s="706"/>
      <c r="Z191" s="182"/>
      <c r="AA191" s="182"/>
      <c r="AB191" s="182"/>
      <c r="AC191" s="493" t="e">
        <f t="shared" si="114"/>
        <v>#N/A</v>
      </c>
      <c r="AD191" s="706"/>
      <c r="AE191" s="182"/>
      <c r="AF191" s="182"/>
      <c r="AG191" s="182"/>
      <c r="AH191" s="493" t="e">
        <f t="shared" si="115"/>
        <v>#N/A</v>
      </c>
      <c r="AI191" s="706"/>
      <c r="AJ191" s="182"/>
      <c r="AK191" s="182"/>
      <c r="AL191" s="182"/>
      <c r="AM191" s="493" t="e">
        <f t="shared" si="116"/>
        <v>#N/A</v>
      </c>
      <c r="AN191" s="706"/>
      <c r="AO191" s="182"/>
      <c r="AP191" s="182"/>
      <c r="AQ191" s="182"/>
      <c r="AR191" s="493" t="e">
        <f t="shared" si="117"/>
        <v>#N/A</v>
      </c>
      <c r="AS191" s="706"/>
      <c r="AT191" s="182"/>
      <c r="AU191" s="182"/>
      <c r="AV191" s="182"/>
      <c r="AW191" s="496" t="e">
        <f t="shared" si="118"/>
        <v>#N/A</v>
      </c>
      <c r="AX191" s="697"/>
    </row>
    <row r="192" spans="2:50">
      <c r="B192" s="692"/>
      <c r="C192" s="493">
        <v>11</v>
      </c>
      <c r="D192" s="493"/>
      <c r="E192" s="494"/>
      <c r="F192" s="494"/>
      <c r="G192" s="494"/>
      <c r="H192" s="704"/>
      <c r="I192" s="494" t="e">
        <f t="shared" si="111"/>
        <v>#DIV/0!</v>
      </c>
      <c r="J192" s="494" t="e">
        <f t="shared" si="111"/>
        <v>#DIV/0!</v>
      </c>
      <c r="K192" s="495" t="e">
        <f t="shared" si="111"/>
        <v>#DIV/0!</v>
      </c>
      <c r="L192" s="641"/>
      <c r="M192" s="494" t="e">
        <f>RANK(K192, K$182:$K$211)</f>
        <v>#DIV/0!</v>
      </c>
      <c r="N192" s="659"/>
      <c r="O192" s="659"/>
      <c r="P192" s="182"/>
      <c r="Q192" s="182"/>
      <c r="R192" s="182"/>
      <c r="S192" s="493" t="e">
        <f t="shared" si="112"/>
        <v>#N/A</v>
      </c>
      <c r="T192" s="706"/>
      <c r="U192" s="182"/>
      <c r="V192" s="182"/>
      <c r="W192" s="182"/>
      <c r="X192" s="493" t="e">
        <f t="shared" si="113"/>
        <v>#N/A</v>
      </c>
      <c r="Y192" s="706"/>
      <c r="Z192" s="182"/>
      <c r="AA192" s="182"/>
      <c r="AB192" s="182"/>
      <c r="AC192" s="493" t="e">
        <f t="shared" si="114"/>
        <v>#N/A</v>
      </c>
      <c r="AD192" s="706"/>
      <c r="AE192" s="182"/>
      <c r="AF192" s="182"/>
      <c r="AG192" s="182"/>
      <c r="AH192" s="493" t="e">
        <f t="shared" si="115"/>
        <v>#N/A</v>
      </c>
      <c r="AI192" s="706"/>
      <c r="AJ192" s="182"/>
      <c r="AK192" s="182"/>
      <c r="AL192" s="182"/>
      <c r="AM192" s="493" t="e">
        <f t="shared" si="116"/>
        <v>#N/A</v>
      </c>
      <c r="AN192" s="706"/>
      <c r="AO192" s="182"/>
      <c r="AP192" s="182"/>
      <c r="AQ192" s="182"/>
      <c r="AR192" s="493" t="e">
        <f t="shared" si="117"/>
        <v>#N/A</v>
      </c>
      <c r="AS192" s="706"/>
      <c r="AT192" s="182"/>
      <c r="AU192" s="182"/>
      <c r="AV192" s="182"/>
      <c r="AW192" s="496" t="e">
        <f t="shared" si="118"/>
        <v>#N/A</v>
      </c>
      <c r="AX192" s="697"/>
    </row>
    <row r="193" spans="2:50">
      <c r="B193" s="692"/>
      <c r="C193" s="493">
        <v>12</v>
      </c>
      <c r="D193" s="493"/>
      <c r="E193" s="494"/>
      <c r="F193" s="494"/>
      <c r="G193" s="494"/>
      <c r="H193" s="704"/>
      <c r="I193" s="494" t="e">
        <f t="shared" si="111"/>
        <v>#DIV/0!</v>
      </c>
      <c r="J193" s="494" t="e">
        <f t="shared" si="111"/>
        <v>#DIV/0!</v>
      </c>
      <c r="K193" s="495" t="e">
        <f t="shared" si="111"/>
        <v>#DIV/0!</v>
      </c>
      <c r="L193" s="641"/>
      <c r="M193" s="494" t="e">
        <f>RANK(K193, K$182:$K$211)</f>
        <v>#DIV/0!</v>
      </c>
      <c r="N193" s="659"/>
      <c r="O193" s="659"/>
      <c r="P193" s="182"/>
      <c r="Q193" s="182"/>
      <c r="R193" s="182"/>
      <c r="S193" s="493" t="e">
        <f t="shared" si="112"/>
        <v>#N/A</v>
      </c>
      <c r="T193" s="706"/>
      <c r="U193" s="182"/>
      <c r="V193" s="182"/>
      <c r="W193" s="182"/>
      <c r="X193" s="493" t="e">
        <f t="shared" si="113"/>
        <v>#N/A</v>
      </c>
      <c r="Y193" s="706"/>
      <c r="Z193" s="182"/>
      <c r="AA193" s="182"/>
      <c r="AB193" s="182"/>
      <c r="AC193" s="493" t="e">
        <f t="shared" si="114"/>
        <v>#N/A</v>
      </c>
      <c r="AD193" s="706"/>
      <c r="AE193" s="182"/>
      <c r="AF193" s="182"/>
      <c r="AG193" s="182"/>
      <c r="AH193" s="493" t="e">
        <f t="shared" si="115"/>
        <v>#N/A</v>
      </c>
      <c r="AI193" s="706"/>
      <c r="AJ193" s="182"/>
      <c r="AK193" s="182"/>
      <c r="AL193" s="182"/>
      <c r="AM193" s="493" t="e">
        <f t="shared" si="116"/>
        <v>#N/A</v>
      </c>
      <c r="AN193" s="706"/>
      <c r="AO193" s="182"/>
      <c r="AP193" s="182"/>
      <c r="AQ193" s="182"/>
      <c r="AR193" s="493" t="e">
        <f t="shared" si="117"/>
        <v>#N/A</v>
      </c>
      <c r="AS193" s="706"/>
      <c r="AT193" s="182"/>
      <c r="AU193" s="182"/>
      <c r="AV193" s="182"/>
      <c r="AW193" s="496" t="e">
        <f t="shared" si="118"/>
        <v>#N/A</v>
      </c>
      <c r="AX193" s="697"/>
    </row>
    <row r="194" spans="2:50">
      <c r="B194" s="692"/>
      <c r="C194" s="493">
        <v>13</v>
      </c>
      <c r="D194" s="493"/>
      <c r="E194" s="494"/>
      <c r="F194" s="494"/>
      <c r="G194" s="494"/>
      <c r="H194" s="704"/>
      <c r="I194" s="494" t="e">
        <f t="shared" si="111"/>
        <v>#DIV/0!</v>
      </c>
      <c r="J194" s="494" t="e">
        <f t="shared" si="111"/>
        <v>#DIV/0!</v>
      </c>
      <c r="K194" s="495" t="e">
        <f t="shared" si="111"/>
        <v>#DIV/0!</v>
      </c>
      <c r="L194" s="641"/>
      <c r="M194" s="494" t="e">
        <f>RANK(K194, K$182:$K$211)</f>
        <v>#DIV/0!</v>
      </c>
      <c r="N194" s="659"/>
      <c r="O194" s="659"/>
      <c r="P194" s="182"/>
      <c r="Q194" s="182"/>
      <c r="R194" s="182"/>
      <c r="S194" s="493" t="e">
        <f t="shared" si="112"/>
        <v>#N/A</v>
      </c>
      <c r="T194" s="706"/>
      <c r="U194" s="182"/>
      <c r="V194" s="182"/>
      <c r="W194" s="182"/>
      <c r="X194" s="493" t="e">
        <f t="shared" si="113"/>
        <v>#N/A</v>
      </c>
      <c r="Y194" s="706"/>
      <c r="Z194" s="182"/>
      <c r="AA194" s="182"/>
      <c r="AB194" s="182"/>
      <c r="AC194" s="493" t="e">
        <f t="shared" si="114"/>
        <v>#N/A</v>
      </c>
      <c r="AD194" s="706"/>
      <c r="AE194" s="182"/>
      <c r="AF194" s="182"/>
      <c r="AG194" s="182"/>
      <c r="AH194" s="493" t="e">
        <f t="shared" si="115"/>
        <v>#N/A</v>
      </c>
      <c r="AI194" s="706"/>
      <c r="AJ194" s="182"/>
      <c r="AK194" s="182"/>
      <c r="AL194" s="182"/>
      <c r="AM194" s="493" t="e">
        <f t="shared" si="116"/>
        <v>#N/A</v>
      </c>
      <c r="AN194" s="706"/>
      <c r="AO194" s="182"/>
      <c r="AP194" s="182"/>
      <c r="AQ194" s="182"/>
      <c r="AR194" s="493" t="e">
        <f t="shared" si="117"/>
        <v>#N/A</v>
      </c>
      <c r="AS194" s="706"/>
      <c r="AT194" s="182"/>
      <c r="AU194" s="182"/>
      <c r="AV194" s="182"/>
      <c r="AW194" s="496" t="e">
        <f t="shared" si="118"/>
        <v>#N/A</v>
      </c>
      <c r="AX194" s="697"/>
    </row>
    <row r="195" spans="2:50">
      <c r="B195" s="692"/>
      <c r="C195" s="493">
        <v>14</v>
      </c>
      <c r="D195" s="493"/>
      <c r="E195" s="494"/>
      <c r="F195" s="494"/>
      <c r="G195" s="494"/>
      <c r="H195" s="704"/>
      <c r="I195" s="494" t="e">
        <f t="shared" si="111"/>
        <v>#DIV/0!</v>
      </c>
      <c r="J195" s="494" t="e">
        <f t="shared" si="111"/>
        <v>#DIV/0!</v>
      </c>
      <c r="K195" s="495" t="e">
        <f t="shared" si="111"/>
        <v>#DIV/0!</v>
      </c>
      <c r="L195" s="641"/>
      <c r="M195" s="494" t="e">
        <f>RANK(K195, K$182:$K$211)</f>
        <v>#DIV/0!</v>
      </c>
      <c r="N195" s="659"/>
      <c r="O195" s="659"/>
      <c r="P195" s="182"/>
      <c r="Q195" s="182"/>
      <c r="R195" s="182"/>
      <c r="S195" s="493" t="e">
        <f t="shared" si="112"/>
        <v>#N/A</v>
      </c>
      <c r="T195" s="706"/>
      <c r="U195" s="182"/>
      <c r="V195" s="182"/>
      <c r="W195" s="182"/>
      <c r="X195" s="493" t="e">
        <f t="shared" si="113"/>
        <v>#N/A</v>
      </c>
      <c r="Y195" s="706"/>
      <c r="Z195" s="182"/>
      <c r="AA195" s="182"/>
      <c r="AB195" s="182"/>
      <c r="AC195" s="493" t="e">
        <f t="shared" si="114"/>
        <v>#N/A</v>
      </c>
      <c r="AD195" s="706"/>
      <c r="AE195" s="182"/>
      <c r="AF195" s="182"/>
      <c r="AG195" s="182"/>
      <c r="AH195" s="493" t="e">
        <f t="shared" si="115"/>
        <v>#N/A</v>
      </c>
      <c r="AI195" s="706"/>
      <c r="AJ195" s="182"/>
      <c r="AK195" s="182"/>
      <c r="AL195" s="182"/>
      <c r="AM195" s="493" t="e">
        <f t="shared" si="116"/>
        <v>#N/A</v>
      </c>
      <c r="AN195" s="706"/>
      <c r="AO195" s="182"/>
      <c r="AP195" s="182"/>
      <c r="AQ195" s="182"/>
      <c r="AR195" s="493" t="e">
        <f t="shared" si="117"/>
        <v>#N/A</v>
      </c>
      <c r="AS195" s="706"/>
      <c r="AT195" s="182"/>
      <c r="AU195" s="182"/>
      <c r="AV195" s="182"/>
      <c r="AW195" s="496" t="e">
        <f t="shared" si="118"/>
        <v>#N/A</v>
      </c>
      <c r="AX195" s="697"/>
    </row>
    <row r="196" spans="2:50">
      <c r="B196" s="692"/>
      <c r="C196" s="493">
        <v>15</v>
      </c>
      <c r="D196" s="493"/>
      <c r="E196" s="494"/>
      <c r="F196" s="494"/>
      <c r="G196" s="494"/>
      <c r="H196" s="704"/>
      <c r="I196" s="494" t="e">
        <f t="shared" si="111"/>
        <v>#DIV/0!</v>
      </c>
      <c r="J196" s="494" t="e">
        <f t="shared" si="111"/>
        <v>#DIV/0!</v>
      </c>
      <c r="K196" s="495" t="e">
        <f t="shared" si="111"/>
        <v>#DIV/0!</v>
      </c>
      <c r="L196" s="641"/>
      <c r="M196" s="494" t="e">
        <f>RANK(K196, K$182:$K$211)</f>
        <v>#DIV/0!</v>
      </c>
      <c r="N196" s="659"/>
      <c r="O196" s="659"/>
      <c r="P196" s="182"/>
      <c r="Q196" s="182"/>
      <c r="R196" s="182"/>
      <c r="S196" s="493" t="e">
        <f t="shared" si="112"/>
        <v>#N/A</v>
      </c>
      <c r="T196" s="706"/>
      <c r="U196" s="182"/>
      <c r="V196" s="182"/>
      <c r="W196" s="182"/>
      <c r="X196" s="493" t="e">
        <f t="shared" si="113"/>
        <v>#N/A</v>
      </c>
      <c r="Y196" s="706"/>
      <c r="Z196" s="182"/>
      <c r="AA196" s="182"/>
      <c r="AB196" s="182"/>
      <c r="AC196" s="493" t="e">
        <f t="shared" si="114"/>
        <v>#N/A</v>
      </c>
      <c r="AD196" s="706"/>
      <c r="AE196" s="182"/>
      <c r="AF196" s="182"/>
      <c r="AG196" s="182"/>
      <c r="AH196" s="493" t="e">
        <f t="shared" si="115"/>
        <v>#N/A</v>
      </c>
      <c r="AI196" s="706"/>
      <c r="AJ196" s="182"/>
      <c r="AK196" s="182"/>
      <c r="AL196" s="182"/>
      <c r="AM196" s="493" t="e">
        <f t="shared" si="116"/>
        <v>#N/A</v>
      </c>
      <c r="AN196" s="706"/>
      <c r="AO196" s="182"/>
      <c r="AP196" s="182"/>
      <c r="AQ196" s="182"/>
      <c r="AR196" s="493" t="e">
        <f t="shared" si="117"/>
        <v>#N/A</v>
      </c>
      <c r="AS196" s="706"/>
      <c r="AT196" s="182"/>
      <c r="AU196" s="182"/>
      <c r="AV196" s="182"/>
      <c r="AW196" s="496" t="e">
        <f t="shared" si="118"/>
        <v>#N/A</v>
      </c>
      <c r="AX196" s="697"/>
    </row>
    <row r="197" spans="2:50">
      <c r="B197" s="692"/>
      <c r="C197" s="493">
        <v>16</v>
      </c>
      <c r="D197" s="493"/>
      <c r="E197" s="494"/>
      <c r="F197" s="494"/>
      <c r="G197" s="494"/>
      <c r="H197" s="704"/>
      <c r="I197" s="494" t="e">
        <f t="shared" si="111"/>
        <v>#DIV/0!</v>
      </c>
      <c r="J197" s="494" t="e">
        <f t="shared" si="111"/>
        <v>#DIV/0!</v>
      </c>
      <c r="K197" s="495" t="e">
        <f t="shared" si="111"/>
        <v>#DIV/0!</v>
      </c>
      <c r="L197" s="641"/>
      <c r="M197" s="494" t="e">
        <f>RANK(K197, K$182:$K$211)</f>
        <v>#DIV/0!</v>
      </c>
      <c r="N197" s="659"/>
      <c r="O197" s="659"/>
      <c r="P197" s="182"/>
      <c r="Q197" s="182"/>
      <c r="R197" s="182"/>
      <c r="S197" s="493" t="e">
        <f t="shared" si="112"/>
        <v>#N/A</v>
      </c>
      <c r="T197" s="706"/>
      <c r="U197" s="182"/>
      <c r="V197" s="182"/>
      <c r="W197" s="182"/>
      <c r="X197" s="493" t="e">
        <f t="shared" si="113"/>
        <v>#N/A</v>
      </c>
      <c r="Y197" s="706"/>
      <c r="Z197" s="182"/>
      <c r="AA197" s="182"/>
      <c r="AB197" s="182"/>
      <c r="AC197" s="493" t="e">
        <f t="shared" si="114"/>
        <v>#N/A</v>
      </c>
      <c r="AD197" s="706"/>
      <c r="AE197" s="182"/>
      <c r="AF197" s="182"/>
      <c r="AG197" s="182"/>
      <c r="AH197" s="493" t="e">
        <f t="shared" si="115"/>
        <v>#N/A</v>
      </c>
      <c r="AI197" s="706"/>
      <c r="AJ197" s="182"/>
      <c r="AK197" s="182"/>
      <c r="AL197" s="182"/>
      <c r="AM197" s="493" t="e">
        <f t="shared" si="116"/>
        <v>#N/A</v>
      </c>
      <c r="AN197" s="706"/>
      <c r="AO197" s="182"/>
      <c r="AP197" s="182"/>
      <c r="AQ197" s="182"/>
      <c r="AR197" s="493" t="e">
        <f t="shared" si="117"/>
        <v>#N/A</v>
      </c>
      <c r="AS197" s="706"/>
      <c r="AT197" s="182"/>
      <c r="AU197" s="182"/>
      <c r="AV197" s="182"/>
      <c r="AW197" s="496" t="e">
        <f t="shared" si="118"/>
        <v>#N/A</v>
      </c>
      <c r="AX197" s="697"/>
    </row>
    <row r="198" spans="2:50">
      <c r="B198" s="692"/>
      <c r="C198" s="493">
        <v>17</v>
      </c>
      <c r="D198" s="493"/>
      <c r="E198" s="494"/>
      <c r="F198" s="494"/>
      <c r="G198" s="494"/>
      <c r="H198" s="704"/>
      <c r="I198" s="494" t="e">
        <f t="shared" si="111"/>
        <v>#DIV/0!</v>
      </c>
      <c r="J198" s="494" t="e">
        <f t="shared" si="111"/>
        <v>#DIV/0!</v>
      </c>
      <c r="K198" s="495" t="e">
        <f t="shared" si="111"/>
        <v>#DIV/0!</v>
      </c>
      <c r="L198" s="641"/>
      <c r="M198" s="494" t="e">
        <f>RANK(K198, K$182:$K$211)</f>
        <v>#DIV/0!</v>
      </c>
      <c r="N198" s="659"/>
      <c r="O198" s="659"/>
      <c r="P198" s="182"/>
      <c r="Q198" s="182"/>
      <c r="R198" s="182"/>
      <c r="S198" s="493" t="e">
        <f t="shared" si="112"/>
        <v>#N/A</v>
      </c>
      <c r="T198" s="706"/>
      <c r="U198" s="182"/>
      <c r="V198" s="182"/>
      <c r="W198" s="182"/>
      <c r="X198" s="493" t="e">
        <f t="shared" si="113"/>
        <v>#N/A</v>
      </c>
      <c r="Y198" s="706"/>
      <c r="Z198" s="182"/>
      <c r="AA198" s="182"/>
      <c r="AB198" s="182"/>
      <c r="AC198" s="493" t="e">
        <f t="shared" si="114"/>
        <v>#N/A</v>
      </c>
      <c r="AD198" s="706"/>
      <c r="AE198" s="182"/>
      <c r="AF198" s="182"/>
      <c r="AG198" s="182"/>
      <c r="AH198" s="493" t="e">
        <f t="shared" si="115"/>
        <v>#N/A</v>
      </c>
      <c r="AI198" s="706"/>
      <c r="AJ198" s="182"/>
      <c r="AK198" s="182"/>
      <c r="AL198" s="182"/>
      <c r="AM198" s="493" t="e">
        <f t="shared" si="116"/>
        <v>#N/A</v>
      </c>
      <c r="AN198" s="706"/>
      <c r="AO198" s="182"/>
      <c r="AP198" s="182"/>
      <c r="AQ198" s="182"/>
      <c r="AR198" s="493" t="e">
        <f t="shared" si="117"/>
        <v>#N/A</v>
      </c>
      <c r="AS198" s="706"/>
      <c r="AT198" s="182"/>
      <c r="AU198" s="182"/>
      <c r="AV198" s="182"/>
      <c r="AW198" s="496" t="e">
        <f t="shared" si="118"/>
        <v>#N/A</v>
      </c>
      <c r="AX198" s="697"/>
    </row>
    <row r="199" spans="2:50">
      <c r="B199" s="692"/>
      <c r="C199" s="493">
        <v>18</v>
      </c>
      <c r="D199" s="493"/>
      <c r="E199" s="494"/>
      <c r="F199" s="494"/>
      <c r="G199" s="494"/>
      <c r="H199" s="704"/>
      <c r="I199" s="494" t="e">
        <f t="shared" ref="I199:K202" si="119">AVERAGE(P199,U199,Z199,AE199,AJ199,AO199,AT199)</f>
        <v>#DIV/0!</v>
      </c>
      <c r="J199" s="494" t="e">
        <f t="shared" si="119"/>
        <v>#DIV/0!</v>
      </c>
      <c r="K199" s="495" t="e">
        <f t="shared" si="119"/>
        <v>#DIV/0!</v>
      </c>
      <c r="L199" s="641"/>
      <c r="M199" s="494" t="e">
        <f>RANK(K199, K$182:$K$211)</f>
        <v>#DIV/0!</v>
      </c>
      <c r="N199" s="659"/>
      <c r="O199" s="659"/>
      <c r="P199" s="182"/>
      <c r="Q199" s="182"/>
      <c r="R199" s="182"/>
      <c r="S199" s="493" t="e">
        <f t="shared" si="112"/>
        <v>#N/A</v>
      </c>
      <c r="T199" s="706"/>
      <c r="U199" s="182"/>
      <c r="V199" s="182"/>
      <c r="W199" s="182"/>
      <c r="X199" s="493" t="e">
        <f t="shared" si="113"/>
        <v>#N/A</v>
      </c>
      <c r="Y199" s="706"/>
      <c r="Z199" s="182"/>
      <c r="AA199" s="182"/>
      <c r="AB199" s="182"/>
      <c r="AC199" s="493" t="e">
        <f t="shared" si="114"/>
        <v>#N/A</v>
      </c>
      <c r="AD199" s="706"/>
      <c r="AE199" s="182"/>
      <c r="AF199" s="182"/>
      <c r="AG199" s="182"/>
      <c r="AH199" s="493" t="e">
        <f t="shared" si="115"/>
        <v>#N/A</v>
      </c>
      <c r="AI199" s="706"/>
      <c r="AJ199" s="182"/>
      <c r="AK199" s="182"/>
      <c r="AL199" s="182"/>
      <c r="AM199" s="493" t="e">
        <f t="shared" si="116"/>
        <v>#N/A</v>
      </c>
      <c r="AN199" s="706"/>
      <c r="AO199" s="182"/>
      <c r="AP199" s="182"/>
      <c r="AQ199" s="182"/>
      <c r="AR199" s="493" t="e">
        <f t="shared" si="117"/>
        <v>#N/A</v>
      </c>
      <c r="AS199" s="706"/>
      <c r="AT199" s="182"/>
      <c r="AU199" s="182"/>
      <c r="AV199" s="182"/>
      <c r="AW199" s="496" t="e">
        <f t="shared" si="118"/>
        <v>#N/A</v>
      </c>
      <c r="AX199" s="697"/>
    </row>
    <row r="200" spans="2:50">
      <c r="B200" s="692"/>
      <c r="C200" s="493">
        <v>19</v>
      </c>
      <c r="D200" s="493"/>
      <c r="E200" s="494"/>
      <c r="F200" s="494"/>
      <c r="G200" s="494"/>
      <c r="H200" s="704"/>
      <c r="I200" s="494" t="e">
        <f t="shared" si="119"/>
        <v>#DIV/0!</v>
      </c>
      <c r="J200" s="494" t="e">
        <f t="shared" si="119"/>
        <v>#DIV/0!</v>
      </c>
      <c r="K200" s="495" t="e">
        <f t="shared" si="119"/>
        <v>#DIV/0!</v>
      </c>
      <c r="L200" s="641"/>
      <c r="M200" s="494" t="e">
        <f>RANK(K200, K$182:$K$211)</f>
        <v>#DIV/0!</v>
      </c>
      <c r="N200" s="659"/>
      <c r="O200" s="659"/>
      <c r="P200" s="182"/>
      <c r="Q200" s="182"/>
      <c r="R200" s="182"/>
      <c r="S200" s="493" t="e">
        <f t="shared" si="112"/>
        <v>#N/A</v>
      </c>
      <c r="T200" s="706"/>
      <c r="U200" s="182"/>
      <c r="V200" s="182"/>
      <c r="W200" s="182"/>
      <c r="X200" s="493" t="e">
        <f t="shared" si="113"/>
        <v>#N/A</v>
      </c>
      <c r="Y200" s="706"/>
      <c r="Z200" s="182"/>
      <c r="AA200" s="182"/>
      <c r="AB200" s="182"/>
      <c r="AC200" s="493" t="e">
        <f t="shared" si="114"/>
        <v>#N/A</v>
      </c>
      <c r="AD200" s="706"/>
      <c r="AE200" s="182"/>
      <c r="AF200" s="182"/>
      <c r="AG200" s="182"/>
      <c r="AH200" s="493" t="e">
        <f t="shared" si="115"/>
        <v>#N/A</v>
      </c>
      <c r="AI200" s="706"/>
      <c r="AJ200" s="182"/>
      <c r="AK200" s="182"/>
      <c r="AL200" s="182"/>
      <c r="AM200" s="493" t="e">
        <f t="shared" si="116"/>
        <v>#N/A</v>
      </c>
      <c r="AN200" s="706"/>
      <c r="AO200" s="182"/>
      <c r="AP200" s="182"/>
      <c r="AQ200" s="182"/>
      <c r="AR200" s="493" t="e">
        <f t="shared" si="117"/>
        <v>#N/A</v>
      </c>
      <c r="AS200" s="706"/>
      <c r="AT200" s="182"/>
      <c r="AU200" s="182"/>
      <c r="AV200" s="182"/>
      <c r="AW200" s="496" t="e">
        <f t="shared" si="118"/>
        <v>#N/A</v>
      </c>
      <c r="AX200" s="697"/>
    </row>
    <row r="201" spans="2:50">
      <c r="B201" s="692"/>
      <c r="C201" s="493">
        <v>20</v>
      </c>
      <c r="D201" s="493"/>
      <c r="E201" s="494"/>
      <c r="F201" s="494"/>
      <c r="G201" s="494"/>
      <c r="H201" s="704"/>
      <c r="I201" s="494" t="e">
        <f t="shared" si="119"/>
        <v>#DIV/0!</v>
      </c>
      <c r="J201" s="494" t="e">
        <f t="shared" si="119"/>
        <v>#DIV/0!</v>
      </c>
      <c r="K201" s="495" t="e">
        <f t="shared" si="119"/>
        <v>#DIV/0!</v>
      </c>
      <c r="L201" s="641"/>
      <c r="M201" s="494" t="e">
        <f>RANK(K201, K$182:$K$211)</f>
        <v>#DIV/0!</v>
      </c>
      <c r="N201" s="659"/>
      <c r="O201" s="659"/>
      <c r="P201" s="182"/>
      <c r="Q201" s="182"/>
      <c r="R201" s="182"/>
      <c r="S201" s="493" t="e">
        <f t="shared" si="112"/>
        <v>#N/A</v>
      </c>
      <c r="T201" s="706"/>
      <c r="U201" s="182"/>
      <c r="V201" s="182"/>
      <c r="W201" s="182"/>
      <c r="X201" s="493" t="e">
        <f t="shared" si="113"/>
        <v>#N/A</v>
      </c>
      <c r="Y201" s="706"/>
      <c r="Z201" s="182"/>
      <c r="AA201" s="182"/>
      <c r="AB201" s="182"/>
      <c r="AC201" s="493" t="e">
        <f t="shared" si="114"/>
        <v>#N/A</v>
      </c>
      <c r="AD201" s="706"/>
      <c r="AE201" s="182"/>
      <c r="AF201" s="182"/>
      <c r="AG201" s="182"/>
      <c r="AH201" s="493" t="e">
        <f t="shared" si="115"/>
        <v>#N/A</v>
      </c>
      <c r="AI201" s="706"/>
      <c r="AJ201" s="182"/>
      <c r="AK201" s="182"/>
      <c r="AL201" s="182"/>
      <c r="AM201" s="493" t="e">
        <f t="shared" si="116"/>
        <v>#N/A</v>
      </c>
      <c r="AN201" s="706"/>
      <c r="AO201" s="182"/>
      <c r="AP201" s="182"/>
      <c r="AQ201" s="182"/>
      <c r="AR201" s="493" t="e">
        <f t="shared" si="117"/>
        <v>#N/A</v>
      </c>
      <c r="AS201" s="706"/>
      <c r="AT201" s="182"/>
      <c r="AU201" s="182"/>
      <c r="AV201" s="182"/>
      <c r="AW201" s="496" t="e">
        <f t="shared" si="118"/>
        <v>#N/A</v>
      </c>
      <c r="AX201" s="697"/>
    </row>
    <row r="202" spans="2:50">
      <c r="B202" s="692"/>
      <c r="C202" s="493">
        <v>21</v>
      </c>
      <c r="D202" s="497"/>
      <c r="E202" s="494"/>
      <c r="F202" s="494"/>
      <c r="G202" s="494"/>
      <c r="H202" s="704"/>
      <c r="I202" s="494" t="e">
        <f t="shared" si="119"/>
        <v>#DIV/0!</v>
      </c>
      <c r="J202" s="494" t="e">
        <f t="shared" si="119"/>
        <v>#DIV/0!</v>
      </c>
      <c r="K202" s="495" t="e">
        <f t="shared" si="119"/>
        <v>#DIV/0!</v>
      </c>
      <c r="L202" s="641"/>
      <c r="M202" s="494" t="e">
        <f>RANK(K202, K$182:$K$211)</f>
        <v>#DIV/0!</v>
      </c>
      <c r="N202" s="659"/>
      <c r="O202" s="659"/>
      <c r="P202" s="504"/>
      <c r="Q202" s="182"/>
      <c r="R202" s="506"/>
      <c r="S202" s="493" t="e">
        <f t="shared" si="112"/>
        <v>#N/A</v>
      </c>
      <c r="T202" s="706"/>
      <c r="U202" s="504"/>
      <c r="V202" s="182"/>
      <c r="W202" s="506"/>
      <c r="X202" s="493" t="e">
        <f t="shared" si="113"/>
        <v>#N/A</v>
      </c>
      <c r="Y202" s="706"/>
      <c r="Z202" s="504"/>
      <c r="AA202" s="182"/>
      <c r="AB202" s="506"/>
      <c r="AC202" s="493" t="e">
        <f t="shared" si="114"/>
        <v>#N/A</v>
      </c>
      <c r="AD202" s="706"/>
      <c r="AE202" s="504"/>
      <c r="AF202" s="182"/>
      <c r="AG202" s="506"/>
      <c r="AH202" s="493" t="e">
        <f t="shared" si="115"/>
        <v>#N/A</v>
      </c>
      <c r="AI202" s="706"/>
      <c r="AJ202" s="504"/>
      <c r="AK202" s="182"/>
      <c r="AL202" s="506"/>
      <c r="AM202" s="493" t="e">
        <f t="shared" si="116"/>
        <v>#N/A</v>
      </c>
      <c r="AN202" s="706"/>
      <c r="AO202" s="504"/>
      <c r="AP202" s="182"/>
      <c r="AQ202" s="506"/>
      <c r="AR202" s="493" t="e">
        <f t="shared" si="117"/>
        <v>#N/A</v>
      </c>
      <c r="AS202" s="706"/>
      <c r="AT202" s="504"/>
      <c r="AU202" s="182"/>
      <c r="AV202" s="506"/>
      <c r="AW202" s="496" t="e">
        <f t="shared" si="118"/>
        <v>#N/A</v>
      </c>
      <c r="AX202" s="697"/>
    </row>
    <row r="203" spans="2:50">
      <c r="B203" s="692"/>
      <c r="C203" s="493">
        <v>22</v>
      </c>
      <c r="D203" s="493"/>
      <c r="E203" s="494"/>
      <c r="F203" s="494"/>
      <c r="G203" s="494"/>
      <c r="H203" s="704"/>
      <c r="I203" s="494"/>
      <c r="J203" s="494"/>
      <c r="K203" s="495"/>
      <c r="L203" s="641"/>
      <c r="M203" s="494" t="e">
        <f>RANK(K203, K$182:$K$211)</f>
        <v>#DIV/0!</v>
      </c>
      <c r="N203" s="659"/>
      <c r="O203" s="659"/>
      <c r="P203" s="504"/>
      <c r="Q203" s="182"/>
      <c r="R203" s="506"/>
      <c r="S203" s="493" t="e">
        <f t="shared" si="112"/>
        <v>#N/A</v>
      </c>
      <c r="T203" s="706"/>
      <c r="U203" s="504"/>
      <c r="V203" s="182"/>
      <c r="W203" s="506"/>
      <c r="X203" s="493" t="e">
        <f t="shared" si="113"/>
        <v>#N/A</v>
      </c>
      <c r="Y203" s="706"/>
      <c r="Z203" s="504"/>
      <c r="AA203" s="182"/>
      <c r="AB203" s="506"/>
      <c r="AC203" s="493" t="e">
        <f t="shared" si="114"/>
        <v>#N/A</v>
      </c>
      <c r="AD203" s="706"/>
      <c r="AE203" s="504"/>
      <c r="AF203" s="182"/>
      <c r="AG203" s="506"/>
      <c r="AH203" s="493" t="e">
        <f t="shared" si="115"/>
        <v>#N/A</v>
      </c>
      <c r="AI203" s="706"/>
      <c r="AJ203" s="504"/>
      <c r="AK203" s="182"/>
      <c r="AL203" s="506"/>
      <c r="AM203" s="493" t="e">
        <f t="shared" si="116"/>
        <v>#N/A</v>
      </c>
      <c r="AN203" s="706"/>
      <c r="AO203" s="504"/>
      <c r="AP203" s="182"/>
      <c r="AQ203" s="506"/>
      <c r="AR203" s="493" t="e">
        <f t="shared" si="117"/>
        <v>#N/A</v>
      </c>
      <c r="AS203" s="706"/>
      <c r="AT203" s="504"/>
      <c r="AU203" s="182"/>
      <c r="AV203" s="506"/>
      <c r="AW203" s="496" t="e">
        <f t="shared" si="118"/>
        <v>#N/A</v>
      </c>
      <c r="AX203" s="697"/>
    </row>
    <row r="204" spans="2:50">
      <c r="B204" s="692"/>
      <c r="C204" s="493">
        <v>23</v>
      </c>
      <c r="D204" s="493"/>
      <c r="E204" s="494"/>
      <c r="F204" s="494"/>
      <c r="G204" s="494"/>
      <c r="H204" s="704"/>
      <c r="I204" s="494"/>
      <c r="J204" s="494"/>
      <c r="K204" s="495"/>
      <c r="L204" s="641"/>
      <c r="M204" s="494" t="e">
        <f>RANK(K204, K$182:$K$211)</f>
        <v>#DIV/0!</v>
      </c>
      <c r="N204" s="659"/>
      <c r="O204" s="659"/>
      <c r="P204" s="504"/>
      <c r="Q204" s="504"/>
      <c r="R204" s="506"/>
      <c r="S204" s="493" t="e">
        <f t="shared" si="112"/>
        <v>#N/A</v>
      </c>
      <c r="T204" s="706"/>
      <c r="U204" s="504"/>
      <c r="V204" s="504"/>
      <c r="W204" s="506"/>
      <c r="X204" s="493" t="e">
        <f t="shared" si="113"/>
        <v>#N/A</v>
      </c>
      <c r="Y204" s="706"/>
      <c r="Z204" s="504"/>
      <c r="AA204" s="504"/>
      <c r="AB204" s="506"/>
      <c r="AC204" s="493" t="e">
        <f t="shared" si="114"/>
        <v>#N/A</v>
      </c>
      <c r="AD204" s="706"/>
      <c r="AE204" s="504"/>
      <c r="AF204" s="504"/>
      <c r="AG204" s="506"/>
      <c r="AH204" s="493" t="e">
        <f t="shared" si="115"/>
        <v>#N/A</v>
      </c>
      <c r="AI204" s="706"/>
      <c r="AJ204" s="504"/>
      <c r="AK204" s="504"/>
      <c r="AL204" s="506"/>
      <c r="AM204" s="493" t="e">
        <f t="shared" si="116"/>
        <v>#N/A</v>
      </c>
      <c r="AN204" s="706"/>
      <c r="AO204" s="504"/>
      <c r="AP204" s="504"/>
      <c r="AQ204" s="506"/>
      <c r="AR204" s="493" t="e">
        <f t="shared" si="117"/>
        <v>#N/A</v>
      </c>
      <c r="AS204" s="706"/>
      <c r="AT204" s="504"/>
      <c r="AU204" s="504"/>
      <c r="AV204" s="506"/>
      <c r="AW204" s="496" t="e">
        <f t="shared" si="118"/>
        <v>#N/A</v>
      </c>
      <c r="AX204" s="697"/>
    </row>
    <row r="205" spans="2:50">
      <c r="B205" s="692"/>
      <c r="C205" s="493">
        <v>24</v>
      </c>
      <c r="D205" s="488"/>
      <c r="E205" s="494"/>
      <c r="F205" s="494"/>
      <c r="G205" s="494"/>
      <c r="H205" s="704"/>
      <c r="I205" s="494"/>
      <c r="J205" s="494"/>
      <c r="K205" s="495"/>
      <c r="L205" s="641"/>
      <c r="M205" s="494" t="e">
        <f>RANK(K205, K$182:$K$211)</f>
        <v>#DIV/0!</v>
      </c>
      <c r="N205" s="659"/>
      <c r="O205" s="659"/>
      <c r="P205" s="504"/>
      <c r="Q205" s="504"/>
      <c r="R205" s="504"/>
      <c r="S205" s="493" t="e">
        <f t="shared" si="112"/>
        <v>#N/A</v>
      </c>
      <c r="T205" s="706"/>
      <c r="U205" s="504"/>
      <c r="V205" s="504"/>
      <c r="W205" s="504"/>
      <c r="X205" s="493" t="e">
        <f t="shared" si="113"/>
        <v>#N/A</v>
      </c>
      <c r="Y205" s="706"/>
      <c r="Z205" s="504"/>
      <c r="AA205" s="504"/>
      <c r="AB205" s="504"/>
      <c r="AC205" s="493" t="e">
        <f t="shared" si="114"/>
        <v>#N/A</v>
      </c>
      <c r="AD205" s="706"/>
      <c r="AE205" s="504"/>
      <c r="AF205" s="504"/>
      <c r="AG205" s="504"/>
      <c r="AH205" s="493" t="e">
        <f t="shared" si="115"/>
        <v>#N/A</v>
      </c>
      <c r="AI205" s="706"/>
      <c r="AJ205" s="504"/>
      <c r="AK205" s="504"/>
      <c r="AL205" s="504"/>
      <c r="AM205" s="493" t="e">
        <f t="shared" si="116"/>
        <v>#N/A</v>
      </c>
      <c r="AN205" s="706"/>
      <c r="AO205" s="504"/>
      <c r="AP205" s="504"/>
      <c r="AQ205" s="504"/>
      <c r="AR205" s="493" t="e">
        <f t="shared" si="117"/>
        <v>#N/A</v>
      </c>
      <c r="AS205" s="706"/>
      <c r="AT205" s="504"/>
      <c r="AU205" s="504"/>
      <c r="AV205" s="504"/>
      <c r="AW205" s="496" t="e">
        <f t="shared" si="118"/>
        <v>#N/A</v>
      </c>
      <c r="AX205" s="697"/>
    </row>
    <row r="206" spans="2:50">
      <c r="B206" s="692"/>
      <c r="C206" s="493">
        <v>25</v>
      </c>
      <c r="D206" s="493"/>
      <c r="E206" s="494"/>
      <c r="F206" s="494"/>
      <c r="G206" s="494"/>
      <c r="H206" s="704"/>
      <c r="I206" s="494"/>
      <c r="J206" s="494"/>
      <c r="K206" s="495"/>
      <c r="L206" s="641"/>
      <c r="M206" s="494" t="e">
        <f>RANK(K206, K$182:$K$211)</f>
        <v>#DIV/0!</v>
      </c>
      <c r="N206" s="659"/>
      <c r="O206" s="659"/>
      <c r="P206" s="504"/>
      <c r="Q206" s="504"/>
      <c r="R206" s="504"/>
      <c r="S206" s="493" t="e">
        <f t="shared" si="112"/>
        <v>#N/A</v>
      </c>
      <c r="T206" s="706"/>
      <c r="U206" s="504"/>
      <c r="V206" s="504"/>
      <c r="W206" s="504"/>
      <c r="X206" s="493" t="e">
        <f t="shared" si="113"/>
        <v>#N/A</v>
      </c>
      <c r="Y206" s="706"/>
      <c r="Z206" s="504"/>
      <c r="AA206" s="504"/>
      <c r="AB206" s="504"/>
      <c r="AC206" s="493" t="e">
        <f t="shared" si="114"/>
        <v>#N/A</v>
      </c>
      <c r="AD206" s="706"/>
      <c r="AE206" s="504"/>
      <c r="AF206" s="504"/>
      <c r="AG206" s="504"/>
      <c r="AH206" s="493" t="e">
        <f t="shared" si="115"/>
        <v>#N/A</v>
      </c>
      <c r="AI206" s="706"/>
      <c r="AJ206" s="504"/>
      <c r="AK206" s="504"/>
      <c r="AL206" s="504"/>
      <c r="AM206" s="493" t="e">
        <f t="shared" si="116"/>
        <v>#N/A</v>
      </c>
      <c r="AN206" s="706"/>
      <c r="AO206" s="504"/>
      <c r="AP206" s="504"/>
      <c r="AQ206" s="504"/>
      <c r="AR206" s="493" t="e">
        <f t="shared" si="117"/>
        <v>#N/A</v>
      </c>
      <c r="AS206" s="706"/>
      <c r="AT206" s="504"/>
      <c r="AU206" s="504"/>
      <c r="AV206" s="504"/>
      <c r="AW206" s="496" t="e">
        <f t="shared" si="118"/>
        <v>#N/A</v>
      </c>
      <c r="AX206" s="697"/>
    </row>
    <row r="207" spans="2:50">
      <c r="B207" s="692"/>
      <c r="C207" s="493">
        <v>26</v>
      </c>
      <c r="D207" s="493"/>
      <c r="E207" s="494"/>
      <c r="F207" s="494"/>
      <c r="G207" s="494"/>
      <c r="H207" s="704"/>
      <c r="I207" s="494"/>
      <c r="J207" s="494"/>
      <c r="K207" s="495"/>
      <c r="L207" s="641"/>
      <c r="M207" s="494" t="e">
        <f>RANK(K207, K$182:$K$211)</f>
        <v>#DIV/0!</v>
      </c>
      <c r="N207" s="659"/>
      <c r="O207" s="659"/>
      <c r="P207" s="504"/>
      <c r="Q207" s="504"/>
      <c r="R207" s="504"/>
      <c r="S207" s="493" t="e">
        <f t="shared" si="112"/>
        <v>#N/A</v>
      </c>
      <c r="T207" s="706"/>
      <c r="U207" s="504"/>
      <c r="V207" s="504"/>
      <c r="W207" s="504"/>
      <c r="X207" s="493" t="e">
        <f t="shared" si="113"/>
        <v>#N/A</v>
      </c>
      <c r="Y207" s="706"/>
      <c r="Z207" s="504"/>
      <c r="AA207" s="504"/>
      <c r="AB207" s="504"/>
      <c r="AC207" s="493" t="e">
        <f t="shared" si="114"/>
        <v>#N/A</v>
      </c>
      <c r="AD207" s="706"/>
      <c r="AE207" s="504"/>
      <c r="AF207" s="504"/>
      <c r="AG207" s="504"/>
      <c r="AH207" s="493" t="e">
        <f t="shared" si="115"/>
        <v>#N/A</v>
      </c>
      <c r="AI207" s="706"/>
      <c r="AJ207" s="504"/>
      <c r="AK207" s="504"/>
      <c r="AL207" s="504"/>
      <c r="AM207" s="493" t="e">
        <f t="shared" si="116"/>
        <v>#N/A</v>
      </c>
      <c r="AN207" s="706"/>
      <c r="AO207" s="504"/>
      <c r="AP207" s="504"/>
      <c r="AQ207" s="504"/>
      <c r="AR207" s="493" t="e">
        <f t="shared" si="117"/>
        <v>#N/A</v>
      </c>
      <c r="AS207" s="706"/>
      <c r="AT207" s="504"/>
      <c r="AU207" s="504"/>
      <c r="AV207" s="504"/>
      <c r="AW207" s="496" t="e">
        <f t="shared" si="118"/>
        <v>#N/A</v>
      </c>
      <c r="AX207" s="697"/>
    </row>
    <row r="208" spans="2:50">
      <c r="B208" s="692"/>
      <c r="C208" s="493">
        <v>27</v>
      </c>
      <c r="D208" s="493"/>
      <c r="E208" s="494"/>
      <c r="F208" s="494"/>
      <c r="G208" s="494"/>
      <c r="H208" s="704"/>
      <c r="I208" s="494"/>
      <c r="J208" s="494"/>
      <c r="K208" s="495"/>
      <c r="L208" s="641"/>
      <c r="M208" s="494" t="e">
        <f>RANK(K208, K$182:$K$211)</f>
        <v>#DIV/0!</v>
      </c>
      <c r="N208" s="659"/>
      <c r="O208" s="659"/>
      <c r="P208" s="504"/>
      <c r="Q208" s="504"/>
      <c r="R208" s="504"/>
      <c r="S208" s="493" t="e">
        <f t="shared" si="112"/>
        <v>#N/A</v>
      </c>
      <c r="T208" s="706"/>
      <c r="U208" s="504"/>
      <c r="V208" s="504"/>
      <c r="W208" s="504"/>
      <c r="X208" s="493" t="e">
        <f t="shared" si="113"/>
        <v>#N/A</v>
      </c>
      <c r="Y208" s="706"/>
      <c r="Z208" s="504"/>
      <c r="AA208" s="504"/>
      <c r="AB208" s="504"/>
      <c r="AC208" s="493" t="e">
        <f t="shared" si="114"/>
        <v>#N/A</v>
      </c>
      <c r="AD208" s="706"/>
      <c r="AE208" s="504"/>
      <c r="AF208" s="504"/>
      <c r="AG208" s="504"/>
      <c r="AH208" s="493" t="e">
        <f t="shared" si="115"/>
        <v>#N/A</v>
      </c>
      <c r="AI208" s="706"/>
      <c r="AJ208" s="504"/>
      <c r="AK208" s="504"/>
      <c r="AL208" s="504"/>
      <c r="AM208" s="493" t="e">
        <f t="shared" si="116"/>
        <v>#N/A</v>
      </c>
      <c r="AN208" s="706"/>
      <c r="AO208" s="504"/>
      <c r="AP208" s="504"/>
      <c r="AQ208" s="504"/>
      <c r="AR208" s="493" t="e">
        <f t="shared" si="117"/>
        <v>#N/A</v>
      </c>
      <c r="AS208" s="706"/>
      <c r="AT208" s="504"/>
      <c r="AU208" s="504"/>
      <c r="AV208" s="504"/>
      <c r="AW208" s="496" t="e">
        <f t="shared" si="118"/>
        <v>#N/A</v>
      </c>
      <c r="AX208" s="697"/>
    </row>
    <row r="209" spans="2:50">
      <c r="B209" s="692"/>
      <c r="C209" s="493">
        <v>28</v>
      </c>
      <c r="D209" s="493"/>
      <c r="E209" s="494"/>
      <c r="F209" s="494"/>
      <c r="G209" s="494"/>
      <c r="H209" s="704"/>
      <c r="I209" s="494"/>
      <c r="J209" s="494"/>
      <c r="K209" s="495"/>
      <c r="L209" s="641"/>
      <c r="M209" s="494" t="e">
        <f>RANK(K209, K$182:$K$211)</f>
        <v>#DIV/0!</v>
      </c>
      <c r="N209" s="659"/>
      <c r="O209" s="659"/>
      <c r="P209" s="504"/>
      <c r="Q209" s="504"/>
      <c r="R209" s="504"/>
      <c r="S209" s="493" t="e">
        <f t="shared" si="112"/>
        <v>#N/A</v>
      </c>
      <c r="T209" s="706"/>
      <c r="U209" s="504"/>
      <c r="V209" s="504"/>
      <c r="W209" s="504"/>
      <c r="X209" s="493" t="e">
        <f t="shared" si="113"/>
        <v>#N/A</v>
      </c>
      <c r="Y209" s="706"/>
      <c r="Z209" s="504"/>
      <c r="AA209" s="504"/>
      <c r="AB209" s="504"/>
      <c r="AC209" s="493" t="e">
        <f t="shared" si="114"/>
        <v>#N/A</v>
      </c>
      <c r="AD209" s="706"/>
      <c r="AE209" s="504"/>
      <c r="AF209" s="504"/>
      <c r="AG209" s="504"/>
      <c r="AH209" s="493" t="e">
        <f t="shared" si="115"/>
        <v>#N/A</v>
      </c>
      <c r="AI209" s="706"/>
      <c r="AJ209" s="504"/>
      <c r="AK209" s="504"/>
      <c r="AL209" s="504"/>
      <c r="AM209" s="493" t="e">
        <f t="shared" si="116"/>
        <v>#N/A</v>
      </c>
      <c r="AN209" s="706"/>
      <c r="AO209" s="504"/>
      <c r="AP209" s="504"/>
      <c r="AQ209" s="504"/>
      <c r="AR209" s="493" t="e">
        <f t="shared" si="117"/>
        <v>#N/A</v>
      </c>
      <c r="AS209" s="706"/>
      <c r="AT209" s="504"/>
      <c r="AU209" s="504"/>
      <c r="AV209" s="504"/>
      <c r="AW209" s="496" t="e">
        <f t="shared" si="118"/>
        <v>#N/A</v>
      </c>
      <c r="AX209" s="697"/>
    </row>
    <row r="210" spans="2:50">
      <c r="B210" s="692"/>
      <c r="C210" s="493">
        <v>29</v>
      </c>
      <c r="D210" s="493"/>
      <c r="E210" s="494"/>
      <c r="F210" s="494"/>
      <c r="G210" s="494"/>
      <c r="H210" s="704"/>
      <c r="I210" s="494"/>
      <c r="J210" s="494"/>
      <c r="K210" s="495"/>
      <c r="L210" s="641"/>
      <c r="M210" s="494" t="e">
        <f>RANK(K210, K$182:$K$211)</f>
        <v>#DIV/0!</v>
      </c>
      <c r="N210" s="659"/>
      <c r="O210" s="659"/>
      <c r="P210" s="504"/>
      <c r="Q210" s="504"/>
      <c r="R210" s="504"/>
      <c r="S210" s="493" t="e">
        <f t="shared" si="112"/>
        <v>#N/A</v>
      </c>
      <c r="T210" s="706"/>
      <c r="U210" s="504"/>
      <c r="V210" s="504"/>
      <c r="W210" s="504"/>
      <c r="X210" s="493" t="e">
        <f t="shared" si="113"/>
        <v>#N/A</v>
      </c>
      <c r="Y210" s="706"/>
      <c r="Z210" s="504"/>
      <c r="AA210" s="504"/>
      <c r="AB210" s="504"/>
      <c r="AC210" s="493" t="e">
        <f t="shared" si="114"/>
        <v>#N/A</v>
      </c>
      <c r="AD210" s="706"/>
      <c r="AE210" s="504"/>
      <c r="AF210" s="504"/>
      <c r="AG210" s="504"/>
      <c r="AH210" s="493" t="e">
        <f t="shared" si="115"/>
        <v>#N/A</v>
      </c>
      <c r="AI210" s="706"/>
      <c r="AJ210" s="504"/>
      <c r="AK210" s="504"/>
      <c r="AL210" s="504"/>
      <c r="AM210" s="493" t="e">
        <f t="shared" si="116"/>
        <v>#N/A</v>
      </c>
      <c r="AN210" s="706"/>
      <c r="AO210" s="504"/>
      <c r="AP210" s="504"/>
      <c r="AQ210" s="504"/>
      <c r="AR210" s="493" t="e">
        <f t="shared" si="117"/>
        <v>#N/A</v>
      </c>
      <c r="AS210" s="706"/>
      <c r="AT210" s="504"/>
      <c r="AU210" s="504"/>
      <c r="AV210" s="504"/>
      <c r="AW210" s="496" t="e">
        <f t="shared" si="118"/>
        <v>#N/A</v>
      </c>
      <c r="AX210" s="697"/>
    </row>
    <row r="211" spans="2:50">
      <c r="B211" s="692"/>
      <c r="C211" s="493">
        <v>30</v>
      </c>
      <c r="D211" s="493"/>
      <c r="E211" s="494"/>
      <c r="F211" s="494"/>
      <c r="G211" s="494"/>
      <c r="H211" s="704"/>
      <c r="I211" s="494"/>
      <c r="J211" s="494"/>
      <c r="K211" s="495"/>
      <c r="L211" s="642"/>
      <c r="M211" s="494" t="e">
        <f>RANK(K211, K$182:$K$211)</f>
        <v>#DIV/0!</v>
      </c>
      <c r="N211" s="659"/>
      <c r="O211" s="659"/>
      <c r="P211" s="504"/>
      <c r="Q211" s="504"/>
      <c r="R211" s="504"/>
      <c r="S211" s="493" t="e">
        <f t="shared" si="112"/>
        <v>#N/A</v>
      </c>
      <c r="T211" s="706"/>
      <c r="U211" s="504"/>
      <c r="V211" s="504"/>
      <c r="W211" s="504"/>
      <c r="X211" s="493" t="e">
        <f t="shared" si="113"/>
        <v>#N/A</v>
      </c>
      <c r="Y211" s="706"/>
      <c r="Z211" s="504"/>
      <c r="AA211" s="504"/>
      <c r="AB211" s="504"/>
      <c r="AC211" s="493" t="e">
        <f t="shared" si="114"/>
        <v>#N/A</v>
      </c>
      <c r="AD211" s="706"/>
      <c r="AE211" s="504"/>
      <c r="AF211" s="504"/>
      <c r="AG211" s="504"/>
      <c r="AH211" s="493" t="e">
        <f t="shared" si="115"/>
        <v>#N/A</v>
      </c>
      <c r="AI211" s="706"/>
      <c r="AJ211" s="504"/>
      <c r="AK211" s="504"/>
      <c r="AL211" s="504"/>
      <c r="AM211" s="493" t="e">
        <f t="shared" si="116"/>
        <v>#N/A</v>
      </c>
      <c r="AN211" s="706"/>
      <c r="AO211" s="504"/>
      <c r="AP211" s="504"/>
      <c r="AQ211" s="504"/>
      <c r="AR211" s="493" t="e">
        <f t="shared" si="117"/>
        <v>#N/A</v>
      </c>
      <c r="AS211" s="706"/>
      <c r="AT211" s="504"/>
      <c r="AU211" s="504"/>
      <c r="AV211" s="504"/>
      <c r="AW211" s="496" t="e">
        <f t="shared" si="118"/>
        <v>#N/A</v>
      </c>
      <c r="AX211" s="697"/>
    </row>
    <row r="213" spans="2:50" ht="15.75">
      <c r="B213" s="698" t="s">
        <v>661</v>
      </c>
      <c r="C213" s="699"/>
      <c r="D213" s="699"/>
      <c r="E213" s="699"/>
      <c r="F213" s="699"/>
      <c r="G213" s="699"/>
      <c r="H213" s="700"/>
      <c r="I213" s="347"/>
      <c r="J213" s="347"/>
      <c r="K213" s="347"/>
      <c r="L213" s="347"/>
      <c r="M213" s="348"/>
    </row>
    <row r="214" spans="2:50" ht="15.75">
      <c r="B214" s="701"/>
      <c r="C214" s="701"/>
      <c r="D214" s="701"/>
      <c r="E214" s="701"/>
      <c r="F214" s="701"/>
      <c r="G214" s="701"/>
      <c r="H214" s="701"/>
      <c r="I214" s="349"/>
      <c r="J214" s="349"/>
      <c r="K214" s="349"/>
      <c r="L214" s="349"/>
      <c r="M214" s="350"/>
    </row>
    <row r="215" spans="2:50">
      <c r="B215" s="659" t="s">
        <v>662</v>
      </c>
      <c r="C215" s="659" t="s">
        <v>663</v>
      </c>
      <c r="D215" s="659"/>
      <c r="E215" s="659" t="s">
        <v>664</v>
      </c>
      <c r="F215" s="659"/>
      <c r="G215" s="659"/>
      <c r="H215" s="659" t="s">
        <v>665</v>
      </c>
      <c r="I215" s="702" t="s">
        <v>666</v>
      </c>
      <c r="J215" s="702"/>
      <c r="K215" s="702"/>
      <c r="L215" s="702" t="s">
        <v>665</v>
      </c>
      <c r="M215" s="702" t="s">
        <v>667</v>
      </c>
    </row>
    <row r="216" spans="2:50">
      <c r="B216" s="659"/>
      <c r="C216" s="659"/>
      <c r="D216" s="659"/>
      <c r="E216" s="659" t="s">
        <v>668</v>
      </c>
      <c r="F216" s="659"/>
      <c r="G216" s="659"/>
      <c r="H216" s="659"/>
      <c r="I216" s="702" t="s">
        <v>668</v>
      </c>
      <c r="J216" s="702"/>
      <c r="K216" s="702"/>
      <c r="L216" s="702"/>
      <c r="M216" s="702"/>
    </row>
    <row r="217" spans="2:50">
      <c r="B217" s="659"/>
      <c r="C217" s="659"/>
      <c r="D217" s="659"/>
      <c r="E217" s="344" t="s">
        <v>669</v>
      </c>
      <c r="F217" s="344" t="s">
        <v>670</v>
      </c>
      <c r="G217" s="344" t="s">
        <v>671</v>
      </c>
      <c r="H217" s="659"/>
      <c r="I217" s="351" t="s">
        <v>669</v>
      </c>
      <c r="J217" s="351" t="s">
        <v>670</v>
      </c>
      <c r="K217" s="351" t="s">
        <v>671</v>
      </c>
      <c r="L217" s="702"/>
      <c r="M217" s="702"/>
    </row>
    <row r="218" spans="2:50">
      <c r="B218" s="691" t="s">
        <v>672</v>
      </c>
      <c r="C218" s="343">
        <v>1</v>
      </c>
      <c r="D218" s="343"/>
      <c r="E218" s="343"/>
      <c r="F218" s="343"/>
      <c r="G218" s="343"/>
      <c r="H218" s="681" t="e">
        <f>AVERAGE(G218:G247)</f>
        <v>#DIV/0!</v>
      </c>
      <c r="I218" s="199" t="e">
        <f t="shared" ref="I218:K240" si="120">AVERAGEIF($D$7:$D$211,$D218,I$7:I$211)</f>
        <v>#DIV/0!</v>
      </c>
      <c r="J218" s="199" t="e">
        <f t="shared" si="120"/>
        <v>#DIV/0!</v>
      </c>
      <c r="K218" s="199" t="e">
        <f>AVERAGEIF($D$7:$D$211,$D218,K$7:K$211)</f>
        <v>#DIV/0!</v>
      </c>
      <c r="L218" s="705" t="e">
        <f>AVERAGE(K218:K247)</f>
        <v>#DIV/0!</v>
      </c>
      <c r="M218" s="199" t="e">
        <f>RANK(K218, K$218:$K$247)</f>
        <v>#DIV/0!</v>
      </c>
    </row>
    <row r="219" spans="2:50">
      <c r="B219" s="667"/>
      <c r="C219" s="343">
        <v>2</v>
      </c>
      <c r="D219" s="343"/>
      <c r="E219" s="343"/>
      <c r="F219" s="343"/>
      <c r="G219" s="530"/>
      <c r="H219" s="681"/>
      <c r="I219" s="199" t="e">
        <f t="shared" si="120"/>
        <v>#DIV/0!</v>
      </c>
      <c r="J219" s="199" t="e">
        <f t="shared" si="120"/>
        <v>#DIV/0!</v>
      </c>
      <c r="K219" s="199" t="e">
        <f t="shared" si="120"/>
        <v>#DIV/0!</v>
      </c>
      <c r="L219" s="705"/>
      <c r="M219" s="199" t="e">
        <f>RANK(K219, K$218:$K$247)</f>
        <v>#DIV/0!</v>
      </c>
    </row>
    <row r="220" spans="2:50">
      <c r="B220" s="667"/>
      <c r="C220" s="343">
        <v>3</v>
      </c>
      <c r="D220" s="343"/>
      <c r="E220" s="343"/>
      <c r="F220" s="530"/>
      <c r="G220" s="343"/>
      <c r="H220" s="681"/>
      <c r="I220" s="199" t="e">
        <f t="shared" si="120"/>
        <v>#DIV/0!</v>
      </c>
      <c r="J220" s="199" t="e">
        <f t="shared" si="120"/>
        <v>#DIV/0!</v>
      </c>
      <c r="K220" s="199" t="e">
        <f t="shared" si="120"/>
        <v>#DIV/0!</v>
      </c>
      <c r="L220" s="705"/>
      <c r="M220" s="199" t="e">
        <f>RANK(K220, K$218:$K$247)</f>
        <v>#DIV/0!</v>
      </c>
    </row>
    <row r="221" spans="2:50">
      <c r="B221" s="667"/>
      <c r="C221" s="343">
        <v>4</v>
      </c>
      <c r="D221" s="343"/>
      <c r="E221" s="343"/>
      <c r="F221" s="530"/>
      <c r="G221" s="530"/>
      <c r="H221" s="681"/>
      <c r="I221" s="199" t="e">
        <f t="shared" si="120"/>
        <v>#DIV/0!</v>
      </c>
      <c r="J221" s="199" t="e">
        <f t="shared" si="120"/>
        <v>#DIV/0!</v>
      </c>
      <c r="K221" s="199" t="e">
        <f t="shared" si="120"/>
        <v>#DIV/0!</v>
      </c>
      <c r="L221" s="705"/>
      <c r="M221" s="199" t="e">
        <f>RANK(K221, K$218:$K$247)</f>
        <v>#DIV/0!</v>
      </c>
    </row>
    <row r="222" spans="2:50">
      <c r="B222" s="667"/>
      <c r="C222" s="343">
        <v>5</v>
      </c>
      <c r="D222" s="343"/>
      <c r="E222" s="343"/>
      <c r="F222" s="530"/>
      <c r="G222" s="530"/>
      <c r="H222" s="681"/>
      <c r="I222" s="199" t="e">
        <f t="shared" si="120"/>
        <v>#DIV/0!</v>
      </c>
      <c r="J222" s="199" t="e">
        <f t="shared" si="120"/>
        <v>#DIV/0!</v>
      </c>
      <c r="K222" s="199" t="e">
        <f t="shared" si="120"/>
        <v>#DIV/0!</v>
      </c>
      <c r="L222" s="705"/>
      <c r="M222" s="199" t="e">
        <f>RANK(K222, K$218:$K$247)</f>
        <v>#DIV/0!</v>
      </c>
    </row>
    <row r="223" spans="2:50">
      <c r="B223" s="667"/>
      <c r="C223" s="343">
        <v>6</v>
      </c>
      <c r="D223" s="343"/>
      <c r="E223" s="343"/>
      <c r="F223" s="530"/>
      <c r="G223" s="530"/>
      <c r="H223" s="681"/>
      <c r="I223" s="199" t="e">
        <f t="shared" si="120"/>
        <v>#DIV/0!</v>
      </c>
      <c r="J223" s="199" t="e">
        <f t="shared" si="120"/>
        <v>#DIV/0!</v>
      </c>
      <c r="K223" s="199" t="e">
        <f t="shared" si="120"/>
        <v>#DIV/0!</v>
      </c>
      <c r="L223" s="705"/>
      <c r="M223" s="199" t="e">
        <f>RANK(K223, K$218:$K$247)</f>
        <v>#DIV/0!</v>
      </c>
    </row>
    <row r="224" spans="2:50">
      <c r="B224" s="667"/>
      <c r="C224" s="343">
        <v>7</v>
      </c>
      <c r="D224" s="529"/>
      <c r="E224" s="343"/>
      <c r="F224" s="530"/>
      <c r="G224" s="530"/>
      <c r="H224" s="681"/>
      <c r="I224" s="199" t="e">
        <f t="shared" si="120"/>
        <v>#DIV/0!</v>
      </c>
      <c r="J224" s="199" t="e">
        <f t="shared" si="120"/>
        <v>#DIV/0!</v>
      </c>
      <c r="K224" s="199" t="e">
        <f t="shared" si="120"/>
        <v>#DIV/0!</v>
      </c>
      <c r="L224" s="705"/>
      <c r="M224" s="199" t="e">
        <f>RANK(K224, K$218:$K$247)</f>
        <v>#DIV/0!</v>
      </c>
    </row>
    <row r="225" spans="2:13" s="108" customFormat="1">
      <c r="B225" s="667"/>
      <c r="C225" s="343">
        <v>8</v>
      </c>
      <c r="D225" s="529"/>
      <c r="E225" s="343"/>
      <c r="F225" s="530"/>
      <c r="G225" s="530"/>
      <c r="H225" s="681"/>
      <c r="I225" s="199" t="e">
        <f t="shared" si="120"/>
        <v>#DIV/0!</v>
      </c>
      <c r="J225" s="199" t="e">
        <f t="shared" si="120"/>
        <v>#DIV/0!</v>
      </c>
      <c r="K225" s="199" t="e">
        <f t="shared" si="120"/>
        <v>#DIV/0!</v>
      </c>
      <c r="L225" s="705"/>
      <c r="M225" s="199" t="e">
        <f>RANK(K225, K$218:$K$247)</f>
        <v>#DIV/0!</v>
      </c>
    </row>
    <row r="226" spans="2:13" s="108" customFormat="1">
      <c r="B226" s="667"/>
      <c r="C226" s="343">
        <v>9</v>
      </c>
      <c r="D226" s="343"/>
      <c r="E226" s="343"/>
      <c r="F226" s="343"/>
      <c r="G226" s="343"/>
      <c r="H226" s="681"/>
      <c r="I226" s="199" t="e">
        <f t="shared" si="120"/>
        <v>#DIV/0!</v>
      </c>
      <c r="J226" s="199" t="e">
        <f t="shared" si="120"/>
        <v>#DIV/0!</v>
      </c>
      <c r="K226" s="199" t="e">
        <f t="shared" si="120"/>
        <v>#DIV/0!</v>
      </c>
      <c r="L226" s="705"/>
      <c r="M226" s="199" t="e">
        <f>RANK(K226, K$218:$K$247)</f>
        <v>#DIV/0!</v>
      </c>
    </row>
    <row r="227" spans="2:13" s="108" customFormat="1">
      <c r="B227" s="667"/>
      <c r="C227" s="343">
        <v>10</v>
      </c>
      <c r="D227" s="343"/>
      <c r="E227" s="343"/>
      <c r="F227" s="343"/>
      <c r="G227" s="343"/>
      <c r="H227" s="681"/>
      <c r="I227" s="199" t="e">
        <f t="shared" si="120"/>
        <v>#DIV/0!</v>
      </c>
      <c r="J227" s="199" t="e">
        <f t="shared" si="120"/>
        <v>#DIV/0!</v>
      </c>
      <c r="K227" s="199" t="e">
        <f t="shared" si="120"/>
        <v>#DIV/0!</v>
      </c>
      <c r="L227" s="705"/>
      <c r="M227" s="199" t="e">
        <f>RANK(K227, K$218:$K$247)</f>
        <v>#DIV/0!</v>
      </c>
    </row>
    <row r="228" spans="2:13" s="108" customFormat="1">
      <c r="B228" s="667"/>
      <c r="C228" s="343">
        <v>11</v>
      </c>
      <c r="D228" s="343"/>
      <c r="E228" s="343"/>
      <c r="F228" s="343"/>
      <c r="G228" s="343"/>
      <c r="H228" s="681"/>
      <c r="I228" s="199" t="e">
        <f t="shared" si="120"/>
        <v>#DIV/0!</v>
      </c>
      <c r="J228" s="199" t="e">
        <f t="shared" si="120"/>
        <v>#DIV/0!</v>
      </c>
      <c r="K228" s="199" t="e">
        <f t="shared" si="120"/>
        <v>#DIV/0!</v>
      </c>
      <c r="L228" s="705"/>
      <c r="M228" s="199" t="e">
        <f>RANK(K228, K$218:$K$247)</f>
        <v>#DIV/0!</v>
      </c>
    </row>
    <row r="229" spans="2:13" s="108" customFormat="1">
      <c r="B229" s="667"/>
      <c r="C229" s="343">
        <v>12</v>
      </c>
      <c r="D229" s="343"/>
      <c r="E229" s="343"/>
      <c r="F229" s="343"/>
      <c r="G229" s="343"/>
      <c r="H229" s="681"/>
      <c r="I229" s="199" t="e">
        <f t="shared" si="120"/>
        <v>#DIV/0!</v>
      </c>
      <c r="J229" s="199" t="e">
        <f t="shared" si="120"/>
        <v>#DIV/0!</v>
      </c>
      <c r="K229" s="199" t="e">
        <f t="shared" si="120"/>
        <v>#DIV/0!</v>
      </c>
      <c r="L229" s="705"/>
      <c r="M229" s="199" t="e">
        <f>RANK(K229, K$218:$K$247)</f>
        <v>#DIV/0!</v>
      </c>
    </row>
    <row r="230" spans="2:13" s="108" customFormat="1">
      <c r="B230" s="667"/>
      <c r="C230" s="343">
        <v>13</v>
      </c>
      <c r="D230" s="343"/>
      <c r="E230" s="343"/>
      <c r="F230" s="343"/>
      <c r="G230" s="343"/>
      <c r="H230" s="681"/>
      <c r="I230" s="199" t="e">
        <f t="shared" si="120"/>
        <v>#DIV/0!</v>
      </c>
      <c r="J230" s="199" t="e">
        <f t="shared" si="120"/>
        <v>#DIV/0!</v>
      </c>
      <c r="K230" s="199" t="e">
        <f t="shared" si="120"/>
        <v>#DIV/0!</v>
      </c>
      <c r="L230" s="705"/>
      <c r="M230" s="199" t="e">
        <f>RANK(K230, K$218:$K$247)</f>
        <v>#DIV/0!</v>
      </c>
    </row>
    <row r="231" spans="2:13" s="108" customFormat="1">
      <c r="B231" s="667"/>
      <c r="C231" s="343">
        <v>14</v>
      </c>
      <c r="D231" s="343"/>
      <c r="E231" s="343"/>
      <c r="F231" s="343"/>
      <c r="G231" s="343"/>
      <c r="H231" s="681"/>
      <c r="I231" s="199" t="e">
        <f t="shared" si="120"/>
        <v>#DIV/0!</v>
      </c>
      <c r="J231" s="199" t="e">
        <f t="shared" si="120"/>
        <v>#DIV/0!</v>
      </c>
      <c r="K231" s="199" t="e">
        <f t="shared" si="120"/>
        <v>#DIV/0!</v>
      </c>
      <c r="L231" s="705"/>
      <c r="M231" s="199" t="e">
        <f>RANK(K231, K$218:$K$247)</f>
        <v>#DIV/0!</v>
      </c>
    </row>
    <row r="232" spans="2:13" s="108" customFormat="1">
      <c r="B232" s="667"/>
      <c r="C232" s="343">
        <v>15</v>
      </c>
      <c r="D232" s="343"/>
      <c r="E232" s="343"/>
      <c r="F232" s="343"/>
      <c r="G232" s="343"/>
      <c r="H232" s="681"/>
      <c r="I232" s="199" t="e">
        <f t="shared" si="120"/>
        <v>#DIV/0!</v>
      </c>
      <c r="J232" s="199" t="e">
        <f t="shared" si="120"/>
        <v>#DIV/0!</v>
      </c>
      <c r="K232" s="199" t="e">
        <f t="shared" si="120"/>
        <v>#DIV/0!</v>
      </c>
      <c r="L232" s="705"/>
      <c r="M232" s="199" t="e">
        <f>RANK(K232, K$218:$K$247)</f>
        <v>#DIV/0!</v>
      </c>
    </row>
    <row r="233" spans="2:13" s="108" customFormat="1">
      <c r="B233" s="667"/>
      <c r="C233" s="343">
        <v>16</v>
      </c>
      <c r="D233" s="343"/>
      <c r="E233" s="343"/>
      <c r="F233" s="343"/>
      <c r="G233" s="343"/>
      <c r="H233" s="681"/>
      <c r="I233" s="199" t="e">
        <f t="shared" si="120"/>
        <v>#DIV/0!</v>
      </c>
      <c r="J233" s="199" t="e">
        <f t="shared" si="120"/>
        <v>#DIV/0!</v>
      </c>
      <c r="K233" s="199" t="e">
        <f t="shared" si="120"/>
        <v>#DIV/0!</v>
      </c>
      <c r="L233" s="705"/>
      <c r="M233" s="199" t="e">
        <f>RANK(K233, K$218:$K$247)</f>
        <v>#DIV/0!</v>
      </c>
    </row>
    <row r="234" spans="2:13" s="108" customFormat="1">
      <c r="B234" s="667"/>
      <c r="C234" s="343">
        <v>17</v>
      </c>
      <c r="D234" s="343"/>
      <c r="E234" s="343"/>
      <c r="F234" s="343"/>
      <c r="G234" s="343"/>
      <c r="H234" s="681"/>
      <c r="I234" s="199" t="e">
        <f t="shared" si="120"/>
        <v>#DIV/0!</v>
      </c>
      <c r="J234" s="199" t="e">
        <f t="shared" si="120"/>
        <v>#DIV/0!</v>
      </c>
      <c r="K234" s="199" t="e">
        <f t="shared" si="120"/>
        <v>#DIV/0!</v>
      </c>
      <c r="L234" s="705"/>
      <c r="M234" s="199" t="e">
        <f>RANK(K234, K$218:$K$247)</f>
        <v>#DIV/0!</v>
      </c>
    </row>
    <row r="235" spans="2:13" s="108" customFormat="1">
      <c r="B235" s="667"/>
      <c r="C235" s="343">
        <v>18</v>
      </c>
      <c r="D235" s="343"/>
      <c r="E235" s="343"/>
      <c r="F235" s="343"/>
      <c r="G235" s="343"/>
      <c r="H235" s="681"/>
      <c r="I235" s="199" t="e">
        <f t="shared" si="120"/>
        <v>#DIV/0!</v>
      </c>
      <c r="J235" s="199" t="e">
        <f t="shared" si="120"/>
        <v>#DIV/0!</v>
      </c>
      <c r="K235" s="199" t="e">
        <f t="shared" si="120"/>
        <v>#DIV/0!</v>
      </c>
      <c r="L235" s="705"/>
      <c r="M235" s="199" t="e">
        <f>RANK(K235, K$218:$K$247)</f>
        <v>#DIV/0!</v>
      </c>
    </row>
    <row r="236" spans="2:13" s="108" customFormat="1">
      <c r="B236" s="667"/>
      <c r="C236" s="343">
        <v>19</v>
      </c>
      <c r="D236" s="343"/>
      <c r="E236" s="343"/>
      <c r="F236" s="343"/>
      <c r="G236" s="343"/>
      <c r="H236" s="681"/>
      <c r="I236" s="199" t="e">
        <f t="shared" si="120"/>
        <v>#DIV/0!</v>
      </c>
      <c r="J236" s="199" t="e">
        <f t="shared" si="120"/>
        <v>#DIV/0!</v>
      </c>
      <c r="K236" s="199" t="e">
        <f t="shared" si="120"/>
        <v>#DIV/0!</v>
      </c>
      <c r="L236" s="705"/>
      <c r="M236" s="199" t="e">
        <f>RANK(K236, K$218:$K$247)</f>
        <v>#DIV/0!</v>
      </c>
    </row>
    <row r="237" spans="2:13" s="108" customFormat="1">
      <c r="B237" s="667"/>
      <c r="C237" s="343">
        <v>20</v>
      </c>
      <c r="D237" s="343"/>
      <c r="E237" s="343"/>
      <c r="F237" s="343"/>
      <c r="G237" s="343"/>
      <c r="H237" s="681"/>
      <c r="I237" s="199" t="e">
        <f t="shared" si="120"/>
        <v>#DIV/0!</v>
      </c>
      <c r="J237" s="199" t="e">
        <f t="shared" si="120"/>
        <v>#DIV/0!</v>
      </c>
      <c r="K237" s="199" t="e">
        <f t="shared" si="120"/>
        <v>#DIV/0!</v>
      </c>
      <c r="L237" s="705"/>
      <c r="M237" s="199" t="e">
        <f>RANK(K237, K$218:$K$247)</f>
        <v>#DIV/0!</v>
      </c>
    </row>
    <row r="238" spans="2:13" s="108" customFormat="1">
      <c r="B238" s="667"/>
      <c r="C238" s="343">
        <v>21</v>
      </c>
      <c r="D238" s="343"/>
      <c r="E238" s="343"/>
      <c r="F238" s="343"/>
      <c r="G238" s="343"/>
      <c r="H238" s="681"/>
      <c r="I238" s="199" t="e">
        <f t="shared" si="120"/>
        <v>#DIV/0!</v>
      </c>
      <c r="J238" s="199" t="e">
        <f t="shared" si="120"/>
        <v>#DIV/0!</v>
      </c>
      <c r="K238" s="199" t="e">
        <f t="shared" si="120"/>
        <v>#DIV/0!</v>
      </c>
      <c r="L238" s="705"/>
      <c r="M238" s="199" t="e">
        <f>RANK(K238, K$218:$K$247)</f>
        <v>#DIV/0!</v>
      </c>
    </row>
    <row r="239" spans="2:13" s="108" customFormat="1">
      <c r="B239" s="667"/>
      <c r="C239" s="343">
        <v>22</v>
      </c>
      <c r="D239" s="343"/>
      <c r="E239" s="343"/>
      <c r="F239" s="343"/>
      <c r="G239" s="343"/>
      <c r="H239" s="681"/>
      <c r="I239" s="199" t="e">
        <f t="shared" si="120"/>
        <v>#DIV/0!</v>
      </c>
      <c r="J239" s="199" t="e">
        <f t="shared" si="120"/>
        <v>#DIV/0!</v>
      </c>
      <c r="K239" s="199" t="e">
        <f t="shared" si="120"/>
        <v>#DIV/0!</v>
      </c>
      <c r="L239" s="705"/>
      <c r="M239" s="199" t="e">
        <f>RANK(K239, K$218:$K$247)</f>
        <v>#DIV/0!</v>
      </c>
    </row>
    <row r="240" spans="2:13" s="108" customFormat="1">
      <c r="B240" s="667"/>
      <c r="C240" s="343">
        <v>23</v>
      </c>
      <c r="D240" s="343"/>
      <c r="E240" s="343"/>
      <c r="F240" s="343"/>
      <c r="G240" s="343"/>
      <c r="H240" s="681"/>
      <c r="I240" s="199" t="e">
        <f t="shared" si="120"/>
        <v>#DIV/0!</v>
      </c>
      <c r="J240" s="199" t="e">
        <f t="shared" si="120"/>
        <v>#DIV/0!</v>
      </c>
      <c r="K240" s="199" t="e">
        <f t="shared" si="120"/>
        <v>#DIV/0!</v>
      </c>
      <c r="L240" s="705"/>
      <c r="M240" s="199" t="e">
        <f>RANK(K240, K$218:$K$247)</f>
        <v>#DIV/0!</v>
      </c>
    </row>
    <row r="241" spans="2:13" s="108" customFormat="1">
      <c r="B241" s="667"/>
      <c r="C241" s="343">
        <v>24</v>
      </c>
      <c r="D241" s="343"/>
      <c r="E241" s="343"/>
      <c r="F241" s="343"/>
      <c r="G241" s="343"/>
      <c r="H241" s="681"/>
      <c r="I241" s="199"/>
      <c r="J241" s="199"/>
      <c r="K241" s="199"/>
      <c r="L241" s="705"/>
      <c r="M241" s="199" t="e">
        <f>RANK(K241, K$218:$K$247)</f>
        <v>#DIV/0!</v>
      </c>
    </row>
    <row r="242" spans="2:13" s="108" customFormat="1">
      <c r="B242" s="667"/>
      <c r="C242" s="343">
        <v>25</v>
      </c>
      <c r="D242" s="343"/>
      <c r="E242" s="343"/>
      <c r="F242" s="343"/>
      <c r="G242" s="343"/>
      <c r="H242" s="681"/>
      <c r="I242" s="199"/>
      <c r="J242" s="199"/>
      <c r="K242" s="199"/>
      <c r="L242" s="705"/>
      <c r="M242" s="199" t="e">
        <f>RANK(K242, K$218:$K$247)</f>
        <v>#DIV/0!</v>
      </c>
    </row>
    <row r="243" spans="2:13" s="108" customFormat="1">
      <c r="B243" s="667"/>
      <c r="C243" s="343">
        <v>26</v>
      </c>
      <c r="D243" s="343"/>
      <c r="E243" s="343"/>
      <c r="F243" s="343"/>
      <c r="G243" s="343"/>
      <c r="H243" s="681"/>
      <c r="I243" s="199"/>
      <c r="J243" s="199"/>
      <c r="K243" s="199"/>
      <c r="L243" s="705"/>
      <c r="M243" s="199" t="e">
        <f>RANK(K243, K$218:$K$247)</f>
        <v>#DIV/0!</v>
      </c>
    </row>
    <row r="244" spans="2:13" s="108" customFormat="1">
      <c r="B244" s="667"/>
      <c r="C244" s="343">
        <v>27</v>
      </c>
      <c r="D244" s="343"/>
      <c r="E244" s="343"/>
      <c r="F244" s="343"/>
      <c r="G244" s="343"/>
      <c r="H244" s="681"/>
      <c r="I244" s="199"/>
      <c r="J244" s="199"/>
      <c r="K244" s="199"/>
      <c r="L244" s="705"/>
      <c r="M244" s="199" t="e">
        <f>RANK(K244, K$218:$K$247)</f>
        <v>#DIV/0!</v>
      </c>
    </row>
    <row r="245" spans="2:13" s="108" customFormat="1">
      <c r="B245" s="667"/>
      <c r="C245" s="343">
        <v>28</v>
      </c>
      <c r="D245" s="343"/>
      <c r="E245" s="343"/>
      <c r="F245" s="343"/>
      <c r="G245" s="343"/>
      <c r="H245" s="681"/>
      <c r="I245" s="199"/>
      <c r="J245" s="199"/>
      <c r="K245" s="199"/>
      <c r="L245" s="705"/>
      <c r="M245" s="199" t="e">
        <f>RANK(K245, K$218:$K$247)</f>
        <v>#DIV/0!</v>
      </c>
    </row>
    <row r="246" spans="2:13" s="108" customFormat="1">
      <c r="B246" s="667"/>
      <c r="C246" s="343">
        <v>29</v>
      </c>
      <c r="D246" s="343"/>
      <c r="E246" s="343"/>
      <c r="F246" s="343"/>
      <c r="G246" s="343"/>
      <c r="H246" s="681"/>
      <c r="I246" s="199"/>
      <c r="J246" s="199"/>
      <c r="K246" s="199"/>
      <c r="L246" s="705"/>
      <c r="M246" s="199" t="e">
        <f>RANK(K246, K$218:$K$247)</f>
        <v>#DIV/0!</v>
      </c>
    </row>
    <row r="247" spans="2:13" s="108" customFormat="1">
      <c r="B247" s="667"/>
      <c r="C247" s="343">
        <v>30</v>
      </c>
      <c r="D247" s="343"/>
      <c r="E247" s="343"/>
      <c r="F247" s="343"/>
      <c r="G247" s="343"/>
      <c r="H247" s="681"/>
      <c r="I247" s="199"/>
      <c r="J247" s="199"/>
      <c r="K247" s="199"/>
      <c r="L247" s="705"/>
      <c r="M247" s="199" t="e">
        <f>RANK(K247, K$218:$K$247)</f>
        <v>#DIV/0!</v>
      </c>
    </row>
    <row r="250" spans="2:13" s="108" customFormat="1">
      <c r="C250" s="107"/>
      <c r="D250" s="530" t="s">
        <v>361</v>
      </c>
      <c r="E250" s="530">
        <v>4</v>
      </c>
      <c r="F250" s="530">
        <v>2700</v>
      </c>
      <c r="G250" s="530">
        <f>F250/E250</f>
        <v>675</v>
      </c>
      <c r="H250" s="107">
        <v>704.2</v>
      </c>
      <c r="I250" s="107"/>
      <c r="J250" s="107"/>
      <c r="K250" s="107"/>
      <c r="L250" s="107"/>
      <c r="M250" s="107"/>
    </row>
    <row r="251" spans="2:13" s="108" customFormat="1">
      <c r="C251" s="107"/>
      <c r="D251" s="530" t="s">
        <v>363</v>
      </c>
      <c r="E251" s="530">
        <v>3</v>
      </c>
      <c r="F251" s="530">
        <v>2700</v>
      </c>
      <c r="G251" s="530">
        <f t="shared" ref="G251:G255" si="121">F251/E251</f>
        <v>900</v>
      </c>
      <c r="H251" s="107"/>
      <c r="I251" s="107"/>
      <c r="J251" s="107"/>
      <c r="K251" s="107"/>
      <c r="L251" s="107"/>
      <c r="M251" s="107"/>
    </row>
    <row r="252" spans="2:13" s="108" customFormat="1">
      <c r="C252" s="107"/>
      <c r="D252" s="530" t="s">
        <v>364</v>
      </c>
      <c r="E252" s="530">
        <v>4</v>
      </c>
      <c r="F252" s="530">
        <v>2700</v>
      </c>
      <c r="G252" s="530">
        <f t="shared" si="121"/>
        <v>675</v>
      </c>
      <c r="H252" s="107"/>
      <c r="I252" s="107"/>
      <c r="J252" s="107"/>
      <c r="K252" s="107"/>
      <c r="L252" s="107"/>
      <c r="M252" s="107"/>
    </row>
    <row r="253" spans="2:13" s="108" customFormat="1">
      <c r="C253" s="107"/>
      <c r="D253" s="530" t="s">
        <v>760</v>
      </c>
      <c r="E253" s="530">
        <v>4</v>
      </c>
      <c r="F253" s="530">
        <v>2700</v>
      </c>
      <c r="G253" s="530">
        <f t="shared" si="121"/>
        <v>675</v>
      </c>
      <c r="H253" s="107"/>
      <c r="I253" s="107"/>
      <c r="J253" s="107"/>
      <c r="K253" s="107"/>
      <c r="L253" s="107"/>
      <c r="M253" s="107"/>
    </row>
    <row r="254" spans="2:13" s="108" customFormat="1">
      <c r="C254" s="107"/>
      <c r="D254" s="529" t="s">
        <v>884</v>
      </c>
      <c r="E254" s="530">
        <v>4</v>
      </c>
      <c r="F254" s="530">
        <v>2600</v>
      </c>
      <c r="G254" s="530">
        <f t="shared" si="121"/>
        <v>650</v>
      </c>
      <c r="H254" s="107"/>
      <c r="I254" s="107"/>
      <c r="J254" s="107"/>
      <c r="K254" s="107"/>
      <c r="L254" s="107"/>
      <c r="M254" s="107"/>
    </row>
    <row r="255" spans="2:13" s="108" customFormat="1">
      <c r="C255" s="107"/>
      <c r="D255" s="529" t="s">
        <v>885</v>
      </c>
      <c r="E255" s="530">
        <v>4</v>
      </c>
      <c r="F255" s="530">
        <v>2600</v>
      </c>
      <c r="G255" s="530">
        <f t="shared" si="121"/>
        <v>650</v>
      </c>
      <c r="H255" s="107"/>
      <c r="I255" s="107"/>
      <c r="J255" s="107"/>
      <c r="K255" s="107"/>
      <c r="L255" s="107"/>
      <c r="M255" s="107"/>
    </row>
    <row r="257" spans="4:8" s="108" customFormat="1">
      <c r="D257" s="530" t="s">
        <v>361</v>
      </c>
      <c r="E257" s="530">
        <v>4</v>
      </c>
      <c r="F257" s="530">
        <v>3300</v>
      </c>
      <c r="G257" s="530">
        <f>F257/E257</f>
        <v>825</v>
      </c>
      <c r="H257" s="107">
        <v>845.8</v>
      </c>
    </row>
    <row r="258" spans="4:8" s="108" customFormat="1">
      <c r="D258" s="530" t="s">
        <v>363</v>
      </c>
      <c r="E258" s="530">
        <v>3</v>
      </c>
      <c r="F258" s="530">
        <v>3300</v>
      </c>
      <c r="G258" s="530">
        <f t="shared" ref="G258:G262" si="122">F258/E258</f>
        <v>1100</v>
      </c>
      <c r="H258" s="107"/>
    </row>
    <row r="259" spans="4:8" s="108" customFormat="1">
      <c r="D259" s="530" t="s">
        <v>364</v>
      </c>
      <c r="E259" s="530">
        <v>4</v>
      </c>
      <c r="F259" s="530">
        <v>3300</v>
      </c>
      <c r="G259" s="530">
        <f t="shared" si="122"/>
        <v>825</v>
      </c>
      <c r="H259" s="107"/>
    </row>
    <row r="260" spans="4:8" s="108" customFormat="1">
      <c r="D260" s="530" t="s">
        <v>760</v>
      </c>
      <c r="E260" s="530">
        <v>4</v>
      </c>
      <c r="F260" s="530">
        <v>3100</v>
      </c>
      <c r="G260" s="530">
        <f t="shared" si="122"/>
        <v>775</v>
      </c>
      <c r="H260" s="107"/>
    </row>
    <row r="261" spans="4:8" s="108" customFormat="1">
      <c r="D261" s="529" t="s">
        <v>884</v>
      </c>
      <c r="E261" s="530">
        <v>4</v>
      </c>
      <c r="F261" s="530">
        <v>3100</v>
      </c>
      <c r="G261" s="530">
        <f t="shared" si="122"/>
        <v>775</v>
      </c>
      <c r="H261" s="107"/>
    </row>
    <row r="262" spans="4:8" s="108" customFormat="1">
      <c r="D262" s="529" t="s">
        <v>885</v>
      </c>
      <c r="E262" s="530">
        <v>4</v>
      </c>
      <c r="F262" s="530">
        <v>3100</v>
      </c>
      <c r="G262" s="530">
        <f t="shared" si="122"/>
        <v>775</v>
      </c>
      <c r="H262" s="107"/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P2" sqref="P2:AX2"/>
      <selection pane="topRight" activeCell="AT7" sqref="AT7:AV1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AVERAGE(L7,L27,L47,L87,L87,L107)</f>
        <v>182.60525037107632</v>
      </c>
    </row>
    <row r="2" spans="1:54" ht="15.75">
      <c r="A2" s="81"/>
      <c r="B2" s="671" t="s">
        <v>163</v>
      </c>
      <c r="C2" s="671"/>
      <c r="D2" s="671"/>
      <c r="E2" s="671"/>
      <c r="F2" s="671"/>
      <c r="G2" s="671"/>
      <c r="H2" s="671"/>
      <c r="I2" s="310"/>
      <c r="J2" s="310"/>
      <c r="K2" s="310"/>
      <c r="L2" s="310"/>
      <c r="M2" s="197"/>
      <c r="N2" s="660" t="s">
        <v>156</v>
      </c>
      <c r="O2" s="660" t="s">
        <v>155</v>
      </c>
      <c r="P2" s="687">
        <v>46084</v>
      </c>
      <c r="Q2" s="688"/>
      <c r="R2" s="688"/>
      <c r="S2" s="688"/>
      <c r="T2" s="689"/>
      <c r="U2" s="666">
        <f>P2+1</f>
        <v>46085</v>
      </c>
      <c r="V2" s="667"/>
      <c r="W2" s="667"/>
      <c r="X2" s="667"/>
      <c r="Y2" s="667"/>
      <c r="Z2" s="666">
        <f>U2+1</f>
        <v>46086</v>
      </c>
      <c r="AA2" s="667"/>
      <c r="AB2" s="667"/>
      <c r="AC2" s="667"/>
      <c r="AD2" s="667"/>
      <c r="AE2" s="666">
        <f>Z2+1</f>
        <v>46087</v>
      </c>
      <c r="AF2" s="667"/>
      <c r="AG2" s="667"/>
      <c r="AH2" s="667"/>
      <c r="AI2" s="667"/>
      <c r="AJ2" s="666">
        <f>AE2+1</f>
        <v>46088</v>
      </c>
      <c r="AK2" s="667"/>
      <c r="AL2" s="667"/>
      <c r="AM2" s="667"/>
      <c r="AN2" s="667"/>
      <c r="AO2" s="666">
        <f>AJ2+1</f>
        <v>46089</v>
      </c>
      <c r="AP2" s="667"/>
      <c r="AQ2" s="667"/>
      <c r="AR2" s="667"/>
      <c r="AS2" s="667"/>
      <c r="AT2" s="663">
        <f>AO2+1</f>
        <v>46090</v>
      </c>
      <c r="AU2" s="664"/>
      <c r="AV2" s="664"/>
      <c r="AW2" s="664"/>
      <c r="AX2" s="665"/>
    </row>
    <row r="3" spans="1:54" ht="15.75">
      <c r="A3" s="81"/>
      <c r="B3" s="690"/>
      <c r="C3" s="690"/>
      <c r="D3" s="690"/>
      <c r="E3" s="690"/>
      <c r="F3" s="690"/>
      <c r="G3" s="690"/>
      <c r="H3" s="690"/>
      <c r="I3" s="311"/>
      <c r="J3" s="311"/>
      <c r="K3" s="311"/>
      <c r="L3" s="311"/>
      <c r="M3" s="198"/>
      <c r="N3" s="662"/>
      <c r="O3" s="662"/>
      <c r="P3" s="666" t="s">
        <v>158</v>
      </c>
      <c r="Q3" s="667"/>
      <c r="R3" s="667"/>
      <c r="S3" s="667"/>
      <c r="T3" s="667"/>
      <c r="U3" s="666" t="s">
        <v>114</v>
      </c>
      <c r="V3" s="667"/>
      <c r="W3" s="667"/>
      <c r="X3" s="667"/>
      <c r="Y3" s="667"/>
      <c r="Z3" s="666" t="s">
        <v>159</v>
      </c>
      <c r="AA3" s="667"/>
      <c r="AB3" s="667"/>
      <c r="AC3" s="667"/>
      <c r="AD3" s="667"/>
      <c r="AE3" s="666" t="s">
        <v>157</v>
      </c>
      <c r="AF3" s="667"/>
      <c r="AG3" s="667"/>
      <c r="AH3" s="667"/>
      <c r="AI3" s="667"/>
      <c r="AJ3" s="666" t="s">
        <v>160</v>
      </c>
      <c r="AK3" s="667"/>
      <c r="AL3" s="667"/>
      <c r="AM3" s="667"/>
      <c r="AN3" s="667"/>
      <c r="AO3" s="666" t="s">
        <v>115</v>
      </c>
      <c r="AP3" s="667"/>
      <c r="AQ3" s="667"/>
      <c r="AR3" s="667"/>
      <c r="AS3" s="667"/>
      <c r="AT3" s="666" t="s">
        <v>162</v>
      </c>
      <c r="AU3" s="667"/>
      <c r="AV3" s="667"/>
      <c r="AW3" s="667"/>
      <c r="AX3" s="667"/>
    </row>
    <row r="4" spans="1:54" ht="14.25">
      <c r="A4" s="81"/>
      <c r="B4" s="659" t="s">
        <v>847</v>
      </c>
      <c r="C4" s="659" t="s">
        <v>848</v>
      </c>
      <c r="D4" s="659"/>
      <c r="E4" s="659" t="s">
        <v>849</v>
      </c>
      <c r="F4" s="659"/>
      <c r="G4" s="659"/>
      <c r="H4" s="675" t="s">
        <v>850</v>
      </c>
      <c r="I4" s="659" t="s">
        <v>851</v>
      </c>
      <c r="J4" s="659"/>
      <c r="K4" s="659"/>
      <c r="L4" s="675" t="s">
        <v>850</v>
      </c>
      <c r="M4" s="660" t="s">
        <v>852</v>
      </c>
      <c r="N4" s="659"/>
      <c r="O4" s="659" t="s">
        <v>853</v>
      </c>
      <c r="P4" s="656" t="s">
        <v>854</v>
      </c>
      <c r="Q4" s="657"/>
      <c r="R4" s="657"/>
      <c r="S4" s="658"/>
      <c r="T4" s="659" t="s">
        <v>850</v>
      </c>
      <c r="U4" s="656" t="s">
        <v>854</v>
      </c>
      <c r="V4" s="657"/>
      <c r="W4" s="657"/>
      <c r="X4" s="658"/>
      <c r="Y4" s="659" t="s">
        <v>850</v>
      </c>
      <c r="Z4" s="656" t="s">
        <v>854</v>
      </c>
      <c r="AA4" s="657"/>
      <c r="AB4" s="657"/>
      <c r="AC4" s="658"/>
      <c r="AD4" s="659" t="s">
        <v>850</v>
      </c>
      <c r="AE4" s="656" t="s">
        <v>854</v>
      </c>
      <c r="AF4" s="657"/>
      <c r="AG4" s="657"/>
      <c r="AH4" s="658"/>
      <c r="AI4" s="659" t="s">
        <v>850</v>
      </c>
      <c r="AJ4" s="656" t="s">
        <v>854</v>
      </c>
      <c r="AK4" s="657"/>
      <c r="AL4" s="657"/>
      <c r="AM4" s="658"/>
      <c r="AN4" s="659" t="s">
        <v>850</v>
      </c>
      <c r="AO4" s="656" t="s">
        <v>854</v>
      </c>
      <c r="AP4" s="657"/>
      <c r="AQ4" s="657"/>
      <c r="AR4" s="658"/>
      <c r="AS4" s="659" t="s">
        <v>850</v>
      </c>
      <c r="AT4" s="656" t="s">
        <v>854</v>
      </c>
      <c r="AU4" s="657"/>
      <c r="AV4" s="657"/>
      <c r="AW4" s="658"/>
      <c r="AX4" s="659" t="s">
        <v>850</v>
      </c>
    </row>
    <row r="5" spans="1:54" ht="14.25">
      <c r="A5" s="81"/>
      <c r="B5" s="659"/>
      <c r="C5" s="659"/>
      <c r="D5" s="659"/>
      <c r="E5" s="659" t="s">
        <v>855</v>
      </c>
      <c r="F5" s="659"/>
      <c r="G5" s="659"/>
      <c r="H5" s="676"/>
      <c r="I5" s="659" t="s">
        <v>855</v>
      </c>
      <c r="J5" s="659"/>
      <c r="K5" s="659"/>
      <c r="L5" s="676"/>
      <c r="M5" s="661"/>
      <c r="N5" s="659"/>
      <c r="O5" s="659"/>
      <c r="P5" s="656" t="s">
        <v>856</v>
      </c>
      <c r="Q5" s="657"/>
      <c r="R5" s="657"/>
      <c r="S5" s="658"/>
      <c r="T5" s="659"/>
      <c r="U5" s="656" t="s">
        <v>856</v>
      </c>
      <c r="V5" s="657"/>
      <c r="W5" s="657"/>
      <c r="X5" s="658"/>
      <c r="Y5" s="659"/>
      <c r="Z5" s="656" t="s">
        <v>856</v>
      </c>
      <c r="AA5" s="657"/>
      <c r="AB5" s="657"/>
      <c r="AC5" s="658"/>
      <c r="AD5" s="659"/>
      <c r="AE5" s="656" t="s">
        <v>856</v>
      </c>
      <c r="AF5" s="657"/>
      <c r="AG5" s="657"/>
      <c r="AH5" s="658"/>
      <c r="AI5" s="659"/>
      <c r="AJ5" s="656" t="s">
        <v>856</v>
      </c>
      <c r="AK5" s="657"/>
      <c r="AL5" s="657"/>
      <c r="AM5" s="658"/>
      <c r="AN5" s="659"/>
      <c r="AO5" s="656" t="s">
        <v>856</v>
      </c>
      <c r="AP5" s="657"/>
      <c r="AQ5" s="657"/>
      <c r="AR5" s="658"/>
      <c r="AS5" s="659"/>
      <c r="AT5" s="656" t="s">
        <v>856</v>
      </c>
      <c r="AU5" s="657"/>
      <c r="AV5" s="657"/>
      <c r="AW5" s="658"/>
      <c r="AX5" s="659"/>
    </row>
    <row r="6" spans="1:54" ht="14.25">
      <c r="A6" s="79"/>
      <c r="B6" s="659"/>
      <c r="C6" s="659"/>
      <c r="D6" s="659"/>
      <c r="E6" s="503" t="s">
        <v>857</v>
      </c>
      <c r="F6" s="503" t="s">
        <v>858</v>
      </c>
      <c r="G6" s="503" t="s">
        <v>859</v>
      </c>
      <c r="H6" s="677"/>
      <c r="I6" s="503" t="s">
        <v>857</v>
      </c>
      <c r="J6" s="503" t="s">
        <v>858</v>
      </c>
      <c r="K6" s="503" t="s">
        <v>859</v>
      </c>
      <c r="L6" s="677"/>
      <c r="M6" s="662"/>
      <c r="N6" s="659"/>
      <c r="O6" s="659"/>
      <c r="P6" s="503" t="s">
        <v>857</v>
      </c>
      <c r="Q6" s="503" t="s">
        <v>858</v>
      </c>
      <c r="R6" s="503" t="s">
        <v>859</v>
      </c>
      <c r="S6" s="503" t="s">
        <v>852</v>
      </c>
      <c r="T6" s="659"/>
      <c r="U6" s="503" t="s">
        <v>857</v>
      </c>
      <c r="V6" s="503" t="s">
        <v>858</v>
      </c>
      <c r="W6" s="503" t="s">
        <v>859</v>
      </c>
      <c r="X6" s="503" t="s">
        <v>852</v>
      </c>
      <c r="Y6" s="659"/>
      <c r="Z6" s="503" t="s">
        <v>857</v>
      </c>
      <c r="AA6" s="503" t="s">
        <v>858</v>
      </c>
      <c r="AB6" s="503" t="s">
        <v>859</v>
      </c>
      <c r="AC6" s="503" t="s">
        <v>852</v>
      </c>
      <c r="AD6" s="659"/>
      <c r="AE6" s="503" t="s">
        <v>857</v>
      </c>
      <c r="AF6" s="503" t="s">
        <v>858</v>
      </c>
      <c r="AG6" s="503" t="s">
        <v>859</v>
      </c>
      <c r="AH6" s="503" t="s">
        <v>852</v>
      </c>
      <c r="AI6" s="659"/>
      <c r="AJ6" s="503" t="s">
        <v>857</v>
      </c>
      <c r="AK6" s="503" t="s">
        <v>858</v>
      </c>
      <c r="AL6" s="503" t="s">
        <v>859</v>
      </c>
      <c r="AM6" s="503" t="s">
        <v>852</v>
      </c>
      <c r="AN6" s="659"/>
      <c r="AO6" s="503" t="s">
        <v>857</v>
      </c>
      <c r="AP6" s="503" t="s">
        <v>858</v>
      </c>
      <c r="AQ6" s="503" t="s">
        <v>859</v>
      </c>
      <c r="AR6" s="503" t="s">
        <v>852</v>
      </c>
      <c r="AS6" s="659"/>
      <c r="AT6" s="503" t="s">
        <v>857</v>
      </c>
      <c r="AU6" s="503" t="s">
        <v>858</v>
      </c>
      <c r="AV6" s="503" t="s">
        <v>859</v>
      </c>
      <c r="AW6" s="503" t="s">
        <v>852</v>
      </c>
      <c r="AX6" s="659"/>
    </row>
    <row r="7" spans="1:54" ht="14.25">
      <c r="A7" s="81"/>
      <c r="B7" s="707" t="s">
        <v>860</v>
      </c>
      <c r="C7" s="505">
        <v>1</v>
      </c>
      <c r="D7" s="498" t="s">
        <v>947</v>
      </c>
      <c r="E7" s="509">
        <v>10</v>
      </c>
      <c r="F7" s="509">
        <v>1500</v>
      </c>
      <c r="G7" s="509">
        <v>150</v>
      </c>
      <c r="H7" s="703">
        <f>AVERAGE(G7:G21)</f>
        <v>170</v>
      </c>
      <c r="I7" s="509">
        <f>AVERAGE(P7,U7,Z7,AE7,AJ7,AO7,AT7)</f>
        <v>11.142857142857142</v>
      </c>
      <c r="J7" s="509">
        <f>AVERAGE(Q7,V7,AA7,AF7,AK7,AP7,AU7)</f>
        <v>1518.1428571428548</v>
      </c>
      <c r="K7" s="507">
        <f>AVERAGE(R7,W7,AB7,AG7,AL7,AQ7,AV7)</f>
        <v>137.52380952380932</v>
      </c>
      <c r="L7" s="703">
        <f>AVERAGE(K7:K21)</f>
        <v>182.60525037107632</v>
      </c>
      <c r="M7" s="508">
        <f>RANK(K7, K$7:$K$21)</f>
        <v>5</v>
      </c>
      <c r="N7" s="659"/>
      <c r="O7" s="659"/>
      <c r="P7" s="505">
        <v>10</v>
      </c>
      <c r="Q7" s="509">
        <v>1403.9999999999975</v>
      </c>
      <c r="R7" s="509">
        <v>140.39999999999975</v>
      </c>
      <c r="S7" s="504">
        <f>RANK(R7, R$7:R$21)</f>
        <v>4</v>
      </c>
      <c r="T7" s="706">
        <f>AVERAGE(R7:R21)</f>
        <v>176.96833408137755</v>
      </c>
      <c r="U7" s="573">
        <v>10</v>
      </c>
      <c r="V7" s="574">
        <v>1537.9999999999973</v>
      </c>
      <c r="W7" s="574">
        <v>153.79999999999973</v>
      </c>
      <c r="X7" s="504">
        <f>RANK(W7, W$7:W$21)</f>
        <v>3</v>
      </c>
      <c r="Y7" s="706">
        <f t="shared" ref="Y7" si="0">AVERAGE(W7:W21)</f>
        <v>185.82850241545876</v>
      </c>
      <c r="Z7" s="573">
        <v>12</v>
      </c>
      <c r="AA7" s="574">
        <v>1486.0000000000014</v>
      </c>
      <c r="AB7" s="574">
        <v>123.83333333333344</v>
      </c>
      <c r="AC7" s="504">
        <f>RANK(AB7, AB$7:AB$21)</f>
        <v>5</v>
      </c>
      <c r="AD7" s="706">
        <f t="shared" ref="AD7" si="1">AVERAGE(AB7:AB21)</f>
        <v>175.97301587301578</v>
      </c>
      <c r="AE7" s="573">
        <v>10</v>
      </c>
      <c r="AF7" s="574">
        <v>1682.9999999999925</v>
      </c>
      <c r="AG7" s="574">
        <v>168.29999999999924</v>
      </c>
      <c r="AH7" s="504">
        <f>RANK(AG7, AG$7:AG$21)</f>
        <v>3</v>
      </c>
      <c r="AI7" s="706">
        <f t="shared" ref="AI7" si="2">AVERAGE(AG7:AG21)</f>
        <v>190.87981492192003</v>
      </c>
      <c r="AJ7" s="573">
        <v>12</v>
      </c>
      <c r="AK7" s="574">
        <v>1619.9999999999993</v>
      </c>
      <c r="AL7" s="574">
        <v>134.99999999999994</v>
      </c>
      <c r="AM7" s="504">
        <f>RANK(AL7, AL$7:AL$21)</f>
        <v>5</v>
      </c>
      <c r="AN7" s="706">
        <f t="shared" ref="AN7" si="3">AVERAGE(AL7:AL21)</f>
        <v>177.38539682539707</v>
      </c>
      <c r="AO7" s="573">
        <v>12</v>
      </c>
      <c r="AP7" s="574">
        <v>1447.9999999999975</v>
      </c>
      <c r="AQ7" s="574">
        <v>120.66666666666646</v>
      </c>
      <c r="AR7" s="504">
        <f>RANK(AQ7, AQ$7:AQ$21)</f>
        <v>5</v>
      </c>
      <c r="AS7" s="706">
        <f t="shared" ref="AS7" si="4">AVERAGE(AQ7:AQ21)</f>
        <v>180.06848140965801</v>
      </c>
      <c r="AT7" s="573">
        <v>12</v>
      </c>
      <c r="AU7" s="574">
        <v>1447.9999999999975</v>
      </c>
      <c r="AV7" s="574">
        <v>120.66666666666646</v>
      </c>
      <c r="AW7" s="504">
        <f>RANK(AV7, AV$7:AV$21)</f>
        <v>5</v>
      </c>
      <c r="AX7" s="706">
        <f t="shared" ref="AX7" si="5">AVERAGE(AV7:AV21)</f>
        <v>191.13320707070713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92"/>
      <c r="C8" s="505">
        <v>2</v>
      </c>
      <c r="D8" s="498" t="s">
        <v>948</v>
      </c>
      <c r="E8" s="509">
        <v>15</v>
      </c>
      <c r="F8" s="509">
        <v>1800</v>
      </c>
      <c r="G8" s="509">
        <v>120</v>
      </c>
      <c r="H8" s="704"/>
      <c r="I8" s="509">
        <f t="shared" ref="I8:K10" si="6">AVERAGE(P8,U8,Z8,AE8,AJ8,AO8,AT8)</f>
        <v>12.142857142857142</v>
      </c>
      <c r="J8" s="509">
        <f t="shared" si="6"/>
        <v>1791.8040816326527</v>
      </c>
      <c r="K8" s="507">
        <f t="shared" si="6"/>
        <v>147.68452817024243</v>
      </c>
      <c r="L8" s="704"/>
      <c r="M8" s="508">
        <f>RANK(K8, K$7:$K$21)</f>
        <v>4</v>
      </c>
      <c r="N8" s="659"/>
      <c r="O8" s="659"/>
      <c r="P8" s="505">
        <v>13</v>
      </c>
      <c r="Q8" s="509">
        <v>1782.6666666666667</v>
      </c>
      <c r="R8" s="509">
        <v>137.12820512820514</v>
      </c>
      <c r="S8" s="504">
        <f t="shared" ref="S8:S21" si="7">RANK(R8, R$7:R$21)</f>
        <v>5</v>
      </c>
      <c r="T8" s="706"/>
      <c r="U8" s="573">
        <v>12</v>
      </c>
      <c r="V8" s="574">
        <v>1699.199999999995</v>
      </c>
      <c r="W8" s="574">
        <v>141.5999999999996</v>
      </c>
      <c r="X8" s="504">
        <f t="shared" ref="X8:X21" si="8">RANK(W8, W$7:W$21)</f>
        <v>5</v>
      </c>
      <c r="Y8" s="706"/>
      <c r="Z8" s="573">
        <v>12</v>
      </c>
      <c r="AA8" s="574">
        <v>1808</v>
      </c>
      <c r="AB8" s="574">
        <v>150.66666666666666</v>
      </c>
      <c r="AC8" s="504">
        <f t="shared" ref="AC8:AC21" si="9">RANK(AB8, AB$7:AB$21)</f>
        <v>3</v>
      </c>
      <c r="AD8" s="706"/>
      <c r="AE8" s="573">
        <v>12</v>
      </c>
      <c r="AF8" s="574">
        <v>1837.7142857142878</v>
      </c>
      <c r="AG8" s="574">
        <v>153.14285714285731</v>
      </c>
      <c r="AH8" s="504">
        <f t="shared" ref="AH8:AH21" si="10">RANK(AG8, AG$7:AG$21)</f>
        <v>5</v>
      </c>
      <c r="AI8" s="706"/>
      <c r="AJ8" s="573">
        <v>12</v>
      </c>
      <c r="AK8" s="574">
        <v>1777.7142857142878</v>
      </c>
      <c r="AL8" s="574">
        <v>148.14285714285731</v>
      </c>
      <c r="AM8" s="504">
        <f t="shared" ref="AM8:AM21" si="11">RANK(AL8, AL$7:AL$21)</f>
        <v>4</v>
      </c>
      <c r="AN8" s="706"/>
      <c r="AO8" s="573">
        <v>12</v>
      </c>
      <c r="AP8" s="574">
        <v>1818.6666666666665</v>
      </c>
      <c r="AQ8" s="574">
        <v>151.55555555555554</v>
      </c>
      <c r="AR8" s="504">
        <f t="shared" ref="AR8:AR21" si="12">RANK(AQ8, AQ$7:AQ$21)</f>
        <v>3</v>
      </c>
      <c r="AS8" s="706"/>
      <c r="AT8" s="573">
        <v>12</v>
      </c>
      <c r="AU8" s="574">
        <v>1818.6666666666665</v>
      </c>
      <c r="AV8" s="574">
        <v>151.55555555555554</v>
      </c>
      <c r="AW8" s="504">
        <f t="shared" ref="AW8:AW21" si="13">RANK(AV8, AV$7:AV$21)</f>
        <v>4</v>
      </c>
      <c r="AX8" s="706"/>
      <c r="AZ8" s="362" t="e">
        <f>RANK(AX8, $K$7:AX$21)</f>
        <v>#N/A</v>
      </c>
      <c r="BB8" s="359" t="e">
        <f t="shared" ref="BB8:BB21" si="14">RANK(BA8, BA$7:BA$21)</f>
        <v>#N/A</v>
      </c>
    </row>
    <row r="9" spans="1:54" ht="14.25">
      <c r="A9" s="81"/>
      <c r="B9" s="692"/>
      <c r="C9" s="505">
        <v>3</v>
      </c>
      <c r="D9" s="498" t="s">
        <v>366</v>
      </c>
      <c r="E9" s="509">
        <v>15</v>
      </c>
      <c r="F9" s="509">
        <v>1800</v>
      </c>
      <c r="G9" s="509">
        <v>120</v>
      </c>
      <c r="H9" s="704"/>
      <c r="I9" s="509">
        <f t="shared" si="6"/>
        <v>12.142857142857142</v>
      </c>
      <c r="J9" s="509">
        <f t="shared" si="6"/>
        <v>1834.9877551020413</v>
      </c>
      <c r="K9" s="507">
        <f t="shared" si="6"/>
        <v>151.21723356009073</v>
      </c>
      <c r="L9" s="704"/>
      <c r="M9" s="508">
        <f>RANK(K9, K$7:$K$21)</f>
        <v>3</v>
      </c>
      <c r="N9" s="659"/>
      <c r="O9" s="659"/>
      <c r="P9" s="505">
        <v>13</v>
      </c>
      <c r="Q9" s="509">
        <v>1854.6666666666667</v>
      </c>
      <c r="R9" s="509">
        <v>142.66666666666669</v>
      </c>
      <c r="S9" s="504">
        <f t="shared" si="7"/>
        <v>3</v>
      </c>
      <c r="T9" s="706"/>
      <c r="U9" s="573">
        <v>12</v>
      </c>
      <c r="V9" s="574">
        <v>1811.9999999999948</v>
      </c>
      <c r="W9" s="574">
        <v>150.99999999999957</v>
      </c>
      <c r="X9" s="504">
        <f t="shared" si="8"/>
        <v>4</v>
      </c>
      <c r="Y9" s="706"/>
      <c r="Z9" s="573">
        <v>12</v>
      </c>
      <c r="AA9" s="574">
        <v>1733.999999999995</v>
      </c>
      <c r="AB9" s="574">
        <v>144.49999999999957</v>
      </c>
      <c r="AC9" s="504">
        <f t="shared" si="9"/>
        <v>4</v>
      </c>
      <c r="AD9" s="706"/>
      <c r="AE9" s="573">
        <v>12</v>
      </c>
      <c r="AF9" s="574">
        <v>1883.999999999998</v>
      </c>
      <c r="AG9" s="574">
        <v>156.99999999999983</v>
      </c>
      <c r="AH9" s="504">
        <f t="shared" si="10"/>
        <v>4</v>
      </c>
      <c r="AI9" s="706"/>
      <c r="AJ9" s="573">
        <v>12</v>
      </c>
      <c r="AK9" s="574">
        <v>1909.7142857142928</v>
      </c>
      <c r="AL9" s="574">
        <v>159.14285714285774</v>
      </c>
      <c r="AM9" s="504">
        <f t="shared" si="11"/>
        <v>3</v>
      </c>
      <c r="AN9" s="706"/>
      <c r="AO9" s="573">
        <v>12</v>
      </c>
      <c r="AP9" s="574">
        <v>1729.2000000000062</v>
      </c>
      <c r="AQ9" s="574">
        <v>144.10000000000051</v>
      </c>
      <c r="AR9" s="504">
        <f t="shared" si="12"/>
        <v>4</v>
      </c>
      <c r="AS9" s="706"/>
      <c r="AT9" s="573">
        <v>12</v>
      </c>
      <c r="AU9" s="574">
        <v>1921.3333333333335</v>
      </c>
      <c r="AV9" s="574">
        <v>160.11111111111111</v>
      </c>
      <c r="AW9" s="504">
        <f t="shared" si="13"/>
        <v>3</v>
      </c>
      <c r="AX9" s="706"/>
      <c r="AZ9" s="362" t="e">
        <f>RANK(AX9, $K$7:AX$21)</f>
        <v>#N/A</v>
      </c>
      <c r="BB9" s="359" t="e">
        <f t="shared" si="14"/>
        <v>#N/A</v>
      </c>
    </row>
    <row r="10" spans="1:54" ht="14.25">
      <c r="A10" s="81"/>
      <c r="B10" s="692"/>
      <c r="C10" s="505">
        <v>4</v>
      </c>
      <c r="D10" s="498" t="s">
        <v>755</v>
      </c>
      <c r="E10" s="509">
        <v>6</v>
      </c>
      <c r="F10" s="509">
        <v>1500</v>
      </c>
      <c r="G10" s="509">
        <v>250</v>
      </c>
      <c r="H10" s="704"/>
      <c r="I10" s="509">
        <f t="shared" si="6"/>
        <v>6</v>
      </c>
      <c r="J10" s="509">
        <f t="shared" si="6"/>
        <v>1535.1632653061235</v>
      </c>
      <c r="K10" s="507">
        <f t="shared" si="6"/>
        <v>255.86054421768722</v>
      </c>
      <c r="L10" s="704"/>
      <c r="M10" s="508">
        <f>RANK(K10, K$7:$K$21)</f>
        <v>2</v>
      </c>
      <c r="N10" s="659"/>
      <c r="O10" s="659"/>
      <c r="P10" s="505">
        <v>6</v>
      </c>
      <c r="Q10" s="509">
        <v>1492.1739130434783</v>
      </c>
      <c r="R10" s="509">
        <v>248.69565217391303</v>
      </c>
      <c r="S10" s="504">
        <f t="shared" si="7"/>
        <v>2</v>
      </c>
      <c r="T10" s="706"/>
      <c r="U10" s="573">
        <v>6</v>
      </c>
      <c r="V10" s="574">
        <v>1567.8260869565217</v>
      </c>
      <c r="W10" s="574">
        <v>261.30434782608694</v>
      </c>
      <c r="X10" s="504">
        <f t="shared" si="8"/>
        <v>2</v>
      </c>
      <c r="Y10" s="706"/>
      <c r="Z10" s="573">
        <v>6</v>
      </c>
      <c r="AA10" s="574">
        <v>1480.0000000000005</v>
      </c>
      <c r="AB10" s="574">
        <v>246.66666666666674</v>
      </c>
      <c r="AC10" s="504">
        <f t="shared" si="9"/>
        <v>2</v>
      </c>
      <c r="AD10" s="706"/>
      <c r="AE10" s="573">
        <v>6</v>
      </c>
      <c r="AF10" s="574">
        <v>1575.0000000000018</v>
      </c>
      <c r="AG10" s="574">
        <v>262.50000000000028</v>
      </c>
      <c r="AH10" s="504">
        <f t="shared" si="10"/>
        <v>2</v>
      </c>
      <c r="AI10" s="706"/>
      <c r="AJ10" s="573">
        <v>6</v>
      </c>
      <c r="AK10" s="574">
        <v>1480.0000000000014</v>
      </c>
      <c r="AL10" s="574">
        <v>246.66666666666688</v>
      </c>
      <c r="AM10" s="504">
        <f t="shared" si="11"/>
        <v>2</v>
      </c>
      <c r="AN10" s="706"/>
      <c r="AO10" s="573">
        <v>6</v>
      </c>
      <c r="AP10" s="574">
        <v>1537.1428571428598</v>
      </c>
      <c r="AQ10" s="574">
        <v>256.19047619047666</v>
      </c>
      <c r="AR10" s="504">
        <f t="shared" si="12"/>
        <v>2</v>
      </c>
      <c r="AS10" s="706"/>
      <c r="AT10" s="573">
        <v>6</v>
      </c>
      <c r="AU10" s="574">
        <v>1613.9999999999995</v>
      </c>
      <c r="AV10" s="574">
        <v>268.99999999999994</v>
      </c>
      <c r="AW10" s="504">
        <f t="shared" si="13"/>
        <v>2</v>
      </c>
      <c r="AX10" s="706"/>
      <c r="AZ10" s="362" t="e">
        <f>RANK(AX10, $K$7:AX$21)</f>
        <v>#N/A</v>
      </c>
      <c r="BB10" s="359" t="e">
        <f t="shared" si="14"/>
        <v>#N/A</v>
      </c>
    </row>
    <row r="11" spans="1:54" ht="14.25">
      <c r="A11" s="81"/>
      <c r="B11" s="692"/>
      <c r="C11" s="505">
        <v>5</v>
      </c>
      <c r="D11" s="498" t="s">
        <v>694</v>
      </c>
      <c r="E11" s="509">
        <v>5</v>
      </c>
      <c r="F11" s="509">
        <v>1500</v>
      </c>
      <c r="G11" s="509">
        <v>300</v>
      </c>
      <c r="H11" s="704"/>
      <c r="I11" s="509">
        <f>AVERAGE(P11,U11,Z11,AE11,AJ11,AO11,AT11)</f>
        <v>5</v>
      </c>
      <c r="J11" s="509">
        <f>AVERAGE(Q11,V11,AA11,AF11,AK11,AP11,AU11)</f>
        <v>1506.1838327638757</v>
      </c>
      <c r="K11" s="507">
        <f>AVERAGE(R11,W11,AB11,AG11,AL11,AQ11,AV11)</f>
        <v>301.23676655277507</v>
      </c>
      <c r="L11" s="704"/>
      <c r="M11" s="508">
        <f>RANK(K11, K$7:$K$21)</f>
        <v>1</v>
      </c>
      <c r="N11" s="659"/>
      <c r="O11" s="659"/>
      <c r="P11" s="505">
        <v>5</v>
      </c>
      <c r="Q11" s="509">
        <v>1469.1428571428589</v>
      </c>
      <c r="R11" s="509">
        <v>293.82857142857176</v>
      </c>
      <c r="S11" s="504">
        <f t="shared" si="7"/>
        <v>1</v>
      </c>
      <c r="T11" s="706"/>
      <c r="U11" s="573">
        <v>5</v>
      </c>
      <c r="V11" s="574">
        <v>1539.4285714285732</v>
      </c>
      <c r="W11" s="574">
        <v>307.88571428571464</v>
      </c>
      <c r="X11" s="504">
        <f t="shared" si="8"/>
        <v>1</v>
      </c>
      <c r="Y11" s="706"/>
      <c r="Z11" s="573">
        <v>5</v>
      </c>
      <c r="AA11" s="574">
        <v>1470.8571428571415</v>
      </c>
      <c r="AB11" s="574">
        <v>294.17142857142829</v>
      </c>
      <c r="AC11" s="504">
        <f t="shared" si="9"/>
        <v>1</v>
      </c>
      <c r="AD11" s="706"/>
      <c r="AE11" s="573">
        <v>5</v>
      </c>
      <c r="AF11" s="574">
        <v>1516.1538461538446</v>
      </c>
      <c r="AG11" s="574">
        <v>303.23076923076894</v>
      </c>
      <c r="AH11" s="504">
        <f t="shared" si="10"/>
        <v>1</v>
      </c>
      <c r="AI11" s="706"/>
      <c r="AJ11" s="573">
        <v>5</v>
      </c>
      <c r="AK11" s="574">
        <v>1384.8000000000027</v>
      </c>
      <c r="AL11" s="574">
        <v>276.96000000000055</v>
      </c>
      <c r="AM11" s="504">
        <f t="shared" si="11"/>
        <v>1</v>
      </c>
      <c r="AN11" s="706"/>
      <c r="AO11" s="573">
        <v>5</v>
      </c>
      <c r="AP11" s="574">
        <v>1533.5294117647059</v>
      </c>
      <c r="AQ11" s="574">
        <v>306.70588235294116</v>
      </c>
      <c r="AR11" s="504">
        <f t="shared" si="12"/>
        <v>1</v>
      </c>
      <c r="AS11" s="706"/>
      <c r="AT11" s="573">
        <v>5</v>
      </c>
      <c r="AU11" s="574">
        <v>1629.3750000000018</v>
      </c>
      <c r="AV11" s="574">
        <v>325.87500000000034</v>
      </c>
      <c r="AW11" s="504">
        <f t="shared" si="13"/>
        <v>1</v>
      </c>
      <c r="AX11" s="706"/>
      <c r="AZ11" s="362" t="e">
        <f>RANK(AX11, $K$7:AX$21)</f>
        <v>#N/A</v>
      </c>
      <c r="BB11" s="359" t="e">
        <f t="shared" si="14"/>
        <v>#N/A</v>
      </c>
    </row>
    <row r="12" spans="1:54" ht="14.25">
      <c r="A12" s="81"/>
      <c r="B12" s="692"/>
      <c r="C12" s="505">
        <v>6</v>
      </c>
      <c r="D12" s="498" t="s">
        <v>949</v>
      </c>
      <c r="E12" s="509">
        <v>15</v>
      </c>
      <c r="F12" s="509">
        <v>1200</v>
      </c>
      <c r="G12" s="509">
        <v>80</v>
      </c>
      <c r="H12" s="704"/>
      <c r="I12" s="509">
        <f t="shared" ref="I12:K12" si="15">AVERAGE(P12,U12,Z12,AE12,AJ12,AO12,AT12)</f>
        <v>12</v>
      </c>
      <c r="J12" s="509">
        <f t="shared" si="15"/>
        <v>1225.3034424222392</v>
      </c>
      <c r="K12" s="507">
        <f t="shared" si="15"/>
        <v>102.10862020185327</v>
      </c>
      <c r="L12" s="704"/>
      <c r="M12" s="508">
        <f>RANK(K12, K$7:$K$21)</f>
        <v>6</v>
      </c>
      <c r="N12" s="659"/>
      <c r="O12" s="659"/>
      <c r="P12" s="505">
        <v>12</v>
      </c>
      <c r="Q12" s="509">
        <v>1189.0909090909088</v>
      </c>
      <c r="R12" s="509">
        <v>99.090909090909065</v>
      </c>
      <c r="S12" s="504">
        <f t="shared" si="7"/>
        <v>6</v>
      </c>
      <c r="T12" s="706"/>
      <c r="U12" s="573">
        <v>12</v>
      </c>
      <c r="V12" s="574">
        <v>1192.5714285714282</v>
      </c>
      <c r="W12" s="574">
        <v>99.380952380952351</v>
      </c>
      <c r="X12" s="504">
        <f t="shared" si="8"/>
        <v>6</v>
      </c>
      <c r="Y12" s="706"/>
      <c r="Z12" s="573">
        <v>12</v>
      </c>
      <c r="AA12" s="574">
        <v>1152.0000000000007</v>
      </c>
      <c r="AB12" s="574">
        <v>96.000000000000057</v>
      </c>
      <c r="AC12" s="504">
        <f t="shared" si="9"/>
        <v>6</v>
      </c>
      <c r="AD12" s="706"/>
      <c r="AE12" s="573">
        <v>12</v>
      </c>
      <c r="AF12" s="574">
        <v>1213.2631578947362</v>
      </c>
      <c r="AG12" s="574">
        <v>101.10526315789468</v>
      </c>
      <c r="AH12" s="504">
        <f t="shared" si="10"/>
        <v>6</v>
      </c>
      <c r="AI12" s="706"/>
      <c r="AJ12" s="573">
        <v>12</v>
      </c>
      <c r="AK12" s="574">
        <v>1180.8000000000004</v>
      </c>
      <c r="AL12" s="574">
        <v>98.400000000000034</v>
      </c>
      <c r="AM12" s="504">
        <f t="shared" si="11"/>
        <v>6</v>
      </c>
      <c r="AN12" s="706"/>
      <c r="AO12" s="573">
        <v>12</v>
      </c>
      <c r="AP12" s="574">
        <v>1214.3076923076915</v>
      </c>
      <c r="AQ12" s="574">
        <v>101.19230769230762</v>
      </c>
      <c r="AR12" s="504">
        <f t="shared" si="12"/>
        <v>6</v>
      </c>
      <c r="AS12" s="706"/>
      <c r="AT12" s="573">
        <v>12</v>
      </c>
      <c r="AU12" s="574">
        <v>1435.0909090909099</v>
      </c>
      <c r="AV12" s="574">
        <v>119.59090909090916</v>
      </c>
      <c r="AW12" s="504">
        <f t="shared" si="13"/>
        <v>6</v>
      </c>
      <c r="AX12" s="706"/>
      <c r="AZ12" s="362" t="e">
        <f>RANK(AX12, $K$7:AX$21)</f>
        <v>#N/A</v>
      </c>
      <c r="BB12" s="359" t="e">
        <f t="shared" si="14"/>
        <v>#N/A</v>
      </c>
    </row>
    <row r="13" spans="1:54" ht="14.25">
      <c r="A13" s="81"/>
      <c r="B13" s="692"/>
      <c r="C13" s="505">
        <v>7</v>
      </c>
      <c r="D13" s="498"/>
      <c r="E13" s="509"/>
      <c r="F13" s="509"/>
      <c r="G13" s="509"/>
      <c r="H13" s="704"/>
      <c r="I13" s="509"/>
      <c r="J13" s="509"/>
      <c r="K13" s="507"/>
      <c r="L13" s="704"/>
      <c r="M13" s="508" t="e">
        <f>RANK(K13, K$7:$K$21)</f>
        <v>#N/A</v>
      </c>
      <c r="N13" s="659"/>
      <c r="O13" s="659"/>
      <c r="P13" s="505"/>
      <c r="Q13" s="509"/>
      <c r="R13" s="509"/>
      <c r="S13" s="504" t="e">
        <f t="shared" si="7"/>
        <v>#N/A</v>
      </c>
      <c r="T13" s="706"/>
      <c r="U13" s="573"/>
      <c r="V13" s="574"/>
      <c r="W13" s="574"/>
      <c r="X13" s="504" t="e">
        <f t="shared" si="8"/>
        <v>#N/A</v>
      </c>
      <c r="Y13" s="706"/>
      <c r="Z13" s="573"/>
      <c r="AA13" s="574"/>
      <c r="AB13" s="574"/>
      <c r="AC13" s="504" t="e">
        <f t="shared" si="9"/>
        <v>#N/A</v>
      </c>
      <c r="AD13" s="706"/>
      <c r="AE13" s="573"/>
      <c r="AF13" s="574"/>
      <c r="AG13" s="574"/>
      <c r="AH13" s="504" t="e">
        <f t="shared" si="10"/>
        <v>#N/A</v>
      </c>
      <c r="AI13" s="706"/>
      <c r="AJ13" s="573"/>
      <c r="AK13" s="574"/>
      <c r="AL13" s="574"/>
      <c r="AM13" s="504" t="e">
        <f t="shared" si="11"/>
        <v>#N/A</v>
      </c>
      <c r="AN13" s="706"/>
      <c r="AO13" s="573"/>
      <c r="AP13" s="574"/>
      <c r="AQ13" s="574"/>
      <c r="AR13" s="504" t="e">
        <f t="shared" si="12"/>
        <v>#N/A</v>
      </c>
      <c r="AS13" s="706"/>
      <c r="AT13" s="573"/>
      <c r="AU13" s="574"/>
      <c r="AV13" s="574"/>
      <c r="AW13" s="504" t="e">
        <f t="shared" si="13"/>
        <v>#N/A</v>
      </c>
      <c r="AX13" s="706"/>
      <c r="AZ13" s="362" t="e">
        <f>RANK(AX13, $K$7:AX$21)</f>
        <v>#N/A</v>
      </c>
      <c r="BB13" s="359" t="e">
        <f t="shared" si="14"/>
        <v>#N/A</v>
      </c>
    </row>
    <row r="14" spans="1:54" ht="14.25">
      <c r="A14" s="81"/>
      <c r="B14" s="692"/>
      <c r="C14" s="505">
        <v>8</v>
      </c>
      <c r="D14" s="352"/>
      <c r="E14" s="509"/>
      <c r="F14" s="509"/>
      <c r="G14" s="509"/>
      <c r="H14" s="704"/>
      <c r="I14" s="509"/>
      <c r="J14" s="509"/>
      <c r="K14" s="507"/>
      <c r="L14" s="704"/>
      <c r="M14" s="508" t="e">
        <f>RANK(K14, K$7:$K$21)</f>
        <v>#N/A</v>
      </c>
      <c r="N14" s="659"/>
      <c r="O14" s="659"/>
      <c r="P14" s="505"/>
      <c r="Q14" s="509"/>
      <c r="R14" s="509"/>
      <c r="S14" s="504" t="e">
        <f t="shared" si="7"/>
        <v>#N/A</v>
      </c>
      <c r="T14" s="706"/>
      <c r="U14" s="573"/>
      <c r="V14" s="574"/>
      <c r="W14" s="574"/>
      <c r="X14" s="504" t="e">
        <f t="shared" si="8"/>
        <v>#N/A</v>
      </c>
      <c r="Y14" s="706"/>
      <c r="Z14" s="573"/>
      <c r="AA14" s="574"/>
      <c r="AB14" s="574"/>
      <c r="AC14" s="504" t="e">
        <f t="shared" si="9"/>
        <v>#N/A</v>
      </c>
      <c r="AD14" s="706"/>
      <c r="AE14" s="573"/>
      <c r="AF14" s="574"/>
      <c r="AG14" s="574"/>
      <c r="AH14" s="504" t="e">
        <f t="shared" si="10"/>
        <v>#N/A</v>
      </c>
      <c r="AI14" s="706"/>
      <c r="AJ14" s="573"/>
      <c r="AK14" s="574"/>
      <c r="AL14" s="574"/>
      <c r="AM14" s="504" t="e">
        <f t="shared" si="11"/>
        <v>#N/A</v>
      </c>
      <c r="AN14" s="706"/>
      <c r="AO14" s="573"/>
      <c r="AP14" s="574"/>
      <c r="AQ14" s="574"/>
      <c r="AR14" s="504" t="e">
        <f t="shared" si="12"/>
        <v>#N/A</v>
      </c>
      <c r="AS14" s="706"/>
      <c r="AT14" s="573"/>
      <c r="AU14" s="574"/>
      <c r="AV14" s="574"/>
      <c r="AW14" s="504" t="e">
        <f t="shared" si="13"/>
        <v>#N/A</v>
      </c>
      <c r="AX14" s="706"/>
      <c r="AZ14" s="362" t="e">
        <f>RANK(AX14, $K$7:AX$21)</f>
        <v>#N/A</v>
      </c>
      <c r="BB14" s="359" t="e">
        <f t="shared" si="14"/>
        <v>#N/A</v>
      </c>
    </row>
    <row r="15" spans="1:54" ht="14.25">
      <c r="A15" s="81"/>
      <c r="B15" s="692"/>
      <c r="C15" s="505">
        <v>9</v>
      </c>
      <c r="D15" s="498"/>
      <c r="E15" s="509"/>
      <c r="F15" s="509"/>
      <c r="G15" s="509"/>
      <c r="H15" s="704"/>
      <c r="I15" s="509"/>
      <c r="J15" s="509"/>
      <c r="K15" s="507"/>
      <c r="L15" s="704"/>
      <c r="M15" s="508" t="e">
        <f>RANK(K15, K$7:$K$21)</f>
        <v>#N/A</v>
      </c>
      <c r="N15" s="659"/>
      <c r="O15" s="659"/>
      <c r="P15" s="505"/>
      <c r="Q15" s="509"/>
      <c r="R15" s="509"/>
      <c r="S15" s="504" t="e">
        <f t="shared" si="7"/>
        <v>#N/A</v>
      </c>
      <c r="T15" s="706"/>
      <c r="U15" s="573"/>
      <c r="V15" s="574"/>
      <c r="W15" s="574"/>
      <c r="X15" s="504" t="e">
        <f t="shared" si="8"/>
        <v>#N/A</v>
      </c>
      <c r="Y15" s="706"/>
      <c r="Z15" s="573"/>
      <c r="AA15" s="574"/>
      <c r="AB15" s="574"/>
      <c r="AC15" s="504" t="e">
        <f t="shared" si="9"/>
        <v>#N/A</v>
      </c>
      <c r="AD15" s="706"/>
      <c r="AE15" s="573"/>
      <c r="AF15" s="574"/>
      <c r="AG15" s="574"/>
      <c r="AH15" s="504" t="e">
        <f t="shared" si="10"/>
        <v>#N/A</v>
      </c>
      <c r="AI15" s="706"/>
      <c r="AJ15" s="573"/>
      <c r="AK15" s="574"/>
      <c r="AL15" s="574"/>
      <c r="AM15" s="504" t="e">
        <f t="shared" si="11"/>
        <v>#N/A</v>
      </c>
      <c r="AN15" s="706"/>
      <c r="AO15" s="573"/>
      <c r="AP15" s="574"/>
      <c r="AQ15" s="574"/>
      <c r="AR15" s="504" t="e">
        <f t="shared" si="12"/>
        <v>#N/A</v>
      </c>
      <c r="AS15" s="706"/>
      <c r="AT15" s="573"/>
      <c r="AU15" s="574"/>
      <c r="AV15" s="574"/>
      <c r="AW15" s="504" t="e">
        <f t="shared" si="13"/>
        <v>#N/A</v>
      </c>
      <c r="AX15" s="706"/>
      <c r="AZ15" s="362" t="e">
        <f>RANK(AX15, $K$7:AX$21)</f>
        <v>#N/A</v>
      </c>
      <c r="BB15" s="359" t="e">
        <f t="shared" si="14"/>
        <v>#N/A</v>
      </c>
    </row>
    <row r="16" spans="1:54" ht="14.25">
      <c r="A16" s="81"/>
      <c r="B16" s="692"/>
      <c r="C16" s="505">
        <v>10</v>
      </c>
      <c r="D16" s="498"/>
      <c r="E16" s="509"/>
      <c r="F16" s="509"/>
      <c r="G16" s="509"/>
      <c r="H16" s="704"/>
      <c r="I16" s="509"/>
      <c r="J16" s="509"/>
      <c r="K16" s="507"/>
      <c r="L16" s="704"/>
      <c r="M16" s="508" t="e">
        <f>RANK(K16, K$7:$K$21)</f>
        <v>#N/A</v>
      </c>
      <c r="N16" s="659"/>
      <c r="O16" s="659"/>
      <c r="P16" s="505"/>
      <c r="Q16" s="509"/>
      <c r="R16" s="509"/>
      <c r="S16" s="504" t="e">
        <f t="shared" si="7"/>
        <v>#N/A</v>
      </c>
      <c r="T16" s="706"/>
      <c r="U16" s="573"/>
      <c r="V16" s="574"/>
      <c r="W16" s="574"/>
      <c r="X16" s="504" t="e">
        <f t="shared" si="8"/>
        <v>#N/A</v>
      </c>
      <c r="Y16" s="706"/>
      <c r="Z16" s="573"/>
      <c r="AA16" s="574"/>
      <c r="AB16" s="574"/>
      <c r="AC16" s="504" t="e">
        <f t="shared" si="9"/>
        <v>#N/A</v>
      </c>
      <c r="AD16" s="706"/>
      <c r="AE16" s="573"/>
      <c r="AF16" s="574"/>
      <c r="AG16" s="574"/>
      <c r="AH16" s="504" t="e">
        <f t="shared" si="10"/>
        <v>#N/A</v>
      </c>
      <c r="AI16" s="706"/>
      <c r="AJ16" s="573"/>
      <c r="AK16" s="574"/>
      <c r="AL16" s="574"/>
      <c r="AM16" s="504" t="e">
        <f t="shared" si="11"/>
        <v>#N/A</v>
      </c>
      <c r="AN16" s="706"/>
      <c r="AO16" s="573"/>
      <c r="AP16" s="574"/>
      <c r="AQ16" s="574"/>
      <c r="AR16" s="504" t="e">
        <f t="shared" si="12"/>
        <v>#N/A</v>
      </c>
      <c r="AS16" s="706"/>
      <c r="AT16" s="573"/>
      <c r="AU16" s="574"/>
      <c r="AV16" s="574"/>
      <c r="AW16" s="504" t="e">
        <f t="shared" si="13"/>
        <v>#N/A</v>
      </c>
      <c r="AX16" s="706"/>
      <c r="AZ16" s="362" t="e">
        <f>RANK(AX16, $K$7:AX$21)</f>
        <v>#N/A</v>
      </c>
      <c r="BB16" s="359" t="e">
        <f t="shared" si="14"/>
        <v>#N/A</v>
      </c>
    </row>
    <row r="17" spans="2:54">
      <c r="B17" s="692"/>
      <c r="C17" s="505">
        <v>11</v>
      </c>
      <c r="D17" s="498"/>
      <c r="E17" s="509"/>
      <c r="F17" s="509"/>
      <c r="G17" s="509"/>
      <c r="H17" s="704"/>
      <c r="I17" s="505"/>
      <c r="J17" s="505"/>
      <c r="K17" s="505"/>
      <c r="L17" s="704"/>
      <c r="M17" s="508" t="e">
        <f>RANK(K17, K$7:$K$21)</f>
        <v>#N/A</v>
      </c>
      <c r="N17" s="659"/>
      <c r="O17" s="659"/>
      <c r="P17" s="505"/>
      <c r="Q17" s="509"/>
      <c r="R17" s="509"/>
      <c r="S17" s="504" t="e">
        <f t="shared" si="7"/>
        <v>#N/A</v>
      </c>
      <c r="T17" s="706"/>
      <c r="U17" s="573"/>
      <c r="V17" s="574"/>
      <c r="W17" s="574"/>
      <c r="X17" s="504" t="e">
        <f t="shared" si="8"/>
        <v>#N/A</v>
      </c>
      <c r="Y17" s="706"/>
      <c r="Z17" s="573"/>
      <c r="AA17" s="574"/>
      <c r="AB17" s="574"/>
      <c r="AC17" s="504" t="e">
        <f t="shared" si="9"/>
        <v>#N/A</v>
      </c>
      <c r="AD17" s="706"/>
      <c r="AE17" s="573"/>
      <c r="AF17" s="574"/>
      <c r="AG17" s="574"/>
      <c r="AH17" s="504" t="e">
        <f t="shared" si="10"/>
        <v>#N/A</v>
      </c>
      <c r="AI17" s="706"/>
      <c r="AJ17" s="573"/>
      <c r="AK17" s="574"/>
      <c r="AL17" s="574"/>
      <c r="AM17" s="504" t="e">
        <f t="shared" si="11"/>
        <v>#N/A</v>
      </c>
      <c r="AN17" s="706"/>
      <c r="AO17" s="573"/>
      <c r="AP17" s="574"/>
      <c r="AQ17" s="574"/>
      <c r="AR17" s="504" t="e">
        <f t="shared" si="12"/>
        <v>#N/A</v>
      </c>
      <c r="AS17" s="706"/>
      <c r="AT17" s="573"/>
      <c r="AU17" s="574"/>
      <c r="AV17" s="574"/>
      <c r="AW17" s="504" t="e">
        <f t="shared" si="13"/>
        <v>#N/A</v>
      </c>
      <c r="AX17" s="706"/>
      <c r="AZ17" s="362" t="e">
        <f>RANK(AX17, $K$7:AX$21)</f>
        <v>#N/A</v>
      </c>
      <c r="BB17" s="359" t="e">
        <f t="shared" si="14"/>
        <v>#N/A</v>
      </c>
    </row>
    <row r="18" spans="2:54">
      <c r="B18" s="692"/>
      <c r="C18" s="505">
        <v>12</v>
      </c>
      <c r="D18" s="498"/>
      <c r="E18" s="509"/>
      <c r="F18" s="509"/>
      <c r="G18" s="509"/>
      <c r="H18" s="704"/>
      <c r="I18" s="505"/>
      <c r="J18" s="505"/>
      <c r="K18" s="505"/>
      <c r="L18" s="704"/>
      <c r="M18" s="508" t="e">
        <f>RANK(K18, K$7:$K$21)</f>
        <v>#N/A</v>
      </c>
      <c r="N18" s="659"/>
      <c r="O18" s="659"/>
      <c r="P18" s="505"/>
      <c r="Q18" s="509"/>
      <c r="R18" s="509"/>
      <c r="S18" s="504" t="e">
        <f t="shared" si="7"/>
        <v>#N/A</v>
      </c>
      <c r="T18" s="706"/>
      <c r="U18" s="573"/>
      <c r="V18" s="574"/>
      <c r="W18" s="574"/>
      <c r="X18" s="504" t="e">
        <f t="shared" si="8"/>
        <v>#N/A</v>
      </c>
      <c r="Y18" s="706"/>
      <c r="Z18" s="573"/>
      <c r="AA18" s="574"/>
      <c r="AB18" s="574"/>
      <c r="AC18" s="504" t="e">
        <f t="shared" si="9"/>
        <v>#N/A</v>
      </c>
      <c r="AD18" s="706"/>
      <c r="AE18" s="573"/>
      <c r="AF18" s="574"/>
      <c r="AG18" s="574"/>
      <c r="AH18" s="504" t="e">
        <f t="shared" si="10"/>
        <v>#N/A</v>
      </c>
      <c r="AI18" s="706"/>
      <c r="AJ18" s="573"/>
      <c r="AK18" s="574"/>
      <c r="AL18" s="574"/>
      <c r="AM18" s="504" t="e">
        <f t="shared" si="11"/>
        <v>#N/A</v>
      </c>
      <c r="AN18" s="706"/>
      <c r="AO18" s="573"/>
      <c r="AP18" s="574"/>
      <c r="AQ18" s="574"/>
      <c r="AR18" s="504" t="e">
        <f t="shared" si="12"/>
        <v>#N/A</v>
      </c>
      <c r="AS18" s="706"/>
      <c r="AT18" s="573"/>
      <c r="AU18" s="574"/>
      <c r="AV18" s="574"/>
      <c r="AW18" s="504" t="e">
        <f t="shared" si="13"/>
        <v>#N/A</v>
      </c>
      <c r="AX18" s="706"/>
      <c r="AZ18" s="362" t="e">
        <f>RANK(AX18, $K$7:AX$21)</f>
        <v>#N/A</v>
      </c>
      <c r="BB18" s="359" t="e">
        <f t="shared" si="14"/>
        <v>#N/A</v>
      </c>
    </row>
    <row r="19" spans="2:54">
      <c r="B19" s="692"/>
      <c r="C19" s="505">
        <v>13</v>
      </c>
      <c r="D19" s="498"/>
      <c r="E19" s="509"/>
      <c r="F19" s="509"/>
      <c r="G19" s="509"/>
      <c r="H19" s="704"/>
      <c r="I19" s="505"/>
      <c r="J19" s="505"/>
      <c r="K19" s="505"/>
      <c r="L19" s="704"/>
      <c r="M19" s="508" t="e">
        <f>RANK(K19, K$7:$K$21)</f>
        <v>#N/A</v>
      </c>
      <c r="N19" s="659"/>
      <c r="O19" s="659"/>
      <c r="P19" s="505"/>
      <c r="Q19" s="509"/>
      <c r="R19" s="509"/>
      <c r="S19" s="504" t="e">
        <f t="shared" si="7"/>
        <v>#N/A</v>
      </c>
      <c r="T19" s="706"/>
      <c r="U19" s="573"/>
      <c r="V19" s="574"/>
      <c r="W19" s="574"/>
      <c r="X19" s="504" t="e">
        <f t="shared" si="8"/>
        <v>#N/A</v>
      </c>
      <c r="Y19" s="706"/>
      <c r="Z19" s="573"/>
      <c r="AA19" s="574"/>
      <c r="AB19" s="574"/>
      <c r="AC19" s="504" t="e">
        <f t="shared" si="9"/>
        <v>#N/A</v>
      </c>
      <c r="AD19" s="706"/>
      <c r="AE19" s="573"/>
      <c r="AF19" s="574"/>
      <c r="AG19" s="574"/>
      <c r="AH19" s="504" t="e">
        <f t="shared" si="10"/>
        <v>#N/A</v>
      </c>
      <c r="AI19" s="706"/>
      <c r="AJ19" s="573"/>
      <c r="AK19" s="574"/>
      <c r="AL19" s="574"/>
      <c r="AM19" s="504" t="e">
        <f t="shared" si="11"/>
        <v>#N/A</v>
      </c>
      <c r="AN19" s="706"/>
      <c r="AO19" s="573"/>
      <c r="AP19" s="574"/>
      <c r="AQ19" s="574"/>
      <c r="AR19" s="504" t="e">
        <f t="shared" si="12"/>
        <v>#N/A</v>
      </c>
      <c r="AS19" s="706"/>
      <c r="AT19" s="573"/>
      <c r="AU19" s="574"/>
      <c r="AV19" s="574"/>
      <c r="AW19" s="504" t="e">
        <f t="shared" si="13"/>
        <v>#N/A</v>
      </c>
      <c r="AX19" s="706"/>
      <c r="AZ19" s="362" t="e">
        <f>RANK(AX19, $K$7:AX$21)</f>
        <v>#N/A</v>
      </c>
      <c r="BB19" s="359" t="e">
        <f t="shared" si="14"/>
        <v>#N/A</v>
      </c>
    </row>
    <row r="20" spans="2:54">
      <c r="B20" s="692"/>
      <c r="C20" s="505">
        <v>14</v>
      </c>
      <c r="D20" s="498"/>
      <c r="E20" s="509"/>
      <c r="F20" s="509"/>
      <c r="G20" s="509"/>
      <c r="H20" s="704"/>
      <c r="I20" s="505"/>
      <c r="J20" s="505"/>
      <c r="K20" s="505"/>
      <c r="L20" s="704"/>
      <c r="M20" s="508" t="e">
        <f>RANK(K20, K$7:$K$21)</f>
        <v>#N/A</v>
      </c>
      <c r="N20" s="659"/>
      <c r="O20" s="659"/>
      <c r="P20" s="505"/>
      <c r="Q20" s="509"/>
      <c r="R20" s="509"/>
      <c r="S20" s="504" t="e">
        <f t="shared" si="7"/>
        <v>#N/A</v>
      </c>
      <c r="T20" s="706"/>
      <c r="U20" s="573"/>
      <c r="V20" s="574"/>
      <c r="W20" s="574"/>
      <c r="X20" s="504" t="e">
        <f t="shared" si="8"/>
        <v>#N/A</v>
      </c>
      <c r="Y20" s="706"/>
      <c r="Z20" s="573"/>
      <c r="AA20" s="574"/>
      <c r="AB20" s="574"/>
      <c r="AC20" s="504" t="e">
        <f t="shared" si="9"/>
        <v>#N/A</v>
      </c>
      <c r="AD20" s="706"/>
      <c r="AE20" s="573"/>
      <c r="AF20" s="574"/>
      <c r="AG20" s="574"/>
      <c r="AH20" s="504" t="e">
        <f t="shared" si="10"/>
        <v>#N/A</v>
      </c>
      <c r="AI20" s="706"/>
      <c r="AJ20" s="573"/>
      <c r="AK20" s="574"/>
      <c r="AL20" s="574"/>
      <c r="AM20" s="504" t="e">
        <f t="shared" si="11"/>
        <v>#N/A</v>
      </c>
      <c r="AN20" s="706"/>
      <c r="AO20" s="573"/>
      <c r="AP20" s="574"/>
      <c r="AQ20" s="574"/>
      <c r="AR20" s="504" t="e">
        <f t="shared" si="12"/>
        <v>#N/A</v>
      </c>
      <c r="AS20" s="706"/>
      <c r="AT20" s="573"/>
      <c r="AU20" s="574"/>
      <c r="AV20" s="574"/>
      <c r="AW20" s="504" t="e">
        <f t="shared" si="13"/>
        <v>#N/A</v>
      </c>
      <c r="AX20" s="706"/>
      <c r="AZ20" s="362" t="e">
        <f>RANK(AX20, $K$7:AX$21)</f>
        <v>#N/A</v>
      </c>
      <c r="BB20" s="359" t="e">
        <f t="shared" si="14"/>
        <v>#N/A</v>
      </c>
    </row>
    <row r="21" spans="2:54">
      <c r="B21" s="692"/>
      <c r="C21" s="505">
        <v>15</v>
      </c>
      <c r="D21" s="498"/>
      <c r="E21" s="509"/>
      <c r="F21" s="509"/>
      <c r="G21" s="509"/>
      <c r="H21" s="714"/>
      <c r="I21" s="505"/>
      <c r="J21" s="505"/>
      <c r="K21" s="505"/>
      <c r="L21" s="714"/>
      <c r="M21" s="508" t="e">
        <f>RANK(K21, K$7:$K$21)</f>
        <v>#N/A</v>
      </c>
      <c r="N21" s="659"/>
      <c r="O21" s="659"/>
      <c r="P21" s="505"/>
      <c r="Q21" s="509"/>
      <c r="R21" s="509"/>
      <c r="S21" s="504" t="e">
        <f t="shared" si="7"/>
        <v>#N/A</v>
      </c>
      <c r="T21" s="706"/>
      <c r="U21" s="573"/>
      <c r="V21" s="574"/>
      <c r="W21" s="574"/>
      <c r="X21" s="504" t="e">
        <f t="shared" si="8"/>
        <v>#N/A</v>
      </c>
      <c r="Y21" s="706"/>
      <c r="Z21" s="573"/>
      <c r="AA21" s="574"/>
      <c r="AB21" s="574"/>
      <c r="AC21" s="504" t="e">
        <f t="shared" si="9"/>
        <v>#N/A</v>
      </c>
      <c r="AD21" s="706"/>
      <c r="AE21" s="573"/>
      <c r="AF21" s="574"/>
      <c r="AG21" s="574"/>
      <c r="AH21" s="504" t="e">
        <f t="shared" si="10"/>
        <v>#N/A</v>
      </c>
      <c r="AI21" s="706"/>
      <c r="AJ21" s="573"/>
      <c r="AK21" s="574"/>
      <c r="AL21" s="574"/>
      <c r="AM21" s="504" t="e">
        <f t="shared" si="11"/>
        <v>#N/A</v>
      </c>
      <c r="AN21" s="706"/>
      <c r="AO21" s="573"/>
      <c r="AP21" s="574"/>
      <c r="AQ21" s="574"/>
      <c r="AR21" s="504" t="e">
        <f t="shared" si="12"/>
        <v>#N/A</v>
      </c>
      <c r="AS21" s="706"/>
      <c r="AT21" s="573"/>
      <c r="AU21" s="574"/>
      <c r="AV21" s="574"/>
      <c r="AW21" s="504" t="e">
        <f t="shared" si="13"/>
        <v>#N/A</v>
      </c>
      <c r="AX21" s="706"/>
      <c r="AZ21" s="361" t="e">
        <f>RANK(AX21, $K$7:AX$21)</f>
        <v>#N/A</v>
      </c>
      <c r="BB21" s="359" t="e">
        <f t="shared" si="14"/>
        <v>#N/A</v>
      </c>
    </row>
    <row r="22" spans="2:54" ht="15.75">
      <c r="B22" s="685" t="s">
        <v>163</v>
      </c>
      <c r="C22" s="686"/>
      <c r="D22" s="686"/>
      <c r="E22" s="686"/>
      <c r="F22" s="686"/>
      <c r="G22" s="686"/>
      <c r="H22" s="686"/>
      <c r="I22" s="203"/>
      <c r="J22" s="203"/>
      <c r="K22" s="203"/>
      <c r="L22" s="203"/>
      <c r="M22" s="204"/>
      <c r="N22" s="660" t="s">
        <v>156</v>
      </c>
      <c r="O22" s="660" t="s">
        <v>105</v>
      </c>
      <c r="P22" s="666">
        <f>P2+7</f>
        <v>46091</v>
      </c>
      <c r="Q22" s="667"/>
      <c r="R22" s="667"/>
      <c r="S22" s="667"/>
      <c r="T22" s="667"/>
      <c r="U22" s="663">
        <f>P22+1</f>
        <v>46092</v>
      </c>
      <c r="V22" s="664"/>
      <c r="W22" s="664"/>
      <c r="X22" s="664"/>
      <c r="Y22" s="665"/>
      <c r="Z22" s="663">
        <f>U22+1</f>
        <v>46093</v>
      </c>
      <c r="AA22" s="664"/>
      <c r="AB22" s="664"/>
      <c r="AC22" s="664"/>
      <c r="AD22" s="665"/>
      <c r="AE22" s="663">
        <f>Z22+1</f>
        <v>46094</v>
      </c>
      <c r="AF22" s="664"/>
      <c r="AG22" s="664"/>
      <c r="AH22" s="664"/>
      <c r="AI22" s="665"/>
      <c r="AJ22" s="663">
        <f>AE22+1</f>
        <v>46095</v>
      </c>
      <c r="AK22" s="664"/>
      <c r="AL22" s="664"/>
      <c r="AM22" s="664"/>
      <c r="AN22" s="665"/>
      <c r="AO22" s="663">
        <f>AJ22+1</f>
        <v>46096</v>
      </c>
      <c r="AP22" s="664"/>
      <c r="AQ22" s="664"/>
      <c r="AR22" s="664"/>
      <c r="AS22" s="665"/>
      <c r="AT22" s="663">
        <f>AO22+1</f>
        <v>46097</v>
      </c>
      <c r="AU22" s="664"/>
      <c r="AV22" s="664"/>
      <c r="AW22" s="664"/>
      <c r="AX22" s="665"/>
    </row>
    <row r="23" spans="2:54" ht="15.75">
      <c r="B23" s="674"/>
      <c r="C23" s="674"/>
      <c r="D23" s="674"/>
      <c r="E23" s="674"/>
      <c r="F23" s="674"/>
      <c r="G23" s="674"/>
      <c r="H23" s="674"/>
      <c r="I23" s="205"/>
      <c r="J23" s="205"/>
      <c r="K23" s="205"/>
      <c r="L23" s="205"/>
      <c r="M23" s="206"/>
      <c r="N23" s="662"/>
      <c r="O23" s="662"/>
      <c r="P23" s="666" t="s">
        <v>336</v>
      </c>
      <c r="Q23" s="667"/>
      <c r="R23" s="667"/>
      <c r="S23" s="667"/>
      <c r="T23" s="667"/>
      <c r="U23" s="666" t="s">
        <v>337</v>
      </c>
      <c r="V23" s="667"/>
      <c r="W23" s="667"/>
      <c r="X23" s="667"/>
      <c r="Y23" s="667"/>
      <c r="Z23" s="666" t="s">
        <v>338</v>
      </c>
      <c r="AA23" s="667"/>
      <c r="AB23" s="667"/>
      <c r="AC23" s="667"/>
      <c r="AD23" s="667"/>
      <c r="AE23" s="666" t="s">
        <v>339</v>
      </c>
      <c r="AF23" s="667"/>
      <c r="AG23" s="667"/>
      <c r="AH23" s="667"/>
      <c r="AI23" s="667"/>
      <c r="AJ23" s="666" t="s">
        <v>340</v>
      </c>
      <c r="AK23" s="667"/>
      <c r="AL23" s="667"/>
      <c r="AM23" s="667"/>
      <c r="AN23" s="667"/>
      <c r="AO23" s="666" t="s">
        <v>341</v>
      </c>
      <c r="AP23" s="667"/>
      <c r="AQ23" s="667"/>
      <c r="AR23" s="667"/>
      <c r="AS23" s="667"/>
      <c r="AT23" s="666" t="s">
        <v>342</v>
      </c>
      <c r="AU23" s="667"/>
      <c r="AV23" s="667"/>
      <c r="AW23" s="667"/>
      <c r="AX23" s="667"/>
    </row>
    <row r="24" spans="2:54">
      <c r="B24" s="659" t="s">
        <v>861</v>
      </c>
      <c r="C24" s="659" t="s">
        <v>862</v>
      </c>
      <c r="D24" s="659"/>
      <c r="E24" s="659" t="s">
        <v>863</v>
      </c>
      <c r="F24" s="659"/>
      <c r="G24" s="659"/>
      <c r="H24" s="675" t="s">
        <v>864</v>
      </c>
      <c r="I24" s="643" t="s">
        <v>865</v>
      </c>
      <c r="J24" s="643"/>
      <c r="K24" s="643"/>
      <c r="L24" s="644" t="s">
        <v>864</v>
      </c>
      <c r="M24" s="650" t="s">
        <v>866</v>
      </c>
      <c r="N24" s="659"/>
      <c r="O24" s="659" t="s">
        <v>867</v>
      </c>
      <c r="P24" s="656" t="s">
        <v>868</v>
      </c>
      <c r="Q24" s="657"/>
      <c r="R24" s="657"/>
      <c r="S24" s="658"/>
      <c r="T24" s="659" t="s">
        <v>864</v>
      </c>
      <c r="U24" s="656" t="s">
        <v>868</v>
      </c>
      <c r="V24" s="657"/>
      <c r="W24" s="657"/>
      <c r="X24" s="658"/>
      <c r="Y24" s="659" t="s">
        <v>864</v>
      </c>
      <c r="Z24" s="656" t="s">
        <v>868</v>
      </c>
      <c r="AA24" s="657"/>
      <c r="AB24" s="657"/>
      <c r="AC24" s="658"/>
      <c r="AD24" s="659" t="s">
        <v>864</v>
      </c>
      <c r="AE24" s="656" t="s">
        <v>868</v>
      </c>
      <c r="AF24" s="657"/>
      <c r="AG24" s="657"/>
      <c r="AH24" s="658"/>
      <c r="AI24" s="659" t="s">
        <v>864</v>
      </c>
      <c r="AJ24" s="656" t="s">
        <v>868</v>
      </c>
      <c r="AK24" s="657"/>
      <c r="AL24" s="657"/>
      <c r="AM24" s="658"/>
      <c r="AN24" s="659" t="s">
        <v>864</v>
      </c>
      <c r="AO24" s="656" t="s">
        <v>868</v>
      </c>
      <c r="AP24" s="657"/>
      <c r="AQ24" s="657"/>
      <c r="AR24" s="658"/>
      <c r="AS24" s="659" t="s">
        <v>864</v>
      </c>
      <c r="AT24" s="656" t="s">
        <v>868</v>
      </c>
      <c r="AU24" s="657"/>
      <c r="AV24" s="657"/>
      <c r="AW24" s="658"/>
      <c r="AX24" s="659" t="s">
        <v>864</v>
      </c>
    </row>
    <row r="25" spans="2:54">
      <c r="B25" s="659"/>
      <c r="C25" s="659"/>
      <c r="D25" s="659"/>
      <c r="E25" s="659" t="s">
        <v>869</v>
      </c>
      <c r="F25" s="659"/>
      <c r="G25" s="659"/>
      <c r="H25" s="676"/>
      <c r="I25" s="643" t="s">
        <v>869</v>
      </c>
      <c r="J25" s="643"/>
      <c r="K25" s="643"/>
      <c r="L25" s="645"/>
      <c r="M25" s="651"/>
      <c r="N25" s="659"/>
      <c r="O25" s="659"/>
      <c r="P25" s="656" t="s">
        <v>870</v>
      </c>
      <c r="Q25" s="657"/>
      <c r="R25" s="657"/>
      <c r="S25" s="658"/>
      <c r="T25" s="659"/>
      <c r="U25" s="656" t="s">
        <v>870</v>
      </c>
      <c r="V25" s="657"/>
      <c r="W25" s="657"/>
      <c r="X25" s="658"/>
      <c r="Y25" s="659"/>
      <c r="Z25" s="656" t="s">
        <v>870</v>
      </c>
      <c r="AA25" s="657"/>
      <c r="AB25" s="657"/>
      <c r="AC25" s="658"/>
      <c r="AD25" s="659"/>
      <c r="AE25" s="656" t="s">
        <v>870</v>
      </c>
      <c r="AF25" s="657"/>
      <c r="AG25" s="657"/>
      <c r="AH25" s="658"/>
      <c r="AI25" s="659"/>
      <c r="AJ25" s="656" t="s">
        <v>870</v>
      </c>
      <c r="AK25" s="657"/>
      <c r="AL25" s="657"/>
      <c r="AM25" s="658"/>
      <c r="AN25" s="659"/>
      <c r="AO25" s="656" t="s">
        <v>870</v>
      </c>
      <c r="AP25" s="657"/>
      <c r="AQ25" s="657"/>
      <c r="AR25" s="658"/>
      <c r="AS25" s="659"/>
      <c r="AT25" s="656" t="s">
        <v>870</v>
      </c>
      <c r="AU25" s="657"/>
      <c r="AV25" s="657"/>
      <c r="AW25" s="658"/>
      <c r="AX25" s="659"/>
    </row>
    <row r="26" spans="2:54">
      <c r="B26" s="659"/>
      <c r="C26" s="659"/>
      <c r="D26" s="659"/>
      <c r="E26" s="521" t="s">
        <v>871</v>
      </c>
      <c r="F26" s="521" t="s">
        <v>872</v>
      </c>
      <c r="G26" s="521" t="s">
        <v>873</v>
      </c>
      <c r="H26" s="677"/>
      <c r="I26" s="520" t="s">
        <v>871</v>
      </c>
      <c r="J26" s="520" t="s">
        <v>872</v>
      </c>
      <c r="K26" s="520" t="s">
        <v>873</v>
      </c>
      <c r="L26" s="646"/>
      <c r="M26" s="652"/>
      <c r="N26" s="659"/>
      <c r="O26" s="659"/>
      <c r="P26" s="521" t="s">
        <v>871</v>
      </c>
      <c r="Q26" s="521" t="s">
        <v>872</v>
      </c>
      <c r="R26" s="521" t="s">
        <v>873</v>
      </c>
      <c r="S26" s="521" t="s">
        <v>866</v>
      </c>
      <c r="T26" s="659"/>
      <c r="U26" s="521" t="s">
        <v>871</v>
      </c>
      <c r="V26" s="521" t="s">
        <v>872</v>
      </c>
      <c r="W26" s="521" t="s">
        <v>873</v>
      </c>
      <c r="X26" s="521" t="s">
        <v>866</v>
      </c>
      <c r="Y26" s="659"/>
      <c r="Z26" s="521" t="s">
        <v>871</v>
      </c>
      <c r="AA26" s="521" t="s">
        <v>872</v>
      </c>
      <c r="AB26" s="521" t="s">
        <v>873</v>
      </c>
      <c r="AC26" s="521" t="s">
        <v>866</v>
      </c>
      <c r="AD26" s="659"/>
      <c r="AE26" s="521" t="s">
        <v>871</v>
      </c>
      <c r="AF26" s="521" t="s">
        <v>872</v>
      </c>
      <c r="AG26" s="521" t="s">
        <v>873</v>
      </c>
      <c r="AH26" s="521" t="s">
        <v>866</v>
      </c>
      <c r="AI26" s="659"/>
      <c r="AJ26" s="521" t="s">
        <v>871</v>
      </c>
      <c r="AK26" s="521" t="s">
        <v>872</v>
      </c>
      <c r="AL26" s="521" t="s">
        <v>873</v>
      </c>
      <c r="AM26" s="521" t="s">
        <v>866</v>
      </c>
      <c r="AN26" s="659"/>
      <c r="AO26" s="521" t="s">
        <v>871</v>
      </c>
      <c r="AP26" s="521" t="s">
        <v>872</v>
      </c>
      <c r="AQ26" s="521" t="s">
        <v>873</v>
      </c>
      <c r="AR26" s="521" t="s">
        <v>866</v>
      </c>
      <c r="AS26" s="659"/>
      <c r="AT26" s="521" t="s">
        <v>871</v>
      </c>
      <c r="AU26" s="521" t="s">
        <v>872</v>
      </c>
      <c r="AV26" s="521" t="s">
        <v>873</v>
      </c>
      <c r="AW26" s="521" t="s">
        <v>866</v>
      </c>
      <c r="AX26" s="659"/>
    </row>
    <row r="27" spans="2:54">
      <c r="B27" s="707" t="s">
        <v>874</v>
      </c>
      <c r="C27" s="522">
        <v>1</v>
      </c>
      <c r="D27" s="569"/>
      <c r="E27" s="569"/>
      <c r="F27" s="569"/>
      <c r="G27" s="182"/>
      <c r="H27" s="711" t="e">
        <f>AVERAGE(G27:G41)</f>
        <v>#DIV/0!</v>
      </c>
      <c r="I27" s="523" t="e">
        <f>AVERAGE(P27,U27,Z27,AE27,AJ27,AO27,AT27)</f>
        <v>#DIV/0!</v>
      </c>
      <c r="J27" s="523" t="e">
        <f>AVERAGE(Q27,V27,AA27,AF27,AK27,AP27,AU27)</f>
        <v>#DIV/0!</v>
      </c>
      <c r="K27" s="200" t="e">
        <f>AVERAGE(R27,W27,AB27,AG27,AL27,AQ27,AV27)</f>
        <v>#DIV/0!</v>
      </c>
      <c r="L27" s="640" t="str">
        <f>IFERROR(AVERAGE(K27:K41),"-")</f>
        <v>-</v>
      </c>
      <c r="M27" s="524" t="e">
        <f>RANK(K27, K$27:$K$41)</f>
        <v>#DIV/0!</v>
      </c>
      <c r="N27" s="659"/>
      <c r="O27" s="659"/>
      <c r="P27" s="573"/>
      <c r="Q27" s="574"/>
      <c r="R27" s="574"/>
      <c r="S27" s="522" t="e">
        <f>RANK(R27, R$27:R$41)</f>
        <v>#N/A</v>
      </c>
      <c r="T27" s="681" t="e">
        <f>AVERAGE(R27:R41)</f>
        <v>#DIV/0!</v>
      </c>
      <c r="U27" s="573"/>
      <c r="V27" s="574"/>
      <c r="W27" s="574"/>
      <c r="X27" s="522" t="e">
        <f>RANK(W27, W$27:W$41)</f>
        <v>#N/A</v>
      </c>
      <c r="Y27" s="681" t="e">
        <f>AVERAGE(W27:W41)</f>
        <v>#DIV/0!</v>
      </c>
      <c r="Z27" s="573"/>
      <c r="AA27" s="574"/>
      <c r="AB27" s="574"/>
      <c r="AC27" s="522" t="e">
        <f>RANK(AB27, AB$27:AB$41)</f>
        <v>#N/A</v>
      </c>
      <c r="AD27" s="681" t="e">
        <f>AVERAGE(AB27:AB41)</f>
        <v>#DIV/0!</v>
      </c>
      <c r="AE27" s="573"/>
      <c r="AF27" s="574"/>
      <c r="AG27" s="574"/>
      <c r="AH27" s="522" t="e">
        <f>RANK(AG27, AG$27:AG$41)</f>
        <v>#N/A</v>
      </c>
      <c r="AI27" s="681" t="e">
        <f>AVERAGE(AG27:AG41)</f>
        <v>#DIV/0!</v>
      </c>
      <c r="AJ27" s="573"/>
      <c r="AK27" s="574"/>
      <c r="AL27" s="574"/>
      <c r="AM27" s="522" t="e">
        <f>RANK(AL27, AL$27:AL$41)</f>
        <v>#N/A</v>
      </c>
      <c r="AN27" s="681" t="e">
        <f>AVERAGE(AL27:AL41)</f>
        <v>#DIV/0!</v>
      </c>
      <c r="AO27" s="573"/>
      <c r="AP27" s="574"/>
      <c r="AQ27" s="574"/>
      <c r="AR27" s="522" t="e">
        <f>RANK(AQ27, AQ$27:AQ$41)</f>
        <v>#N/A</v>
      </c>
      <c r="AS27" s="681" t="e">
        <f>AVERAGE(AQ27:AQ41)</f>
        <v>#DIV/0!</v>
      </c>
      <c r="AT27" s="573"/>
      <c r="AU27" s="574"/>
      <c r="AV27" s="574"/>
      <c r="AW27" s="522" t="e">
        <f>RANK(AV27, AV$27:AV$41)</f>
        <v>#N/A</v>
      </c>
      <c r="AX27" s="681" t="e">
        <f>AVERAGE(AV27:AV41)</f>
        <v>#DIV/0!</v>
      </c>
    </row>
    <row r="28" spans="2:54">
      <c r="B28" s="667"/>
      <c r="C28" s="522">
        <v>2</v>
      </c>
      <c r="D28" s="569"/>
      <c r="E28" s="569"/>
      <c r="F28" s="569"/>
      <c r="G28" s="182"/>
      <c r="H28" s="712"/>
      <c r="I28" s="523" t="e">
        <f t="shared" ref="I28:K32" si="16">AVERAGE(P28,U28,Z28,AE28,AJ28,AO28,AT28)</f>
        <v>#DIV/0!</v>
      </c>
      <c r="J28" s="523" t="e">
        <f t="shared" si="16"/>
        <v>#DIV/0!</v>
      </c>
      <c r="K28" s="200" t="e">
        <f t="shared" si="16"/>
        <v>#DIV/0!</v>
      </c>
      <c r="L28" s="641"/>
      <c r="M28" s="524" t="e">
        <f>RANK(K28, K$27:$K$41)</f>
        <v>#DIV/0!</v>
      </c>
      <c r="N28" s="659"/>
      <c r="O28" s="659"/>
      <c r="P28" s="573"/>
      <c r="Q28" s="574"/>
      <c r="R28" s="574"/>
      <c r="S28" s="522" t="e">
        <f t="shared" ref="S28:S41" si="17">RANK(R28, R$27:R$41)</f>
        <v>#N/A</v>
      </c>
      <c r="T28" s="681"/>
      <c r="U28" s="573"/>
      <c r="V28" s="574"/>
      <c r="W28" s="574"/>
      <c r="X28" s="522" t="e">
        <f t="shared" ref="X28:X41" si="18">RANK(W28, W$27:W$41)</f>
        <v>#N/A</v>
      </c>
      <c r="Y28" s="681"/>
      <c r="Z28" s="573"/>
      <c r="AA28" s="574"/>
      <c r="AB28" s="574"/>
      <c r="AC28" s="522" t="e">
        <f t="shared" ref="AC28:AC41" si="19">RANK(AB28, AB$27:AB$41)</f>
        <v>#N/A</v>
      </c>
      <c r="AD28" s="681"/>
      <c r="AE28" s="573"/>
      <c r="AF28" s="574"/>
      <c r="AG28" s="574"/>
      <c r="AH28" s="522" t="e">
        <f t="shared" ref="AH28:AH41" si="20">RANK(AG28, AG$27:AG$41)</f>
        <v>#N/A</v>
      </c>
      <c r="AI28" s="681"/>
      <c r="AJ28" s="573"/>
      <c r="AK28" s="574"/>
      <c r="AL28" s="574"/>
      <c r="AM28" s="522" t="e">
        <f t="shared" ref="AM28:AM41" si="21">RANK(AL28, AL$27:AL$41)</f>
        <v>#N/A</v>
      </c>
      <c r="AN28" s="681"/>
      <c r="AO28" s="573"/>
      <c r="AP28" s="574"/>
      <c r="AQ28" s="574"/>
      <c r="AR28" s="522" t="e">
        <f t="shared" ref="AR28:AR41" si="22">RANK(AQ28, AQ$27:AQ$41)</f>
        <v>#N/A</v>
      </c>
      <c r="AS28" s="681"/>
      <c r="AT28" s="573"/>
      <c r="AU28" s="574"/>
      <c r="AV28" s="574"/>
      <c r="AW28" s="522" t="e">
        <f t="shared" ref="AW28:AW41" si="23">RANK(AV28, AV$27:AV$41)</f>
        <v>#N/A</v>
      </c>
      <c r="AX28" s="681"/>
    </row>
    <row r="29" spans="2:54">
      <c r="B29" s="667"/>
      <c r="C29" s="522">
        <v>3</v>
      </c>
      <c r="D29" s="569"/>
      <c r="E29" s="569"/>
      <c r="F29" s="569"/>
      <c r="G29" s="182"/>
      <c r="H29" s="712"/>
      <c r="I29" s="523" t="e">
        <f t="shared" si="16"/>
        <v>#DIV/0!</v>
      </c>
      <c r="J29" s="523" t="e">
        <f t="shared" si="16"/>
        <v>#DIV/0!</v>
      </c>
      <c r="K29" s="200" t="e">
        <f t="shared" si="16"/>
        <v>#DIV/0!</v>
      </c>
      <c r="L29" s="641"/>
      <c r="M29" s="524" t="e">
        <f>RANK(K29, K$27:$K$41)</f>
        <v>#DIV/0!</v>
      </c>
      <c r="N29" s="659"/>
      <c r="O29" s="659"/>
      <c r="P29" s="573"/>
      <c r="Q29" s="574"/>
      <c r="R29" s="574"/>
      <c r="S29" s="522" t="e">
        <f t="shared" si="17"/>
        <v>#N/A</v>
      </c>
      <c r="T29" s="681"/>
      <c r="U29" s="573"/>
      <c r="V29" s="574"/>
      <c r="W29" s="574"/>
      <c r="X29" s="522" t="e">
        <f t="shared" si="18"/>
        <v>#N/A</v>
      </c>
      <c r="Y29" s="681"/>
      <c r="Z29" s="573"/>
      <c r="AA29" s="574"/>
      <c r="AB29" s="574"/>
      <c r="AC29" s="522" t="e">
        <f t="shared" si="19"/>
        <v>#N/A</v>
      </c>
      <c r="AD29" s="681"/>
      <c r="AE29" s="573"/>
      <c r="AF29" s="574"/>
      <c r="AG29" s="574"/>
      <c r="AH29" s="522" t="e">
        <f t="shared" si="20"/>
        <v>#N/A</v>
      </c>
      <c r="AI29" s="681"/>
      <c r="AJ29" s="573"/>
      <c r="AK29" s="574"/>
      <c r="AL29" s="574"/>
      <c r="AM29" s="522" t="e">
        <f t="shared" si="21"/>
        <v>#N/A</v>
      </c>
      <c r="AN29" s="681"/>
      <c r="AO29" s="573"/>
      <c r="AP29" s="574"/>
      <c r="AQ29" s="574"/>
      <c r="AR29" s="522" t="e">
        <f t="shared" si="22"/>
        <v>#N/A</v>
      </c>
      <c r="AS29" s="681"/>
      <c r="AT29" s="573"/>
      <c r="AU29" s="574"/>
      <c r="AV29" s="574"/>
      <c r="AW29" s="522" t="e">
        <f t="shared" si="23"/>
        <v>#N/A</v>
      </c>
      <c r="AX29" s="681"/>
    </row>
    <row r="30" spans="2:54">
      <c r="B30" s="667"/>
      <c r="C30" s="522">
        <v>4</v>
      </c>
      <c r="D30" s="569"/>
      <c r="E30" s="569"/>
      <c r="F30" s="569"/>
      <c r="G30" s="182"/>
      <c r="H30" s="712"/>
      <c r="I30" s="523" t="e">
        <f t="shared" si="16"/>
        <v>#DIV/0!</v>
      </c>
      <c r="J30" s="523" t="e">
        <f t="shared" si="16"/>
        <v>#DIV/0!</v>
      </c>
      <c r="K30" s="200" t="e">
        <f t="shared" si="16"/>
        <v>#DIV/0!</v>
      </c>
      <c r="L30" s="641"/>
      <c r="M30" s="524" t="e">
        <f>RANK(K30, K$27:$K$41)</f>
        <v>#DIV/0!</v>
      </c>
      <c r="N30" s="659"/>
      <c r="O30" s="659"/>
      <c r="P30" s="573"/>
      <c r="Q30" s="574"/>
      <c r="R30" s="574"/>
      <c r="S30" s="522" t="e">
        <f t="shared" si="17"/>
        <v>#N/A</v>
      </c>
      <c r="T30" s="681"/>
      <c r="U30" s="573"/>
      <c r="V30" s="574"/>
      <c r="W30" s="574"/>
      <c r="X30" s="522" t="e">
        <f t="shared" si="18"/>
        <v>#N/A</v>
      </c>
      <c r="Y30" s="681"/>
      <c r="Z30" s="573"/>
      <c r="AA30" s="574"/>
      <c r="AB30" s="574"/>
      <c r="AC30" s="522" t="e">
        <f t="shared" si="19"/>
        <v>#N/A</v>
      </c>
      <c r="AD30" s="681"/>
      <c r="AE30" s="573"/>
      <c r="AF30" s="574"/>
      <c r="AG30" s="574"/>
      <c r="AH30" s="522" t="e">
        <f t="shared" si="20"/>
        <v>#N/A</v>
      </c>
      <c r="AI30" s="681"/>
      <c r="AJ30" s="573"/>
      <c r="AK30" s="574"/>
      <c r="AL30" s="574"/>
      <c r="AM30" s="522" t="e">
        <f t="shared" si="21"/>
        <v>#N/A</v>
      </c>
      <c r="AN30" s="681"/>
      <c r="AO30" s="573"/>
      <c r="AP30" s="574"/>
      <c r="AQ30" s="574"/>
      <c r="AR30" s="522" t="e">
        <f t="shared" si="22"/>
        <v>#N/A</v>
      </c>
      <c r="AS30" s="681"/>
      <c r="AT30" s="573"/>
      <c r="AU30" s="574"/>
      <c r="AV30" s="574"/>
      <c r="AW30" s="522" t="e">
        <f t="shared" si="23"/>
        <v>#N/A</v>
      </c>
      <c r="AX30" s="681"/>
    </row>
    <row r="31" spans="2:54">
      <c r="B31" s="667"/>
      <c r="C31" s="522">
        <v>5</v>
      </c>
      <c r="D31" s="569"/>
      <c r="E31" s="569"/>
      <c r="F31" s="569"/>
      <c r="G31" s="182"/>
      <c r="H31" s="712"/>
      <c r="I31" s="523" t="e">
        <f t="shared" si="16"/>
        <v>#DIV/0!</v>
      </c>
      <c r="J31" s="523" t="e">
        <f t="shared" si="16"/>
        <v>#DIV/0!</v>
      </c>
      <c r="K31" s="200" t="e">
        <f t="shared" si="16"/>
        <v>#DIV/0!</v>
      </c>
      <c r="L31" s="641"/>
      <c r="M31" s="524" t="e">
        <f>RANK(K31, K$27:$K$41)</f>
        <v>#DIV/0!</v>
      </c>
      <c r="N31" s="659"/>
      <c r="O31" s="659"/>
      <c r="P31" s="573"/>
      <c r="Q31" s="574"/>
      <c r="R31" s="574"/>
      <c r="S31" s="522" t="e">
        <f t="shared" si="17"/>
        <v>#N/A</v>
      </c>
      <c r="T31" s="681"/>
      <c r="U31" s="573"/>
      <c r="V31" s="574"/>
      <c r="W31" s="574"/>
      <c r="X31" s="522" t="e">
        <f t="shared" si="18"/>
        <v>#N/A</v>
      </c>
      <c r="Y31" s="681"/>
      <c r="Z31" s="573"/>
      <c r="AA31" s="574"/>
      <c r="AB31" s="574"/>
      <c r="AC31" s="522" t="e">
        <f t="shared" si="19"/>
        <v>#N/A</v>
      </c>
      <c r="AD31" s="681"/>
      <c r="AE31" s="573"/>
      <c r="AF31" s="574"/>
      <c r="AG31" s="574"/>
      <c r="AH31" s="522" t="e">
        <f t="shared" si="20"/>
        <v>#N/A</v>
      </c>
      <c r="AI31" s="681"/>
      <c r="AJ31" s="573"/>
      <c r="AK31" s="574"/>
      <c r="AL31" s="574"/>
      <c r="AM31" s="522" t="e">
        <f t="shared" si="21"/>
        <v>#N/A</v>
      </c>
      <c r="AN31" s="681"/>
      <c r="AO31" s="573"/>
      <c r="AP31" s="574"/>
      <c r="AQ31" s="574"/>
      <c r="AR31" s="522" t="e">
        <f t="shared" si="22"/>
        <v>#N/A</v>
      </c>
      <c r="AS31" s="681"/>
      <c r="AT31" s="573"/>
      <c r="AU31" s="574"/>
      <c r="AV31" s="574"/>
      <c r="AW31" s="522" t="e">
        <f t="shared" si="23"/>
        <v>#N/A</v>
      </c>
      <c r="AX31" s="681"/>
    </row>
    <row r="32" spans="2:54">
      <c r="B32" s="667"/>
      <c r="C32" s="522">
        <v>6</v>
      </c>
      <c r="D32" s="569"/>
      <c r="E32" s="569"/>
      <c r="F32" s="569"/>
      <c r="G32" s="182"/>
      <c r="H32" s="712"/>
      <c r="I32" s="523" t="e">
        <f t="shared" si="16"/>
        <v>#DIV/0!</v>
      </c>
      <c r="J32" s="523" t="e">
        <f t="shared" si="16"/>
        <v>#DIV/0!</v>
      </c>
      <c r="K32" s="200" t="e">
        <f t="shared" si="16"/>
        <v>#DIV/0!</v>
      </c>
      <c r="L32" s="641"/>
      <c r="M32" s="524" t="e">
        <f>RANK(K32, K$27:$K$41)</f>
        <v>#DIV/0!</v>
      </c>
      <c r="N32" s="659"/>
      <c r="O32" s="659"/>
      <c r="P32" s="573"/>
      <c r="Q32" s="574"/>
      <c r="R32" s="574"/>
      <c r="S32" s="522" t="e">
        <f t="shared" si="17"/>
        <v>#N/A</v>
      </c>
      <c r="T32" s="681"/>
      <c r="U32" s="573"/>
      <c r="V32" s="574"/>
      <c r="W32" s="574"/>
      <c r="X32" s="522" t="e">
        <f t="shared" si="18"/>
        <v>#N/A</v>
      </c>
      <c r="Y32" s="681"/>
      <c r="Z32" s="573"/>
      <c r="AA32" s="574"/>
      <c r="AB32" s="574"/>
      <c r="AC32" s="522" t="e">
        <f t="shared" si="19"/>
        <v>#N/A</v>
      </c>
      <c r="AD32" s="681"/>
      <c r="AE32" s="573"/>
      <c r="AF32" s="574"/>
      <c r="AG32" s="574"/>
      <c r="AH32" s="522" t="e">
        <f t="shared" si="20"/>
        <v>#N/A</v>
      </c>
      <c r="AI32" s="681"/>
      <c r="AJ32" s="573"/>
      <c r="AK32" s="574"/>
      <c r="AL32" s="574"/>
      <c r="AM32" s="522" t="e">
        <f t="shared" si="21"/>
        <v>#N/A</v>
      </c>
      <c r="AN32" s="681"/>
      <c r="AO32" s="573"/>
      <c r="AP32" s="574"/>
      <c r="AQ32" s="574"/>
      <c r="AR32" s="522" t="e">
        <f t="shared" si="22"/>
        <v>#N/A</v>
      </c>
      <c r="AS32" s="681"/>
      <c r="AT32" s="573"/>
      <c r="AU32" s="574"/>
      <c r="AV32" s="574"/>
      <c r="AW32" s="522" t="e">
        <f t="shared" si="23"/>
        <v>#N/A</v>
      </c>
      <c r="AX32" s="681"/>
    </row>
    <row r="33" spans="2:50">
      <c r="B33" s="667"/>
      <c r="C33" s="522">
        <v>7</v>
      </c>
      <c r="D33" s="569"/>
      <c r="E33" s="569"/>
      <c r="F33" s="569"/>
      <c r="G33" s="182"/>
      <c r="H33" s="712"/>
      <c r="I33" s="523"/>
      <c r="J33" s="523"/>
      <c r="K33" s="200"/>
      <c r="L33" s="641"/>
      <c r="M33" s="524" t="e">
        <f>RANK(K33, K$27:$K$41)</f>
        <v>#DIV/0!</v>
      </c>
      <c r="N33" s="659"/>
      <c r="O33" s="659"/>
      <c r="P33" s="573"/>
      <c r="Q33" s="574"/>
      <c r="R33" s="574"/>
      <c r="S33" s="522" t="e">
        <f t="shared" si="17"/>
        <v>#N/A</v>
      </c>
      <c r="T33" s="681"/>
      <c r="U33" s="573"/>
      <c r="V33" s="574"/>
      <c r="W33" s="574"/>
      <c r="X33" s="522" t="e">
        <f t="shared" si="18"/>
        <v>#N/A</v>
      </c>
      <c r="Y33" s="681"/>
      <c r="Z33" s="573"/>
      <c r="AA33" s="574"/>
      <c r="AB33" s="574"/>
      <c r="AC33" s="522" t="e">
        <f t="shared" si="19"/>
        <v>#N/A</v>
      </c>
      <c r="AD33" s="681"/>
      <c r="AE33" s="573"/>
      <c r="AF33" s="574"/>
      <c r="AG33" s="574"/>
      <c r="AH33" s="522" t="e">
        <f t="shared" si="20"/>
        <v>#N/A</v>
      </c>
      <c r="AI33" s="681"/>
      <c r="AJ33" s="573"/>
      <c r="AK33" s="574"/>
      <c r="AL33" s="574"/>
      <c r="AM33" s="522" t="e">
        <f t="shared" si="21"/>
        <v>#N/A</v>
      </c>
      <c r="AN33" s="681"/>
      <c r="AO33" s="573"/>
      <c r="AP33" s="574"/>
      <c r="AQ33" s="574"/>
      <c r="AR33" s="522" t="e">
        <f t="shared" si="22"/>
        <v>#N/A</v>
      </c>
      <c r="AS33" s="681"/>
      <c r="AT33" s="573"/>
      <c r="AU33" s="574"/>
      <c r="AV33" s="574"/>
      <c r="AW33" s="522" t="e">
        <f t="shared" si="23"/>
        <v>#N/A</v>
      </c>
      <c r="AX33" s="681"/>
    </row>
    <row r="34" spans="2:50">
      <c r="B34" s="667"/>
      <c r="C34" s="522">
        <v>8</v>
      </c>
      <c r="D34" s="569"/>
      <c r="E34" s="569"/>
      <c r="F34" s="569"/>
      <c r="G34" s="182"/>
      <c r="H34" s="712"/>
      <c r="I34" s="523"/>
      <c r="J34" s="523"/>
      <c r="K34" s="200"/>
      <c r="L34" s="641"/>
      <c r="M34" s="524" t="e">
        <f>RANK(K34, K$27:$K$41)</f>
        <v>#DIV/0!</v>
      </c>
      <c r="N34" s="659"/>
      <c r="O34" s="659"/>
      <c r="P34" s="573"/>
      <c r="Q34" s="574"/>
      <c r="R34" s="574"/>
      <c r="S34" s="522" t="e">
        <f t="shared" si="17"/>
        <v>#N/A</v>
      </c>
      <c r="T34" s="681"/>
      <c r="U34" s="573"/>
      <c r="V34" s="574"/>
      <c r="W34" s="574"/>
      <c r="X34" s="522" t="e">
        <f t="shared" si="18"/>
        <v>#N/A</v>
      </c>
      <c r="Y34" s="681"/>
      <c r="Z34" s="573"/>
      <c r="AA34" s="574"/>
      <c r="AB34" s="574"/>
      <c r="AC34" s="522" t="e">
        <f t="shared" si="19"/>
        <v>#N/A</v>
      </c>
      <c r="AD34" s="681"/>
      <c r="AE34" s="573"/>
      <c r="AF34" s="574"/>
      <c r="AG34" s="574"/>
      <c r="AH34" s="522" t="e">
        <f t="shared" si="20"/>
        <v>#N/A</v>
      </c>
      <c r="AI34" s="681"/>
      <c r="AJ34" s="573"/>
      <c r="AK34" s="574"/>
      <c r="AL34" s="574"/>
      <c r="AM34" s="522" t="e">
        <f t="shared" si="21"/>
        <v>#N/A</v>
      </c>
      <c r="AN34" s="681"/>
      <c r="AO34" s="573"/>
      <c r="AP34" s="574"/>
      <c r="AQ34" s="574"/>
      <c r="AR34" s="522" t="e">
        <f t="shared" si="22"/>
        <v>#N/A</v>
      </c>
      <c r="AS34" s="681"/>
      <c r="AT34" s="573"/>
      <c r="AU34" s="574"/>
      <c r="AV34" s="574"/>
      <c r="AW34" s="522" t="e">
        <f t="shared" si="23"/>
        <v>#N/A</v>
      </c>
      <c r="AX34" s="681"/>
    </row>
    <row r="35" spans="2:50">
      <c r="B35" s="667"/>
      <c r="C35" s="522">
        <v>9</v>
      </c>
      <c r="D35" s="569"/>
      <c r="E35" s="569"/>
      <c r="F35" s="569"/>
      <c r="G35" s="182"/>
      <c r="H35" s="712"/>
      <c r="I35" s="523"/>
      <c r="J35" s="523"/>
      <c r="K35" s="200"/>
      <c r="L35" s="641"/>
      <c r="M35" s="524" t="e">
        <f>RANK(K35, K$27:$K$41)</f>
        <v>#DIV/0!</v>
      </c>
      <c r="N35" s="659"/>
      <c r="O35" s="659"/>
      <c r="P35" s="573"/>
      <c r="Q35" s="574"/>
      <c r="R35" s="574"/>
      <c r="S35" s="522" t="e">
        <f t="shared" si="17"/>
        <v>#N/A</v>
      </c>
      <c r="T35" s="681"/>
      <c r="U35" s="573"/>
      <c r="V35" s="574"/>
      <c r="W35" s="574"/>
      <c r="X35" s="522" t="e">
        <f t="shared" si="18"/>
        <v>#N/A</v>
      </c>
      <c r="Y35" s="681"/>
      <c r="Z35" s="573"/>
      <c r="AA35" s="574"/>
      <c r="AB35" s="574"/>
      <c r="AC35" s="522" t="e">
        <f t="shared" si="19"/>
        <v>#N/A</v>
      </c>
      <c r="AD35" s="681"/>
      <c r="AE35" s="573"/>
      <c r="AF35" s="574"/>
      <c r="AG35" s="574"/>
      <c r="AH35" s="522" t="e">
        <f t="shared" si="20"/>
        <v>#N/A</v>
      </c>
      <c r="AI35" s="681"/>
      <c r="AJ35" s="573"/>
      <c r="AK35" s="574"/>
      <c r="AL35" s="574"/>
      <c r="AM35" s="522" t="e">
        <f t="shared" si="21"/>
        <v>#N/A</v>
      </c>
      <c r="AN35" s="681"/>
      <c r="AO35" s="573"/>
      <c r="AP35" s="574"/>
      <c r="AQ35" s="574"/>
      <c r="AR35" s="522" t="e">
        <f t="shared" si="22"/>
        <v>#N/A</v>
      </c>
      <c r="AS35" s="681"/>
      <c r="AT35" s="573"/>
      <c r="AU35" s="574"/>
      <c r="AV35" s="574"/>
      <c r="AW35" s="522" t="e">
        <f t="shared" si="23"/>
        <v>#N/A</v>
      </c>
      <c r="AX35" s="681"/>
    </row>
    <row r="36" spans="2:50">
      <c r="B36" s="667"/>
      <c r="C36" s="522">
        <v>10</v>
      </c>
      <c r="D36" s="569"/>
      <c r="E36" s="569"/>
      <c r="F36" s="569"/>
      <c r="G36" s="182"/>
      <c r="H36" s="712"/>
      <c r="I36" s="523"/>
      <c r="J36" s="523"/>
      <c r="K36" s="200"/>
      <c r="L36" s="641"/>
      <c r="M36" s="524" t="e">
        <f>RANK(K36, K$27:$K$41)</f>
        <v>#DIV/0!</v>
      </c>
      <c r="N36" s="659"/>
      <c r="O36" s="659"/>
      <c r="P36" s="573"/>
      <c r="Q36" s="574"/>
      <c r="R36" s="574"/>
      <c r="S36" s="522" t="e">
        <f t="shared" si="17"/>
        <v>#N/A</v>
      </c>
      <c r="T36" s="681"/>
      <c r="U36" s="573"/>
      <c r="V36" s="574"/>
      <c r="W36" s="574"/>
      <c r="X36" s="522" t="e">
        <f t="shared" si="18"/>
        <v>#N/A</v>
      </c>
      <c r="Y36" s="681"/>
      <c r="Z36" s="573"/>
      <c r="AA36" s="574"/>
      <c r="AB36" s="574"/>
      <c r="AC36" s="522" t="e">
        <f t="shared" si="19"/>
        <v>#N/A</v>
      </c>
      <c r="AD36" s="681"/>
      <c r="AE36" s="573"/>
      <c r="AF36" s="574"/>
      <c r="AG36" s="574"/>
      <c r="AH36" s="522" t="e">
        <f t="shared" si="20"/>
        <v>#N/A</v>
      </c>
      <c r="AI36" s="681"/>
      <c r="AJ36" s="573"/>
      <c r="AK36" s="574"/>
      <c r="AL36" s="574"/>
      <c r="AM36" s="522" t="e">
        <f t="shared" si="21"/>
        <v>#N/A</v>
      </c>
      <c r="AN36" s="681"/>
      <c r="AO36" s="573"/>
      <c r="AP36" s="574"/>
      <c r="AQ36" s="574"/>
      <c r="AR36" s="522" t="e">
        <f t="shared" si="22"/>
        <v>#N/A</v>
      </c>
      <c r="AS36" s="681"/>
      <c r="AT36" s="573"/>
      <c r="AU36" s="574"/>
      <c r="AV36" s="574"/>
      <c r="AW36" s="522" t="e">
        <f t="shared" si="23"/>
        <v>#N/A</v>
      </c>
      <c r="AX36" s="681"/>
    </row>
    <row r="37" spans="2:50">
      <c r="B37" s="667"/>
      <c r="C37" s="522">
        <v>11</v>
      </c>
      <c r="D37" s="569"/>
      <c r="E37" s="569"/>
      <c r="F37" s="569"/>
      <c r="G37" s="182"/>
      <c r="H37" s="712"/>
      <c r="I37" s="202"/>
      <c r="J37" s="202"/>
      <c r="K37" s="202"/>
      <c r="L37" s="641"/>
      <c r="M37" s="524" t="e">
        <f>RANK(K37, K$27:$K$41)</f>
        <v>#DIV/0!</v>
      </c>
      <c r="N37" s="659"/>
      <c r="O37" s="659"/>
      <c r="P37" s="573"/>
      <c r="Q37" s="574"/>
      <c r="R37" s="574"/>
      <c r="S37" s="522" t="e">
        <f t="shared" si="17"/>
        <v>#N/A</v>
      </c>
      <c r="T37" s="681"/>
      <c r="U37" s="573"/>
      <c r="V37" s="574"/>
      <c r="W37" s="574"/>
      <c r="X37" s="522" t="e">
        <f t="shared" si="18"/>
        <v>#N/A</v>
      </c>
      <c r="Y37" s="681"/>
      <c r="Z37" s="573"/>
      <c r="AA37" s="574"/>
      <c r="AB37" s="574"/>
      <c r="AC37" s="522" t="e">
        <f t="shared" si="19"/>
        <v>#N/A</v>
      </c>
      <c r="AD37" s="681"/>
      <c r="AE37" s="573"/>
      <c r="AF37" s="574"/>
      <c r="AG37" s="574"/>
      <c r="AH37" s="522" t="e">
        <f t="shared" si="20"/>
        <v>#N/A</v>
      </c>
      <c r="AI37" s="681"/>
      <c r="AJ37" s="573"/>
      <c r="AK37" s="574"/>
      <c r="AL37" s="574"/>
      <c r="AM37" s="522" t="e">
        <f t="shared" si="21"/>
        <v>#N/A</v>
      </c>
      <c r="AN37" s="681"/>
      <c r="AO37" s="573"/>
      <c r="AP37" s="574"/>
      <c r="AQ37" s="574"/>
      <c r="AR37" s="522" t="e">
        <f t="shared" si="22"/>
        <v>#N/A</v>
      </c>
      <c r="AS37" s="681"/>
      <c r="AT37" s="573"/>
      <c r="AU37" s="574"/>
      <c r="AV37" s="574"/>
      <c r="AW37" s="522" t="e">
        <f t="shared" si="23"/>
        <v>#N/A</v>
      </c>
      <c r="AX37" s="681"/>
    </row>
    <row r="38" spans="2:50">
      <c r="B38" s="667"/>
      <c r="C38" s="522">
        <v>12</v>
      </c>
      <c r="D38" s="569"/>
      <c r="E38" s="569"/>
      <c r="F38" s="569"/>
      <c r="G38" s="182"/>
      <c r="H38" s="712"/>
      <c r="I38" s="202"/>
      <c r="J38" s="202"/>
      <c r="K38" s="202"/>
      <c r="L38" s="641"/>
      <c r="M38" s="524" t="e">
        <f>RANK(K38, K$27:$K$41)</f>
        <v>#DIV/0!</v>
      </c>
      <c r="N38" s="659"/>
      <c r="O38" s="659"/>
      <c r="P38" s="573"/>
      <c r="Q38" s="574"/>
      <c r="R38" s="574"/>
      <c r="S38" s="522" t="e">
        <f t="shared" si="17"/>
        <v>#N/A</v>
      </c>
      <c r="T38" s="681"/>
      <c r="U38" s="573"/>
      <c r="V38" s="574"/>
      <c r="W38" s="574"/>
      <c r="X38" s="522" t="e">
        <f t="shared" si="18"/>
        <v>#N/A</v>
      </c>
      <c r="Y38" s="681"/>
      <c r="Z38" s="573"/>
      <c r="AA38" s="574"/>
      <c r="AB38" s="574"/>
      <c r="AC38" s="522" t="e">
        <f t="shared" si="19"/>
        <v>#N/A</v>
      </c>
      <c r="AD38" s="681"/>
      <c r="AE38" s="573"/>
      <c r="AF38" s="574"/>
      <c r="AG38" s="574"/>
      <c r="AH38" s="522" t="e">
        <f t="shared" si="20"/>
        <v>#N/A</v>
      </c>
      <c r="AI38" s="681"/>
      <c r="AJ38" s="573"/>
      <c r="AK38" s="574"/>
      <c r="AL38" s="574"/>
      <c r="AM38" s="522" t="e">
        <f t="shared" si="21"/>
        <v>#N/A</v>
      </c>
      <c r="AN38" s="681"/>
      <c r="AO38" s="573"/>
      <c r="AP38" s="574"/>
      <c r="AQ38" s="574"/>
      <c r="AR38" s="522" t="e">
        <f t="shared" si="22"/>
        <v>#N/A</v>
      </c>
      <c r="AS38" s="681"/>
      <c r="AT38" s="573"/>
      <c r="AU38" s="574"/>
      <c r="AV38" s="574"/>
      <c r="AW38" s="522" t="e">
        <f t="shared" si="23"/>
        <v>#N/A</v>
      </c>
      <c r="AX38" s="681"/>
    </row>
    <row r="39" spans="2:50">
      <c r="B39" s="667"/>
      <c r="C39" s="522">
        <v>13</v>
      </c>
      <c r="D39" s="569"/>
      <c r="E39" s="569"/>
      <c r="F39" s="569"/>
      <c r="G39" s="182"/>
      <c r="H39" s="712"/>
      <c r="I39" s="202"/>
      <c r="J39" s="202"/>
      <c r="K39" s="202"/>
      <c r="L39" s="641"/>
      <c r="M39" s="524" t="e">
        <f>RANK(K39, K$27:$K$41)</f>
        <v>#DIV/0!</v>
      </c>
      <c r="N39" s="659"/>
      <c r="O39" s="659"/>
      <c r="P39" s="573"/>
      <c r="Q39" s="574"/>
      <c r="R39" s="574"/>
      <c r="S39" s="522" t="e">
        <f t="shared" si="17"/>
        <v>#N/A</v>
      </c>
      <c r="T39" s="681"/>
      <c r="U39" s="573"/>
      <c r="V39" s="574"/>
      <c r="W39" s="574"/>
      <c r="X39" s="522" t="e">
        <f t="shared" si="18"/>
        <v>#N/A</v>
      </c>
      <c r="Y39" s="681"/>
      <c r="Z39" s="573"/>
      <c r="AA39" s="574"/>
      <c r="AB39" s="574"/>
      <c r="AC39" s="522" t="e">
        <f t="shared" si="19"/>
        <v>#N/A</v>
      </c>
      <c r="AD39" s="681"/>
      <c r="AE39" s="573"/>
      <c r="AF39" s="574"/>
      <c r="AG39" s="574"/>
      <c r="AH39" s="522" t="e">
        <f t="shared" si="20"/>
        <v>#N/A</v>
      </c>
      <c r="AI39" s="681"/>
      <c r="AJ39" s="573"/>
      <c r="AK39" s="574"/>
      <c r="AL39" s="574"/>
      <c r="AM39" s="522" t="e">
        <f t="shared" si="21"/>
        <v>#N/A</v>
      </c>
      <c r="AN39" s="681"/>
      <c r="AO39" s="573"/>
      <c r="AP39" s="574"/>
      <c r="AQ39" s="574"/>
      <c r="AR39" s="522" t="e">
        <f t="shared" si="22"/>
        <v>#N/A</v>
      </c>
      <c r="AS39" s="681"/>
      <c r="AT39" s="573"/>
      <c r="AU39" s="574"/>
      <c r="AV39" s="574"/>
      <c r="AW39" s="522" t="e">
        <f t="shared" si="23"/>
        <v>#N/A</v>
      </c>
      <c r="AX39" s="681"/>
    </row>
    <row r="40" spans="2:50">
      <c r="B40" s="667"/>
      <c r="C40" s="522">
        <v>14</v>
      </c>
      <c r="D40" s="569"/>
      <c r="E40" s="569"/>
      <c r="F40" s="569"/>
      <c r="G40" s="182"/>
      <c r="H40" s="712"/>
      <c r="I40" s="202"/>
      <c r="J40" s="202"/>
      <c r="K40" s="202"/>
      <c r="L40" s="641"/>
      <c r="M40" s="524" t="e">
        <f>RANK(K40, K$27:$K$41)</f>
        <v>#DIV/0!</v>
      </c>
      <c r="N40" s="659"/>
      <c r="O40" s="659"/>
      <c r="P40" s="573"/>
      <c r="Q40" s="574"/>
      <c r="R40" s="574"/>
      <c r="S40" s="522" t="e">
        <f t="shared" si="17"/>
        <v>#N/A</v>
      </c>
      <c r="T40" s="681"/>
      <c r="U40" s="573"/>
      <c r="V40" s="574"/>
      <c r="W40" s="574"/>
      <c r="X40" s="522" t="e">
        <f t="shared" si="18"/>
        <v>#N/A</v>
      </c>
      <c r="Y40" s="681"/>
      <c r="Z40" s="573"/>
      <c r="AA40" s="574"/>
      <c r="AB40" s="574"/>
      <c r="AC40" s="522" t="e">
        <f t="shared" si="19"/>
        <v>#N/A</v>
      </c>
      <c r="AD40" s="681"/>
      <c r="AE40" s="573"/>
      <c r="AF40" s="574"/>
      <c r="AG40" s="574"/>
      <c r="AH40" s="522" t="e">
        <f t="shared" si="20"/>
        <v>#N/A</v>
      </c>
      <c r="AI40" s="681"/>
      <c r="AJ40" s="573"/>
      <c r="AK40" s="574"/>
      <c r="AL40" s="574"/>
      <c r="AM40" s="522" t="e">
        <f t="shared" si="21"/>
        <v>#N/A</v>
      </c>
      <c r="AN40" s="681"/>
      <c r="AO40" s="573"/>
      <c r="AP40" s="574"/>
      <c r="AQ40" s="574"/>
      <c r="AR40" s="522" t="e">
        <f t="shared" si="22"/>
        <v>#N/A</v>
      </c>
      <c r="AS40" s="681"/>
      <c r="AT40" s="573"/>
      <c r="AU40" s="574"/>
      <c r="AV40" s="574"/>
      <c r="AW40" s="522" t="e">
        <f t="shared" si="23"/>
        <v>#N/A</v>
      </c>
      <c r="AX40" s="681"/>
    </row>
    <row r="41" spans="2:50">
      <c r="B41" s="667"/>
      <c r="C41" s="522">
        <v>15</v>
      </c>
      <c r="D41" s="569"/>
      <c r="E41" s="569"/>
      <c r="F41" s="569"/>
      <c r="G41" s="569"/>
      <c r="H41" s="713"/>
      <c r="I41" s="202"/>
      <c r="J41" s="202"/>
      <c r="K41" s="202"/>
      <c r="L41" s="642"/>
      <c r="M41" s="523" t="e">
        <f>RANK(K41, K$27:$K$41)</f>
        <v>#DIV/0!</v>
      </c>
      <c r="N41" s="659"/>
      <c r="O41" s="659"/>
      <c r="P41" s="573"/>
      <c r="Q41" s="574"/>
      <c r="R41" s="574"/>
      <c r="S41" s="522" t="e">
        <f t="shared" si="17"/>
        <v>#N/A</v>
      </c>
      <c r="T41" s="681"/>
      <c r="U41" s="573"/>
      <c r="V41" s="574"/>
      <c r="W41" s="574"/>
      <c r="X41" s="522" t="e">
        <f t="shared" si="18"/>
        <v>#N/A</v>
      </c>
      <c r="Y41" s="681"/>
      <c r="Z41" s="573"/>
      <c r="AA41" s="574"/>
      <c r="AB41" s="574"/>
      <c r="AC41" s="522" t="e">
        <f t="shared" si="19"/>
        <v>#N/A</v>
      </c>
      <c r="AD41" s="681"/>
      <c r="AE41" s="573"/>
      <c r="AF41" s="574"/>
      <c r="AG41" s="574"/>
      <c r="AH41" s="522" t="e">
        <f t="shared" si="20"/>
        <v>#N/A</v>
      </c>
      <c r="AI41" s="681"/>
      <c r="AJ41" s="573"/>
      <c r="AK41" s="574"/>
      <c r="AL41" s="574"/>
      <c r="AM41" s="522" t="e">
        <f t="shared" si="21"/>
        <v>#N/A</v>
      </c>
      <c r="AN41" s="681"/>
      <c r="AO41" s="573"/>
      <c r="AP41" s="574"/>
      <c r="AQ41" s="574"/>
      <c r="AR41" s="522" t="e">
        <f t="shared" si="22"/>
        <v>#N/A</v>
      </c>
      <c r="AS41" s="681"/>
      <c r="AT41" s="573"/>
      <c r="AU41" s="574"/>
      <c r="AV41" s="574"/>
      <c r="AW41" s="522" t="e">
        <f t="shared" si="23"/>
        <v>#N/A</v>
      </c>
      <c r="AX41" s="681"/>
    </row>
    <row r="42" spans="2:50" ht="15.75">
      <c r="B42" s="685" t="s">
        <v>163</v>
      </c>
      <c r="C42" s="686"/>
      <c r="D42" s="686"/>
      <c r="E42" s="686"/>
      <c r="F42" s="686"/>
      <c r="G42" s="686"/>
      <c r="H42" s="686"/>
      <c r="I42" s="208"/>
      <c r="J42" s="203"/>
      <c r="K42" s="208"/>
      <c r="L42" s="208"/>
      <c r="M42" s="204"/>
      <c r="N42" s="660" t="s">
        <v>156</v>
      </c>
      <c r="O42" s="660" t="s">
        <v>105</v>
      </c>
      <c r="P42" s="666">
        <f>P22+7</f>
        <v>46098</v>
      </c>
      <c r="Q42" s="667"/>
      <c r="R42" s="667"/>
      <c r="S42" s="667"/>
      <c r="T42" s="667"/>
      <c r="U42" s="663">
        <f>P42+1</f>
        <v>46099</v>
      </c>
      <c r="V42" s="664"/>
      <c r="W42" s="664"/>
      <c r="X42" s="664"/>
      <c r="Y42" s="665"/>
      <c r="Z42" s="663">
        <f>U42+1</f>
        <v>46100</v>
      </c>
      <c r="AA42" s="664"/>
      <c r="AB42" s="664"/>
      <c r="AC42" s="664"/>
      <c r="AD42" s="665"/>
      <c r="AE42" s="663">
        <f>Z42+1</f>
        <v>46101</v>
      </c>
      <c r="AF42" s="664"/>
      <c r="AG42" s="664"/>
      <c r="AH42" s="664"/>
      <c r="AI42" s="665"/>
      <c r="AJ42" s="663">
        <f>AE42+1</f>
        <v>46102</v>
      </c>
      <c r="AK42" s="664"/>
      <c r="AL42" s="664"/>
      <c r="AM42" s="664"/>
      <c r="AN42" s="665"/>
      <c r="AO42" s="663">
        <f>AJ42+1</f>
        <v>46103</v>
      </c>
      <c r="AP42" s="664"/>
      <c r="AQ42" s="664"/>
      <c r="AR42" s="664"/>
      <c r="AS42" s="665"/>
      <c r="AT42" s="663">
        <f>AO42+1</f>
        <v>46104</v>
      </c>
      <c r="AU42" s="664"/>
      <c r="AV42" s="664"/>
      <c r="AW42" s="664"/>
      <c r="AX42" s="665"/>
    </row>
    <row r="43" spans="2:50" ht="15.75">
      <c r="B43" s="674"/>
      <c r="C43" s="674"/>
      <c r="D43" s="674"/>
      <c r="E43" s="674"/>
      <c r="F43" s="674"/>
      <c r="G43" s="674"/>
      <c r="H43" s="674"/>
      <c r="I43" s="205"/>
      <c r="J43" s="205"/>
      <c r="K43" s="205"/>
      <c r="L43" s="205"/>
      <c r="M43" s="206"/>
      <c r="N43" s="662"/>
      <c r="O43" s="662"/>
      <c r="P43" s="666" t="s">
        <v>336</v>
      </c>
      <c r="Q43" s="667"/>
      <c r="R43" s="667"/>
      <c r="S43" s="667"/>
      <c r="T43" s="667"/>
      <c r="U43" s="666" t="s">
        <v>337</v>
      </c>
      <c r="V43" s="667"/>
      <c r="W43" s="667"/>
      <c r="X43" s="667"/>
      <c r="Y43" s="667"/>
      <c r="Z43" s="666" t="s">
        <v>338</v>
      </c>
      <c r="AA43" s="667"/>
      <c r="AB43" s="667"/>
      <c r="AC43" s="667"/>
      <c r="AD43" s="667"/>
      <c r="AE43" s="666" t="s">
        <v>339</v>
      </c>
      <c r="AF43" s="667"/>
      <c r="AG43" s="667"/>
      <c r="AH43" s="667"/>
      <c r="AI43" s="667"/>
      <c r="AJ43" s="666" t="s">
        <v>340</v>
      </c>
      <c r="AK43" s="667"/>
      <c r="AL43" s="667"/>
      <c r="AM43" s="667"/>
      <c r="AN43" s="667"/>
      <c r="AO43" s="666" t="s">
        <v>341</v>
      </c>
      <c r="AP43" s="667"/>
      <c r="AQ43" s="667"/>
      <c r="AR43" s="667"/>
      <c r="AS43" s="667"/>
      <c r="AT43" s="666" t="s">
        <v>342</v>
      </c>
      <c r="AU43" s="667"/>
      <c r="AV43" s="667"/>
      <c r="AW43" s="667"/>
      <c r="AX43" s="667"/>
    </row>
    <row r="44" spans="2:50">
      <c r="B44" s="659" t="s">
        <v>622</v>
      </c>
      <c r="C44" s="659" t="s">
        <v>623</v>
      </c>
      <c r="D44" s="659"/>
      <c r="E44" s="659" t="s">
        <v>624</v>
      </c>
      <c r="F44" s="659"/>
      <c r="G44" s="659"/>
      <c r="H44" s="675" t="s">
        <v>625</v>
      </c>
      <c r="I44" s="643" t="s">
        <v>626</v>
      </c>
      <c r="J44" s="643"/>
      <c r="K44" s="643"/>
      <c r="L44" s="644" t="s">
        <v>625</v>
      </c>
      <c r="M44" s="650" t="s">
        <v>627</v>
      </c>
      <c r="N44" s="659"/>
      <c r="O44" s="659" t="s">
        <v>628</v>
      </c>
      <c r="P44" s="656" t="s">
        <v>900</v>
      </c>
      <c r="Q44" s="657"/>
      <c r="R44" s="657"/>
      <c r="S44" s="658"/>
      <c r="T44" s="659" t="s">
        <v>901</v>
      </c>
      <c r="U44" s="656" t="s">
        <v>900</v>
      </c>
      <c r="V44" s="657"/>
      <c r="W44" s="657"/>
      <c r="X44" s="658"/>
      <c r="Y44" s="659" t="s">
        <v>901</v>
      </c>
      <c r="Z44" s="656" t="s">
        <v>900</v>
      </c>
      <c r="AA44" s="657"/>
      <c r="AB44" s="657"/>
      <c r="AC44" s="658"/>
      <c r="AD44" s="659" t="s">
        <v>901</v>
      </c>
      <c r="AE44" s="656" t="s">
        <v>900</v>
      </c>
      <c r="AF44" s="657"/>
      <c r="AG44" s="657"/>
      <c r="AH44" s="658"/>
      <c r="AI44" s="659" t="s">
        <v>901</v>
      </c>
      <c r="AJ44" s="656" t="s">
        <v>900</v>
      </c>
      <c r="AK44" s="657"/>
      <c r="AL44" s="657"/>
      <c r="AM44" s="658"/>
      <c r="AN44" s="659" t="s">
        <v>901</v>
      </c>
      <c r="AO44" s="656" t="s">
        <v>900</v>
      </c>
      <c r="AP44" s="657"/>
      <c r="AQ44" s="657"/>
      <c r="AR44" s="658"/>
      <c r="AS44" s="659" t="s">
        <v>901</v>
      </c>
      <c r="AT44" s="656" t="s">
        <v>900</v>
      </c>
      <c r="AU44" s="657"/>
      <c r="AV44" s="657"/>
      <c r="AW44" s="658"/>
      <c r="AX44" s="659" t="s">
        <v>901</v>
      </c>
    </row>
    <row r="45" spans="2:50">
      <c r="B45" s="659"/>
      <c r="C45" s="659"/>
      <c r="D45" s="659"/>
      <c r="E45" s="659" t="s">
        <v>629</v>
      </c>
      <c r="F45" s="659"/>
      <c r="G45" s="659"/>
      <c r="H45" s="676"/>
      <c r="I45" s="643" t="s">
        <v>629</v>
      </c>
      <c r="J45" s="643"/>
      <c r="K45" s="643"/>
      <c r="L45" s="645"/>
      <c r="M45" s="651"/>
      <c r="N45" s="659"/>
      <c r="O45" s="659"/>
      <c r="P45" s="656" t="s">
        <v>902</v>
      </c>
      <c r="Q45" s="657"/>
      <c r="R45" s="657"/>
      <c r="S45" s="658"/>
      <c r="T45" s="659"/>
      <c r="U45" s="656" t="s">
        <v>902</v>
      </c>
      <c r="V45" s="657"/>
      <c r="W45" s="657"/>
      <c r="X45" s="658"/>
      <c r="Y45" s="659"/>
      <c r="Z45" s="656" t="s">
        <v>902</v>
      </c>
      <c r="AA45" s="657"/>
      <c r="AB45" s="657"/>
      <c r="AC45" s="658"/>
      <c r="AD45" s="659"/>
      <c r="AE45" s="656" t="s">
        <v>902</v>
      </c>
      <c r="AF45" s="657"/>
      <c r="AG45" s="657"/>
      <c r="AH45" s="658"/>
      <c r="AI45" s="659"/>
      <c r="AJ45" s="656" t="s">
        <v>902</v>
      </c>
      <c r="AK45" s="657"/>
      <c r="AL45" s="657"/>
      <c r="AM45" s="658"/>
      <c r="AN45" s="659"/>
      <c r="AO45" s="656" t="s">
        <v>902</v>
      </c>
      <c r="AP45" s="657"/>
      <c r="AQ45" s="657"/>
      <c r="AR45" s="658"/>
      <c r="AS45" s="659"/>
      <c r="AT45" s="656" t="s">
        <v>902</v>
      </c>
      <c r="AU45" s="657"/>
      <c r="AV45" s="657"/>
      <c r="AW45" s="658"/>
      <c r="AX45" s="659"/>
    </row>
    <row r="46" spans="2:50">
      <c r="B46" s="659"/>
      <c r="C46" s="659"/>
      <c r="D46" s="659"/>
      <c r="E46" s="335" t="s">
        <v>630</v>
      </c>
      <c r="F46" s="335" t="s">
        <v>631</v>
      </c>
      <c r="G46" s="335" t="s">
        <v>632</v>
      </c>
      <c r="H46" s="677"/>
      <c r="I46" s="336" t="s">
        <v>630</v>
      </c>
      <c r="J46" s="336" t="s">
        <v>631</v>
      </c>
      <c r="K46" s="336" t="s">
        <v>632</v>
      </c>
      <c r="L46" s="646"/>
      <c r="M46" s="652"/>
      <c r="N46" s="659"/>
      <c r="O46" s="659"/>
      <c r="P46" s="532" t="s">
        <v>903</v>
      </c>
      <c r="Q46" s="532" t="s">
        <v>904</v>
      </c>
      <c r="R46" s="532" t="s">
        <v>905</v>
      </c>
      <c r="S46" s="532" t="s">
        <v>906</v>
      </c>
      <c r="T46" s="659"/>
      <c r="U46" s="532" t="s">
        <v>903</v>
      </c>
      <c r="V46" s="532" t="s">
        <v>904</v>
      </c>
      <c r="W46" s="532" t="s">
        <v>905</v>
      </c>
      <c r="X46" s="532" t="s">
        <v>906</v>
      </c>
      <c r="Y46" s="659"/>
      <c r="Z46" s="532" t="s">
        <v>903</v>
      </c>
      <c r="AA46" s="532" t="s">
        <v>904</v>
      </c>
      <c r="AB46" s="532" t="s">
        <v>905</v>
      </c>
      <c r="AC46" s="532" t="s">
        <v>906</v>
      </c>
      <c r="AD46" s="659"/>
      <c r="AE46" s="532" t="s">
        <v>903</v>
      </c>
      <c r="AF46" s="532" t="s">
        <v>904</v>
      </c>
      <c r="AG46" s="532" t="s">
        <v>905</v>
      </c>
      <c r="AH46" s="532" t="s">
        <v>906</v>
      </c>
      <c r="AI46" s="659"/>
      <c r="AJ46" s="532" t="s">
        <v>903</v>
      </c>
      <c r="AK46" s="532" t="s">
        <v>904</v>
      </c>
      <c r="AL46" s="532" t="s">
        <v>905</v>
      </c>
      <c r="AM46" s="532" t="s">
        <v>906</v>
      </c>
      <c r="AN46" s="659"/>
      <c r="AO46" s="532" t="s">
        <v>903</v>
      </c>
      <c r="AP46" s="532" t="s">
        <v>904</v>
      </c>
      <c r="AQ46" s="532" t="s">
        <v>905</v>
      </c>
      <c r="AR46" s="532" t="s">
        <v>906</v>
      </c>
      <c r="AS46" s="659"/>
      <c r="AT46" s="532" t="s">
        <v>903</v>
      </c>
      <c r="AU46" s="532" t="s">
        <v>904</v>
      </c>
      <c r="AV46" s="532" t="s">
        <v>905</v>
      </c>
      <c r="AW46" s="532" t="s">
        <v>906</v>
      </c>
      <c r="AX46" s="659"/>
    </row>
    <row r="47" spans="2:50">
      <c r="B47" s="707" t="s">
        <v>633</v>
      </c>
      <c r="C47" s="334">
        <v>1</v>
      </c>
      <c r="D47" s="569"/>
      <c r="E47" s="569"/>
      <c r="F47" s="569"/>
      <c r="G47" s="182"/>
      <c r="H47" s="708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40" t="str">
        <f>IFERROR(AVERAGE(K47:K61),"-")</f>
        <v>-</v>
      </c>
      <c r="M47" s="201" t="e">
        <f>RANK(K47, K$47:$K$61)</f>
        <v>#DIV/0!</v>
      </c>
      <c r="N47" s="659"/>
      <c r="O47" s="659"/>
      <c r="P47" s="573"/>
      <c r="Q47" s="574"/>
      <c r="R47" s="574"/>
      <c r="S47" s="534" t="e">
        <f>RANK(R47, R$47:R$61)</f>
        <v>#N/A</v>
      </c>
      <c r="T47" s="681" t="e">
        <f>AVERAGE(R47:R61)</f>
        <v>#DIV/0!</v>
      </c>
      <c r="U47" s="573"/>
      <c r="V47" s="574"/>
      <c r="W47" s="574"/>
      <c r="X47" s="534" t="e">
        <f>RANK(W47, W$47:W$61)</f>
        <v>#N/A</v>
      </c>
      <c r="Y47" s="681" t="e">
        <f>AVERAGE(W47:W61)</f>
        <v>#DIV/0!</v>
      </c>
      <c r="Z47" s="573"/>
      <c r="AA47" s="574"/>
      <c r="AB47" s="574"/>
      <c r="AC47" s="534" t="e">
        <f>RANK(AB47, AB$47:AB$61)</f>
        <v>#N/A</v>
      </c>
      <c r="AD47" s="681" t="e">
        <f>AVERAGE(AB47:AB61)</f>
        <v>#DIV/0!</v>
      </c>
      <c r="AE47" s="573"/>
      <c r="AF47" s="574"/>
      <c r="AG47" s="574"/>
      <c r="AH47" s="534" t="e">
        <f>RANK(AG47, AG$47:AG$61)</f>
        <v>#N/A</v>
      </c>
      <c r="AI47" s="681" t="e">
        <f>AVERAGE(AG47:AG61)</f>
        <v>#DIV/0!</v>
      </c>
      <c r="AJ47" s="573"/>
      <c r="AK47" s="574"/>
      <c r="AL47" s="574"/>
      <c r="AM47" s="534" t="e">
        <f>RANK(AL47, AL$47:AL$61)</f>
        <v>#N/A</v>
      </c>
      <c r="AN47" s="681" t="e">
        <f>AVERAGE(AL47:AL61)</f>
        <v>#DIV/0!</v>
      </c>
      <c r="AO47" s="573"/>
      <c r="AP47" s="574"/>
      <c r="AQ47" s="574"/>
      <c r="AR47" s="534" t="e">
        <f>RANK(AQ47, AQ$47:AQ$61)</f>
        <v>#N/A</v>
      </c>
      <c r="AS47" s="681" t="e">
        <f>AVERAGE(AQ47:AQ61)</f>
        <v>#DIV/0!</v>
      </c>
      <c r="AT47" s="573"/>
      <c r="AU47" s="574"/>
      <c r="AV47" s="574"/>
      <c r="AW47" s="534" t="e">
        <f>RANK(AV47, AV$47:AV$61)</f>
        <v>#N/A</v>
      </c>
      <c r="AX47" s="681" t="e">
        <f>AVERAGE(AV47:AV61)</f>
        <v>#DIV/0!</v>
      </c>
    </row>
    <row r="48" spans="2:50">
      <c r="B48" s="667"/>
      <c r="C48" s="334">
        <v>2</v>
      </c>
      <c r="D48" s="569"/>
      <c r="E48" s="569"/>
      <c r="F48" s="569"/>
      <c r="G48" s="182"/>
      <c r="H48" s="709"/>
      <c r="I48" s="199" t="e">
        <f t="shared" ref="I48:I52" si="24">AVERAGE(P48,U48,Z48,AE48,AJ48,AO48,AT48)</f>
        <v>#DIV/0!</v>
      </c>
      <c r="J48" s="199" t="e">
        <f t="shared" ref="J48:J52" si="25">AVERAGE(Q48,V48,AA48,AF48,AK48,AP48,AU48)</f>
        <v>#DIV/0!</v>
      </c>
      <c r="K48" s="200" t="e">
        <f t="shared" ref="K48:K52" si="26">AVERAGE(R48,W48,AB48,AG48,AL48,AQ48,AV48)</f>
        <v>#DIV/0!</v>
      </c>
      <c r="L48" s="641"/>
      <c r="M48" s="201" t="e">
        <f>RANK(K48, K$47:$K$61)</f>
        <v>#DIV/0!</v>
      </c>
      <c r="N48" s="659"/>
      <c r="O48" s="659"/>
      <c r="P48" s="573"/>
      <c r="Q48" s="574"/>
      <c r="R48" s="574"/>
      <c r="S48" s="534" t="e">
        <f t="shared" ref="S48:S53" si="27">RANK(R48, R$47:R$61)</f>
        <v>#N/A</v>
      </c>
      <c r="T48" s="681"/>
      <c r="U48" s="573"/>
      <c r="V48" s="574"/>
      <c r="W48" s="574"/>
      <c r="X48" s="534" t="e">
        <f t="shared" ref="X48:X53" si="28">RANK(W48, W$47:W$61)</f>
        <v>#N/A</v>
      </c>
      <c r="Y48" s="681"/>
      <c r="Z48" s="573"/>
      <c r="AA48" s="574"/>
      <c r="AB48" s="574"/>
      <c r="AC48" s="534" t="e">
        <f t="shared" ref="AC48:AC53" si="29">RANK(AB48, AB$47:AB$61)</f>
        <v>#N/A</v>
      </c>
      <c r="AD48" s="681"/>
      <c r="AE48" s="573"/>
      <c r="AF48" s="574"/>
      <c r="AG48" s="574"/>
      <c r="AH48" s="534" t="e">
        <f t="shared" ref="AH48:AH53" si="30">RANK(AG48, AG$47:AG$61)</f>
        <v>#N/A</v>
      </c>
      <c r="AI48" s="681"/>
      <c r="AJ48" s="573"/>
      <c r="AK48" s="574"/>
      <c r="AL48" s="574"/>
      <c r="AM48" s="534" t="e">
        <f t="shared" ref="AM48:AM53" si="31">RANK(AL48, AL$47:AL$61)</f>
        <v>#N/A</v>
      </c>
      <c r="AN48" s="681"/>
      <c r="AO48" s="573"/>
      <c r="AP48" s="574"/>
      <c r="AQ48" s="574"/>
      <c r="AR48" s="534" t="e">
        <f t="shared" ref="AR48:AR53" si="32">RANK(AQ48, AQ$47:AQ$61)</f>
        <v>#N/A</v>
      </c>
      <c r="AS48" s="681"/>
      <c r="AT48" s="573"/>
      <c r="AU48" s="574"/>
      <c r="AV48" s="574"/>
      <c r="AW48" s="534" t="e">
        <f t="shared" ref="AW48:AW53" si="33">RANK(AV48, AV$47:AV$61)</f>
        <v>#N/A</v>
      </c>
      <c r="AX48" s="681"/>
    </row>
    <row r="49" spans="2:50">
      <c r="B49" s="667"/>
      <c r="C49" s="334">
        <v>3</v>
      </c>
      <c r="D49" s="569"/>
      <c r="E49" s="569"/>
      <c r="F49" s="569"/>
      <c r="G49" s="182"/>
      <c r="H49" s="709"/>
      <c r="I49" s="199" t="e">
        <f t="shared" si="24"/>
        <v>#DIV/0!</v>
      </c>
      <c r="J49" s="199" t="e">
        <f t="shared" si="25"/>
        <v>#DIV/0!</v>
      </c>
      <c r="K49" s="200" t="e">
        <f t="shared" si="26"/>
        <v>#DIV/0!</v>
      </c>
      <c r="L49" s="641"/>
      <c r="M49" s="201" t="e">
        <f>RANK(K49, K$47:$K$61)</f>
        <v>#DIV/0!</v>
      </c>
      <c r="N49" s="659"/>
      <c r="O49" s="659"/>
      <c r="P49" s="573"/>
      <c r="Q49" s="574"/>
      <c r="R49" s="574"/>
      <c r="S49" s="534" t="e">
        <f t="shared" si="27"/>
        <v>#N/A</v>
      </c>
      <c r="T49" s="681"/>
      <c r="U49" s="573"/>
      <c r="V49" s="574"/>
      <c r="W49" s="574"/>
      <c r="X49" s="534" t="e">
        <f t="shared" si="28"/>
        <v>#N/A</v>
      </c>
      <c r="Y49" s="681"/>
      <c r="Z49" s="573"/>
      <c r="AA49" s="574"/>
      <c r="AB49" s="574"/>
      <c r="AC49" s="534" t="e">
        <f t="shared" si="29"/>
        <v>#N/A</v>
      </c>
      <c r="AD49" s="681"/>
      <c r="AE49" s="573"/>
      <c r="AF49" s="574"/>
      <c r="AG49" s="574"/>
      <c r="AH49" s="534" t="e">
        <f t="shared" si="30"/>
        <v>#N/A</v>
      </c>
      <c r="AI49" s="681"/>
      <c r="AJ49" s="573"/>
      <c r="AK49" s="574"/>
      <c r="AL49" s="574"/>
      <c r="AM49" s="534" t="e">
        <f t="shared" si="31"/>
        <v>#N/A</v>
      </c>
      <c r="AN49" s="681"/>
      <c r="AO49" s="573"/>
      <c r="AP49" s="574"/>
      <c r="AQ49" s="574"/>
      <c r="AR49" s="534" t="e">
        <f t="shared" si="32"/>
        <v>#N/A</v>
      </c>
      <c r="AS49" s="681"/>
      <c r="AT49" s="573"/>
      <c r="AU49" s="574"/>
      <c r="AV49" s="574"/>
      <c r="AW49" s="534" t="e">
        <f t="shared" si="33"/>
        <v>#N/A</v>
      </c>
      <c r="AX49" s="681"/>
    </row>
    <row r="50" spans="2:50">
      <c r="B50" s="667"/>
      <c r="C50" s="334">
        <v>4</v>
      </c>
      <c r="D50" s="569"/>
      <c r="E50" s="569"/>
      <c r="F50" s="569"/>
      <c r="G50" s="182"/>
      <c r="H50" s="709"/>
      <c r="I50" s="199" t="e">
        <f t="shared" si="24"/>
        <v>#DIV/0!</v>
      </c>
      <c r="J50" s="199" t="e">
        <f t="shared" si="25"/>
        <v>#DIV/0!</v>
      </c>
      <c r="K50" s="200" t="e">
        <f t="shared" si="26"/>
        <v>#DIV/0!</v>
      </c>
      <c r="L50" s="641"/>
      <c r="M50" s="201" t="e">
        <f>RANK(K50, K$47:$K$61)</f>
        <v>#DIV/0!</v>
      </c>
      <c r="N50" s="659"/>
      <c r="O50" s="659"/>
      <c r="P50" s="573"/>
      <c r="Q50" s="574"/>
      <c r="R50" s="574"/>
      <c r="S50" s="534" t="e">
        <f t="shared" si="27"/>
        <v>#N/A</v>
      </c>
      <c r="T50" s="681"/>
      <c r="U50" s="573"/>
      <c r="V50" s="574"/>
      <c r="W50" s="574"/>
      <c r="X50" s="534" t="e">
        <f t="shared" si="28"/>
        <v>#N/A</v>
      </c>
      <c r="Y50" s="681"/>
      <c r="Z50" s="573"/>
      <c r="AA50" s="574"/>
      <c r="AB50" s="574"/>
      <c r="AC50" s="534" t="e">
        <f t="shared" si="29"/>
        <v>#N/A</v>
      </c>
      <c r="AD50" s="681"/>
      <c r="AE50" s="573"/>
      <c r="AF50" s="574"/>
      <c r="AG50" s="574"/>
      <c r="AH50" s="534" t="e">
        <f t="shared" si="30"/>
        <v>#N/A</v>
      </c>
      <c r="AI50" s="681"/>
      <c r="AJ50" s="573"/>
      <c r="AK50" s="574"/>
      <c r="AL50" s="574"/>
      <c r="AM50" s="534" t="e">
        <f t="shared" si="31"/>
        <v>#N/A</v>
      </c>
      <c r="AN50" s="681"/>
      <c r="AO50" s="573"/>
      <c r="AP50" s="574"/>
      <c r="AQ50" s="574"/>
      <c r="AR50" s="534" t="e">
        <f t="shared" si="32"/>
        <v>#N/A</v>
      </c>
      <c r="AS50" s="681"/>
      <c r="AT50" s="573"/>
      <c r="AU50" s="574"/>
      <c r="AV50" s="574"/>
      <c r="AW50" s="534" t="e">
        <f t="shared" si="33"/>
        <v>#N/A</v>
      </c>
      <c r="AX50" s="681"/>
    </row>
    <row r="51" spans="2:50">
      <c r="B51" s="667"/>
      <c r="C51" s="334">
        <v>5</v>
      </c>
      <c r="D51" s="569"/>
      <c r="E51" s="569"/>
      <c r="F51" s="569"/>
      <c r="G51" s="182"/>
      <c r="H51" s="709"/>
      <c r="I51" s="199" t="e">
        <f t="shared" si="24"/>
        <v>#DIV/0!</v>
      </c>
      <c r="J51" s="199" t="e">
        <f t="shared" si="25"/>
        <v>#DIV/0!</v>
      </c>
      <c r="K51" s="200" t="e">
        <f t="shared" si="26"/>
        <v>#DIV/0!</v>
      </c>
      <c r="L51" s="641"/>
      <c r="M51" s="201" t="e">
        <f>RANK(K51, K$47:$K$61)</f>
        <v>#DIV/0!</v>
      </c>
      <c r="N51" s="659"/>
      <c r="O51" s="659"/>
      <c r="P51" s="573"/>
      <c r="Q51" s="574"/>
      <c r="R51" s="574"/>
      <c r="S51" s="534" t="e">
        <f t="shared" si="27"/>
        <v>#N/A</v>
      </c>
      <c r="T51" s="681"/>
      <c r="U51" s="573"/>
      <c r="V51" s="574"/>
      <c r="W51" s="574"/>
      <c r="X51" s="534" t="e">
        <f t="shared" si="28"/>
        <v>#N/A</v>
      </c>
      <c r="Y51" s="681"/>
      <c r="Z51" s="573"/>
      <c r="AA51" s="574"/>
      <c r="AB51" s="574"/>
      <c r="AC51" s="534" t="e">
        <f t="shared" si="29"/>
        <v>#N/A</v>
      </c>
      <c r="AD51" s="681"/>
      <c r="AE51" s="573"/>
      <c r="AF51" s="574"/>
      <c r="AG51" s="574"/>
      <c r="AH51" s="534" t="e">
        <f t="shared" si="30"/>
        <v>#N/A</v>
      </c>
      <c r="AI51" s="681"/>
      <c r="AJ51" s="573"/>
      <c r="AK51" s="574"/>
      <c r="AL51" s="574"/>
      <c r="AM51" s="534" t="e">
        <f t="shared" si="31"/>
        <v>#N/A</v>
      </c>
      <c r="AN51" s="681"/>
      <c r="AO51" s="573"/>
      <c r="AP51" s="574"/>
      <c r="AQ51" s="574"/>
      <c r="AR51" s="534" t="e">
        <f t="shared" si="32"/>
        <v>#N/A</v>
      </c>
      <c r="AS51" s="681"/>
      <c r="AT51" s="573"/>
      <c r="AU51" s="574"/>
      <c r="AV51" s="574"/>
      <c r="AW51" s="534" t="e">
        <f t="shared" si="33"/>
        <v>#N/A</v>
      </c>
      <c r="AX51" s="681"/>
    </row>
    <row r="52" spans="2:50">
      <c r="B52" s="667"/>
      <c r="C52" s="334">
        <v>6</v>
      </c>
      <c r="D52" s="569"/>
      <c r="E52" s="569"/>
      <c r="F52" s="569"/>
      <c r="G52" s="182"/>
      <c r="H52" s="709"/>
      <c r="I52" s="199" t="e">
        <f t="shared" si="24"/>
        <v>#DIV/0!</v>
      </c>
      <c r="J52" s="199" t="e">
        <f t="shared" si="25"/>
        <v>#DIV/0!</v>
      </c>
      <c r="K52" s="200" t="e">
        <f t="shared" si="26"/>
        <v>#DIV/0!</v>
      </c>
      <c r="L52" s="641"/>
      <c r="M52" s="201" t="e">
        <f>RANK(K52, K$47:$K$61)</f>
        <v>#DIV/0!</v>
      </c>
      <c r="N52" s="659"/>
      <c r="O52" s="659"/>
      <c r="P52" s="573"/>
      <c r="Q52" s="574"/>
      <c r="R52" s="574"/>
      <c r="S52" s="534" t="e">
        <f t="shared" si="27"/>
        <v>#N/A</v>
      </c>
      <c r="T52" s="681"/>
      <c r="U52" s="573"/>
      <c r="V52" s="574"/>
      <c r="W52" s="574"/>
      <c r="X52" s="534" t="e">
        <f t="shared" si="28"/>
        <v>#N/A</v>
      </c>
      <c r="Y52" s="681"/>
      <c r="Z52" s="573"/>
      <c r="AA52" s="574"/>
      <c r="AB52" s="574"/>
      <c r="AC52" s="534" t="e">
        <f t="shared" si="29"/>
        <v>#N/A</v>
      </c>
      <c r="AD52" s="681"/>
      <c r="AE52" s="573"/>
      <c r="AF52" s="574"/>
      <c r="AG52" s="574"/>
      <c r="AH52" s="534" t="e">
        <f t="shared" si="30"/>
        <v>#N/A</v>
      </c>
      <c r="AI52" s="681"/>
      <c r="AJ52" s="573"/>
      <c r="AK52" s="574"/>
      <c r="AL52" s="574"/>
      <c r="AM52" s="534" t="e">
        <f t="shared" si="31"/>
        <v>#N/A</v>
      </c>
      <c r="AN52" s="681"/>
      <c r="AO52" s="573"/>
      <c r="AP52" s="574"/>
      <c r="AQ52" s="574"/>
      <c r="AR52" s="534" t="e">
        <f t="shared" si="32"/>
        <v>#N/A</v>
      </c>
      <c r="AS52" s="681"/>
      <c r="AT52" s="573"/>
      <c r="AU52" s="574"/>
      <c r="AV52" s="574"/>
      <c r="AW52" s="534" t="e">
        <f t="shared" si="33"/>
        <v>#N/A</v>
      </c>
      <c r="AX52" s="681"/>
    </row>
    <row r="53" spans="2:50">
      <c r="B53" s="667"/>
      <c r="C53" s="334">
        <v>7</v>
      </c>
      <c r="D53" s="569"/>
      <c r="E53" s="569"/>
      <c r="F53" s="569"/>
      <c r="G53" s="182"/>
      <c r="H53" s="709"/>
      <c r="I53" s="199"/>
      <c r="J53" s="199"/>
      <c r="K53" s="200"/>
      <c r="L53" s="641"/>
      <c r="M53" s="201" t="e">
        <f>RANK(K53, K$47:$K$61)</f>
        <v>#DIV/0!</v>
      </c>
      <c r="N53" s="659"/>
      <c r="O53" s="659"/>
      <c r="P53" s="573"/>
      <c r="Q53" s="574"/>
      <c r="R53" s="574"/>
      <c r="S53" s="534" t="e">
        <f t="shared" si="27"/>
        <v>#N/A</v>
      </c>
      <c r="T53" s="681"/>
      <c r="U53" s="573"/>
      <c r="V53" s="574"/>
      <c r="W53" s="574"/>
      <c r="X53" s="534" t="e">
        <f t="shared" si="28"/>
        <v>#N/A</v>
      </c>
      <c r="Y53" s="681"/>
      <c r="Z53" s="573"/>
      <c r="AA53" s="574"/>
      <c r="AB53" s="574"/>
      <c r="AC53" s="534" t="e">
        <f t="shared" si="29"/>
        <v>#N/A</v>
      </c>
      <c r="AD53" s="681"/>
      <c r="AE53" s="573"/>
      <c r="AF53" s="574"/>
      <c r="AG53" s="574"/>
      <c r="AH53" s="534" t="e">
        <f t="shared" si="30"/>
        <v>#N/A</v>
      </c>
      <c r="AI53" s="681"/>
      <c r="AJ53" s="573"/>
      <c r="AK53" s="574"/>
      <c r="AL53" s="574"/>
      <c r="AM53" s="534" t="e">
        <f t="shared" si="31"/>
        <v>#N/A</v>
      </c>
      <c r="AN53" s="681"/>
      <c r="AO53" s="573"/>
      <c r="AP53" s="574"/>
      <c r="AQ53" s="574"/>
      <c r="AR53" s="534" t="e">
        <f t="shared" si="32"/>
        <v>#N/A</v>
      </c>
      <c r="AS53" s="681"/>
      <c r="AT53" s="573"/>
      <c r="AU53" s="574"/>
      <c r="AV53" s="574"/>
      <c r="AW53" s="534" t="e">
        <f t="shared" si="33"/>
        <v>#N/A</v>
      </c>
      <c r="AX53" s="681"/>
    </row>
    <row r="54" spans="2:50">
      <c r="B54" s="667"/>
      <c r="C54" s="334">
        <v>8</v>
      </c>
      <c r="D54" s="569"/>
      <c r="E54" s="569"/>
      <c r="F54" s="569"/>
      <c r="G54" s="182"/>
      <c r="H54" s="709"/>
      <c r="I54" s="463"/>
      <c r="J54" s="463"/>
      <c r="K54" s="200"/>
      <c r="L54" s="641"/>
      <c r="M54" s="201" t="e">
        <f>RANK(K54, K$47:$K$61)</f>
        <v>#DIV/0!</v>
      </c>
      <c r="N54" s="659"/>
      <c r="O54" s="659"/>
      <c r="P54" s="573"/>
      <c r="Q54" s="574"/>
      <c r="R54" s="574"/>
      <c r="S54" s="534"/>
      <c r="T54" s="681"/>
      <c r="U54" s="573"/>
      <c r="V54" s="574"/>
      <c r="W54" s="574"/>
      <c r="X54" s="534"/>
      <c r="Y54" s="681"/>
      <c r="Z54" s="573"/>
      <c r="AA54" s="574"/>
      <c r="AB54" s="574"/>
      <c r="AC54" s="534"/>
      <c r="AD54" s="681"/>
      <c r="AE54" s="573"/>
      <c r="AF54" s="574"/>
      <c r="AG54" s="574"/>
      <c r="AH54" s="534"/>
      <c r="AI54" s="681"/>
      <c r="AJ54" s="573"/>
      <c r="AK54" s="574"/>
      <c r="AL54" s="574"/>
      <c r="AM54" s="534"/>
      <c r="AN54" s="681"/>
      <c r="AO54" s="573"/>
      <c r="AP54" s="574"/>
      <c r="AQ54" s="574"/>
      <c r="AR54" s="534"/>
      <c r="AS54" s="681"/>
      <c r="AT54" s="573"/>
      <c r="AU54" s="574"/>
      <c r="AV54" s="574"/>
      <c r="AW54" s="534"/>
      <c r="AX54" s="681"/>
    </row>
    <row r="55" spans="2:50">
      <c r="B55" s="667"/>
      <c r="C55" s="334">
        <v>9</v>
      </c>
      <c r="D55" s="569"/>
      <c r="E55" s="569"/>
      <c r="F55" s="569"/>
      <c r="G55" s="182"/>
      <c r="H55" s="709"/>
      <c r="I55" s="199"/>
      <c r="J55" s="199"/>
      <c r="K55" s="200"/>
      <c r="L55" s="641"/>
      <c r="M55" s="201" t="e">
        <f>RANK(K55, K$47:$K$61)</f>
        <v>#DIV/0!</v>
      </c>
      <c r="N55" s="659"/>
      <c r="O55" s="659"/>
      <c r="P55" s="573"/>
      <c r="Q55" s="574"/>
      <c r="R55" s="574"/>
      <c r="S55" s="534"/>
      <c r="T55" s="681"/>
      <c r="U55" s="573"/>
      <c r="V55" s="574"/>
      <c r="W55" s="574"/>
      <c r="X55" s="534"/>
      <c r="Y55" s="681"/>
      <c r="Z55" s="573"/>
      <c r="AA55" s="574"/>
      <c r="AB55" s="574"/>
      <c r="AC55" s="534"/>
      <c r="AD55" s="681"/>
      <c r="AE55" s="573"/>
      <c r="AF55" s="574"/>
      <c r="AG55" s="574"/>
      <c r="AH55" s="534"/>
      <c r="AI55" s="681"/>
      <c r="AJ55" s="573"/>
      <c r="AK55" s="574"/>
      <c r="AL55" s="574"/>
      <c r="AM55" s="534"/>
      <c r="AN55" s="681"/>
      <c r="AO55" s="573"/>
      <c r="AP55" s="574"/>
      <c r="AQ55" s="574"/>
      <c r="AR55" s="534"/>
      <c r="AS55" s="681"/>
      <c r="AT55" s="573"/>
      <c r="AU55" s="574"/>
      <c r="AV55" s="574"/>
      <c r="AW55" s="534"/>
      <c r="AX55" s="681"/>
    </row>
    <row r="56" spans="2:50">
      <c r="B56" s="667"/>
      <c r="C56" s="334">
        <v>10</v>
      </c>
      <c r="D56" s="569"/>
      <c r="E56" s="569"/>
      <c r="F56" s="569"/>
      <c r="G56" s="182"/>
      <c r="H56" s="709"/>
      <c r="I56" s="199"/>
      <c r="J56" s="199"/>
      <c r="K56" s="200"/>
      <c r="L56" s="641"/>
      <c r="M56" s="201" t="e">
        <f>RANK(K56, K$47:$K$61)</f>
        <v>#DIV/0!</v>
      </c>
      <c r="N56" s="659"/>
      <c r="O56" s="659"/>
      <c r="P56" s="573"/>
      <c r="Q56" s="574"/>
      <c r="R56" s="574"/>
      <c r="S56" s="534"/>
      <c r="T56" s="681"/>
      <c r="U56" s="573"/>
      <c r="V56" s="574"/>
      <c r="W56" s="574"/>
      <c r="X56" s="534"/>
      <c r="Y56" s="681"/>
      <c r="Z56" s="573"/>
      <c r="AA56" s="574"/>
      <c r="AB56" s="574"/>
      <c r="AC56" s="534"/>
      <c r="AD56" s="681"/>
      <c r="AE56" s="573"/>
      <c r="AF56" s="574"/>
      <c r="AG56" s="574"/>
      <c r="AH56" s="534"/>
      <c r="AI56" s="681"/>
      <c r="AJ56" s="573"/>
      <c r="AK56" s="574"/>
      <c r="AL56" s="574"/>
      <c r="AM56" s="534"/>
      <c r="AN56" s="681"/>
      <c r="AO56" s="573"/>
      <c r="AP56" s="574"/>
      <c r="AQ56" s="574"/>
      <c r="AR56" s="534"/>
      <c r="AS56" s="681"/>
      <c r="AT56" s="573"/>
      <c r="AU56" s="574"/>
      <c r="AV56" s="574"/>
      <c r="AW56" s="534"/>
      <c r="AX56" s="681"/>
    </row>
    <row r="57" spans="2:50">
      <c r="B57" s="667"/>
      <c r="C57" s="334">
        <v>11</v>
      </c>
      <c r="D57" s="569"/>
      <c r="E57" s="569"/>
      <c r="F57" s="569"/>
      <c r="G57" s="182"/>
      <c r="H57" s="709"/>
      <c r="I57" s="202"/>
      <c r="J57" s="202"/>
      <c r="K57" s="202"/>
      <c r="L57" s="641"/>
      <c r="M57" s="201" t="e">
        <f>RANK(K57, K$47:$K$61)</f>
        <v>#DIV/0!</v>
      </c>
      <c r="N57" s="659"/>
      <c r="O57" s="659"/>
      <c r="P57" s="573"/>
      <c r="Q57" s="574"/>
      <c r="R57" s="574"/>
      <c r="S57" s="534"/>
      <c r="T57" s="681"/>
      <c r="U57" s="573"/>
      <c r="V57" s="574"/>
      <c r="W57" s="574"/>
      <c r="X57" s="534"/>
      <c r="Y57" s="681"/>
      <c r="Z57" s="573"/>
      <c r="AA57" s="574"/>
      <c r="AB57" s="574"/>
      <c r="AC57" s="534"/>
      <c r="AD57" s="681"/>
      <c r="AE57" s="573"/>
      <c r="AF57" s="574"/>
      <c r="AG57" s="574"/>
      <c r="AH57" s="534"/>
      <c r="AI57" s="681"/>
      <c r="AJ57" s="573"/>
      <c r="AK57" s="574"/>
      <c r="AL57" s="574"/>
      <c r="AM57" s="534"/>
      <c r="AN57" s="681"/>
      <c r="AO57" s="573"/>
      <c r="AP57" s="574"/>
      <c r="AQ57" s="574"/>
      <c r="AR57" s="534"/>
      <c r="AS57" s="681"/>
      <c r="AT57" s="573"/>
      <c r="AU57" s="574"/>
      <c r="AV57" s="574"/>
      <c r="AW57" s="534"/>
      <c r="AX57" s="681"/>
    </row>
    <row r="58" spans="2:50">
      <c r="B58" s="667"/>
      <c r="C58" s="334">
        <v>12</v>
      </c>
      <c r="D58" s="569"/>
      <c r="E58" s="569"/>
      <c r="F58" s="569"/>
      <c r="G58" s="182"/>
      <c r="H58" s="709"/>
      <c r="I58" s="202"/>
      <c r="J58" s="202"/>
      <c r="K58" s="202"/>
      <c r="L58" s="641"/>
      <c r="M58" s="201" t="e">
        <f>RANK(K58, K$47:$K$61)</f>
        <v>#DIV/0!</v>
      </c>
      <c r="N58" s="659"/>
      <c r="O58" s="659"/>
      <c r="P58" s="573"/>
      <c r="Q58" s="574"/>
      <c r="R58" s="574"/>
      <c r="S58" s="534"/>
      <c r="T58" s="681"/>
      <c r="U58" s="573"/>
      <c r="V58" s="574"/>
      <c r="W58" s="574"/>
      <c r="X58" s="534"/>
      <c r="Y58" s="681"/>
      <c r="Z58" s="573"/>
      <c r="AA58" s="574"/>
      <c r="AB58" s="574"/>
      <c r="AC58" s="534"/>
      <c r="AD58" s="681"/>
      <c r="AE58" s="573"/>
      <c r="AF58" s="574"/>
      <c r="AG58" s="574"/>
      <c r="AH58" s="534"/>
      <c r="AI58" s="681"/>
      <c r="AJ58" s="573"/>
      <c r="AK58" s="574"/>
      <c r="AL58" s="574"/>
      <c r="AM58" s="534"/>
      <c r="AN58" s="681"/>
      <c r="AO58" s="573"/>
      <c r="AP58" s="574"/>
      <c r="AQ58" s="574"/>
      <c r="AR58" s="534"/>
      <c r="AS58" s="681"/>
      <c r="AT58" s="573"/>
      <c r="AU58" s="574"/>
      <c r="AV58" s="574"/>
      <c r="AW58" s="534"/>
      <c r="AX58" s="681"/>
    </row>
    <row r="59" spans="2:50">
      <c r="B59" s="667"/>
      <c r="C59" s="334">
        <v>13</v>
      </c>
      <c r="D59" s="569"/>
      <c r="E59" s="569"/>
      <c r="F59" s="569"/>
      <c r="G59" s="182"/>
      <c r="H59" s="709"/>
      <c r="I59" s="202"/>
      <c r="J59" s="202"/>
      <c r="K59" s="202"/>
      <c r="L59" s="641"/>
      <c r="M59" s="201" t="e">
        <f>RANK(K59, K$47:$K$61)</f>
        <v>#DIV/0!</v>
      </c>
      <c r="N59" s="659"/>
      <c r="O59" s="659"/>
      <c r="P59" s="573"/>
      <c r="Q59" s="574"/>
      <c r="R59" s="574"/>
      <c r="S59" s="534"/>
      <c r="T59" s="681"/>
      <c r="U59" s="573"/>
      <c r="V59" s="574"/>
      <c r="W59" s="574"/>
      <c r="X59" s="534"/>
      <c r="Y59" s="681"/>
      <c r="Z59" s="573"/>
      <c r="AA59" s="574"/>
      <c r="AB59" s="574"/>
      <c r="AC59" s="534"/>
      <c r="AD59" s="681"/>
      <c r="AE59" s="573"/>
      <c r="AF59" s="574"/>
      <c r="AG59" s="574"/>
      <c r="AH59" s="534"/>
      <c r="AI59" s="681"/>
      <c r="AJ59" s="573"/>
      <c r="AK59" s="574"/>
      <c r="AL59" s="574"/>
      <c r="AM59" s="534"/>
      <c r="AN59" s="681"/>
      <c r="AO59" s="573"/>
      <c r="AP59" s="574"/>
      <c r="AQ59" s="574"/>
      <c r="AR59" s="534"/>
      <c r="AS59" s="681"/>
      <c r="AT59" s="573"/>
      <c r="AU59" s="574"/>
      <c r="AV59" s="574"/>
      <c r="AW59" s="534"/>
      <c r="AX59" s="681"/>
    </row>
    <row r="60" spans="2:50">
      <c r="B60" s="667"/>
      <c r="C60" s="334">
        <v>14</v>
      </c>
      <c r="D60" s="569"/>
      <c r="E60" s="569"/>
      <c r="F60" s="569"/>
      <c r="G60" s="182"/>
      <c r="H60" s="709"/>
      <c r="I60" s="202"/>
      <c r="J60" s="202"/>
      <c r="K60" s="202"/>
      <c r="L60" s="641"/>
      <c r="M60" s="201" t="e">
        <f>RANK(K60, K$47:$K$61)</f>
        <v>#DIV/0!</v>
      </c>
      <c r="N60" s="659"/>
      <c r="O60" s="659"/>
      <c r="P60" s="573"/>
      <c r="Q60" s="574"/>
      <c r="R60" s="574"/>
      <c r="S60" s="534"/>
      <c r="T60" s="681"/>
      <c r="U60" s="573"/>
      <c r="V60" s="574"/>
      <c r="W60" s="574"/>
      <c r="X60" s="534"/>
      <c r="Y60" s="681"/>
      <c r="Z60" s="573"/>
      <c r="AA60" s="574"/>
      <c r="AB60" s="574"/>
      <c r="AC60" s="534"/>
      <c r="AD60" s="681"/>
      <c r="AE60" s="573"/>
      <c r="AF60" s="574"/>
      <c r="AG60" s="574"/>
      <c r="AH60" s="534"/>
      <c r="AI60" s="681"/>
      <c r="AJ60" s="573"/>
      <c r="AK60" s="574"/>
      <c r="AL60" s="574"/>
      <c r="AM60" s="534"/>
      <c r="AN60" s="681"/>
      <c r="AO60" s="573"/>
      <c r="AP60" s="574"/>
      <c r="AQ60" s="574"/>
      <c r="AR60" s="534"/>
      <c r="AS60" s="681"/>
      <c r="AT60" s="573"/>
      <c r="AU60" s="574"/>
      <c r="AV60" s="574"/>
      <c r="AW60" s="534"/>
      <c r="AX60" s="681"/>
    </row>
    <row r="61" spans="2:50">
      <c r="B61" s="667"/>
      <c r="C61" s="334">
        <v>15</v>
      </c>
      <c r="D61" s="569"/>
      <c r="E61" s="569"/>
      <c r="F61" s="569"/>
      <c r="G61" s="569"/>
      <c r="H61" s="710"/>
      <c r="I61" s="202"/>
      <c r="J61" s="202"/>
      <c r="K61" s="202"/>
      <c r="L61" s="642"/>
      <c r="M61" s="201" t="e">
        <f>RANK(K61, K$47:$K$61)</f>
        <v>#DIV/0!</v>
      </c>
      <c r="N61" s="659"/>
      <c r="O61" s="659"/>
      <c r="P61" s="573"/>
      <c r="Q61" s="574"/>
      <c r="R61" s="574"/>
      <c r="S61" s="534"/>
      <c r="T61" s="681"/>
      <c r="U61" s="573"/>
      <c r="V61" s="574"/>
      <c r="W61" s="574"/>
      <c r="X61" s="534"/>
      <c r="Y61" s="681"/>
      <c r="Z61" s="573"/>
      <c r="AA61" s="574"/>
      <c r="AB61" s="574"/>
      <c r="AC61" s="534"/>
      <c r="AD61" s="681"/>
      <c r="AE61" s="573"/>
      <c r="AF61" s="574"/>
      <c r="AG61" s="574"/>
      <c r="AH61" s="534"/>
      <c r="AI61" s="681"/>
      <c r="AJ61" s="573"/>
      <c r="AK61" s="574"/>
      <c r="AL61" s="574"/>
      <c r="AM61" s="534"/>
      <c r="AN61" s="681"/>
      <c r="AO61" s="573"/>
      <c r="AP61" s="574"/>
      <c r="AQ61" s="574"/>
      <c r="AR61" s="534"/>
      <c r="AS61" s="681"/>
      <c r="AT61" s="573"/>
      <c r="AU61" s="574"/>
      <c r="AV61" s="574"/>
      <c r="AW61" s="534"/>
      <c r="AX61" s="681"/>
    </row>
    <row r="62" spans="2:50" ht="15.75">
      <c r="B62" s="671" t="s">
        <v>163</v>
      </c>
      <c r="C62" s="672"/>
      <c r="D62" s="672"/>
      <c r="E62" s="672"/>
      <c r="F62" s="672"/>
      <c r="G62" s="672"/>
      <c r="H62" s="673"/>
      <c r="I62" s="208"/>
      <c r="J62" s="208"/>
      <c r="K62" s="208"/>
      <c r="L62" s="208"/>
      <c r="M62" s="207"/>
      <c r="N62" s="660" t="s">
        <v>156</v>
      </c>
      <c r="O62" s="660" t="s">
        <v>105</v>
      </c>
      <c r="P62" s="666">
        <f>P42+7</f>
        <v>46105</v>
      </c>
      <c r="Q62" s="667"/>
      <c r="R62" s="667"/>
      <c r="S62" s="667"/>
      <c r="T62" s="667"/>
      <c r="U62" s="663">
        <f>P62+1</f>
        <v>46106</v>
      </c>
      <c r="V62" s="664"/>
      <c r="W62" s="664"/>
      <c r="X62" s="664"/>
      <c r="Y62" s="665"/>
      <c r="Z62" s="663">
        <f>U62+1</f>
        <v>46107</v>
      </c>
      <c r="AA62" s="664"/>
      <c r="AB62" s="664"/>
      <c r="AC62" s="664"/>
      <c r="AD62" s="665"/>
      <c r="AE62" s="663">
        <f>Z62+1</f>
        <v>46108</v>
      </c>
      <c r="AF62" s="664"/>
      <c r="AG62" s="664"/>
      <c r="AH62" s="664"/>
      <c r="AI62" s="665"/>
      <c r="AJ62" s="663">
        <f>AE62+1</f>
        <v>46109</v>
      </c>
      <c r="AK62" s="664"/>
      <c r="AL62" s="664"/>
      <c r="AM62" s="664"/>
      <c r="AN62" s="665"/>
      <c r="AO62" s="663">
        <f>AJ62+1</f>
        <v>46110</v>
      </c>
      <c r="AP62" s="664"/>
      <c r="AQ62" s="664"/>
      <c r="AR62" s="664"/>
      <c r="AS62" s="665"/>
      <c r="AT62" s="663">
        <f>AO62+1</f>
        <v>46111</v>
      </c>
      <c r="AU62" s="664"/>
      <c r="AV62" s="664"/>
      <c r="AW62" s="664"/>
      <c r="AX62" s="665"/>
    </row>
    <row r="63" spans="2:50" ht="15.75">
      <c r="B63" s="674"/>
      <c r="C63" s="674"/>
      <c r="D63" s="674"/>
      <c r="E63" s="674"/>
      <c r="F63" s="674"/>
      <c r="G63" s="674"/>
      <c r="H63" s="674"/>
      <c r="I63" s="205"/>
      <c r="J63" s="205"/>
      <c r="K63" s="205"/>
      <c r="L63" s="205"/>
      <c r="M63" s="206"/>
      <c r="N63" s="662"/>
      <c r="O63" s="662"/>
      <c r="P63" s="666" t="s">
        <v>336</v>
      </c>
      <c r="Q63" s="667"/>
      <c r="R63" s="667"/>
      <c r="S63" s="667"/>
      <c r="T63" s="667"/>
      <c r="U63" s="666" t="s">
        <v>337</v>
      </c>
      <c r="V63" s="667"/>
      <c r="W63" s="667"/>
      <c r="X63" s="667"/>
      <c r="Y63" s="667"/>
      <c r="Z63" s="666" t="s">
        <v>338</v>
      </c>
      <c r="AA63" s="667"/>
      <c r="AB63" s="667"/>
      <c r="AC63" s="667"/>
      <c r="AD63" s="667"/>
      <c r="AE63" s="666" t="s">
        <v>339</v>
      </c>
      <c r="AF63" s="667"/>
      <c r="AG63" s="667"/>
      <c r="AH63" s="667"/>
      <c r="AI63" s="667"/>
      <c r="AJ63" s="666" t="s">
        <v>340</v>
      </c>
      <c r="AK63" s="667"/>
      <c r="AL63" s="667"/>
      <c r="AM63" s="667"/>
      <c r="AN63" s="667"/>
      <c r="AO63" s="666" t="s">
        <v>341</v>
      </c>
      <c r="AP63" s="667"/>
      <c r="AQ63" s="667"/>
      <c r="AR63" s="667"/>
      <c r="AS63" s="667"/>
      <c r="AT63" s="666" t="s">
        <v>342</v>
      </c>
      <c r="AU63" s="667"/>
      <c r="AV63" s="667"/>
      <c r="AW63" s="667"/>
      <c r="AX63" s="667"/>
    </row>
    <row r="64" spans="2:50">
      <c r="B64" s="659" t="s">
        <v>419</v>
      </c>
      <c r="C64" s="659" t="s">
        <v>429</v>
      </c>
      <c r="D64" s="659"/>
      <c r="E64" s="659" t="s">
        <v>420</v>
      </c>
      <c r="F64" s="659"/>
      <c r="G64" s="659"/>
      <c r="H64" s="675" t="s">
        <v>416</v>
      </c>
      <c r="I64" s="643" t="s">
        <v>421</v>
      </c>
      <c r="J64" s="643"/>
      <c r="K64" s="643"/>
      <c r="L64" s="644" t="s">
        <v>416</v>
      </c>
      <c r="M64" s="650" t="s">
        <v>417</v>
      </c>
      <c r="N64" s="659"/>
      <c r="O64" s="659" t="s">
        <v>422</v>
      </c>
      <c r="P64" s="656" t="s">
        <v>418</v>
      </c>
      <c r="Q64" s="657"/>
      <c r="R64" s="657"/>
      <c r="S64" s="658"/>
      <c r="T64" s="659" t="s">
        <v>416</v>
      </c>
      <c r="U64" s="656" t="s">
        <v>418</v>
      </c>
      <c r="V64" s="657"/>
      <c r="W64" s="657"/>
      <c r="X64" s="658"/>
      <c r="Y64" s="659" t="s">
        <v>416</v>
      </c>
      <c r="Z64" s="656" t="s">
        <v>418</v>
      </c>
      <c r="AA64" s="657"/>
      <c r="AB64" s="657"/>
      <c r="AC64" s="658"/>
      <c r="AD64" s="659" t="s">
        <v>416</v>
      </c>
      <c r="AE64" s="656" t="s">
        <v>418</v>
      </c>
      <c r="AF64" s="657"/>
      <c r="AG64" s="657"/>
      <c r="AH64" s="658"/>
      <c r="AI64" s="659" t="s">
        <v>416</v>
      </c>
      <c r="AJ64" s="656" t="s">
        <v>418</v>
      </c>
      <c r="AK64" s="657"/>
      <c r="AL64" s="657"/>
      <c r="AM64" s="658"/>
      <c r="AN64" s="659" t="s">
        <v>416</v>
      </c>
      <c r="AO64" s="656" t="s">
        <v>418</v>
      </c>
      <c r="AP64" s="657"/>
      <c r="AQ64" s="657"/>
      <c r="AR64" s="658"/>
      <c r="AS64" s="659" t="s">
        <v>416</v>
      </c>
      <c r="AT64" s="656" t="s">
        <v>418</v>
      </c>
      <c r="AU64" s="657"/>
      <c r="AV64" s="657"/>
      <c r="AW64" s="658"/>
      <c r="AX64" s="659" t="s">
        <v>416</v>
      </c>
    </row>
    <row r="65" spans="2:50">
      <c r="B65" s="659"/>
      <c r="C65" s="659"/>
      <c r="D65" s="659"/>
      <c r="E65" s="659" t="s">
        <v>423</v>
      </c>
      <c r="F65" s="659"/>
      <c r="G65" s="659"/>
      <c r="H65" s="676"/>
      <c r="I65" s="643" t="s">
        <v>423</v>
      </c>
      <c r="J65" s="643"/>
      <c r="K65" s="643"/>
      <c r="L65" s="645"/>
      <c r="M65" s="651"/>
      <c r="N65" s="659"/>
      <c r="O65" s="659"/>
      <c r="P65" s="656" t="s">
        <v>424</v>
      </c>
      <c r="Q65" s="657"/>
      <c r="R65" s="657"/>
      <c r="S65" s="658"/>
      <c r="T65" s="659"/>
      <c r="U65" s="656" t="s">
        <v>424</v>
      </c>
      <c r="V65" s="657"/>
      <c r="W65" s="657"/>
      <c r="X65" s="658"/>
      <c r="Y65" s="659"/>
      <c r="Z65" s="656" t="s">
        <v>424</v>
      </c>
      <c r="AA65" s="657"/>
      <c r="AB65" s="657"/>
      <c r="AC65" s="658"/>
      <c r="AD65" s="659"/>
      <c r="AE65" s="656" t="s">
        <v>424</v>
      </c>
      <c r="AF65" s="657"/>
      <c r="AG65" s="657"/>
      <c r="AH65" s="658"/>
      <c r="AI65" s="659"/>
      <c r="AJ65" s="656" t="s">
        <v>424</v>
      </c>
      <c r="AK65" s="657"/>
      <c r="AL65" s="657"/>
      <c r="AM65" s="658"/>
      <c r="AN65" s="659"/>
      <c r="AO65" s="656" t="s">
        <v>424</v>
      </c>
      <c r="AP65" s="657"/>
      <c r="AQ65" s="657"/>
      <c r="AR65" s="658"/>
      <c r="AS65" s="659"/>
      <c r="AT65" s="656" t="s">
        <v>424</v>
      </c>
      <c r="AU65" s="657"/>
      <c r="AV65" s="657"/>
      <c r="AW65" s="658"/>
      <c r="AX65" s="659"/>
    </row>
    <row r="66" spans="2:50">
      <c r="B66" s="659"/>
      <c r="C66" s="659"/>
      <c r="D66" s="659"/>
      <c r="E66" s="308" t="s">
        <v>425</v>
      </c>
      <c r="F66" s="308" t="s">
        <v>426</v>
      </c>
      <c r="G66" s="308" t="s">
        <v>427</v>
      </c>
      <c r="H66" s="677"/>
      <c r="I66" s="307" t="s">
        <v>425</v>
      </c>
      <c r="J66" s="307" t="s">
        <v>426</v>
      </c>
      <c r="K66" s="307" t="s">
        <v>427</v>
      </c>
      <c r="L66" s="646"/>
      <c r="M66" s="652"/>
      <c r="N66" s="659"/>
      <c r="O66" s="659"/>
      <c r="P66" s="308" t="s">
        <v>425</v>
      </c>
      <c r="Q66" s="308" t="s">
        <v>426</v>
      </c>
      <c r="R66" s="308" t="s">
        <v>427</v>
      </c>
      <c r="S66" s="308" t="s">
        <v>417</v>
      </c>
      <c r="T66" s="659"/>
      <c r="U66" s="308" t="s">
        <v>425</v>
      </c>
      <c r="V66" s="308" t="s">
        <v>426</v>
      </c>
      <c r="W66" s="308" t="s">
        <v>427</v>
      </c>
      <c r="X66" s="308" t="s">
        <v>417</v>
      </c>
      <c r="Y66" s="659"/>
      <c r="Z66" s="308" t="s">
        <v>425</v>
      </c>
      <c r="AA66" s="308" t="s">
        <v>426</v>
      </c>
      <c r="AB66" s="308" t="s">
        <v>427</v>
      </c>
      <c r="AC66" s="308" t="s">
        <v>417</v>
      </c>
      <c r="AD66" s="659"/>
      <c r="AE66" s="308" t="s">
        <v>425</v>
      </c>
      <c r="AF66" s="308" t="s">
        <v>426</v>
      </c>
      <c r="AG66" s="308" t="s">
        <v>427</v>
      </c>
      <c r="AH66" s="308" t="s">
        <v>417</v>
      </c>
      <c r="AI66" s="659"/>
      <c r="AJ66" s="308" t="s">
        <v>425</v>
      </c>
      <c r="AK66" s="308" t="s">
        <v>426</v>
      </c>
      <c r="AL66" s="308" t="s">
        <v>427</v>
      </c>
      <c r="AM66" s="308" t="s">
        <v>417</v>
      </c>
      <c r="AN66" s="659"/>
      <c r="AO66" s="308" t="s">
        <v>425</v>
      </c>
      <c r="AP66" s="308" t="s">
        <v>426</v>
      </c>
      <c r="AQ66" s="308" t="s">
        <v>427</v>
      </c>
      <c r="AR66" s="308" t="s">
        <v>417</v>
      </c>
      <c r="AS66" s="659"/>
      <c r="AT66" s="308" t="s">
        <v>425</v>
      </c>
      <c r="AU66" s="308" t="s">
        <v>426</v>
      </c>
      <c r="AV66" s="308" t="s">
        <v>427</v>
      </c>
      <c r="AW66" s="308" t="s">
        <v>417</v>
      </c>
      <c r="AX66" s="659"/>
    </row>
    <row r="67" spans="2:50">
      <c r="B67" s="707" t="s">
        <v>456</v>
      </c>
      <c r="C67" s="309">
        <v>1</v>
      </c>
      <c r="D67" s="569"/>
      <c r="E67" s="569"/>
      <c r="F67" s="569"/>
      <c r="G67" s="182"/>
      <c r="H67" s="708" t="e">
        <f>AVERAGE(G81:G87)</f>
        <v>#DIV/0!</v>
      </c>
      <c r="I67" s="563" t="e">
        <f>AVERAGE(P67,U67,Z67,AE67,AJ67,AO67,AT67)</f>
        <v>#DIV/0!</v>
      </c>
      <c r="J67" s="563" t="e">
        <f>AVERAGE(Q67,V67,AA67,AF67,AK67,AP67,AU67)</f>
        <v>#DIV/0!</v>
      </c>
      <c r="K67" s="200" t="e">
        <f>AVERAGE(R67,W67,AB67,AG67,AL67,AQ67,AV67)</f>
        <v>#DIV/0!</v>
      </c>
      <c r="L67" s="640" t="str">
        <f>IFERROR(AVERAGE(K67:K81),"-")</f>
        <v>-</v>
      </c>
      <c r="M67" s="201" t="e">
        <f>RANK(K87, K$81:$K$87)</f>
        <v>#DIV/0!</v>
      </c>
      <c r="N67" s="659"/>
      <c r="O67" s="659"/>
      <c r="P67" s="573"/>
      <c r="Q67" s="574"/>
      <c r="R67" s="574"/>
      <c r="S67" s="309" t="e">
        <f>RANK(R87, R$81:R$87)</f>
        <v>#N/A</v>
      </c>
      <c r="T67" s="681" t="e">
        <f>AVERAGE(R81:R87)</f>
        <v>#DIV/0!</v>
      </c>
      <c r="U67" s="573"/>
      <c r="V67" s="574"/>
      <c r="W67" s="574"/>
      <c r="X67" s="475" t="e">
        <f>RANK(W87, W$81:W$87)</f>
        <v>#N/A</v>
      </c>
      <c r="Y67" s="681" t="e">
        <f>AVERAGE(W81:W87)</f>
        <v>#DIV/0!</v>
      </c>
      <c r="Z67" s="573"/>
      <c r="AA67" s="574"/>
      <c r="AB67" s="574"/>
      <c r="AC67" s="475" t="e">
        <f>RANK(AB87, AB$81:AB$87)</f>
        <v>#N/A</v>
      </c>
      <c r="AD67" s="681" t="e">
        <f>AVERAGE(AB81:AB87)</f>
        <v>#DIV/0!</v>
      </c>
      <c r="AE67" s="573"/>
      <c r="AF67" s="574"/>
      <c r="AG67" s="574"/>
      <c r="AH67" s="475" t="e">
        <f>RANK(AG87, AG$81:AG$87)</f>
        <v>#N/A</v>
      </c>
      <c r="AI67" s="681" t="e">
        <f>AVERAGE(AG81:AG87)</f>
        <v>#DIV/0!</v>
      </c>
      <c r="AJ67" s="573"/>
      <c r="AK67" s="574"/>
      <c r="AL67" s="574"/>
      <c r="AM67" s="475" t="e">
        <f>RANK(AL87, AL$81:AL$87)</f>
        <v>#N/A</v>
      </c>
      <c r="AN67" s="681" t="e">
        <f>AVERAGE(AL81:AL87)</f>
        <v>#DIV/0!</v>
      </c>
      <c r="AO67" s="573"/>
      <c r="AP67" s="574"/>
      <c r="AQ67" s="574"/>
      <c r="AR67" s="475" t="e">
        <f>RANK(AQ87, AQ$81:AQ$87)</f>
        <v>#N/A</v>
      </c>
      <c r="AS67" s="681" t="e">
        <f>AVERAGE(AQ81:AQ87)</f>
        <v>#DIV/0!</v>
      </c>
      <c r="AT67" s="573"/>
      <c r="AU67" s="574"/>
      <c r="AV67" s="574"/>
      <c r="AW67" s="475" t="e">
        <f>RANK(AV87, AV$81:AV$87)</f>
        <v>#N/A</v>
      </c>
      <c r="AX67" s="681" t="e">
        <f>AVERAGE(AV81:AV87)</f>
        <v>#DIV/0!</v>
      </c>
    </row>
    <row r="68" spans="2:50">
      <c r="B68" s="667"/>
      <c r="C68" s="309">
        <v>2</v>
      </c>
      <c r="D68" s="569"/>
      <c r="E68" s="569"/>
      <c r="F68" s="569"/>
      <c r="G68" s="182"/>
      <c r="H68" s="709"/>
      <c r="I68" s="563" t="e">
        <f t="shared" ref="I68:I71" si="34">AVERAGE(P68,U68,Z68,AE68,AJ68,AO68,AT68)</f>
        <v>#DIV/0!</v>
      </c>
      <c r="J68" s="563" t="e">
        <f t="shared" ref="J68:J71" si="35">AVERAGE(Q68,V68,AA68,AF68,AK68,AP68,AU68)</f>
        <v>#DIV/0!</v>
      </c>
      <c r="K68" s="200" t="e">
        <f t="shared" ref="K68:K71" si="36">AVERAGE(R68,W68,AB68,AG68,AL68,AQ68,AV68)</f>
        <v>#DIV/0!</v>
      </c>
      <c r="L68" s="641"/>
      <c r="M68" s="201" t="e">
        <f>RANK(K68, K$81:$K$87)</f>
        <v>#DIV/0!</v>
      </c>
      <c r="N68" s="659"/>
      <c r="O68" s="659"/>
      <c r="P68" s="573"/>
      <c r="Q68" s="574"/>
      <c r="R68" s="574"/>
      <c r="S68" s="339" t="e">
        <f t="shared" ref="S68:S81" si="37">RANK(R68, R$81:R$87)</f>
        <v>#N/A</v>
      </c>
      <c r="T68" s="681"/>
      <c r="U68" s="573"/>
      <c r="V68" s="574"/>
      <c r="W68" s="574"/>
      <c r="X68" s="475" t="e">
        <f t="shared" ref="X68:X81" si="38">RANK(W68, W$81:W$87)</f>
        <v>#N/A</v>
      </c>
      <c r="Y68" s="681"/>
      <c r="Z68" s="573"/>
      <c r="AA68" s="574"/>
      <c r="AB68" s="574"/>
      <c r="AC68" s="475" t="e">
        <f t="shared" ref="AC68:AC81" si="39">RANK(AB68, AB$81:AB$87)</f>
        <v>#N/A</v>
      </c>
      <c r="AD68" s="681"/>
      <c r="AE68" s="573"/>
      <c r="AF68" s="574"/>
      <c r="AG68" s="574"/>
      <c r="AH68" s="475" t="e">
        <f t="shared" ref="AH68:AH81" si="40">RANK(AG68, AG$81:AG$87)</f>
        <v>#N/A</v>
      </c>
      <c r="AI68" s="681"/>
      <c r="AJ68" s="573"/>
      <c r="AK68" s="574"/>
      <c r="AL68" s="574"/>
      <c r="AM68" s="475" t="e">
        <f t="shared" ref="AM68:AM81" si="41">RANK(AL68, AL$81:AL$87)</f>
        <v>#N/A</v>
      </c>
      <c r="AN68" s="681"/>
      <c r="AO68" s="573"/>
      <c r="AP68" s="574"/>
      <c r="AQ68" s="574"/>
      <c r="AR68" s="475" t="e">
        <f t="shared" ref="AR68:AR81" si="42">RANK(AQ68, AQ$81:AQ$87)</f>
        <v>#N/A</v>
      </c>
      <c r="AS68" s="681"/>
      <c r="AT68" s="573"/>
      <c r="AU68" s="574"/>
      <c r="AV68" s="574"/>
      <c r="AW68" s="475" t="e">
        <f t="shared" ref="AW68:AW81" si="43">RANK(AV68, AV$81:AV$87)</f>
        <v>#N/A</v>
      </c>
      <c r="AX68" s="681"/>
    </row>
    <row r="69" spans="2:50">
      <c r="B69" s="667"/>
      <c r="C69" s="309">
        <v>3</v>
      </c>
      <c r="D69" s="569"/>
      <c r="E69" s="569"/>
      <c r="F69" s="569"/>
      <c r="G69" s="182"/>
      <c r="H69" s="709"/>
      <c r="I69" s="563" t="e">
        <f t="shared" si="34"/>
        <v>#DIV/0!</v>
      </c>
      <c r="J69" s="563" t="e">
        <f t="shared" si="35"/>
        <v>#DIV/0!</v>
      </c>
      <c r="K69" s="200" t="e">
        <f t="shared" si="36"/>
        <v>#DIV/0!</v>
      </c>
      <c r="L69" s="641"/>
      <c r="M69" s="201" t="e">
        <f>RANK(K69, K$81:$K$87)</f>
        <v>#DIV/0!</v>
      </c>
      <c r="N69" s="659"/>
      <c r="O69" s="659"/>
      <c r="P69" s="573"/>
      <c r="Q69" s="574"/>
      <c r="R69" s="574"/>
      <c r="S69" s="339" t="e">
        <f t="shared" si="37"/>
        <v>#N/A</v>
      </c>
      <c r="T69" s="681"/>
      <c r="U69" s="573"/>
      <c r="V69" s="574"/>
      <c r="W69" s="574"/>
      <c r="X69" s="475" t="e">
        <f t="shared" si="38"/>
        <v>#N/A</v>
      </c>
      <c r="Y69" s="681"/>
      <c r="Z69" s="573"/>
      <c r="AA69" s="574"/>
      <c r="AB69" s="574"/>
      <c r="AC69" s="475" t="e">
        <f t="shared" si="39"/>
        <v>#N/A</v>
      </c>
      <c r="AD69" s="681"/>
      <c r="AE69" s="573"/>
      <c r="AF69" s="574"/>
      <c r="AG69" s="574"/>
      <c r="AH69" s="475" t="e">
        <f t="shared" si="40"/>
        <v>#N/A</v>
      </c>
      <c r="AI69" s="681"/>
      <c r="AJ69" s="573"/>
      <c r="AK69" s="574"/>
      <c r="AL69" s="574"/>
      <c r="AM69" s="475" t="e">
        <f t="shared" si="41"/>
        <v>#N/A</v>
      </c>
      <c r="AN69" s="681"/>
      <c r="AO69" s="573"/>
      <c r="AP69" s="574"/>
      <c r="AQ69" s="574"/>
      <c r="AR69" s="475" t="e">
        <f t="shared" si="42"/>
        <v>#N/A</v>
      </c>
      <c r="AS69" s="681"/>
      <c r="AT69" s="573"/>
      <c r="AU69" s="574"/>
      <c r="AV69" s="574"/>
      <c r="AW69" s="475" t="e">
        <f t="shared" si="43"/>
        <v>#N/A</v>
      </c>
      <c r="AX69" s="681"/>
    </row>
    <row r="70" spans="2:50">
      <c r="B70" s="667"/>
      <c r="C70" s="309">
        <v>4</v>
      </c>
      <c r="D70" s="569"/>
      <c r="E70" s="569"/>
      <c r="F70" s="569"/>
      <c r="G70" s="182"/>
      <c r="H70" s="709"/>
      <c r="I70" s="563" t="e">
        <f t="shared" si="34"/>
        <v>#DIV/0!</v>
      </c>
      <c r="J70" s="563" t="e">
        <f t="shared" si="35"/>
        <v>#DIV/0!</v>
      </c>
      <c r="K70" s="200" t="e">
        <f t="shared" si="36"/>
        <v>#DIV/0!</v>
      </c>
      <c r="L70" s="641"/>
      <c r="M70" s="201" t="e">
        <f>RANK(K70, K$81:$K$87)</f>
        <v>#DIV/0!</v>
      </c>
      <c r="N70" s="659"/>
      <c r="O70" s="659"/>
      <c r="P70" s="573"/>
      <c r="Q70" s="574"/>
      <c r="R70" s="574"/>
      <c r="S70" s="339" t="e">
        <f t="shared" si="37"/>
        <v>#N/A</v>
      </c>
      <c r="T70" s="681"/>
      <c r="U70" s="573"/>
      <c r="V70" s="574"/>
      <c r="W70" s="574"/>
      <c r="X70" s="475" t="e">
        <f t="shared" si="38"/>
        <v>#N/A</v>
      </c>
      <c r="Y70" s="681"/>
      <c r="Z70" s="573"/>
      <c r="AA70" s="574"/>
      <c r="AB70" s="574"/>
      <c r="AC70" s="475" t="e">
        <f t="shared" si="39"/>
        <v>#N/A</v>
      </c>
      <c r="AD70" s="681"/>
      <c r="AE70" s="573"/>
      <c r="AF70" s="574"/>
      <c r="AG70" s="574"/>
      <c r="AH70" s="475" t="e">
        <f t="shared" si="40"/>
        <v>#N/A</v>
      </c>
      <c r="AI70" s="681"/>
      <c r="AJ70" s="573"/>
      <c r="AK70" s="574"/>
      <c r="AL70" s="574"/>
      <c r="AM70" s="475" t="e">
        <f t="shared" si="41"/>
        <v>#N/A</v>
      </c>
      <c r="AN70" s="681"/>
      <c r="AO70" s="573"/>
      <c r="AP70" s="574"/>
      <c r="AQ70" s="574"/>
      <c r="AR70" s="475" t="e">
        <f t="shared" si="42"/>
        <v>#N/A</v>
      </c>
      <c r="AS70" s="681"/>
      <c r="AT70" s="573"/>
      <c r="AU70" s="574"/>
      <c r="AV70" s="574"/>
      <c r="AW70" s="475" t="e">
        <f t="shared" si="43"/>
        <v>#N/A</v>
      </c>
      <c r="AX70" s="681"/>
    </row>
    <row r="71" spans="2:50">
      <c r="B71" s="667"/>
      <c r="C71" s="309">
        <v>5</v>
      </c>
      <c r="D71" s="569"/>
      <c r="E71" s="569"/>
      <c r="F71" s="569"/>
      <c r="G71" s="182"/>
      <c r="H71" s="709"/>
      <c r="I71" s="563" t="e">
        <f t="shared" si="34"/>
        <v>#DIV/0!</v>
      </c>
      <c r="J71" s="563" t="e">
        <f t="shared" si="35"/>
        <v>#DIV/0!</v>
      </c>
      <c r="K71" s="200" t="e">
        <f t="shared" si="36"/>
        <v>#DIV/0!</v>
      </c>
      <c r="L71" s="641"/>
      <c r="M71" s="201" t="e">
        <f>RANK(K71, K$81:$K$87)</f>
        <v>#DIV/0!</v>
      </c>
      <c r="N71" s="659"/>
      <c r="O71" s="659"/>
      <c r="P71" s="573"/>
      <c r="Q71" s="574"/>
      <c r="R71" s="574"/>
      <c r="S71" s="339" t="e">
        <f t="shared" si="37"/>
        <v>#N/A</v>
      </c>
      <c r="T71" s="681"/>
      <c r="U71" s="573"/>
      <c r="V71" s="574"/>
      <c r="W71" s="574"/>
      <c r="X71" s="475" t="e">
        <f t="shared" si="38"/>
        <v>#N/A</v>
      </c>
      <c r="Y71" s="681"/>
      <c r="Z71" s="573"/>
      <c r="AA71" s="574"/>
      <c r="AB71" s="574"/>
      <c r="AC71" s="475" t="e">
        <f t="shared" si="39"/>
        <v>#N/A</v>
      </c>
      <c r="AD71" s="681"/>
      <c r="AE71" s="573"/>
      <c r="AF71" s="574"/>
      <c r="AG71" s="574"/>
      <c r="AH71" s="475" t="e">
        <f t="shared" si="40"/>
        <v>#N/A</v>
      </c>
      <c r="AI71" s="681"/>
      <c r="AJ71" s="573"/>
      <c r="AK71" s="574"/>
      <c r="AL71" s="574"/>
      <c r="AM71" s="475" t="e">
        <f t="shared" si="41"/>
        <v>#N/A</v>
      </c>
      <c r="AN71" s="681"/>
      <c r="AO71" s="573"/>
      <c r="AP71" s="574"/>
      <c r="AQ71" s="574"/>
      <c r="AR71" s="475" t="e">
        <f t="shared" si="42"/>
        <v>#N/A</v>
      </c>
      <c r="AS71" s="681"/>
      <c r="AT71" s="573"/>
      <c r="AU71" s="574"/>
      <c r="AV71" s="574"/>
      <c r="AW71" s="475" t="e">
        <f t="shared" si="43"/>
        <v>#N/A</v>
      </c>
      <c r="AX71" s="681"/>
    </row>
    <row r="72" spans="2:50">
      <c r="B72" s="667"/>
      <c r="C72" s="309">
        <v>6</v>
      </c>
      <c r="D72" s="569"/>
      <c r="E72" s="569"/>
      <c r="F72" s="569"/>
      <c r="G72" s="182"/>
      <c r="H72" s="709"/>
      <c r="I72" s="563"/>
      <c r="J72" s="563"/>
      <c r="K72" s="200"/>
      <c r="L72" s="641"/>
      <c r="M72" s="201" t="e">
        <f>RANK(K72, K$81:$K$87)</f>
        <v>#DIV/0!</v>
      </c>
      <c r="N72" s="659"/>
      <c r="O72" s="659"/>
      <c r="P72" s="573"/>
      <c r="Q72" s="574"/>
      <c r="R72" s="574"/>
      <c r="S72" s="339" t="e">
        <f t="shared" si="37"/>
        <v>#N/A</v>
      </c>
      <c r="T72" s="681"/>
      <c r="U72" s="573"/>
      <c r="V72" s="574"/>
      <c r="W72" s="574"/>
      <c r="X72" s="475" t="e">
        <f t="shared" si="38"/>
        <v>#N/A</v>
      </c>
      <c r="Y72" s="681"/>
      <c r="Z72" s="573"/>
      <c r="AA72" s="574"/>
      <c r="AB72" s="574"/>
      <c r="AC72" s="475" t="e">
        <f t="shared" si="39"/>
        <v>#N/A</v>
      </c>
      <c r="AD72" s="681"/>
      <c r="AE72" s="573"/>
      <c r="AF72" s="574"/>
      <c r="AG72" s="574"/>
      <c r="AH72" s="475" t="e">
        <f t="shared" si="40"/>
        <v>#N/A</v>
      </c>
      <c r="AI72" s="681"/>
      <c r="AJ72" s="573"/>
      <c r="AK72" s="574"/>
      <c r="AL72" s="574"/>
      <c r="AM72" s="475" t="e">
        <f t="shared" si="41"/>
        <v>#N/A</v>
      </c>
      <c r="AN72" s="681"/>
      <c r="AO72" s="573"/>
      <c r="AP72" s="574"/>
      <c r="AQ72" s="574"/>
      <c r="AR72" s="475" t="e">
        <f t="shared" si="42"/>
        <v>#N/A</v>
      </c>
      <c r="AS72" s="681"/>
      <c r="AT72" s="573"/>
      <c r="AU72" s="574"/>
      <c r="AV72" s="574"/>
      <c r="AW72" s="475" t="e">
        <f t="shared" si="43"/>
        <v>#N/A</v>
      </c>
      <c r="AX72" s="681"/>
    </row>
    <row r="73" spans="2:50">
      <c r="B73" s="667"/>
      <c r="C73" s="309">
        <v>7</v>
      </c>
      <c r="D73" s="569"/>
      <c r="E73" s="569"/>
      <c r="F73" s="569"/>
      <c r="G73" s="182"/>
      <c r="H73" s="709"/>
      <c r="I73" s="563"/>
      <c r="J73" s="563"/>
      <c r="K73" s="200"/>
      <c r="L73" s="641"/>
      <c r="M73" s="201" t="e">
        <f>RANK(K73, K$81:$K$87)</f>
        <v>#DIV/0!</v>
      </c>
      <c r="N73" s="659"/>
      <c r="O73" s="659"/>
      <c r="P73" s="573"/>
      <c r="Q73" s="574"/>
      <c r="R73" s="574"/>
      <c r="S73" s="339" t="e">
        <f t="shared" si="37"/>
        <v>#N/A</v>
      </c>
      <c r="T73" s="681"/>
      <c r="U73" s="573"/>
      <c r="V73" s="574"/>
      <c r="W73" s="574"/>
      <c r="X73" s="475" t="e">
        <f t="shared" si="38"/>
        <v>#N/A</v>
      </c>
      <c r="Y73" s="681"/>
      <c r="Z73" s="573"/>
      <c r="AA73" s="574"/>
      <c r="AB73" s="574"/>
      <c r="AC73" s="475" t="e">
        <f t="shared" si="39"/>
        <v>#N/A</v>
      </c>
      <c r="AD73" s="681"/>
      <c r="AE73" s="573"/>
      <c r="AF73" s="574"/>
      <c r="AG73" s="574"/>
      <c r="AH73" s="475" t="e">
        <f t="shared" si="40"/>
        <v>#N/A</v>
      </c>
      <c r="AI73" s="681"/>
      <c r="AJ73" s="573"/>
      <c r="AK73" s="574"/>
      <c r="AL73" s="574"/>
      <c r="AM73" s="475" t="e">
        <f t="shared" si="41"/>
        <v>#N/A</v>
      </c>
      <c r="AN73" s="681"/>
      <c r="AO73" s="573"/>
      <c r="AP73" s="574"/>
      <c r="AQ73" s="574"/>
      <c r="AR73" s="475" t="e">
        <f t="shared" si="42"/>
        <v>#N/A</v>
      </c>
      <c r="AS73" s="681"/>
      <c r="AT73" s="573"/>
      <c r="AU73" s="574"/>
      <c r="AV73" s="574"/>
      <c r="AW73" s="475" t="e">
        <f t="shared" si="43"/>
        <v>#N/A</v>
      </c>
      <c r="AX73" s="681"/>
    </row>
    <row r="74" spans="2:50">
      <c r="B74" s="667"/>
      <c r="C74" s="309">
        <v>8</v>
      </c>
      <c r="D74" s="569"/>
      <c r="E74" s="569"/>
      <c r="F74" s="569"/>
      <c r="G74" s="182"/>
      <c r="H74" s="709"/>
      <c r="I74" s="563"/>
      <c r="J74" s="563"/>
      <c r="K74" s="200"/>
      <c r="L74" s="641"/>
      <c r="M74" s="201" t="e">
        <f>RANK(K74, K$81:$K$87)</f>
        <v>#DIV/0!</v>
      </c>
      <c r="N74" s="659"/>
      <c r="O74" s="659"/>
      <c r="P74" s="573"/>
      <c r="Q74" s="574"/>
      <c r="R74" s="574"/>
      <c r="S74" s="339" t="e">
        <f t="shared" si="37"/>
        <v>#N/A</v>
      </c>
      <c r="T74" s="681"/>
      <c r="U74" s="573"/>
      <c r="V74" s="574"/>
      <c r="W74" s="574"/>
      <c r="X74" s="475" t="e">
        <f t="shared" si="38"/>
        <v>#N/A</v>
      </c>
      <c r="Y74" s="681"/>
      <c r="Z74" s="573"/>
      <c r="AA74" s="574"/>
      <c r="AB74" s="574"/>
      <c r="AC74" s="475" t="e">
        <f t="shared" si="39"/>
        <v>#N/A</v>
      </c>
      <c r="AD74" s="681"/>
      <c r="AE74" s="573"/>
      <c r="AF74" s="574"/>
      <c r="AG74" s="574"/>
      <c r="AH74" s="475" t="e">
        <f t="shared" si="40"/>
        <v>#N/A</v>
      </c>
      <c r="AI74" s="681"/>
      <c r="AJ74" s="573"/>
      <c r="AK74" s="574"/>
      <c r="AL74" s="574"/>
      <c r="AM74" s="475" t="e">
        <f t="shared" si="41"/>
        <v>#N/A</v>
      </c>
      <c r="AN74" s="681"/>
      <c r="AO74" s="573"/>
      <c r="AP74" s="574"/>
      <c r="AQ74" s="574"/>
      <c r="AR74" s="475" t="e">
        <f t="shared" si="42"/>
        <v>#N/A</v>
      </c>
      <c r="AS74" s="681"/>
      <c r="AT74" s="573"/>
      <c r="AU74" s="574"/>
      <c r="AV74" s="574"/>
      <c r="AW74" s="475" t="e">
        <f t="shared" si="43"/>
        <v>#N/A</v>
      </c>
      <c r="AX74" s="681"/>
    </row>
    <row r="75" spans="2:50">
      <c r="B75" s="667"/>
      <c r="C75" s="309">
        <v>9</v>
      </c>
      <c r="D75" s="569"/>
      <c r="E75" s="569"/>
      <c r="F75" s="569"/>
      <c r="G75" s="182"/>
      <c r="H75" s="709"/>
      <c r="I75" s="563"/>
      <c r="J75" s="563"/>
      <c r="K75" s="200"/>
      <c r="L75" s="641"/>
      <c r="M75" s="201" t="e">
        <f>RANK(K75, K$81:$K$87)</f>
        <v>#DIV/0!</v>
      </c>
      <c r="N75" s="659"/>
      <c r="O75" s="659"/>
      <c r="P75" s="573"/>
      <c r="Q75" s="574"/>
      <c r="R75" s="574"/>
      <c r="S75" s="339" t="e">
        <f t="shared" si="37"/>
        <v>#N/A</v>
      </c>
      <c r="T75" s="681"/>
      <c r="U75" s="573"/>
      <c r="V75" s="574"/>
      <c r="W75" s="574"/>
      <c r="X75" s="475" t="e">
        <f t="shared" si="38"/>
        <v>#N/A</v>
      </c>
      <c r="Y75" s="681"/>
      <c r="Z75" s="573"/>
      <c r="AA75" s="574"/>
      <c r="AB75" s="574"/>
      <c r="AC75" s="475" t="e">
        <f t="shared" si="39"/>
        <v>#N/A</v>
      </c>
      <c r="AD75" s="681"/>
      <c r="AE75" s="573"/>
      <c r="AF75" s="574"/>
      <c r="AG75" s="574"/>
      <c r="AH75" s="475" t="e">
        <f t="shared" si="40"/>
        <v>#N/A</v>
      </c>
      <c r="AI75" s="681"/>
      <c r="AJ75" s="573"/>
      <c r="AK75" s="574"/>
      <c r="AL75" s="574"/>
      <c r="AM75" s="475" t="e">
        <f t="shared" si="41"/>
        <v>#N/A</v>
      </c>
      <c r="AN75" s="681"/>
      <c r="AO75" s="573"/>
      <c r="AP75" s="574"/>
      <c r="AQ75" s="574"/>
      <c r="AR75" s="475" t="e">
        <f t="shared" si="42"/>
        <v>#N/A</v>
      </c>
      <c r="AS75" s="681"/>
      <c r="AT75" s="573"/>
      <c r="AU75" s="574"/>
      <c r="AV75" s="574"/>
      <c r="AW75" s="475" t="e">
        <f t="shared" si="43"/>
        <v>#N/A</v>
      </c>
      <c r="AX75" s="681"/>
    </row>
    <row r="76" spans="2:50">
      <c r="B76" s="667"/>
      <c r="C76" s="309">
        <v>10</v>
      </c>
      <c r="D76" s="569"/>
      <c r="E76" s="569"/>
      <c r="F76" s="569"/>
      <c r="G76" s="182"/>
      <c r="H76" s="709"/>
      <c r="I76" s="563"/>
      <c r="J76" s="563"/>
      <c r="K76" s="200"/>
      <c r="L76" s="641"/>
      <c r="M76" s="201" t="e">
        <f>RANK(K76, K$81:$K$87)</f>
        <v>#DIV/0!</v>
      </c>
      <c r="N76" s="659"/>
      <c r="O76" s="659"/>
      <c r="P76" s="573"/>
      <c r="Q76" s="574"/>
      <c r="R76" s="574"/>
      <c r="S76" s="339" t="e">
        <f t="shared" si="37"/>
        <v>#N/A</v>
      </c>
      <c r="T76" s="681"/>
      <c r="U76" s="573"/>
      <c r="V76" s="574"/>
      <c r="W76" s="574"/>
      <c r="X76" s="475" t="e">
        <f t="shared" si="38"/>
        <v>#N/A</v>
      </c>
      <c r="Y76" s="681"/>
      <c r="Z76" s="573"/>
      <c r="AA76" s="574"/>
      <c r="AB76" s="574"/>
      <c r="AC76" s="475" t="e">
        <f t="shared" si="39"/>
        <v>#N/A</v>
      </c>
      <c r="AD76" s="681"/>
      <c r="AE76" s="573"/>
      <c r="AF76" s="574"/>
      <c r="AG76" s="574"/>
      <c r="AH76" s="475" t="e">
        <f t="shared" si="40"/>
        <v>#N/A</v>
      </c>
      <c r="AI76" s="681"/>
      <c r="AJ76" s="573"/>
      <c r="AK76" s="574"/>
      <c r="AL76" s="574"/>
      <c r="AM76" s="475" t="e">
        <f t="shared" si="41"/>
        <v>#N/A</v>
      </c>
      <c r="AN76" s="681"/>
      <c r="AO76" s="573"/>
      <c r="AP76" s="574"/>
      <c r="AQ76" s="574"/>
      <c r="AR76" s="475" t="e">
        <f t="shared" si="42"/>
        <v>#N/A</v>
      </c>
      <c r="AS76" s="681"/>
      <c r="AT76" s="573"/>
      <c r="AU76" s="574"/>
      <c r="AV76" s="574"/>
      <c r="AW76" s="475" t="e">
        <f t="shared" si="43"/>
        <v>#N/A</v>
      </c>
      <c r="AX76" s="681"/>
    </row>
    <row r="77" spans="2:50">
      <c r="B77" s="667"/>
      <c r="C77" s="309">
        <v>11</v>
      </c>
      <c r="D77" s="569"/>
      <c r="E77" s="569"/>
      <c r="F77" s="569"/>
      <c r="G77" s="182"/>
      <c r="H77" s="709"/>
      <c r="I77" s="202"/>
      <c r="J77" s="202"/>
      <c r="K77" s="202"/>
      <c r="L77" s="641"/>
      <c r="M77" s="201" t="e">
        <f>RANK(K77, K$81:$K$87)</f>
        <v>#DIV/0!</v>
      </c>
      <c r="N77" s="659"/>
      <c r="O77" s="659"/>
      <c r="P77" s="573"/>
      <c r="Q77" s="574"/>
      <c r="R77" s="574"/>
      <c r="S77" s="339" t="e">
        <f t="shared" si="37"/>
        <v>#N/A</v>
      </c>
      <c r="T77" s="681"/>
      <c r="U77" s="573"/>
      <c r="V77" s="574"/>
      <c r="W77" s="574"/>
      <c r="X77" s="475" t="e">
        <f t="shared" si="38"/>
        <v>#N/A</v>
      </c>
      <c r="Y77" s="681"/>
      <c r="Z77" s="573"/>
      <c r="AA77" s="574"/>
      <c r="AB77" s="574"/>
      <c r="AC77" s="475" t="e">
        <f t="shared" si="39"/>
        <v>#N/A</v>
      </c>
      <c r="AD77" s="681"/>
      <c r="AE77" s="573"/>
      <c r="AF77" s="574"/>
      <c r="AG77" s="574"/>
      <c r="AH77" s="475" t="e">
        <f t="shared" si="40"/>
        <v>#N/A</v>
      </c>
      <c r="AI77" s="681"/>
      <c r="AJ77" s="573"/>
      <c r="AK77" s="574"/>
      <c r="AL77" s="574"/>
      <c r="AM77" s="475" t="e">
        <f t="shared" si="41"/>
        <v>#N/A</v>
      </c>
      <c r="AN77" s="681"/>
      <c r="AO77" s="573"/>
      <c r="AP77" s="574"/>
      <c r="AQ77" s="574"/>
      <c r="AR77" s="475" t="e">
        <f t="shared" si="42"/>
        <v>#N/A</v>
      </c>
      <c r="AS77" s="681"/>
      <c r="AT77" s="573"/>
      <c r="AU77" s="574"/>
      <c r="AV77" s="574"/>
      <c r="AW77" s="475" t="e">
        <f t="shared" si="43"/>
        <v>#N/A</v>
      </c>
      <c r="AX77" s="681"/>
    </row>
    <row r="78" spans="2:50">
      <c r="B78" s="667"/>
      <c r="C78" s="309">
        <v>12</v>
      </c>
      <c r="D78" s="569"/>
      <c r="E78" s="569"/>
      <c r="F78" s="569"/>
      <c r="G78" s="182"/>
      <c r="H78" s="709"/>
      <c r="I78" s="202"/>
      <c r="J78" s="202"/>
      <c r="K78" s="202"/>
      <c r="L78" s="641"/>
      <c r="M78" s="201" t="e">
        <f>RANK(K78, K$81:$K$87)</f>
        <v>#DIV/0!</v>
      </c>
      <c r="N78" s="659"/>
      <c r="O78" s="659"/>
      <c r="P78" s="573"/>
      <c r="Q78" s="574"/>
      <c r="R78" s="574"/>
      <c r="S78" s="339" t="e">
        <f t="shared" si="37"/>
        <v>#N/A</v>
      </c>
      <c r="T78" s="681"/>
      <c r="U78" s="573"/>
      <c r="V78" s="574"/>
      <c r="W78" s="574"/>
      <c r="X78" s="475" t="e">
        <f t="shared" si="38"/>
        <v>#N/A</v>
      </c>
      <c r="Y78" s="681"/>
      <c r="Z78" s="573"/>
      <c r="AA78" s="574"/>
      <c r="AB78" s="574"/>
      <c r="AC78" s="475" t="e">
        <f t="shared" si="39"/>
        <v>#N/A</v>
      </c>
      <c r="AD78" s="681"/>
      <c r="AE78" s="573"/>
      <c r="AF78" s="574"/>
      <c r="AG78" s="574"/>
      <c r="AH78" s="475" t="e">
        <f t="shared" si="40"/>
        <v>#N/A</v>
      </c>
      <c r="AI78" s="681"/>
      <c r="AJ78" s="573"/>
      <c r="AK78" s="574"/>
      <c r="AL78" s="574"/>
      <c r="AM78" s="475" t="e">
        <f t="shared" si="41"/>
        <v>#N/A</v>
      </c>
      <c r="AN78" s="681"/>
      <c r="AO78" s="573"/>
      <c r="AP78" s="574"/>
      <c r="AQ78" s="574"/>
      <c r="AR78" s="475" t="e">
        <f t="shared" si="42"/>
        <v>#N/A</v>
      </c>
      <c r="AS78" s="681"/>
      <c r="AT78" s="573"/>
      <c r="AU78" s="574"/>
      <c r="AV78" s="574"/>
      <c r="AW78" s="475" t="e">
        <f t="shared" si="43"/>
        <v>#N/A</v>
      </c>
      <c r="AX78" s="681"/>
    </row>
    <row r="79" spans="2:50">
      <c r="B79" s="667"/>
      <c r="C79" s="309">
        <v>13</v>
      </c>
      <c r="D79" s="569"/>
      <c r="E79" s="569"/>
      <c r="F79" s="569"/>
      <c r="G79" s="182"/>
      <c r="H79" s="709"/>
      <c r="I79" s="202"/>
      <c r="J79" s="202"/>
      <c r="K79" s="202"/>
      <c r="L79" s="641"/>
      <c r="M79" s="201" t="e">
        <f>RANK(K79, K$81:$K$87)</f>
        <v>#DIV/0!</v>
      </c>
      <c r="N79" s="659"/>
      <c r="O79" s="659"/>
      <c r="P79" s="573"/>
      <c r="Q79" s="574"/>
      <c r="R79" s="574"/>
      <c r="S79" s="339" t="e">
        <f t="shared" si="37"/>
        <v>#N/A</v>
      </c>
      <c r="T79" s="681"/>
      <c r="U79" s="573"/>
      <c r="V79" s="574"/>
      <c r="W79" s="574"/>
      <c r="X79" s="475" t="e">
        <f t="shared" si="38"/>
        <v>#N/A</v>
      </c>
      <c r="Y79" s="681"/>
      <c r="Z79" s="573"/>
      <c r="AA79" s="574"/>
      <c r="AB79" s="574"/>
      <c r="AC79" s="475" t="e">
        <f t="shared" si="39"/>
        <v>#N/A</v>
      </c>
      <c r="AD79" s="681"/>
      <c r="AE79" s="573"/>
      <c r="AF79" s="574"/>
      <c r="AG79" s="574"/>
      <c r="AH79" s="475" t="e">
        <f t="shared" si="40"/>
        <v>#N/A</v>
      </c>
      <c r="AI79" s="681"/>
      <c r="AJ79" s="573"/>
      <c r="AK79" s="574"/>
      <c r="AL79" s="574"/>
      <c r="AM79" s="475" t="e">
        <f t="shared" si="41"/>
        <v>#N/A</v>
      </c>
      <c r="AN79" s="681"/>
      <c r="AO79" s="573"/>
      <c r="AP79" s="574"/>
      <c r="AQ79" s="574"/>
      <c r="AR79" s="475" t="e">
        <f t="shared" si="42"/>
        <v>#N/A</v>
      </c>
      <c r="AS79" s="681"/>
      <c r="AT79" s="573"/>
      <c r="AU79" s="574"/>
      <c r="AV79" s="574"/>
      <c r="AW79" s="475" t="e">
        <f t="shared" si="43"/>
        <v>#N/A</v>
      </c>
      <c r="AX79" s="681"/>
    </row>
    <row r="80" spans="2:50">
      <c r="B80" s="667"/>
      <c r="C80" s="309">
        <v>14</v>
      </c>
      <c r="D80" s="569"/>
      <c r="E80" s="569"/>
      <c r="F80" s="569"/>
      <c r="G80" s="182"/>
      <c r="H80" s="709"/>
      <c r="I80" s="202"/>
      <c r="J80" s="202"/>
      <c r="K80" s="202"/>
      <c r="L80" s="641"/>
      <c r="M80" s="201" t="e">
        <f>RANK(K80, K$81:$K$87)</f>
        <v>#DIV/0!</v>
      </c>
      <c r="N80" s="659"/>
      <c r="O80" s="659"/>
      <c r="P80" s="573"/>
      <c r="Q80" s="574"/>
      <c r="R80" s="574"/>
      <c r="S80" s="339" t="e">
        <f t="shared" si="37"/>
        <v>#N/A</v>
      </c>
      <c r="T80" s="681"/>
      <c r="U80" s="573"/>
      <c r="V80" s="574"/>
      <c r="W80" s="574"/>
      <c r="X80" s="475" t="e">
        <f t="shared" si="38"/>
        <v>#N/A</v>
      </c>
      <c r="Y80" s="681"/>
      <c r="Z80" s="573"/>
      <c r="AA80" s="574"/>
      <c r="AB80" s="574"/>
      <c r="AC80" s="475" t="e">
        <f t="shared" si="39"/>
        <v>#N/A</v>
      </c>
      <c r="AD80" s="681"/>
      <c r="AE80" s="573"/>
      <c r="AF80" s="574"/>
      <c r="AG80" s="574"/>
      <c r="AH80" s="475" t="e">
        <f t="shared" si="40"/>
        <v>#N/A</v>
      </c>
      <c r="AI80" s="681"/>
      <c r="AJ80" s="573"/>
      <c r="AK80" s="574"/>
      <c r="AL80" s="574"/>
      <c r="AM80" s="475" t="e">
        <f t="shared" si="41"/>
        <v>#N/A</v>
      </c>
      <c r="AN80" s="681"/>
      <c r="AO80" s="573"/>
      <c r="AP80" s="574"/>
      <c r="AQ80" s="574"/>
      <c r="AR80" s="475" t="e">
        <f t="shared" si="42"/>
        <v>#N/A</v>
      </c>
      <c r="AS80" s="681"/>
      <c r="AT80" s="573"/>
      <c r="AU80" s="574"/>
      <c r="AV80" s="574"/>
      <c r="AW80" s="475" t="e">
        <f t="shared" si="43"/>
        <v>#N/A</v>
      </c>
      <c r="AX80" s="681"/>
    </row>
    <row r="81" spans="2:50">
      <c r="B81" s="667"/>
      <c r="C81" s="309">
        <v>15</v>
      </c>
      <c r="D81" s="569"/>
      <c r="E81" s="569"/>
      <c r="F81" s="569"/>
      <c r="G81" s="569"/>
      <c r="H81" s="710"/>
      <c r="I81" s="202"/>
      <c r="J81" s="202"/>
      <c r="K81" s="202"/>
      <c r="L81" s="642"/>
      <c r="M81" s="201" t="e">
        <f>RANK(K81, K$81:$K$87)</f>
        <v>#DIV/0!</v>
      </c>
      <c r="N81" s="659"/>
      <c r="O81" s="659"/>
      <c r="P81" s="573"/>
      <c r="Q81" s="574"/>
      <c r="R81" s="574"/>
      <c r="S81" s="339" t="e">
        <f t="shared" si="37"/>
        <v>#N/A</v>
      </c>
      <c r="T81" s="681"/>
      <c r="U81" s="573"/>
      <c r="V81" s="574"/>
      <c r="W81" s="574"/>
      <c r="X81" s="475" t="e">
        <f t="shared" si="38"/>
        <v>#N/A</v>
      </c>
      <c r="Y81" s="681"/>
      <c r="Z81" s="573"/>
      <c r="AA81" s="574"/>
      <c r="AB81" s="574"/>
      <c r="AC81" s="475" t="e">
        <f t="shared" si="39"/>
        <v>#N/A</v>
      </c>
      <c r="AD81" s="681"/>
      <c r="AE81" s="573"/>
      <c r="AF81" s="574"/>
      <c r="AG81" s="574"/>
      <c r="AH81" s="475" t="e">
        <f t="shared" si="40"/>
        <v>#N/A</v>
      </c>
      <c r="AI81" s="681"/>
      <c r="AJ81" s="573"/>
      <c r="AK81" s="574"/>
      <c r="AL81" s="574"/>
      <c r="AM81" s="475" t="e">
        <f t="shared" si="41"/>
        <v>#N/A</v>
      </c>
      <c r="AN81" s="681"/>
      <c r="AO81" s="573"/>
      <c r="AP81" s="574"/>
      <c r="AQ81" s="574"/>
      <c r="AR81" s="475" t="e">
        <f t="shared" si="42"/>
        <v>#N/A</v>
      </c>
      <c r="AS81" s="681"/>
      <c r="AT81" s="573"/>
      <c r="AU81" s="574"/>
      <c r="AV81" s="574"/>
      <c r="AW81" s="475" t="e">
        <f t="shared" si="43"/>
        <v>#N/A</v>
      </c>
      <c r="AX81" s="681"/>
    </row>
    <row r="82" spans="2:50" ht="15.75">
      <c r="B82" s="671" t="s">
        <v>163</v>
      </c>
      <c r="C82" s="672"/>
      <c r="D82" s="672"/>
      <c r="E82" s="672"/>
      <c r="F82" s="672"/>
      <c r="G82" s="672"/>
      <c r="H82" s="673"/>
      <c r="I82" s="208"/>
      <c r="J82" s="208"/>
      <c r="K82" s="208"/>
      <c r="L82" s="208"/>
      <c r="M82" s="207"/>
      <c r="N82" s="660" t="s">
        <v>156</v>
      </c>
      <c r="O82" s="660" t="s">
        <v>105</v>
      </c>
      <c r="P82" s="666">
        <f>P62+7</f>
        <v>46112</v>
      </c>
      <c r="Q82" s="667"/>
      <c r="R82" s="667"/>
      <c r="S82" s="667"/>
      <c r="T82" s="667"/>
      <c r="U82" s="663">
        <f>P82+1</f>
        <v>46113</v>
      </c>
      <c r="V82" s="664"/>
      <c r="W82" s="664"/>
      <c r="X82" s="664"/>
      <c r="Y82" s="665"/>
      <c r="Z82" s="663">
        <f>U82+1</f>
        <v>46114</v>
      </c>
      <c r="AA82" s="664"/>
      <c r="AB82" s="664"/>
      <c r="AC82" s="664"/>
      <c r="AD82" s="665"/>
      <c r="AE82" s="663">
        <f>Z82+1</f>
        <v>46115</v>
      </c>
      <c r="AF82" s="664"/>
      <c r="AG82" s="664"/>
      <c r="AH82" s="664"/>
      <c r="AI82" s="665"/>
      <c r="AJ82" s="663">
        <f>AE82+1</f>
        <v>46116</v>
      </c>
      <c r="AK82" s="664"/>
      <c r="AL82" s="664"/>
      <c r="AM82" s="664"/>
      <c r="AN82" s="665"/>
      <c r="AO82" s="663">
        <f>AJ82+1</f>
        <v>46117</v>
      </c>
      <c r="AP82" s="664"/>
      <c r="AQ82" s="664"/>
      <c r="AR82" s="664"/>
      <c r="AS82" s="665"/>
      <c r="AT82" s="663">
        <f>AO82+1</f>
        <v>46118</v>
      </c>
      <c r="AU82" s="664"/>
      <c r="AV82" s="664"/>
      <c r="AW82" s="664"/>
      <c r="AX82" s="665"/>
    </row>
    <row r="83" spans="2:50" ht="15.75">
      <c r="B83" s="674"/>
      <c r="C83" s="674"/>
      <c r="D83" s="674"/>
      <c r="E83" s="674"/>
      <c r="F83" s="674"/>
      <c r="G83" s="674"/>
      <c r="H83" s="674"/>
      <c r="I83" s="205"/>
      <c r="J83" s="205"/>
      <c r="K83" s="205"/>
      <c r="L83" s="205"/>
      <c r="M83" s="206"/>
      <c r="N83" s="662"/>
      <c r="O83" s="662"/>
      <c r="P83" s="666" t="s">
        <v>336</v>
      </c>
      <c r="Q83" s="667"/>
      <c r="R83" s="667"/>
      <c r="S83" s="667"/>
      <c r="T83" s="667"/>
      <c r="U83" s="666" t="s">
        <v>337</v>
      </c>
      <c r="V83" s="667"/>
      <c r="W83" s="667"/>
      <c r="X83" s="667"/>
      <c r="Y83" s="667"/>
      <c r="Z83" s="666" t="s">
        <v>338</v>
      </c>
      <c r="AA83" s="667"/>
      <c r="AB83" s="667"/>
      <c r="AC83" s="667"/>
      <c r="AD83" s="667"/>
      <c r="AE83" s="666" t="s">
        <v>339</v>
      </c>
      <c r="AF83" s="667"/>
      <c r="AG83" s="667"/>
      <c r="AH83" s="667"/>
      <c r="AI83" s="667"/>
      <c r="AJ83" s="666" t="s">
        <v>340</v>
      </c>
      <c r="AK83" s="667"/>
      <c r="AL83" s="667"/>
      <c r="AM83" s="667"/>
      <c r="AN83" s="667"/>
      <c r="AO83" s="666" t="s">
        <v>341</v>
      </c>
      <c r="AP83" s="667"/>
      <c r="AQ83" s="667"/>
      <c r="AR83" s="667"/>
      <c r="AS83" s="667"/>
      <c r="AT83" s="666" t="s">
        <v>342</v>
      </c>
      <c r="AU83" s="667"/>
      <c r="AV83" s="667"/>
      <c r="AW83" s="667"/>
      <c r="AX83" s="667"/>
    </row>
    <row r="84" spans="2:50">
      <c r="B84" s="659" t="s">
        <v>460</v>
      </c>
      <c r="C84" s="659" t="s">
        <v>461</v>
      </c>
      <c r="D84" s="659"/>
      <c r="E84" s="659" t="s">
        <v>462</v>
      </c>
      <c r="F84" s="659"/>
      <c r="G84" s="659"/>
      <c r="H84" s="675" t="s">
        <v>463</v>
      </c>
      <c r="I84" s="643" t="s">
        <v>464</v>
      </c>
      <c r="J84" s="643"/>
      <c r="K84" s="643"/>
      <c r="L84" s="644" t="s">
        <v>463</v>
      </c>
      <c r="M84" s="650" t="s">
        <v>465</v>
      </c>
      <c r="N84" s="659"/>
      <c r="O84" s="659" t="s">
        <v>466</v>
      </c>
      <c r="P84" s="656" t="s">
        <v>467</v>
      </c>
      <c r="Q84" s="657"/>
      <c r="R84" s="657"/>
      <c r="S84" s="658"/>
      <c r="T84" s="659" t="s">
        <v>463</v>
      </c>
      <c r="U84" s="656" t="s">
        <v>467</v>
      </c>
      <c r="V84" s="657"/>
      <c r="W84" s="657"/>
      <c r="X84" s="658"/>
      <c r="Y84" s="659" t="s">
        <v>463</v>
      </c>
      <c r="Z84" s="656" t="s">
        <v>467</v>
      </c>
      <c r="AA84" s="657"/>
      <c r="AB84" s="657"/>
      <c r="AC84" s="658"/>
      <c r="AD84" s="659" t="s">
        <v>463</v>
      </c>
      <c r="AE84" s="656" t="s">
        <v>467</v>
      </c>
      <c r="AF84" s="657"/>
      <c r="AG84" s="657"/>
      <c r="AH84" s="658"/>
      <c r="AI84" s="659" t="s">
        <v>463</v>
      </c>
      <c r="AJ84" s="656" t="s">
        <v>467</v>
      </c>
      <c r="AK84" s="657"/>
      <c r="AL84" s="657"/>
      <c r="AM84" s="658"/>
      <c r="AN84" s="659" t="s">
        <v>463</v>
      </c>
      <c r="AO84" s="656" t="s">
        <v>467</v>
      </c>
      <c r="AP84" s="657"/>
      <c r="AQ84" s="657"/>
      <c r="AR84" s="658"/>
      <c r="AS84" s="659" t="s">
        <v>463</v>
      </c>
      <c r="AT84" s="656" t="s">
        <v>467</v>
      </c>
      <c r="AU84" s="657"/>
      <c r="AV84" s="657"/>
      <c r="AW84" s="658"/>
      <c r="AX84" s="659" t="s">
        <v>463</v>
      </c>
    </row>
    <row r="85" spans="2:50">
      <c r="B85" s="659"/>
      <c r="C85" s="659"/>
      <c r="D85" s="659"/>
      <c r="E85" s="659" t="s">
        <v>468</v>
      </c>
      <c r="F85" s="659"/>
      <c r="G85" s="659"/>
      <c r="H85" s="676"/>
      <c r="I85" s="643" t="s">
        <v>468</v>
      </c>
      <c r="J85" s="643"/>
      <c r="K85" s="643"/>
      <c r="L85" s="645"/>
      <c r="M85" s="651"/>
      <c r="N85" s="659"/>
      <c r="O85" s="659"/>
      <c r="P85" s="656" t="s">
        <v>469</v>
      </c>
      <c r="Q85" s="657"/>
      <c r="R85" s="657"/>
      <c r="S85" s="658"/>
      <c r="T85" s="659"/>
      <c r="U85" s="656" t="s">
        <v>469</v>
      </c>
      <c r="V85" s="657"/>
      <c r="W85" s="657"/>
      <c r="X85" s="658"/>
      <c r="Y85" s="659"/>
      <c r="Z85" s="656" t="s">
        <v>469</v>
      </c>
      <c r="AA85" s="657"/>
      <c r="AB85" s="657"/>
      <c r="AC85" s="658"/>
      <c r="AD85" s="659"/>
      <c r="AE85" s="656" t="s">
        <v>469</v>
      </c>
      <c r="AF85" s="657"/>
      <c r="AG85" s="657"/>
      <c r="AH85" s="658"/>
      <c r="AI85" s="659"/>
      <c r="AJ85" s="656" t="s">
        <v>469</v>
      </c>
      <c r="AK85" s="657"/>
      <c r="AL85" s="657"/>
      <c r="AM85" s="658"/>
      <c r="AN85" s="659"/>
      <c r="AO85" s="656" t="s">
        <v>469</v>
      </c>
      <c r="AP85" s="657"/>
      <c r="AQ85" s="657"/>
      <c r="AR85" s="658"/>
      <c r="AS85" s="659"/>
      <c r="AT85" s="656" t="s">
        <v>469</v>
      </c>
      <c r="AU85" s="657"/>
      <c r="AV85" s="657"/>
      <c r="AW85" s="658"/>
      <c r="AX85" s="659"/>
    </row>
    <row r="86" spans="2:50">
      <c r="B86" s="659"/>
      <c r="C86" s="659"/>
      <c r="D86" s="659"/>
      <c r="E86" s="302" t="s">
        <v>470</v>
      </c>
      <c r="F86" s="302" t="s">
        <v>471</v>
      </c>
      <c r="G86" s="302" t="s">
        <v>472</v>
      </c>
      <c r="H86" s="677"/>
      <c r="I86" s="303" t="s">
        <v>470</v>
      </c>
      <c r="J86" s="303" t="s">
        <v>471</v>
      </c>
      <c r="K86" s="303" t="s">
        <v>472</v>
      </c>
      <c r="L86" s="646"/>
      <c r="M86" s="652"/>
      <c r="N86" s="659"/>
      <c r="O86" s="659"/>
      <c r="P86" s="302" t="s">
        <v>470</v>
      </c>
      <c r="Q86" s="302" t="s">
        <v>471</v>
      </c>
      <c r="R86" s="302" t="s">
        <v>472</v>
      </c>
      <c r="S86" s="302" t="s">
        <v>465</v>
      </c>
      <c r="T86" s="659"/>
      <c r="U86" s="302" t="s">
        <v>470</v>
      </c>
      <c r="V86" s="302" t="s">
        <v>471</v>
      </c>
      <c r="W86" s="302" t="s">
        <v>472</v>
      </c>
      <c r="X86" s="302" t="s">
        <v>465</v>
      </c>
      <c r="Y86" s="659"/>
      <c r="Z86" s="302" t="s">
        <v>470</v>
      </c>
      <c r="AA86" s="302" t="s">
        <v>471</v>
      </c>
      <c r="AB86" s="302" t="s">
        <v>472</v>
      </c>
      <c r="AC86" s="302" t="s">
        <v>465</v>
      </c>
      <c r="AD86" s="659"/>
      <c r="AE86" s="302" t="s">
        <v>470</v>
      </c>
      <c r="AF86" s="302" t="s">
        <v>471</v>
      </c>
      <c r="AG86" s="302" t="s">
        <v>472</v>
      </c>
      <c r="AH86" s="302" t="s">
        <v>465</v>
      </c>
      <c r="AI86" s="659"/>
      <c r="AJ86" s="302" t="s">
        <v>470</v>
      </c>
      <c r="AK86" s="302" t="s">
        <v>471</v>
      </c>
      <c r="AL86" s="302" t="s">
        <v>472</v>
      </c>
      <c r="AM86" s="302" t="s">
        <v>465</v>
      </c>
      <c r="AN86" s="659"/>
      <c r="AO86" s="302" t="s">
        <v>470</v>
      </c>
      <c r="AP86" s="302" t="s">
        <v>471</v>
      </c>
      <c r="AQ86" s="302" t="s">
        <v>472</v>
      </c>
      <c r="AR86" s="302" t="s">
        <v>465</v>
      </c>
      <c r="AS86" s="659"/>
      <c r="AT86" s="302" t="s">
        <v>470</v>
      </c>
      <c r="AU86" s="302" t="s">
        <v>471</v>
      </c>
      <c r="AV86" s="302" t="s">
        <v>472</v>
      </c>
      <c r="AW86" s="302" t="s">
        <v>465</v>
      </c>
      <c r="AX86" s="659"/>
    </row>
    <row r="87" spans="2:50">
      <c r="B87" s="707" t="s">
        <v>473</v>
      </c>
      <c r="C87" s="301">
        <v>1</v>
      </c>
      <c r="D87" s="541"/>
      <c r="E87" s="541"/>
      <c r="F87" s="541"/>
      <c r="G87" s="182"/>
      <c r="H87" s="708" t="e">
        <f>AVERAGE(G87:G101)</f>
        <v>#DIV/0!</v>
      </c>
      <c r="I87" s="563" t="e">
        <f>AVERAGE(P87,U87,Z87,AE87,AJ87,AO87,AT87)</f>
        <v>#DIV/0!</v>
      </c>
      <c r="J87" s="563" t="e">
        <f>AVERAGE(Q87,V87,AA87,AF87,AK87,AP87,AU87)</f>
        <v>#DIV/0!</v>
      </c>
      <c r="K87" s="200" t="e">
        <f>AVERAGE(R87,W87,AB87,AG87,AL87,AQ87,AV87)</f>
        <v>#DIV/0!</v>
      </c>
      <c r="L87" s="640" t="str">
        <f>IFERROR(AVERAGE(K87:K101),"-")</f>
        <v>-</v>
      </c>
      <c r="M87" s="201" t="e">
        <f>RANK(K87, K$87:$K$101)</f>
        <v>#DIV/0!</v>
      </c>
      <c r="N87" s="659"/>
      <c r="O87" s="659"/>
      <c r="P87" s="573"/>
      <c r="Q87" s="574"/>
      <c r="R87" s="574"/>
      <c r="S87" s="301" t="e">
        <f>RANK(R87, R$87:R$101)</f>
        <v>#N/A</v>
      </c>
      <c r="T87" s="681" t="e">
        <f>AVERAGE(R87:R101)</f>
        <v>#DIV/0!</v>
      </c>
      <c r="U87" s="573"/>
      <c r="V87" s="574"/>
      <c r="W87" s="574"/>
      <c r="X87" s="475" t="e">
        <f t="shared" ref="X87:X101" si="44">RANK(W87, W$87:W$101)</f>
        <v>#N/A</v>
      </c>
      <c r="Y87" s="681" t="e">
        <f t="shared" ref="Y87" si="45">AVERAGE(W87:W101)</f>
        <v>#DIV/0!</v>
      </c>
      <c r="Z87" s="573"/>
      <c r="AA87" s="574"/>
      <c r="AB87" s="574"/>
      <c r="AC87" s="475" t="e">
        <f t="shared" ref="AC87:AC101" si="46">RANK(AB87, AB$87:AB$101)</f>
        <v>#N/A</v>
      </c>
      <c r="AD87" s="681" t="e">
        <f t="shared" ref="AD87" si="47">AVERAGE(AB87:AB101)</f>
        <v>#DIV/0!</v>
      </c>
      <c r="AE87" s="573"/>
      <c r="AF87" s="574"/>
      <c r="AG87" s="574"/>
      <c r="AH87" s="475" t="e">
        <f t="shared" ref="AH87:AH101" si="48">RANK(AG87, AG$87:AG$101)</f>
        <v>#N/A</v>
      </c>
      <c r="AI87" s="681" t="e">
        <f t="shared" ref="AI87" si="49">AVERAGE(AG87:AG101)</f>
        <v>#DIV/0!</v>
      </c>
      <c r="AJ87" s="573"/>
      <c r="AK87" s="574"/>
      <c r="AL87" s="574"/>
      <c r="AM87" s="475" t="e">
        <f t="shared" ref="AM87:AM101" si="50">RANK(AL87, AL$87:AL$101)</f>
        <v>#N/A</v>
      </c>
      <c r="AN87" s="681" t="e">
        <f t="shared" ref="AN87" si="51">AVERAGE(AL87:AL101)</f>
        <v>#DIV/0!</v>
      </c>
      <c r="AO87" s="573"/>
      <c r="AP87" s="574"/>
      <c r="AQ87" s="574"/>
      <c r="AR87" s="475" t="e">
        <f t="shared" ref="AR87:AR101" si="52">RANK(AQ87, AQ$87:AQ$101)</f>
        <v>#N/A</v>
      </c>
      <c r="AS87" s="681" t="e">
        <f t="shared" ref="AS87" si="53">AVERAGE(AQ87:AQ101)</f>
        <v>#DIV/0!</v>
      </c>
      <c r="AT87" s="573"/>
      <c r="AU87" s="574"/>
      <c r="AV87" s="574"/>
      <c r="AW87" s="475" t="e">
        <f t="shared" ref="AW87:AW101" si="54">RANK(AV87, AV$87:AV$101)</f>
        <v>#N/A</v>
      </c>
      <c r="AX87" s="681" t="e">
        <f t="shared" ref="AX87" si="55">AVERAGE(AV87:AV101)</f>
        <v>#DIV/0!</v>
      </c>
    </row>
    <row r="88" spans="2:50">
      <c r="B88" s="667"/>
      <c r="C88" s="301">
        <v>2</v>
      </c>
      <c r="D88" s="541"/>
      <c r="E88" s="541"/>
      <c r="F88" s="541"/>
      <c r="G88" s="182"/>
      <c r="H88" s="709"/>
      <c r="I88" s="563" t="e">
        <f t="shared" ref="I88:I91" si="56">AVERAGE(P88,U88,Z88,AE88,AJ88,AO88,AT88)</f>
        <v>#DIV/0!</v>
      </c>
      <c r="J88" s="563" t="e">
        <f t="shared" ref="J88:J91" si="57">AVERAGE(Q88,V88,AA88,AF88,AK88,AP88,AU88)</f>
        <v>#DIV/0!</v>
      </c>
      <c r="K88" s="200" t="e">
        <f t="shared" ref="K88:K91" si="58">AVERAGE(R88,W88,AB88,AG88,AL88,AQ88,AV88)</f>
        <v>#DIV/0!</v>
      </c>
      <c r="L88" s="641"/>
      <c r="M88" s="201" t="e">
        <f>RANK(K88, K$87:$K$101)</f>
        <v>#DIV/0!</v>
      </c>
      <c r="N88" s="659"/>
      <c r="O88" s="659"/>
      <c r="P88" s="573"/>
      <c r="Q88" s="574"/>
      <c r="R88" s="574"/>
      <c r="S88" s="301" t="e">
        <f t="shared" ref="S88:S101" si="59">RANK(R88, R$87:R$101)</f>
        <v>#N/A</v>
      </c>
      <c r="T88" s="681"/>
      <c r="U88" s="573"/>
      <c r="V88" s="574"/>
      <c r="W88" s="574"/>
      <c r="X88" s="475" t="e">
        <f t="shared" si="44"/>
        <v>#N/A</v>
      </c>
      <c r="Y88" s="681"/>
      <c r="Z88" s="573"/>
      <c r="AA88" s="574"/>
      <c r="AB88" s="574"/>
      <c r="AC88" s="475" t="e">
        <f t="shared" si="46"/>
        <v>#N/A</v>
      </c>
      <c r="AD88" s="681"/>
      <c r="AE88" s="573"/>
      <c r="AF88" s="574"/>
      <c r="AG88" s="574"/>
      <c r="AH88" s="475" t="e">
        <f t="shared" si="48"/>
        <v>#N/A</v>
      </c>
      <c r="AI88" s="681"/>
      <c r="AJ88" s="573"/>
      <c r="AK88" s="574"/>
      <c r="AL88" s="574"/>
      <c r="AM88" s="475" t="e">
        <f t="shared" si="50"/>
        <v>#N/A</v>
      </c>
      <c r="AN88" s="681"/>
      <c r="AO88" s="573"/>
      <c r="AP88" s="574"/>
      <c r="AQ88" s="574"/>
      <c r="AR88" s="475" t="e">
        <f t="shared" si="52"/>
        <v>#N/A</v>
      </c>
      <c r="AS88" s="681"/>
      <c r="AT88" s="573"/>
      <c r="AU88" s="574"/>
      <c r="AV88" s="574"/>
      <c r="AW88" s="475" t="e">
        <f t="shared" si="54"/>
        <v>#N/A</v>
      </c>
      <c r="AX88" s="681"/>
    </row>
    <row r="89" spans="2:50">
      <c r="B89" s="667"/>
      <c r="C89" s="301">
        <v>3</v>
      </c>
      <c r="D89" s="541"/>
      <c r="E89" s="541"/>
      <c r="F89" s="541"/>
      <c r="G89" s="182"/>
      <c r="H89" s="709"/>
      <c r="I89" s="563" t="e">
        <f t="shared" si="56"/>
        <v>#DIV/0!</v>
      </c>
      <c r="J89" s="563" t="e">
        <f t="shared" si="57"/>
        <v>#DIV/0!</v>
      </c>
      <c r="K89" s="200" t="e">
        <f t="shared" si="58"/>
        <v>#DIV/0!</v>
      </c>
      <c r="L89" s="641"/>
      <c r="M89" s="201" t="e">
        <f>RANK(K89, K$87:$K$101)</f>
        <v>#DIV/0!</v>
      </c>
      <c r="N89" s="659"/>
      <c r="O89" s="659"/>
      <c r="P89" s="573"/>
      <c r="Q89" s="574"/>
      <c r="R89" s="574"/>
      <c r="S89" s="301" t="e">
        <f t="shared" si="59"/>
        <v>#N/A</v>
      </c>
      <c r="T89" s="681"/>
      <c r="U89" s="573"/>
      <c r="V89" s="574"/>
      <c r="W89" s="574"/>
      <c r="X89" s="475" t="e">
        <f t="shared" si="44"/>
        <v>#N/A</v>
      </c>
      <c r="Y89" s="681"/>
      <c r="Z89" s="573"/>
      <c r="AA89" s="574"/>
      <c r="AB89" s="574"/>
      <c r="AC89" s="475" t="e">
        <f t="shared" si="46"/>
        <v>#N/A</v>
      </c>
      <c r="AD89" s="681"/>
      <c r="AE89" s="573"/>
      <c r="AF89" s="574"/>
      <c r="AG89" s="574"/>
      <c r="AH89" s="475" t="e">
        <f t="shared" si="48"/>
        <v>#N/A</v>
      </c>
      <c r="AI89" s="681"/>
      <c r="AJ89" s="573"/>
      <c r="AK89" s="574"/>
      <c r="AL89" s="574"/>
      <c r="AM89" s="475" t="e">
        <f t="shared" si="50"/>
        <v>#N/A</v>
      </c>
      <c r="AN89" s="681"/>
      <c r="AO89" s="573"/>
      <c r="AP89" s="574"/>
      <c r="AQ89" s="574"/>
      <c r="AR89" s="475" t="e">
        <f t="shared" si="52"/>
        <v>#N/A</v>
      </c>
      <c r="AS89" s="681"/>
      <c r="AT89" s="573"/>
      <c r="AU89" s="574"/>
      <c r="AV89" s="574"/>
      <c r="AW89" s="475" t="e">
        <f t="shared" si="54"/>
        <v>#N/A</v>
      </c>
      <c r="AX89" s="681"/>
    </row>
    <row r="90" spans="2:50">
      <c r="B90" s="667"/>
      <c r="C90" s="301">
        <v>4</v>
      </c>
      <c r="D90" s="541"/>
      <c r="E90" s="541"/>
      <c r="F90" s="541"/>
      <c r="G90" s="182"/>
      <c r="H90" s="709"/>
      <c r="I90" s="563" t="e">
        <f t="shared" si="56"/>
        <v>#DIV/0!</v>
      </c>
      <c r="J90" s="563" t="e">
        <f t="shared" si="57"/>
        <v>#DIV/0!</v>
      </c>
      <c r="K90" s="200" t="e">
        <f t="shared" si="58"/>
        <v>#DIV/0!</v>
      </c>
      <c r="L90" s="641"/>
      <c r="M90" s="201" t="e">
        <f>RANK(K90, K$87:$K$101)</f>
        <v>#DIV/0!</v>
      </c>
      <c r="N90" s="659"/>
      <c r="O90" s="659"/>
      <c r="P90" s="573"/>
      <c r="Q90" s="574"/>
      <c r="R90" s="574"/>
      <c r="S90" s="301" t="e">
        <f t="shared" si="59"/>
        <v>#N/A</v>
      </c>
      <c r="T90" s="681"/>
      <c r="U90" s="573"/>
      <c r="V90" s="574"/>
      <c r="W90" s="574"/>
      <c r="X90" s="475" t="e">
        <f t="shared" si="44"/>
        <v>#N/A</v>
      </c>
      <c r="Y90" s="681"/>
      <c r="Z90" s="573"/>
      <c r="AA90" s="574"/>
      <c r="AB90" s="574"/>
      <c r="AC90" s="475" t="e">
        <f t="shared" si="46"/>
        <v>#N/A</v>
      </c>
      <c r="AD90" s="681"/>
      <c r="AE90" s="573"/>
      <c r="AF90" s="574"/>
      <c r="AG90" s="574"/>
      <c r="AH90" s="475" t="e">
        <f t="shared" si="48"/>
        <v>#N/A</v>
      </c>
      <c r="AI90" s="681"/>
      <c r="AJ90" s="573"/>
      <c r="AK90" s="574"/>
      <c r="AL90" s="574"/>
      <c r="AM90" s="475" t="e">
        <f t="shared" si="50"/>
        <v>#N/A</v>
      </c>
      <c r="AN90" s="681"/>
      <c r="AO90" s="573"/>
      <c r="AP90" s="574"/>
      <c r="AQ90" s="574"/>
      <c r="AR90" s="475" t="e">
        <f t="shared" si="52"/>
        <v>#N/A</v>
      </c>
      <c r="AS90" s="681"/>
      <c r="AT90" s="573"/>
      <c r="AU90" s="574"/>
      <c r="AV90" s="574"/>
      <c r="AW90" s="475" t="e">
        <f t="shared" si="54"/>
        <v>#N/A</v>
      </c>
      <c r="AX90" s="681"/>
    </row>
    <row r="91" spans="2:50">
      <c r="B91" s="667"/>
      <c r="C91" s="301">
        <v>5</v>
      </c>
      <c r="D91" s="541"/>
      <c r="E91" s="541"/>
      <c r="F91" s="541"/>
      <c r="G91" s="182"/>
      <c r="H91" s="709"/>
      <c r="I91" s="563" t="e">
        <f t="shared" si="56"/>
        <v>#DIV/0!</v>
      </c>
      <c r="J91" s="563" t="e">
        <f t="shared" si="57"/>
        <v>#DIV/0!</v>
      </c>
      <c r="K91" s="200" t="e">
        <f t="shared" si="58"/>
        <v>#DIV/0!</v>
      </c>
      <c r="L91" s="641"/>
      <c r="M91" s="201" t="e">
        <f>RANK(K91, K$87:$K$101)</f>
        <v>#DIV/0!</v>
      </c>
      <c r="N91" s="659"/>
      <c r="O91" s="659"/>
      <c r="P91" s="573"/>
      <c r="Q91" s="574"/>
      <c r="R91" s="574"/>
      <c r="S91" s="301" t="e">
        <f t="shared" si="59"/>
        <v>#N/A</v>
      </c>
      <c r="T91" s="681"/>
      <c r="U91" s="573"/>
      <c r="V91" s="574"/>
      <c r="W91" s="574"/>
      <c r="X91" s="475" t="e">
        <f t="shared" si="44"/>
        <v>#N/A</v>
      </c>
      <c r="Y91" s="681"/>
      <c r="Z91" s="573"/>
      <c r="AA91" s="574"/>
      <c r="AB91" s="574"/>
      <c r="AC91" s="475" t="e">
        <f t="shared" si="46"/>
        <v>#N/A</v>
      </c>
      <c r="AD91" s="681"/>
      <c r="AE91" s="573"/>
      <c r="AF91" s="574"/>
      <c r="AG91" s="574"/>
      <c r="AH91" s="475" t="e">
        <f t="shared" si="48"/>
        <v>#N/A</v>
      </c>
      <c r="AI91" s="681"/>
      <c r="AJ91" s="573"/>
      <c r="AK91" s="574"/>
      <c r="AL91" s="574"/>
      <c r="AM91" s="475" t="e">
        <f t="shared" si="50"/>
        <v>#N/A</v>
      </c>
      <c r="AN91" s="681"/>
      <c r="AO91" s="573"/>
      <c r="AP91" s="574"/>
      <c r="AQ91" s="574"/>
      <c r="AR91" s="475" t="e">
        <f t="shared" si="52"/>
        <v>#N/A</v>
      </c>
      <c r="AS91" s="681"/>
      <c r="AT91" s="573"/>
      <c r="AU91" s="574"/>
      <c r="AV91" s="574"/>
      <c r="AW91" s="475" t="e">
        <f t="shared" si="54"/>
        <v>#N/A</v>
      </c>
      <c r="AX91" s="681"/>
    </row>
    <row r="92" spans="2:50">
      <c r="B92" s="667"/>
      <c r="C92" s="301">
        <v>6</v>
      </c>
      <c r="D92" s="541"/>
      <c r="E92" s="541"/>
      <c r="F92" s="541"/>
      <c r="G92" s="182"/>
      <c r="H92" s="709"/>
      <c r="I92" s="563"/>
      <c r="J92" s="563"/>
      <c r="K92" s="200"/>
      <c r="L92" s="641"/>
      <c r="M92" s="201" t="e">
        <f>RANK(K92, K$87:$K$101)</f>
        <v>#DIV/0!</v>
      </c>
      <c r="N92" s="659"/>
      <c r="O92" s="659"/>
      <c r="P92" s="573"/>
      <c r="Q92" s="574"/>
      <c r="R92" s="574"/>
      <c r="S92" s="301" t="e">
        <f t="shared" si="59"/>
        <v>#N/A</v>
      </c>
      <c r="T92" s="681"/>
      <c r="U92" s="573"/>
      <c r="V92" s="574"/>
      <c r="W92" s="574"/>
      <c r="X92" s="475" t="e">
        <f t="shared" si="44"/>
        <v>#N/A</v>
      </c>
      <c r="Y92" s="681"/>
      <c r="Z92" s="573"/>
      <c r="AA92" s="574"/>
      <c r="AB92" s="574"/>
      <c r="AC92" s="475" t="e">
        <f t="shared" si="46"/>
        <v>#N/A</v>
      </c>
      <c r="AD92" s="681"/>
      <c r="AE92" s="573"/>
      <c r="AF92" s="574"/>
      <c r="AG92" s="574"/>
      <c r="AH92" s="475" t="e">
        <f t="shared" si="48"/>
        <v>#N/A</v>
      </c>
      <c r="AI92" s="681"/>
      <c r="AJ92" s="573"/>
      <c r="AK92" s="574"/>
      <c r="AL92" s="574"/>
      <c r="AM92" s="475" t="e">
        <f t="shared" si="50"/>
        <v>#N/A</v>
      </c>
      <c r="AN92" s="681"/>
      <c r="AO92" s="573"/>
      <c r="AP92" s="574"/>
      <c r="AQ92" s="574"/>
      <c r="AR92" s="475" t="e">
        <f t="shared" si="52"/>
        <v>#N/A</v>
      </c>
      <c r="AS92" s="681"/>
      <c r="AT92" s="573"/>
      <c r="AU92" s="574"/>
      <c r="AV92" s="574"/>
      <c r="AW92" s="475" t="e">
        <f t="shared" si="54"/>
        <v>#N/A</v>
      </c>
      <c r="AX92" s="681"/>
    </row>
    <row r="93" spans="2:50">
      <c r="B93" s="667"/>
      <c r="C93" s="301">
        <v>7</v>
      </c>
      <c r="D93" s="504"/>
      <c r="E93" s="504"/>
      <c r="F93" s="504"/>
      <c r="G93" s="182"/>
      <c r="H93" s="709"/>
      <c r="I93" s="563"/>
      <c r="J93" s="563"/>
      <c r="K93" s="200"/>
      <c r="L93" s="641"/>
      <c r="M93" s="201" t="e">
        <f>RANK(K93, K$87:$K$101)</f>
        <v>#DIV/0!</v>
      </c>
      <c r="N93" s="659"/>
      <c r="O93" s="659"/>
      <c r="P93" s="573"/>
      <c r="Q93" s="574"/>
      <c r="R93" s="574"/>
      <c r="S93" s="301" t="e">
        <f t="shared" si="59"/>
        <v>#N/A</v>
      </c>
      <c r="T93" s="681"/>
      <c r="U93" s="573"/>
      <c r="V93" s="574"/>
      <c r="W93" s="574"/>
      <c r="X93" s="475" t="e">
        <f t="shared" si="44"/>
        <v>#N/A</v>
      </c>
      <c r="Y93" s="681"/>
      <c r="Z93" s="573"/>
      <c r="AA93" s="574"/>
      <c r="AB93" s="574"/>
      <c r="AC93" s="475" t="e">
        <f t="shared" si="46"/>
        <v>#N/A</v>
      </c>
      <c r="AD93" s="681"/>
      <c r="AE93" s="573"/>
      <c r="AF93" s="574"/>
      <c r="AG93" s="574"/>
      <c r="AH93" s="475" t="e">
        <f t="shared" si="48"/>
        <v>#N/A</v>
      </c>
      <c r="AI93" s="681"/>
      <c r="AJ93" s="573"/>
      <c r="AK93" s="574"/>
      <c r="AL93" s="574"/>
      <c r="AM93" s="475" t="e">
        <f t="shared" si="50"/>
        <v>#N/A</v>
      </c>
      <c r="AN93" s="681"/>
      <c r="AO93" s="573"/>
      <c r="AP93" s="574"/>
      <c r="AQ93" s="574"/>
      <c r="AR93" s="475" t="e">
        <f t="shared" si="52"/>
        <v>#N/A</v>
      </c>
      <c r="AS93" s="681"/>
      <c r="AT93" s="573"/>
      <c r="AU93" s="574"/>
      <c r="AV93" s="574"/>
      <c r="AW93" s="475" t="e">
        <f t="shared" si="54"/>
        <v>#N/A</v>
      </c>
      <c r="AX93" s="681"/>
    </row>
    <row r="94" spans="2:50">
      <c r="B94" s="667"/>
      <c r="C94" s="301">
        <v>8</v>
      </c>
      <c r="D94" s="504"/>
      <c r="E94" s="504"/>
      <c r="F94" s="504"/>
      <c r="G94" s="182"/>
      <c r="H94" s="709"/>
      <c r="I94" s="563"/>
      <c r="J94" s="563"/>
      <c r="K94" s="200"/>
      <c r="L94" s="641"/>
      <c r="M94" s="201" t="e">
        <f>RANK(K94, K$87:$K$101)</f>
        <v>#DIV/0!</v>
      </c>
      <c r="N94" s="659"/>
      <c r="O94" s="659"/>
      <c r="P94" s="573"/>
      <c r="Q94" s="574"/>
      <c r="R94" s="574"/>
      <c r="S94" s="301" t="e">
        <f t="shared" si="59"/>
        <v>#N/A</v>
      </c>
      <c r="T94" s="681"/>
      <c r="U94" s="573"/>
      <c r="V94" s="574"/>
      <c r="W94" s="574"/>
      <c r="X94" s="475" t="e">
        <f t="shared" si="44"/>
        <v>#N/A</v>
      </c>
      <c r="Y94" s="681"/>
      <c r="Z94" s="573"/>
      <c r="AA94" s="574"/>
      <c r="AB94" s="574"/>
      <c r="AC94" s="475" t="e">
        <f t="shared" si="46"/>
        <v>#N/A</v>
      </c>
      <c r="AD94" s="681"/>
      <c r="AE94" s="573"/>
      <c r="AF94" s="574"/>
      <c r="AG94" s="574"/>
      <c r="AH94" s="475" t="e">
        <f t="shared" si="48"/>
        <v>#N/A</v>
      </c>
      <c r="AI94" s="681"/>
      <c r="AJ94" s="573"/>
      <c r="AK94" s="574"/>
      <c r="AL94" s="574"/>
      <c r="AM94" s="475" t="e">
        <f t="shared" si="50"/>
        <v>#N/A</v>
      </c>
      <c r="AN94" s="681"/>
      <c r="AO94" s="573"/>
      <c r="AP94" s="574"/>
      <c r="AQ94" s="574"/>
      <c r="AR94" s="475" t="e">
        <f t="shared" si="52"/>
        <v>#N/A</v>
      </c>
      <c r="AS94" s="681"/>
      <c r="AT94" s="573"/>
      <c r="AU94" s="574"/>
      <c r="AV94" s="574"/>
      <c r="AW94" s="475" t="e">
        <f t="shared" si="54"/>
        <v>#N/A</v>
      </c>
      <c r="AX94" s="681"/>
    </row>
    <row r="95" spans="2:50">
      <c r="B95" s="667"/>
      <c r="C95" s="301">
        <v>9</v>
      </c>
      <c r="D95" s="504"/>
      <c r="E95" s="504"/>
      <c r="F95" s="504"/>
      <c r="G95" s="182"/>
      <c r="H95" s="709"/>
      <c r="I95" s="563"/>
      <c r="J95" s="563"/>
      <c r="K95" s="200"/>
      <c r="L95" s="641"/>
      <c r="M95" s="201" t="e">
        <f>RANK(K95, K$87:$K$101)</f>
        <v>#DIV/0!</v>
      </c>
      <c r="N95" s="659"/>
      <c r="O95" s="659"/>
      <c r="P95" s="573"/>
      <c r="Q95" s="574"/>
      <c r="R95" s="574"/>
      <c r="S95" s="301" t="e">
        <f t="shared" si="59"/>
        <v>#N/A</v>
      </c>
      <c r="T95" s="681"/>
      <c r="U95" s="573"/>
      <c r="V95" s="574"/>
      <c r="W95" s="574"/>
      <c r="X95" s="475" t="e">
        <f t="shared" si="44"/>
        <v>#N/A</v>
      </c>
      <c r="Y95" s="681"/>
      <c r="Z95" s="573"/>
      <c r="AA95" s="574"/>
      <c r="AB95" s="574"/>
      <c r="AC95" s="475" t="e">
        <f t="shared" si="46"/>
        <v>#N/A</v>
      </c>
      <c r="AD95" s="681"/>
      <c r="AE95" s="573"/>
      <c r="AF95" s="574"/>
      <c r="AG95" s="574"/>
      <c r="AH95" s="475" t="e">
        <f t="shared" si="48"/>
        <v>#N/A</v>
      </c>
      <c r="AI95" s="681"/>
      <c r="AJ95" s="573"/>
      <c r="AK95" s="574"/>
      <c r="AL95" s="574"/>
      <c r="AM95" s="475" t="e">
        <f t="shared" si="50"/>
        <v>#N/A</v>
      </c>
      <c r="AN95" s="681"/>
      <c r="AO95" s="573"/>
      <c r="AP95" s="574"/>
      <c r="AQ95" s="574"/>
      <c r="AR95" s="475" t="e">
        <f t="shared" si="52"/>
        <v>#N/A</v>
      </c>
      <c r="AS95" s="681"/>
      <c r="AT95" s="573"/>
      <c r="AU95" s="574"/>
      <c r="AV95" s="574"/>
      <c r="AW95" s="475" t="e">
        <f t="shared" si="54"/>
        <v>#N/A</v>
      </c>
      <c r="AX95" s="681"/>
    </row>
    <row r="96" spans="2:50">
      <c r="B96" s="667"/>
      <c r="C96" s="301">
        <v>10</v>
      </c>
      <c r="D96" s="504"/>
      <c r="E96" s="504"/>
      <c r="F96" s="504"/>
      <c r="G96" s="182"/>
      <c r="H96" s="709"/>
      <c r="I96" s="563"/>
      <c r="J96" s="563"/>
      <c r="K96" s="200"/>
      <c r="L96" s="641"/>
      <c r="M96" s="201" t="e">
        <f>RANK(K96, K$87:$K$101)</f>
        <v>#DIV/0!</v>
      </c>
      <c r="N96" s="659"/>
      <c r="O96" s="659"/>
      <c r="P96" s="573"/>
      <c r="Q96" s="574"/>
      <c r="R96" s="574"/>
      <c r="S96" s="301" t="e">
        <f t="shared" si="59"/>
        <v>#N/A</v>
      </c>
      <c r="T96" s="681"/>
      <c r="U96" s="573"/>
      <c r="V96" s="574"/>
      <c r="W96" s="574"/>
      <c r="X96" s="475" t="e">
        <f t="shared" si="44"/>
        <v>#N/A</v>
      </c>
      <c r="Y96" s="681"/>
      <c r="Z96" s="573"/>
      <c r="AA96" s="574"/>
      <c r="AB96" s="574"/>
      <c r="AC96" s="475" t="e">
        <f t="shared" si="46"/>
        <v>#N/A</v>
      </c>
      <c r="AD96" s="681"/>
      <c r="AE96" s="573"/>
      <c r="AF96" s="574"/>
      <c r="AG96" s="574"/>
      <c r="AH96" s="475" t="e">
        <f t="shared" si="48"/>
        <v>#N/A</v>
      </c>
      <c r="AI96" s="681"/>
      <c r="AJ96" s="573"/>
      <c r="AK96" s="574"/>
      <c r="AL96" s="574"/>
      <c r="AM96" s="475" t="e">
        <f t="shared" si="50"/>
        <v>#N/A</v>
      </c>
      <c r="AN96" s="681"/>
      <c r="AO96" s="573"/>
      <c r="AP96" s="574"/>
      <c r="AQ96" s="574"/>
      <c r="AR96" s="475" t="e">
        <f t="shared" si="52"/>
        <v>#N/A</v>
      </c>
      <c r="AS96" s="681"/>
      <c r="AT96" s="573"/>
      <c r="AU96" s="574"/>
      <c r="AV96" s="574"/>
      <c r="AW96" s="475" t="e">
        <f t="shared" si="54"/>
        <v>#N/A</v>
      </c>
      <c r="AX96" s="681"/>
    </row>
    <row r="97" spans="2:50">
      <c r="B97" s="667"/>
      <c r="C97" s="301">
        <v>11</v>
      </c>
      <c r="D97" s="504"/>
      <c r="E97" s="504"/>
      <c r="F97" s="504"/>
      <c r="G97" s="182"/>
      <c r="H97" s="709"/>
      <c r="I97" s="202"/>
      <c r="J97" s="202"/>
      <c r="K97" s="202"/>
      <c r="L97" s="641"/>
      <c r="M97" s="201" t="e">
        <f>RANK(K97, K$87:$K$101)</f>
        <v>#DIV/0!</v>
      </c>
      <c r="N97" s="659"/>
      <c r="O97" s="659"/>
      <c r="P97" s="573"/>
      <c r="Q97" s="574"/>
      <c r="R97" s="574"/>
      <c r="S97" s="301" t="e">
        <f t="shared" si="59"/>
        <v>#N/A</v>
      </c>
      <c r="T97" s="681"/>
      <c r="U97" s="573"/>
      <c r="V97" s="574"/>
      <c r="W97" s="574"/>
      <c r="X97" s="475" t="e">
        <f t="shared" si="44"/>
        <v>#N/A</v>
      </c>
      <c r="Y97" s="681"/>
      <c r="Z97" s="573"/>
      <c r="AA97" s="574"/>
      <c r="AB97" s="574"/>
      <c r="AC97" s="475" t="e">
        <f t="shared" si="46"/>
        <v>#N/A</v>
      </c>
      <c r="AD97" s="681"/>
      <c r="AE97" s="573"/>
      <c r="AF97" s="574"/>
      <c r="AG97" s="574"/>
      <c r="AH97" s="475" t="e">
        <f t="shared" si="48"/>
        <v>#N/A</v>
      </c>
      <c r="AI97" s="681"/>
      <c r="AJ97" s="573"/>
      <c r="AK97" s="574"/>
      <c r="AL97" s="574"/>
      <c r="AM97" s="475" t="e">
        <f t="shared" si="50"/>
        <v>#N/A</v>
      </c>
      <c r="AN97" s="681"/>
      <c r="AO97" s="573"/>
      <c r="AP97" s="574"/>
      <c r="AQ97" s="574"/>
      <c r="AR97" s="475" t="e">
        <f t="shared" si="52"/>
        <v>#N/A</v>
      </c>
      <c r="AS97" s="681"/>
      <c r="AT97" s="573"/>
      <c r="AU97" s="574"/>
      <c r="AV97" s="574"/>
      <c r="AW97" s="475" t="e">
        <f t="shared" si="54"/>
        <v>#N/A</v>
      </c>
      <c r="AX97" s="681"/>
    </row>
    <row r="98" spans="2:50">
      <c r="B98" s="667"/>
      <c r="C98" s="301">
        <v>12</v>
      </c>
      <c r="D98" s="504"/>
      <c r="E98" s="504"/>
      <c r="F98" s="504"/>
      <c r="G98" s="182"/>
      <c r="H98" s="709"/>
      <c r="I98" s="202"/>
      <c r="J98" s="202"/>
      <c r="K98" s="202"/>
      <c r="L98" s="641"/>
      <c r="M98" s="201" t="e">
        <f>RANK(K98, K$87:$K$101)</f>
        <v>#DIV/0!</v>
      </c>
      <c r="N98" s="659"/>
      <c r="O98" s="659"/>
      <c r="P98" s="573"/>
      <c r="Q98" s="574"/>
      <c r="R98" s="574"/>
      <c r="S98" s="301" t="e">
        <f t="shared" si="59"/>
        <v>#N/A</v>
      </c>
      <c r="T98" s="681"/>
      <c r="U98" s="573"/>
      <c r="V98" s="574"/>
      <c r="W98" s="574"/>
      <c r="X98" s="475" t="e">
        <f t="shared" si="44"/>
        <v>#N/A</v>
      </c>
      <c r="Y98" s="681"/>
      <c r="Z98" s="573"/>
      <c r="AA98" s="574"/>
      <c r="AB98" s="574"/>
      <c r="AC98" s="475" t="e">
        <f t="shared" si="46"/>
        <v>#N/A</v>
      </c>
      <c r="AD98" s="681"/>
      <c r="AE98" s="573"/>
      <c r="AF98" s="574"/>
      <c r="AG98" s="574"/>
      <c r="AH98" s="475" t="e">
        <f t="shared" si="48"/>
        <v>#N/A</v>
      </c>
      <c r="AI98" s="681"/>
      <c r="AJ98" s="573"/>
      <c r="AK98" s="574"/>
      <c r="AL98" s="574"/>
      <c r="AM98" s="475" t="e">
        <f t="shared" si="50"/>
        <v>#N/A</v>
      </c>
      <c r="AN98" s="681"/>
      <c r="AO98" s="573"/>
      <c r="AP98" s="574"/>
      <c r="AQ98" s="574"/>
      <c r="AR98" s="475" t="e">
        <f t="shared" si="52"/>
        <v>#N/A</v>
      </c>
      <c r="AS98" s="681"/>
      <c r="AT98" s="573"/>
      <c r="AU98" s="574"/>
      <c r="AV98" s="574"/>
      <c r="AW98" s="475" t="e">
        <f t="shared" si="54"/>
        <v>#N/A</v>
      </c>
      <c r="AX98" s="681"/>
    </row>
    <row r="99" spans="2:50">
      <c r="B99" s="667"/>
      <c r="C99" s="301">
        <v>13</v>
      </c>
      <c r="D99" s="504"/>
      <c r="E99" s="504"/>
      <c r="F99" s="504"/>
      <c r="G99" s="182"/>
      <c r="H99" s="709"/>
      <c r="I99" s="202"/>
      <c r="J99" s="202"/>
      <c r="K99" s="202"/>
      <c r="L99" s="641"/>
      <c r="M99" s="201" t="e">
        <f>RANK(K99, K$87:$K$101)</f>
        <v>#DIV/0!</v>
      </c>
      <c r="N99" s="659"/>
      <c r="O99" s="659"/>
      <c r="P99" s="573"/>
      <c r="Q99" s="574"/>
      <c r="R99" s="574"/>
      <c r="S99" s="301" t="e">
        <f t="shared" si="59"/>
        <v>#N/A</v>
      </c>
      <c r="T99" s="681"/>
      <c r="U99" s="573"/>
      <c r="V99" s="574"/>
      <c r="W99" s="574"/>
      <c r="X99" s="475" t="e">
        <f t="shared" si="44"/>
        <v>#N/A</v>
      </c>
      <c r="Y99" s="681"/>
      <c r="Z99" s="573"/>
      <c r="AA99" s="574"/>
      <c r="AB99" s="574"/>
      <c r="AC99" s="475" t="e">
        <f t="shared" si="46"/>
        <v>#N/A</v>
      </c>
      <c r="AD99" s="681"/>
      <c r="AE99" s="573"/>
      <c r="AF99" s="574"/>
      <c r="AG99" s="574"/>
      <c r="AH99" s="475" t="e">
        <f t="shared" si="48"/>
        <v>#N/A</v>
      </c>
      <c r="AI99" s="681"/>
      <c r="AJ99" s="573"/>
      <c r="AK99" s="574"/>
      <c r="AL99" s="574"/>
      <c r="AM99" s="475" t="e">
        <f t="shared" si="50"/>
        <v>#N/A</v>
      </c>
      <c r="AN99" s="681"/>
      <c r="AO99" s="573"/>
      <c r="AP99" s="574"/>
      <c r="AQ99" s="574"/>
      <c r="AR99" s="475" t="e">
        <f t="shared" si="52"/>
        <v>#N/A</v>
      </c>
      <c r="AS99" s="681"/>
      <c r="AT99" s="573"/>
      <c r="AU99" s="574"/>
      <c r="AV99" s="574"/>
      <c r="AW99" s="475" t="e">
        <f t="shared" si="54"/>
        <v>#N/A</v>
      </c>
      <c r="AX99" s="681"/>
    </row>
    <row r="100" spans="2:50">
      <c r="B100" s="667"/>
      <c r="C100" s="301">
        <v>14</v>
      </c>
      <c r="D100" s="504"/>
      <c r="E100" s="504"/>
      <c r="F100" s="504"/>
      <c r="G100" s="182"/>
      <c r="H100" s="709"/>
      <c r="I100" s="202"/>
      <c r="J100" s="202"/>
      <c r="K100" s="202"/>
      <c r="L100" s="641"/>
      <c r="M100" s="201" t="e">
        <f>RANK(K100, K$87:$K$101)</f>
        <v>#DIV/0!</v>
      </c>
      <c r="N100" s="659"/>
      <c r="O100" s="659"/>
      <c r="P100" s="573"/>
      <c r="Q100" s="574"/>
      <c r="R100" s="574"/>
      <c r="S100" s="301" t="e">
        <f t="shared" si="59"/>
        <v>#N/A</v>
      </c>
      <c r="T100" s="681"/>
      <c r="U100" s="573"/>
      <c r="V100" s="574"/>
      <c r="W100" s="574"/>
      <c r="X100" s="475" t="e">
        <f t="shared" si="44"/>
        <v>#N/A</v>
      </c>
      <c r="Y100" s="681"/>
      <c r="Z100" s="573"/>
      <c r="AA100" s="574"/>
      <c r="AB100" s="574"/>
      <c r="AC100" s="475" t="e">
        <f t="shared" si="46"/>
        <v>#N/A</v>
      </c>
      <c r="AD100" s="681"/>
      <c r="AE100" s="573"/>
      <c r="AF100" s="574"/>
      <c r="AG100" s="574"/>
      <c r="AH100" s="475" t="e">
        <f t="shared" si="48"/>
        <v>#N/A</v>
      </c>
      <c r="AI100" s="681"/>
      <c r="AJ100" s="573"/>
      <c r="AK100" s="574"/>
      <c r="AL100" s="574"/>
      <c r="AM100" s="475" t="e">
        <f t="shared" si="50"/>
        <v>#N/A</v>
      </c>
      <c r="AN100" s="681"/>
      <c r="AO100" s="573"/>
      <c r="AP100" s="574"/>
      <c r="AQ100" s="574"/>
      <c r="AR100" s="475" t="e">
        <f t="shared" si="52"/>
        <v>#N/A</v>
      </c>
      <c r="AS100" s="681"/>
      <c r="AT100" s="573"/>
      <c r="AU100" s="574"/>
      <c r="AV100" s="574"/>
      <c r="AW100" s="475" t="e">
        <f t="shared" si="54"/>
        <v>#N/A</v>
      </c>
      <c r="AX100" s="681"/>
    </row>
    <row r="101" spans="2:50">
      <c r="B101" s="667"/>
      <c r="C101" s="301">
        <v>15</v>
      </c>
      <c r="D101" s="504"/>
      <c r="E101" s="504"/>
      <c r="F101" s="504"/>
      <c r="G101" s="504"/>
      <c r="H101" s="710"/>
      <c r="I101" s="202"/>
      <c r="J101" s="202"/>
      <c r="K101" s="202"/>
      <c r="L101" s="642"/>
      <c r="M101" s="199" t="e">
        <f>RANK(K101, K$87:$K$101)</f>
        <v>#DIV/0!</v>
      </c>
      <c r="N101" s="659"/>
      <c r="O101" s="659"/>
      <c r="P101" s="573"/>
      <c r="Q101" s="574"/>
      <c r="R101" s="574"/>
      <c r="S101" s="301" t="e">
        <f t="shared" si="59"/>
        <v>#N/A</v>
      </c>
      <c r="T101" s="681"/>
      <c r="U101" s="573"/>
      <c r="V101" s="574"/>
      <c r="W101" s="574"/>
      <c r="X101" s="475" t="e">
        <f t="shared" si="44"/>
        <v>#N/A</v>
      </c>
      <c r="Y101" s="681"/>
      <c r="Z101" s="573"/>
      <c r="AA101" s="574"/>
      <c r="AB101" s="574"/>
      <c r="AC101" s="475" t="e">
        <f t="shared" si="46"/>
        <v>#N/A</v>
      </c>
      <c r="AD101" s="681"/>
      <c r="AE101" s="573"/>
      <c r="AF101" s="574"/>
      <c r="AG101" s="574"/>
      <c r="AH101" s="475" t="e">
        <f t="shared" si="48"/>
        <v>#N/A</v>
      </c>
      <c r="AI101" s="681"/>
      <c r="AJ101" s="573"/>
      <c r="AK101" s="574"/>
      <c r="AL101" s="574"/>
      <c r="AM101" s="475" t="e">
        <f t="shared" si="50"/>
        <v>#N/A</v>
      </c>
      <c r="AN101" s="681"/>
      <c r="AO101" s="573"/>
      <c r="AP101" s="574"/>
      <c r="AQ101" s="574"/>
      <c r="AR101" s="475" t="e">
        <f t="shared" si="52"/>
        <v>#N/A</v>
      </c>
      <c r="AS101" s="681"/>
      <c r="AT101" s="573"/>
      <c r="AU101" s="574"/>
      <c r="AV101" s="574"/>
      <c r="AW101" s="475" t="e">
        <f t="shared" si="54"/>
        <v>#N/A</v>
      </c>
      <c r="AX101" s="681"/>
    </row>
    <row r="102" spans="2:50" ht="15.75">
      <c r="B102" s="671" t="s">
        <v>163</v>
      </c>
      <c r="C102" s="672"/>
      <c r="D102" s="672"/>
      <c r="E102" s="672"/>
      <c r="F102" s="672"/>
      <c r="G102" s="672"/>
      <c r="H102" s="673"/>
      <c r="I102" s="208"/>
      <c r="J102" s="208"/>
      <c r="K102" s="208"/>
      <c r="L102" s="208"/>
      <c r="M102" s="207"/>
      <c r="N102" s="660" t="s">
        <v>156</v>
      </c>
      <c r="O102" s="660" t="s">
        <v>105</v>
      </c>
      <c r="P102" s="666">
        <f>P82+7</f>
        <v>46119</v>
      </c>
      <c r="Q102" s="667"/>
      <c r="R102" s="667"/>
      <c r="S102" s="667"/>
      <c r="T102" s="667"/>
      <c r="U102" s="663">
        <f>P102+1</f>
        <v>46120</v>
      </c>
      <c r="V102" s="664"/>
      <c r="W102" s="664"/>
      <c r="X102" s="664"/>
      <c r="Y102" s="665"/>
      <c r="Z102" s="663">
        <f>U102+1</f>
        <v>46121</v>
      </c>
      <c r="AA102" s="664"/>
      <c r="AB102" s="664"/>
      <c r="AC102" s="664"/>
      <c r="AD102" s="665"/>
      <c r="AE102" s="663">
        <f>Z102+1</f>
        <v>46122</v>
      </c>
      <c r="AF102" s="664"/>
      <c r="AG102" s="664"/>
      <c r="AH102" s="664"/>
      <c r="AI102" s="665"/>
      <c r="AJ102" s="663">
        <f>AE102+1</f>
        <v>46123</v>
      </c>
      <c r="AK102" s="664"/>
      <c r="AL102" s="664"/>
      <c r="AM102" s="664"/>
      <c r="AN102" s="665"/>
      <c r="AO102" s="663">
        <f>AJ102+1</f>
        <v>46124</v>
      </c>
      <c r="AP102" s="664"/>
      <c r="AQ102" s="664"/>
      <c r="AR102" s="664"/>
      <c r="AS102" s="665"/>
      <c r="AT102" s="663">
        <f>AO102+1</f>
        <v>46125</v>
      </c>
      <c r="AU102" s="664"/>
      <c r="AV102" s="664"/>
      <c r="AW102" s="664"/>
      <c r="AX102" s="665"/>
    </row>
    <row r="103" spans="2:50" ht="15.75">
      <c r="B103" s="674"/>
      <c r="C103" s="674"/>
      <c r="D103" s="674"/>
      <c r="E103" s="674"/>
      <c r="F103" s="674"/>
      <c r="G103" s="674"/>
      <c r="H103" s="674"/>
      <c r="I103" s="205"/>
      <c r="J103" s="205"/>
      <c r="K103" s="205"/>
      <c r="L103" s="205"/>
      <c r="M103" s="206"/>
      <c r="N103" s="662"/>
      <c r="O103" s="662"/>
      <c r="P103" s="666" t="s">
        <v>158</v>
      </c>
      <c r="Q103" s="667"/>
      <c r="R103" s="667"/>
      <c r="S103" s="667"/>
      <c r="T103" s="667"/>
      <c r="U103" s="666" t="s">
        <v>114</v>
      </c>
      <c r="V103" s="667"/>
      <c r="W103" s="667"/>
      <c r="X103" s="667"/>
      <c r="Y103" s="667"/>
      <c r="Z103" s="666" t="s">
        <v>159</v>
      </c>
      <c r="AA103" s="667"/>
      <c r="AB103" s="667"/>
      <c r="AC103" s="667"/>
      <c r="AD103" s="667"/>
      <c r="AE103" s="666" t="s">
        <v>157</v>
      </c>
      <c r="AF103" s="667"/>
      <c r="AG103" s="667"/>
      <c r="AH103" s="667"/>
      <c r="AI103" s="667"/>
      <c r="AJ103" s="666" t="s">
        <v>160</v>
      </c>
      <c r="AK103" s="667"/>
      <c r="AL103" s="667"/>
      <c r="AM103" s="667"/>
      <c r="AN103" s="667"/>
      <c r="AO103" s="666" t="s">
        <v>115</v>
      </c>
      <c r="AP103" s="667"/>
      <c r="AQ103" s="667"/>
      <c r="AR103" s="667"/>
      <c r="AS103" s="667"/>
      <c r="AT103" s="666" t="s">
        <v>162</v>
      </c>
      <c r="AU103" s="667"/>
      <c r="AV103" s="667"/>
      <c r="AW103" s="667"/>
      <c r="AX103" s="667"/>
    </row>
    <row r="104" spans="2:50">
      <c r="B104" s="659" t="s">
        <v>812</v>
      </c>
      <c r="C104" s="659" t="s">
        <v>813</v>
      </c>
      <c r="D104" s="659"/>
      <c r="E104" s="659" t="s">
        <v>814</v>
      </c>
      <c r="F104" s="659"/>
      <c r="G104" s="659"/>
      <c r="H104" s="675" t="s">
        <v>815</v>
      </c>
      <c r="I104" s="659" t="s">
        <v>816</v>
      </c>
      <c r="J104" s="659"/>
      <c r="K104" s="659"/>
      <c r="L104" s="675" t="s">
        <v>815</v>
      </c>
      <c r="M104" s="660" t="s">
        <v>817</v>
      </c>
      <c r="N104" s="659"/>
      <c r="O104" s="659" t="s">
        <v>818</v>
      </c>
      <c r="P104" s="656" t="s">
        <v>819</v>
      </c>
      <c r="Q104" s="657"/>
      <c r="R104" s="657"/>
      <c r="S104" s="658"/>
      <c r="T104" s="659" t="s">
        <v>815</v>
      </c>
      <c r="U104" s="656" t="s">
        <v>819</v>
      </c>
      <c r="V104" s="657"/>
      <c r="W104" s="657"/>
      <c r="X104" s="658"/>
      <c r="Y104" s="659" t="s">
        <v>815</v>
      </c>
      <c r="Z104" s="656" t="s">
        <v>819</v>
      </c>
      <c r="AA104" s="657"/>
      <c r="AB104" s="657"/>
      <c r="AC104" s="658"/>
      <c r="AD104" s="659" t="s">
        <v>815</v>
      </c>
      <c r="AE104" s="656" t="s">
        <v>819</v>
      </c>
      <c r="AF104" s="657"/>
      <c r="AG104" s="657"/>
      <c r="AH104" s="658"/>
      <c r="AI104" s="659" t="s">
        <v>815</v>
      </c>
      <c r="AJ104" s="656" t="s">
        <v>819</v>
      </c>
      <c r="AK104" s="657"/>
      <c r="AL104" s="657"/>
      <c r="AM104" s="658"/>
      <c r="AN104" s="659" t="s">
        <v>815</v>
      </c>
      <c r="AO104" s="656" t="s">
        <v>819</v>
      </c>
      <c r="AP104" s="657"/>
      <c r="AQ104" s="657"/>
      <c r="AR104" s="658"/>
      <c r="AS104" s="659" t="s">
        <v>815</v>
      </c>
      <c r="AT104" s="656" t="s">
        <v>819</v>
      </c>
      <c r="AU104" s="657"/>
      <c r="AV104" s="657"/>
      <c r="AW104" s="658"/>
      <c r="AX104" s="659" t="s">
        <v>815</v>
      </c>
    </row>
    <row r="105" spans="2:50">
      <c r="B105" s="659"/>
      <c r="C105" s="659"/>
      <c r="D105" s="659"/>
      <c r="E105" s="659" t="s">
        <v>820</v>
      </c>
      <c r="F105" s="659"/>
      <c r="G105" s="659"/>
      <c r="H105" s="676"/>
      <c r="I105" s="659" t="s">
        <v>820</v>
      </c>
      <c r="J105" s="659"/>
      <c r="K105" s="659"/>
      <c r="L105" s="676"/>
      <c r="M105" s="661"/>
      <c r="N105" s="659"/>
      <c r="O105" s="659"/>
      <c r="P105" s="656" t="s">
        <v>821</v>
      </c>
      <c r="Q105" s="657"/>
      <c r="R105" s="657"/>
      <c r="S105" s="658"/>
      <c r="T105" s="659"/>
      <c r="U105" s="656" t="s">
        <v>821</v>
      </c>
      <c r="V105" s="657"/>
      <c r="W105" s="657"/>
      <c r="X105" s="658"/>
      <c r="Y105" s="659"/>
      <c r="Z105" s="656" t="s">
        <v>821</v>
      </c>
      <c r="AA105" s="657"/>
      <c r="AB105" s="657"/>
      <c r="AC105" s="658"/>
      <c r="AD105" s="659"/>
      <c r="AE105" s="656" t="s">
        <v>821</v>
      </c>
      <c r="AF105" s="657"/>
      <c r="AG105" s="657"/>
      <c r="AH105" s="658"/>
      <c r="AI105" s="659"/>
      <c r="AJ105" s="656" t="s">
        <v>821</v>
      </c>
      <c r="AK105" s="657"/>
      <c r="AL105" s="657"/>
      <c r="AM105" s="658"/>
      <c r="AN105" s="659"/>
      <c r="AO105" s="656" t="s">
        <v>821</v>
      </c>
      <c r="AP105" s="657"/>
      <c r="AQ105" s="657"/>
      <c r="AR105" s="658"/>
      <c r="AS105" s="659"/>
      <c r="AT105" s="656" t="s">
        <v>821</v>
      </c>
      <c r="AU105" s="657"/>
      <c r="AV105" s="657"/>
      <c r="AW105" s="658"/>
      <c r="AX105" s="659"/>
    </row>
    <row r="106" spans="2:50">
      <c r="B106" s="659"/>
      <c r="C106" s="659"/>
      <c r="D106" s="659"/>
      <c r="E106" s="488" t="s">
        <v>822</v>
      </c>
      <c r="F106" s="488" t="s">
        <v>823</v>
      </c>
      <c r="G106" s="488" t="s">
        <v>824</v>
      </c>
      <c r="H106" s="677"/>
      <c r="I106" s="488" t="s">
        <v>822</v>
      </c>
      <c r="J106" s="488" t="s">
        <v>823</v>
      </c>
      <c r="K106" s="488" t="s">
        <v>824</v>
      </c>
      <c r="L106" s="677"/>
      <c r="M106" s="662"/>
      <c r="N106" s="659"/>
      <c r="O106" s="659"/>
      <c r="P106" s="488" t="s">
        <v>822</v>
      </c>
      <c r="Q106" s="488" t="s">
        <v>823</v>
      </c>
      <c r="R106" s="488" t="s">
        <v>824</v>
      </c>
      <c r="S106" s="488" t="s">
        <v>817</v>
      </c>
      <c r="T106" s="659"/>
      <c r="U106" s="488" t="s">
        <v>822</v>
      </c>
      <c r="V106" s="488" t="s">
        <v>823</v>
      </c>
      <c r="W106" s="488" t="s">
        <v>824</v>
      </c>
      <c r="X106" s="488" t="s">
        <v>817</v>
      </c>
      <c r="Y106" s="659"/>
      <c r="Z106" s="488" t="s">
        <v>822</v>
      </c>
      <c r="AA106" s="488" t="s">
        <v>823</v>
      </c>
      <c r="AB106" s="488" t="s">
        <v>824</v>
      </c>
      <c r="AC106" s="488" t="s">
        <v>817</v>
      </c>
      <c r="AD106" s="659"/>
      <c r="AE106" s="488" t="s">
        <v>822</v>
      </c>
      <c r="AF106" s="488" t="s">
        <v>823</v>
      </c>
      <c r="AG106" s="488" t="s">
        <v>824</v>
      </c>
      <c r="AH106" s="488" t="s">
        <v>817</v>
      </c>
      <c r="AI106" s="659"/>
      <c r="AJ106" s="488" t="s">
        <v>822</v>
      </c>
      <c r="AK106" s="488" t="s">
        <v>823</v>
      </c>
      <c r="AL106" s="488" t="s">
        <v>824</v>
      </c>
      <c r="AM106" s="488" t="s">
        <v>817</v>
      </c>
      <c r="AN106" s="659"/>
      <c r="AO106" s="488" t="s">
        <v>822</v>
      </c>
      <c r="AP106" s="488" t="s">
        <v>823</v>
      </c>
      <c r="AQ106" s="488" t="s">
        <v>824</v>
      </c>
      <c r="AR106" s="488" t="s">
        <v>817</v>
      </c>
      <c r="AS106" s="659"/>
      <c r="AT106" s="488" t="s">
        <v>822</v>
      </c>
      <c r="AU106" s="488" t="s">
        <v>823</v>
      </c>
      <c r="AV106" s="488" t="s">
        <v>824</v>
      </c>
      <c r="AW106" s="488" t="s">
        <v>817</v>
      </c>
      <c r="AX106" s="659"/>
    </row>
    <row r="107" spans="2:50">
      <c r="B107" s="707" t="s">
        <v>825</v>
      </c>
      <c r="C107" s="493">
        <v>1</v>
      </c>
      <c r="D107" s="504"/>
      <c r="E107" s="504"/>
      <c r="F107" s="504"/>
      <c r="G107" s="182"/>
      <c r="H107" s="703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0" t="str">
        <f>IFERROR(AVERAGE(K107:K121),"-")</f>
        <v>-</v>
      </c>
      <c r="M107" s="494" t="e">
        <f>RANK(K107, K$107:$K$121)</f>
        <v>#DIV/0!</v>
      </c>
      <c r="N107" s="659"/>
      <c r="O107" s="659"/>
      <c r="P107" s="182"/>
      <c r="Q107" s="182"/>
      <c r="R107" s="506"/>
      <c r="S107" s="493" t="e">
        <f t="shared" ref="S107:S121" si="60">RANK(R107, R$81:R$87)</f>
        <v>#N/A</v>
      </c>
      <c r="T107" s="706" t="e">
        <f>AVERAGE(R107:R121)</f>
        <v>#DIV/0!</v>
      </c>
      <c r="U107" s="182"/>
      <c r="V107" s="182"/>
      <c r="W107" s="506"/>
      <c r="X107" s="493" t="e">
        <f t="shared" ref="X107:X121" si="61">RANK(W107, W$81:W$87)</f>
        <v>#N/A</v>
      </c>
      <c r="Y107" s="706" t="e">
        <f t="shared" ref="Y107" si="62">AVERAGE(W107:W121)</f>
        <v>#DIV/0!</v>
      </c>
      <c r="Z107" s="182"/>
      <c r="AA107" s="182"/>
      <c r="AB107" s="506"/>
      <c r="AC107" s="493" t="e">
        <f t="shared" ref="AC107:AC121" si="63">RANK(AB107, AB$81:AB$87)</f>
        <v>#N/A</v>
      </c>
      <c r="AD107" s="706" t="e">
        <f t="shared" ref="AD107" si="64">AVERAGE(AB107:AB121)</f>
        <v>#DIV/0!</v>
      </c>
      <c r="AE107" s="182"/>
      <c r="AF107" s="182"/>
      <c r="AG107" s="506"/>
      <c r="AH107" s="493" t="e">
        <f t="shared" ref="AH107:AH121" si="65">RANK(AG107, AG$81:AG$87)</f>
        <v>#N/A</v>
      </c>
      <c r="AI107" s="706" t="e">
        <f t="shared" ref="AI107" si="66">AVERAGE(AG107:AG121)</f>
        <v>#DIV/0!</v>
      </c>
      <c r="AJ107" s="182"/>
      <c r="AK107" s="182"/>
      <c r="AL107" s="506"/>
      <c r="AM107" s="493" t="e">
        <f t="shared" ref="AM107:AM121" si="67">RANK(AL107, AL$81:AL$87)</f>
        <v>#N/A</v>
      </c>
      <c r="AN107" s="706" t="e">
        <f t="shared" ref="AN107" si="68">AVERAGE(AL107:AL121)</f>
        <v>#DIV/0!</v>
      </c>
      <c r="AO107" s="182"/>
      <c r="AP107" s="182"/>
      <c r="AQ107" s="506"/>
      <c r="AR107" s="493" t="e">
        <f t="shared" ref="AR107:AR121" si="69">RANK(AQ107, AQ$81:AQ$87)</f>
        <v>#N/A</v>
      </c>
      <c r="AS107" s="706" t="e">
        <f t="shared" ref="AS107" si="70">AVERAGE(AQ107:AQ121)</f>
        <v>#DIV/0!</v>
      </c>
      <c r="AT107" s="182"/>
      <c r="AU107" s="182"/>
      <c r="AV107" s="506"/>
      <c r="AW107" s="493" t="e">
        <f t="shared" ref="AW107:AW121" si="71">RANK(AV107, AV$81:AV$87)</f>
        <v>#N/A</v>
      </c>
      <c r="AX107" s="706" t="e">
        <f t="shared" ref="AX107" si="72">AVERAGE(AV107:AV121)</f>
        <v>#DIV/0!</v>
      </c>
    </row>
    <row r="108" spans="2:50">
      <c r="B108" s="692"/>
      <c r="C108" s="493">
        <v>2</v>
      </c>
      <c r="D108" s="504"/>
      <c r="E108" s="504"/>
      <c r="F108" s="504"/>
      <c r="G108" s="182"/>
      <c r="H108" s="704"/>
      <c r="I108" s="494" t="e">
        <f t="shared" ref="I108:K110" si="73">AVERAGE(P108,U108,Z108,AE108,AJ108,AO108,AT108)</f>
        <v>#DIV/0!</v>
      </c>
      <c r="J108" s="494" t="e">
        <f t="shared" si="73"/>
        <v>#DIV/0!</v>
      </c>
      <c r="K108" s="495" t="e">
        <f t="shared" si="73"/>
        <v>#DIV/0!</v>
      </c>
      <c r="L108" s="641"/>
      <c r="M108" s="494" t="e">
        <f>RANK(K108, K$107:$K$121)</f>
        <v>#DIV/0!</v>
      </c>
      <c r="N108" s="659"/>
      <c r="O108" s="659"/>
      <c r="P108" s="504"/>
      <c r="Q108" s="182"/>
      <c r="R108" s="506"/>
      <c r="S108" s="493" t="e">
        <f t="shared" si="60"/>
        <v>#N/A</v>
      </c>
      <c r="T108" s="706"/>
      <c r="U108" s="504"/>
      <c r="V108" s="182"/>
      <c r="W108" s="506"/>
      <c r="X108" s="493" t="e">
        <f t="shared" si="61"/>
        <v>#N/A</v>
      </c>
      <c r="Y108" s="706"/>
      <c r="Z108" s="504"/>
      <c r="AA108" s="182"/>
      <c r="AB108" s="506"/>
      <c r="AC108" s="493" t="e">
        <f t="shared" si="63"/>
        <v>#N/A</v>
      </c>
      <c r="AD108" s="706"/>
      <c r="AE108" s="504"/>
      <c r="AF108" s="182"/>
      <c r="AG108" s="506"/>
      <c r="AH108" s="493" t="e">
        <f t="shared" si="65"/>
        <v>#N/A</v>
      </c>
      <c r="AI108" s="706"/>
      <c r="AJ108" s="504"/>
      <c r="AK108" s="182"/>
      <c r="AL108" s="506"/>
      <c r="AM108" s="493" t="e">
        <f t="shared" si="67"/>
        <v>#N/A</v>
      </c>
      <c r="AN108" s="706"/>
      <c r="AO108" s="504"/>
      <c r="AP108" s="182"/>
      <c r="AQ108" s="506"/>
      <c r="AR108" s="493" t="e">
        <f t="shared" si="69"/>
        <v>#N/A</v>
      </c>
      <c r="AS108" s="706"/>
      <c r="AT108" s="504"/>
      <c r="AU108" s="182"/>
      <c r="AV108" s="506"/>
      <c r="AW108" s="493" t="e">
        <f t="shared" si="71"/>
        <v>#N/A</v>
      </c>
      <c r="AX108" s="706"/>
    </row>
    <row r="109" spans="2:50">
      <c r="B109" s="692"/>
      <c r="C109" s="493">
        <v>3</v>
      </c>
      <c r="D109" s="504"/>
      <c r="E109" s="504"/>
      <c r="F109" s="504"/>
      <c r="G109" s="182"/>
      <c r="H109" s="704"/>
      <c r="I109" s="494" t="e">
        <f t="shared" si="73"/>
        <v>#DIV/0!</v>
      </c>
      <c r="J109" s="494" t="e">
        <f t="shared" si="73"/>
        <v>#DIV/0!</v>
      </c>
      <c r="K109" s="495" t="e">
        <f t="shared" si="73"/>
        <v>#DIV/0!</v>
      </c>
      <c r="L109" s="641"/>
      <c r="M109" s="494" t="e">
        <f>RANK(K109, K$107:$K$121)</f>
        <v>#DIV/0!</v>
      </c>
      <c r="N109" s="659"/>
      <c r="O109" s="659"/>
      <c r="P109" s="504"/>
      <c r="Q109" s="182"/>
      <c r="R109" s="506"/>
      <c r="S109" s="493" t="e">
        <f t="shared" si="60"/>
        <v>#N/A</v>
      </c>
      <c r="T109" s="706"/>
      <c r="U109" s="504"/>
      <c r="V109" s="182"/>
      <c r="W109" s="506"/>
      <c r="X109" s="493" t="e">
        <f t="shared" si="61"/>
        <v>#N/A</v>
      </c>
      <c r="Y109" s="706"/>
      <c r="Z109" s="504"/>
      <c r="AA109" s="182"/>
      <c r="AB109" s="506"/>
      <c r="AC109" s="493" t="e">
        <f t="shared" si="63"/>
        <v>#N/A</v>
      </c>
      <c r="AD109" s="706"/>
      <c r="AE109" s="504"/>
      <c r="AF109" s="182"/>
      <c r="AG109" s="506"/>
      <c r="AH109" s="493" t="e">
        <f t="shared" si="65"/>
        <v>#N/A</v>
      </c>
      <c r="AI109" s="706"/>
      <c r="AJ109" s="504"/>
      <c r="AK109" s="182"/>
      <c r="AL109" s="506"/>
      <c r="AM109" s="493" t="e">
        <f t="shared" si="67"/>
        <v>#N/A</v>
      </c>
      <c r="AN109" s="706"/>
      <c r="AO109" s="504"/>
      <c r="AP109" s="182"/>
      <c r="AQ109" s="506"/>
      <c r="AR109" s="493" t="e">
        <f t="shared" si="69"/>
        <v>#N/A</v>
      </c>
      <c r="AS109" s="706"/>
      <c r="AT109" s="504"/>
      <c r="AU109" s="182"/>
      <c r="AV109" s="506"/>
      <c r="AW109" s="493" t="e">
        <f t="shared" si="71"/>
        <v>#N/A</v>
      </c>
      <c r="AX109" s="706"/>
    </row>
    <row r="110" spans="2:50">
      <c r="B110" s="692"/>
      <c r="C110" s="493">
        <v>4</v>
      </c>
      <c r="D110" s="504"/>
      <c r="E110" s="504"/>
      <c r="F110" s="504"/>
      <c r="G110" s="182"/>
      <c r="H110" s="704"/>
      <c r="I110" s="494" t="e">
        <f t="shared" si="73"/>
        <v>#DIV/0!</v>
      </c>
      <c r="J110" s="494" t="e">
        <f t="shared" si="73"/>
        <v>#DIV/0!</v>
      </c>
      <c r="K110" s="495" t="e">
        <f t="shared" si="73"/>
        <v>#DIV/0!</v>
      </c>
      <c r="L110" s="641"/>
      <c r="M110" s="494" t="e">
        <f>RANK(K110, K$107:$K$121)</f>
        <v>#DIV/0!</v>
      </c>
      <c r="N110" s="659"/>
      <c r="O110" s="659"/>
      <c r="P110" s="504"/>
      <c r="Q110" s="182"/>
      <c r="R110" s="506"/>
      <c r="S110" s="493" t="e">
        <f t="shared" si="60"/>
        <v>#N/A</v>
      </c>
      <c r="T110" s="706"/>
      <c r="U110" s="504"/>
      <c r="V110" s="182"/>
      <c r="W110" s="506"/>
      <c r="X110" s="493" t="e">
        <f t="shared" si="61"/>
        <v>#N/A</v>
      </c>
      <c r="Y110" s="706"/>
      <c r="Z110" s="504"/>
      <c r="AA110" s="182"/>
      <c r="AB110" s="506"/>
      <c r="AC110" s="493" t="e">
        <f t="shared" si="63"/>
        <v>#N/A</v>
      </c>
      <c r="AD110" s="706"/>
      <c r="AE110" s="504"/>
      <c r="AF110" s="182"/>
      <c r="AG110" s="506"/>
      <c r="AH110" s="493" t="e">
        <f t="shared" si="65"/>
        <v>#N/A</v>
      </c>
      <c r="AI110" s="706"/>
      <c r="AJ110" s="504"/>
      <c r="AK110" s="182"/>
      <c r="AL110" s="506"/>
      <c r="AM110" s="493" t="e">
        <f t="shared" si="67"/>
        <v>#N/A</v>
      </c>
      <c r="AN110" s="706"/>
      <c r="AO110" s="504"/>
      <c r="AP110" s="182"/>
      <c r="AQ110" s="506"/>
      <c r="AR110" s="493" t="e">
        <f t="shared" si="69"/>
        <v>#N/A</v>
      </c>
      <c r="AS110" s="706"/>
      <c r="AT110" s="504"/>
      <c r="AU110" s="182"/>
      <c r="AV110" s="506"/>
      <c r="AW110" s="493" t="e">
        <f t="shared" si="71"/>
        <v>#N/A</v>
      </c>
      <c r="AX110" s="706"/>
    </row>
    <row r="111" spans="2:50">
      <c r="B111" s="692"/>
      <c r="C111" s="493">
        <v>5</v>
      </c>
      <c r="D111" s="504"/>
      <c r="E111" s="504"/>
      <c r="F111" s="504"/>
      <c r="G111" s="182"/>
      <c r="H111" s="704"/>
      <c r="I111" s="494" t="e">
        <f>AVERAGE(P111,U111,Z111,AE111,AJ111,AO111,AT111)</f>
        <v>#DIV/0!</v>
      </c>
      <c r="J111" s="494" t="e">
        <f>AVERAGE(Q111,V111,AA111,AF111,AK111,AP111,AU111)</f>
        <v>#DIV/0!</v>
      </c>
      <c r="K111" s="495" t="e">
        <f>AVERAGE(R111,W111,AB111,AG111,AL111,AQ111,AV111)</f>
        <v>#DIV/0!</v>
      </c>
      <c r="L111" s="641"/>
      <c r="M111" s="494" t="e">
        <f>RANK(K111, K$107:$K$121)</f>
        <v>#DIV/0!</v>
      </c>
      <c r="N111" s="659"/>
      <c r="O111" s="659"/>
      <c r="P111" s="504"/>
      <c r="Q111" s="182"/>
      <c r="R111" s="506"/>
      <c r="S111" s="493" t="e">
        <f t="shared" si="60"/>
        <v>#N/A</v>
      </c>
      <c r="T111" s="706"/>
      <c r="U111" s="504"/>
      <c r="V111" s="182"/>
      <c r="W111" s="506"/>
      <c r="X111" s="493" t="e">
        <f t="shared" si="61"/>
        <v>#N/A</v>
      </c>
      <c r="Y111" s="706"/>
      <c r="Z111" s="504"/>
      <c r="AA111" s="182"/>
      <c r="AB111" s="506"/>
      <c r="AC111" s="493" t="e">
        <f t="shared" si="63"/>
        <v>#N/A</v>
      </c>
      <c r="AD111" s="706"/>
      <c r="AE111" s="504"/>
      <c r="AF111" s="182"/>
      <c r="AG111" s="506"/>
      <c r="AH111" s="493" t="e">
        <f t="shared" si="65"/>
        <v>#N/A</v>
      </c>
      <c r="AI111" s="706"/>
      <c r="AJ111" s="504"/>
      <c r="AK111" s="182"/>
      <c r="AL111" s="506"/>
      <c r="AM111" s="493" t="e">
        <f t="shared" si="67"/>
        <v>#N/A</v>
      </c>
      <c r="AN111" s="706"/>
      <c r="AO111" s="504"/>
      <c r="AP111" s="182"/>
      <c r="AQ111" s="506"/>
      <c r="AR111" s="493" t="e">
        <f t="shared" si="69"/>
        <v>#N/A</v>
      </c>
      <c r="AS111" s="706"/>
      <c r="AT111" s="504"/>
      <c r="AU111" s="182"/>
      <c r="AV111" s="506"/>
      <c r="AW111" s="493" t="e">
        <f t="shared" si="71"/>
        <v>#N/A</v>
      </c>
      <c r="AX111" s="706"/>
    </row>
    <row r="112" spans="2:50">
      <c r="B112" s="692"/>
      <c r="C112" s="493">
        <v>6</v>
      </c>
      <c r="D112" s="504"/>
      <c r="E112" s="504"/>
      <c r="F112" s="504"/>
      <c r="G112" s="182"/>
      <c r="H112" s="704"/>
      <c r="I112" s="494" t="e">
        <f t="shared" ref="I112:K113" si="74">AVERAGE(P112,U112,Z112,AE112,AJ112,AO112,AT112)</f>
        <v>#DIV/0!</v>
      </c>
      <c r="J112" s="494" t="e">
        <f t="shared" si="74"/>
        <v>#DIV/0!</v>
      </c>
      <c r="K112" s="495" t="e">
        <f t="shared" si="74"/>
        <v>#DIV/0!</v>
      </c>
      <c r="L112" s="641"/>
      <c r="M112" s="494" t="e">
        <f>RANK(K112, K$107:$K$121)</f>
        <v>#DIV/0!</v>
      </c>
      <c r="N112" s="659"/>
      <c r="O112" s="659"/>
      <c r="P112" s="504"/>
      <c r="Q112" s="182"/>
      <c r="R112" s="506"/>
      <c r="S112" s="493" t="e">
        <f t="shared" si="60"/>
        <v>#N/A</v>
      </c>
      <c r="T112" s="706"/>
      <c r="U112" s="504"/>
      <c r="V112" s="182"/>
      <c r="W112" s="506"/>
      <c r="X112" s="493" t="e">
        <f t="shared" si="61"/>
        <v>#N/A</v>
      </c>
      <c r="Y112" s="706"/>
      <c r="Z112" s="504"/>
      <c r="AA112" s="182"/>
      <c r="AB112" s="506"/>
      <c r="AC112" s="493" t="e">
        <f t="shared" si="63"/>
        <v>#N/A</v>
      </c>
      <c r="AD112" s="706"/>
      <c r="AE112" s="504"/>
      <c r="AF112" s="182"/>
      <c r="AG112" s="506"/>
      <c r="AH112" s="493" t="e">
        <f t="shared" si="65"/>
        <v>#N/A</v>
      </c>
      <c r="AI112" s="706"/>
      <c r="AJ112" s="504"/>
      <c r="AK112" s="182"/>
      <c r="AL112" s="506"/>
      <c r="AM112" s="493" t="e">
        <f t="shared" si="67"/>
        <v>#N/A</v>
      </c>
      <c r="AN112" s="706"/>
      <c r="AO112" s="504"/>
      <c r="AP112" s="182"/>
      <c r="AQ112" s="506"/>
      <c r="AR112" s="493" t="e">
        <f t="shared" si="69"/>
        <v>#N/A</v>
      </c>
      <c r="AS112" s="706"/>
      <c r="AT112" s="504"/>
      <c r="AU112" s="182"/>
      <c r="AV112" s="506"/>
      <c r="AW112" s="493" t="e">
        <f t="shared" si="71"/>
        <v>#N/A</v>
      </c>
      <c r="AX112" s="706"/>
    </row>
    <row r="113" spans="2:50">
      <c r="B113" s="692"/>
      <c r="C113" s="493">
        <v>7</v>
      </c>
      <c r="D113" s="504"/>
      <c r="E113" s="504"/>
      <c r="F113" s="504"/>
      <c r="G113" s="182"/>
      <c r="H113" s="704"/>
      <c r="I113" s="494" t="e">
        <f t="shared" si="74"/>
        <v>#DIV/0!</v>
      </c>
      <c r="J113" s="494" t="e">
        <f t="shared" si="74"/>
        <v>#DIV/0!</v>
      </c>
      <c r="K113" s="495" t="e">
        <f t="shared" si="74"/>
        <v>#DIV/0!</v>
      </c>
      <c r="L113" s="641"/>
      <c r="M113" s="494" t="e">
        <f>RANK(K113, K$107:$K$121)</f>
        <v>#DIV/0!</v>
      </c>
      <c r="N113" s="659"/>
      <c r="O113" s="659"/>
      <c r="P113" s="504"/>
      <c r="Q113" s="182"/>
      <c r="R113" s="506"/>
      <c r="S113" s="493" t="e">
        <f t="shared" si="60"/>
        <v>#N/A</v>
      </c>
      <c r="T113" s="706"/>
      <c r="U113" s="504"/>
      <c r="V113" s="182"/>
      <c r="W113" s="506"/>
      <c r="X113" s="493" t="e">
        <f t="shared" si="61"/>
        <v>#N/A</v>
      </c>
      <c r="Y113" s="706"/>
      <c r="Z113" s="504"/>
      <c r="AA113" s="182"/>
      <c r="AB113" s="506"/>
      <c r="AC113" s="493" t="e">
        <f t="shared" si="63"/>
        <v>#N/A</v>
      </c>
      <c r="AD113" s="706"/>
      <c r="AE113" s="504"/>
      <c r="AF113" s="182"/>
      <c r="AG113" s="506"/>
      <c r="AH113" s="493" t="e">
        <f t="shared" si="65"/>
        <v>#N/A</v>
      </c>
      <c r="AI113" s="706"/>
      <c r="AJ113" s="504"/>
      <c r="AK113" s="182"/>
      <c r="AL113" s="506"/>
      <c r="AM113" s="493" t="e">
        <f t="shared" si="67"/>
        <v>#N/A</v>
      </c>
      <c r="AN113" s="706"/>
      <c r="AO113" s="504"/>
      <c r="AP113" s="182"/>
      <c r="AQ113" s="506"/>
      <c r="AR113" s="493" t="e">
        <f t="shared" si="69"/>
        <v>#N/A</v>
      </c>
      <c r="AS113" s="706"/>
      <c r="AT113" s="504"/>
      <c r="AU113" s="182"/>
      <c r="AV113" s="506"/>
      <c r="AW113" s="493" t="e">
        <f t="shared" si="71"/>
        <v>#N/A</v>
      </c>
      <c r="AX113" s="706"/>
    </row>
    <row r="114" spans="2:50">
      <c r="B114" s="692"/>
      <c r="C114" s="493">
        <v>8</v>
      </c>
      <c r="D114" s="504"/>
      <c r="E114" s="504"/>
      <c r="F114" s="504"/>
      <c r="G114" s="182"/>
      <c r="H114" s="704"/>
      <c r="I114" s="494"/>
      <c r="J114" s="494"/>
      <c r="K114" s="495"/>
      <c r="L114" s="641"/>
      <c r="M114" s="494" t="e">
        <f>RANK(K114, K$107:$K$121)</f>
        <v>#DIV/0!</v>
      </c>
      <c r="N114" s="659"/>
      <c r="O114" s="659"/>
      <c r="P114" s="504"/>
      <c r="Q114" s="182"/>
      <c r="R114" s="506"/>
      <c r="S114" s="493" t="e">
        <f t="shared" si="60"/>
        <v>#N/A</v>
      </c>
      <c r="T114" s="706"/>
      <c r="U114" s="504"/>
      <c r="V114" s="182"/>
      <c r="W114" s="506"/>
      <c r="X114" s="493" t="e">
        <f t="shared" si="61"/>
        <v>#N/A</v>
      </c>
      <c r="Y114" s="706"/>
      <c r="Z114" s="504"/>
      <c r="AA114" s="182"/>
      <c r="AB114" s="506"/>
      <c r="AC114" s="493" t="e">
        <f t="shared" si="63"/>
        <v>#N/A</v>
      </c>
      <c r="AD114" s="706"/>
      <c r="AE114" s="504"/>
      <c r="AF114" s="182"/>
      <c r="AG114" s="506"/>
      <c r="AH114" s="493" t="e">
        <f t="shared" si="65"/>
        <v>#N/A</v>
      </c>
      <c r="AI114" s="706"/>
      <c r="AJ114" s="504"/>
      <c r="AK114" s="182"/>
      <c r="AL114" s="506"/>
      <c r="AM114" s="493" t="e">
        <f t="shared" si="67"/>
        <v>#N/A</v>
      </c>
      <c r="AN114" s="706"/>
      <c r="AO114" s="504"/>
      <c r="AP114" s="182"/>
      <c r="AQ114" s="506"/>
      <c r="AR114" s="493" t="e">
        <f t="shared" si="69"/>
        <v>#N/A</v>
      </c>
      <c r="AS114" s="706"/>
      <c r="AT114" s="504"/>
      <c r="AU114" s="182"/>
      <c r="AV114" s="506"/>
      <c r="AW114" s="493" t="e">
        <f t="shared" si="71"/>
        <v>#N/A</v>
      </c>
      <c r="AX114" s="706"/>
    </row>
    <row r="115" spans="2:50">
      <c r="B115" s="692"/>
      <c r="C115" s="493">
        <v>9</v>
      </c>
      <c r="D115" s="504"/>
      <c r="E115" s="504"/>
      <c r="F115" s="504"/>
      <c r="G115" s="182"/>
      <c r="H115" s="704"/>
      <c r="I115" s="494"/>
      <c r="J115" s="494"/>
      <c r="K115" s="495"/>
      <c r="L115" s="641"/>
      <c r="M115" s="494" t="e">
        <f>RANK(K115, K$107:$K$121)</f>
        <v>#DIV/0!</v>
      </c>
      <c r="N115" s="659"/>
      <c r="O115" s="659"/>
      <c r="P115" s="504"/>
      <c r="Q115" s="182"/>
      <c r="R115" s="506"/>
      <c r="S115" s="493" t="e">
        <f t="shared" si="60"/>
        <v>#N/A</v>
      </c>
      <c r="T115" s="706"/>
      <c r="U115" s="504"/>
      <c r="V115" s="182"/>
      <c r="W115" s="506"/>
      <c r="X115" s="493" t="e">
        <f t="shared" si="61"/>
        <v>#N/A</v>
      </c>
      <c r="Y115" s="706"/>
      <c r="Z115" s="504"/>
      <c r="AA115" s="182"/>
      <c r="AB115" s="506"/>
      <c r="AC115" s="493" t="e">
        <f t="shared" si="63"/>
        <v>#N/A</v>
      </c>
      <c r="AD115" s="706"/>
      <c r="AE115" s="504"/>
      <c r="AF115" s="182"/>
      <c r="AG115" s="506"/>
      <c r="AH115" s="493" t="e">
        <f t="shared" si="65"/>
        <v>#N/A</v>
      </c>
      <c r="AI115" s="706"/>
      <c r="AJ115" s="504"/>
      <c r="AK115" s="182"/>
      <c r="AL115" s="506"/>
      <c r="AM115" s="493" t="e">
        <f t="shared" si="67"/>
        <v>#N/A</v>
      </c>
      <c r="AN115" s="706"/>
      <c r="AO115" s="504"/>
      <c r="AP115" s="182"/>
      <c r="AQ115" s="506"/>
      <c r="AR115" s="493" t="e">
        <f t="shared" si="69"/>
        <v>#N/A</v>
      </c>
      <c r="AS115" s="706"/>
      <c r="AT115" s="504"/>
      <c r="AU115" s="182"/>
      <c r="AV115" s="506"/>
      <c r="AW115" s="493" t="e">
        <f t="shared" si="71"/>
        <v>#N/A</v>
      </c>
      <c r="AX115" s="706"/>
    </row>
    <row r="116" spans="2:50">
      <c r="B116" s="692"/>
      <c r="C116" s="493">
        <v>10</v>
      </c>
      <c r="D116" s="504"/>
      <c r="E116" s="504"/>
      <c r="F116" s="504"/>
      <c r="G116" s="182"/>
      <c r="H116" s="704"/>
      <c r="I116" s="494"/>
      <c r="J116" s="494"/>
      <c r="K116" s="495"/>
      <c r="L116" s="641"/>
      <c r="M116" s="494" t="e">
        <f>RANK(K116, K$107:$K$121)</f>
        <v>#DIV/0!</v>
      </c>
      <c r="N116" s="659"/>
      <c r="O116" s="659"/>
      <c r="P116" s="504"/>
      <c r="Q116" s="182"/>
      <c r="R116" s="506"/>
      <c r="S116" s="493" t="e">
        <f t="shared" si="60"/>
        <v>#N/A</v>
      </c>
      <c r="T116" s="706"/>
      <c r="U116" s="504"/>
      <c r="V116" s="182"/>
      <c r="W116" s="506"/>
      <c r="X116" s="493" t="e">
        <f t="shared" si="61"/>
        <v>#N/A</v>
      </c>
      <c r="Y116" s="706"/>
      <c r="Z116" s="504"/>
      <c r="AA116" s="182"/>
      <c r="AB116" s="506"/>
      <c r="AC116" s="493" t="e">
        <f t="shared" si="63"/>
        <v>#N/A</v>
      </c>
      <c r="AD116" s="706"/>
      <c r="AE116" s="504"/>
      <c r="AF116" s="182"/>
      <c r="AG116" s="506"/>
      <c r="AH116" s="493" t="e">
        <f t="shared" si="65"/>
        <v>#N/A</v>
      </c>
      <c r="AI116" s="706"/>
      <c r="AJ116" s="504"/>
      <c r="AK116" s="182"/>
      <c r="AL116" s="506"/>
      <c r="AM116" s="493" t="e">
        <f t="shared" si="67"/>
        <v>#N/A</v>
      </c>
      <c r="AN116" s="706"/>
      <c r="AO116" s="504"/>
      <c r="AP116" s="182"/>
      <c r="AQ116" s="506"/>
      <c r="AR116" s="493" t="e">
        <f t="shared" si="69"/>
        <v>#N/A</v>
      </c>
      <c r="AS116" s="706"/>
      <c r="AT116" s="504"/>
      <c r="AU116" s="182"/>
      <c r="AV116" s="506"/>
      <c r="AW116" s="493" t="e">
        <f t="shared" si="71"/>
        <v>#N/A</v>
      </c>
      <c r="AX116" s="706"/>
    </row>
    <row r="117" spans="2:50">
      <c r="B117" s="692"/>
      <c r="C117" s="493">
        <v>11</v>
      </c>
      <c r="D117" s="504"/>
      <c r="E117" s="504"/>
      <c r="F117" s="504"/>
      <c r="G117" s="182"/>
      <c r="H117" s="704"/>
      <c r="I117" s="493"/>
      <c r="J117" s="493"/>
      <c r="K117" s="493"/>
      <c r="L117" s="641"/>
      <c r="M117" s="494" t="e">
        <f>RANK(K117, K$107:$K$121)</f>
        <v>#DIV/0!</v>
      </c>
      <c r="N117" s="659"/>
      <c r="O117" s="659"/>
      <c r="P117" s="504"/>
      <c r="Q117" s="504"/>
      <c r="R117" s="504"/>
      <c r="S117" s="493" t="e">
        <f t="shared" si="60"/>
        <v>#N/A</v>
      </c>
      <c r="T117" s="706"/>
      <c r="U117" s="504"/>
      <c r="V117" s="504"/>
      <c r="W117" s="504"/>
      <c r="X117" s="493" t="e">
        <f t="shared" si="61"/>
        <v>#N/A</v>
      </c>
      <c r="Y117" s="706"/>
      <c r="Z117" s="504"/>
      <c r="AA117" s="504"/>
      <c r="AB117" s="504"/>
      <c r="AC117" s="493" t="e">
        <f t="shared" si="63"/>
        <v>#N/A</v>
      </c>
      <c r="AD117" s="706"/>
      <c r="AE117" s="504"/>
      <c r="AF117" s="504"/>
      <c r="AG117" s="504"/>
      <c r="AH117" s="493" t="e">
        <f t="shared" si="65"/>
        <v>#N/A</v>
      </c>
      <c r="AI117" s="706"/>
      <c r="AJ117" s="504"/>
      <c r="AK117" s="504"/>
      <c r="AL117" s="504"/>
      <c r="AM117" s="493" t="e">
        <f t="shared" si="67"/>
        <v>#N/A</v>
      </c>
      <c r="AN117" s="706"/>
      <c r="AO117" s="504"/>
      <c r="AP117" s="504"/>
      <c r="AQ117" s="504"/>
      <c r="AR117" s="493" t="e">
        <f t="shared" si="69"/>
        <v>#N/A</v>
      </c>
      <c r="AS117" s="706"/>
      <c r="AT117" s="504"/>
      <c r="AU117" s="504"/>
      <c r="AV117" s="504"/>
      <c r="AW117" s="493" t="e">
        <f t="shared" si="71"/>
        <v>#N/A</v>
      </c>
      <c r="AX117" s="706"/>
    </row>
    <row r="118" spans="2:50">
      <c r="B118" s="692"/>
      <c r="C118" s="493">
        <v>12</v>
      </c>
      <c r="D118" s="504"/>
      <c r="E118" s="504"/>
      <c r="F118" s="504"/>
      <c r="G118" s="182"/>
      <c r="H118" s="704"/>
      <c r="I118" s="493"/>
      <c r="J118" s="493"/>
      <c r="K118" s="493"/>
      <c r="L118" s="641"/>
      <c r="M118" s="494" t="e">
        <f>RANK(K118, K$107:$K$121)</f>
        <v>#DIV/0!</v>
      </c>
      <c r="N118" s="659"/>
      <c r="O118" s="659"/>
      <c r="P118" s="504"/>
      <c r="Q118" s="504"/>
      <c r="R118" s="504"/>
      <c r="S118" s="493" t="e">
        <f t="shared" si="60"/>
        <v>#N/A</v>
      </c>
      <c r="T118" s="706"/>
      <c r="U118" s="504"/>
      <c r="V118" s="504"/>
      <c r="W118" s="504"/>
      <c r="X118" s="493" t="e">
        <f t="shared" si="61"/>
        <v>#N/A</v>
      </c>
      <c r="Y118" s="706"/>
      <c r="Z118" s="504"/>
      <c r="AA118" s="504"/>
      <c r="AB118" s="504"/>
      <c r="AC118" s="493" t="e">
        <f t="shared" si="63"/>
        <v>#N/A</v>
      </c>
      <c r="AD118" s="706"/>
      <c r="AE118" s="504"/>
      <c r="AF118" s="504"/>
      <c r="AG118" s="504"/>
      <c r="AH118" s="493" t="e">
        <f t="shared" si="65"/>
        <v>#N/A</v>
      </c>
      <c r="AI118" s="706"/>
      <c r="AJ118" s="504"/>
      <c r="AK118" s="504"/>
      <c r="AL118" s="504"/>
      <c r="AM118" s="493" t="e">
        <f t="shared" si="67"/>
        <v>#N/A</v>
      </c>
      <c r="AN118" s="706"/>
      <c r="AO118" s="504"/>
      <c r="AP118" s="504"/>
      <c r="AQ118" s="504"/>
      <c r="AR118" s="493" t="e">
        <f t="shared" si="69"/>
        <v>#N/A</v>
      </c>
      <c r="AS118" s="706"/>
      <c r="AT118" s="504"/>
      <c r="AU118" s="504"/>
      <c r="AV118" s="504"/>
      <c r="AW118" s="493" t="e">
        <f t="shared" si="71"/>
        <v>#N/A</v>
      </c>
      <c r="AX118" s="706"/>
    </row>
    <row r="119" spans="2:50">
      <c r="B119" s="692"/>
      <c r="C119" s="493">
        <v>13</v>
      </c>
      <c r="D119" s="504"/>
      <c r="E119" s="504"/>
      <c r="F119" s="504"/>
      <c r="G119" s="182"/>
      <c r="H119" s="704"/>
      <c r="I119" s="493"/>
      <c r="J119" s="493"/>
      <c r="K119" s="493"/>
      <c r="L119" s="641"/>
      <c r="M119" s="494" t="e">
        <f>RANK(K119, K$107:$K$121)</f>
        <v>#DIV/0!</v>
      </c>
      <c r="N119" s="659"/>
      <c r="O119" s="659"/>
      <c r="P119" s="504"/>
      <c r="Q119" s="504"/>
      <c r="R119" s="504"/>
      <c r="S119" s="493" t="e">
        <f t="shared" si="60"/>
        <v>#N/A</v>
      </c>
      <c r="T119" s="706"/>
      <c r="U119" s="504"/>
      <c r="V119" s="504"/>
      <c r="W119" s="504"/>
      <c r="X119" s="493" t="e">
        <f t="shared" si="61"/>
        <v>#N/A</v>
      </c>
      <c r="Y119" s="706"/>
      <c r="Z119" s="504"/>
      <c r="AA119" s="504"/>
      <c r="AB119" s="504"/>
      <c r="AC119" s="493" t="e">
        <f t="shared" si="63"/>
        <v>#N/A</v>
      </c>
      <c r="AD119" s="706"/>
      <c r="AE119" s="504"/>
      <c r="AF119" s="504"/>
      <c r="AG119" s="504"/>
      <c r="AH119" s="493" t="e">
        <f t="shared" si="65"/>
        <v>#N/A</v>
      </c>
      <c r="AI119" s="706"/>
      <c r="AJ119" s="504"/>
      <c r="AK119" s="504"/>
      <c r="AL119" s="504"/>
      <c r="AM119" s="493" t="e">
        <f t="shared" si="67"/>
        <v>#N/A</v>
      </c>
      <c r="AN119" s="706"/>
      <c r="AO119" s="504"/>
      <c r="AP119" s="504"/>
      <c r="AQ119" s="504"/>
      <c r="AR119" s="493" t="e">
        <f t="shared" si="69"/>
        <v>#N/A</v>
      </c>
      <c r="AS119" s="706"/>
      <c r="AT119" s="504"/>
      <c r="AU119" s="504"/>
      <c r="AV119" s="504"/>
      <c r="AW119" s="493" t="e">
        <f t="shared" si="71"/>
        <v>#N/A</v>
      </c>
      <c r="AX119" s="706"/>
    </row>
    <row r="120" spans="2:50">
      <c r="B120" s="692"/>
      <c r="C120" s="493">
        <v>14</v>
      </c>
      <c r="D120" s="504"/>
      <c r="E120" s="504"/>
      <c r="F120" s="504"/>
      <c r="G120" s="182"/>
      <c r="H120" s="704"/>
      <c r="I120" s="493"/>
      <c r="J120" s="493"/>
      <c r="K120" s="493"/>
      <c r="L120" s="641"/>
      <c r="M120" s="494" t="e">
        <f>RANK(K120, K$107:$K$121)</f>
        <v>#DIV/0!</v>
      </c>
      <c r="N120" s="659"/>
      <c r="O120" s="659"/>
      <c r="P120" s="504"/>
      <c r="Q120" s="504"/>
      <c r="R120" s="504"/>
      <c r="S120" s="493" t="e">
        <f t="shared" si="60"/>
        <v>#N/A</v>
      </c>
      <c r="T120" s="706"/>
      <c r="U120" s="504"/>
      <c r="V120" s="504"/>
      <c r="W120" s="504"/>
      <c r="X120" s="493" t="e">
        <f t="shared" si="61"/>
        <v>#N/A</v>
      </c>
      <c r="Y120" s="706"/>
      <c r="Z120" s="504"/>
      <c r="AA120" s="504"/>
      <c r="AB120" s="504"/>
      <c r="AC120" s="493" t="e">
        <f t="shared" si="63"/>
        <v>#N/A</v>
      </c>
      <c r="AD120" s="706"/>
      <c r="AE120" s="504"/>
      <c r="AF120" s="504"/>
      <c r="AG120" s="504"/>
      <c r="AH120" s="493" t="e">
        <f t="shared" si="65"/>
        <v>#N/A</v>
      </c>
      <c r="AI120" s="706"/>
      <c r="AJ120" s="504"/>
      <c r="AK120" s="504"/>
      <c r="AL120" s="504"/>
      <c r="AM120" s="493" t="e">
        <f t="shared" si="67"/>
        <v>#N/A</v>
      </c>
      <c r="AN120" s="706"/>
      <c r="AO120" s="504"/>
      <c r="AP120" s="504"/>
      <c r="AQ120" s="504"/>
      <c r="AR120" s="493" t="e">
        <f t="shared" si="69"/>
        <v>#N/A</v>
      </c>
      <c r="AS120" s="706"/>
      <c r="AT120" s="504"/>
      <c r="AU120" s="504"/>
      <c r="AV120" s="504"/>
      <c r="AW120" s="493" t="e">
        <f t="shared" si="71"/>
        <v>#N/A</v>
      </c>
      <c r="AX120" s="706"/>
    </row>
    <row r="121" spans="2:50">
      <c r="B121" s="692"/>
      <c r="C121" s="493">
        <v>15</v>
      </c>
      <c r="D121" s="504"/>
      <c r="E121" s="504"/>
      <c r="F121" s="504"/>
      <c r="G121" s="504"/>
      <c r="H121" s="714"/>
      <c r="I121" s="493"/>
      <c r="J121" s="493"/>
      <c r="K121" s="493"/>
      <c r="L121" s="642"/>
      <c r="M121" s="494" t="e">
        <f>RANK(K121, K$107:$K$121)</f>
        <v>#DIV/0!</v>
      </c>
      <c r="N121" s="659"/>
      <c r="O121" s="659"/>
      <c r="P121" s="493"/>
      <c r="Q121" s="494"/>
      <c r="R121" s="494"/>
      <c r="S121" s="493" t="e">
        <f t="shared" si="60"/>
        <v>#N/A</v>
      </c>
      <c r="T121" s="706"/>
      <c r="U121" s="493"/>
      <c r="V121" s="494"/>
      <c r="W121" s="494"/>
      <c r="X121" s="493" t="e">
        <f t="shared" si="61"/>
        <v>#N/A</v>
      </c>
      <c r="Y121" s="706"/>
      <c r="Z121" s="493"/>
      <c r="AA121" s="494"/>
      <c r="AB121" s="494"/>
      <c r="AC121" s="493" t="e">
        <f t="shared" si="63"/>
        <v>#N/A</v>
      </c>
      <c r="AD121" s="706"/>
      <c r="AE121" s="493"/>
      <c r="AF121" s="494"/>
      <c r="AG121" s="494"/>
      <c r="AH121" s="493" t="e">
        <f t="shared" si="65"/>
        <v>#N/A</v>
      </c>
      <c r="AI121" s="706"/>
      <c r="AJ121" s="493"/>
      <c r="AK121" s="494"/>
      <c r="AL121" s="494"/>
      <c r="AM121" s="493" t="e">
        <f t="shared" si="67"/>
        <v>#N/A</v>
      </c>
      <c r="AN121" s="706"/>
      <c r="AO121" s="493"/>
      <c r="AP121" s="494"/>
      <c r="AQ121" s="494"/>
      <c r="AR121" s="493" t="e">
        <f t="shared" si="69"/>
        <v>#N/A</v>
      </c>
      <c r="AS121" s="706"/>
      <c r="AT121" s="493"/>
      <c r="AU121" s="494"/>
      <c r="AV121" s="494"/>
      <c r="AW121" s="493" t="e">
        <f t="shared" si="71"/>
        <v>#N/A</v>
      </c>
      <c r="AX121" s="706"/>
    </row>
    <row r="123" spans="2:50" ht="15.75">
      <c r="B123" s="698" t="s">
        <v>661</v>
      </c>
      <c r="C123" s="699"/>
      <c r="D123" s="699"/>
      <c r="E123" s="699"/>
      <c r="F123" s="699"/>
      <c r="G123" s="699"/>
      <c r="H123" s="700"/>
      <c r="I123" s="347"/>
      <c r="J123" s="347"/>
      <c r="K123" s="347"/>
      <c r="L123" s="347"/>
      <c r="M123" s="348"/>
    </row>
    <row r="124" spans="2:50" ht="15.75">
      <c r="B124" s="701"/>
      <c r="C124" s="701"/>
      <c r="D124" s="701"/>
      <c r="E124" s="701"/>
      <c r="F124" s="701"/>
      <c r="G124" s="701"/>
      <c r="H124" s="701"/>
      <c r="I124" s="349"/>
      <c r="J124" s="349"/>
      <c r="K124" s="349"/>
      <c r="L124" s="349"/>
      <c r="M124" s="350"/>
    </row>
    <row r="125" spans="2:50">
      <c r="B125" s="659" t="s">
        <v>662</v>
      </c>
      <c r="C125" s="659" t="s">
        <v>663</v>
      </c>
      <c r="D125" s="659"/>
      <c r="E125" s="659" t="s">
        <v>664</v>
      </c>
      <c r="F125" s="659"/>
      <c r="G125" s="659"/>
      <c r="H125" s="675" t="s">
        <v>665</v>
      </c>
      <c r="I125" s="702" t="s">
        <v>666</v>
      </c>
      <c r="J125" s="702"/>
      <c r="K125" s="702"/>
      <c r="L125" s="718" t="s">
        <v>665</v>
      </c>
      <c r="M125" s="721" t="s">
        <v>667</v>
      </c>
    </row>
    <row r="126" spans="2:50">
      <c r="B126" s="659"/>
      <c r="C126" s="659"/>
      <c r="D126" s="659"/>
      <c r="E126" s="659" t="s">
        <v>668</v>
      </c>
      <c r="F126" s="659"/>
      <c r="G126" s="659"/>
      <c r="H126" s="676"/>
      <c r="I126" s="702" t="s">
        <v>668</v>
      </c>
      <c r="J126" s="702"/>
      <c r="K126" s="702"/>
      <c r="L126" s="719"/>
      <c r="M126" s="722"/>
    </row>
    <row r="127" spans="2:50">
      <c r="B127" s="659"/>
      <c r="C127" s="659"/>
      <c r="D127" s="659"/>
      <c r="E127" s="344" t="s">
        <v>669</v>
      </c>
      <c r="F127" s="344" t="s">
        <v>670</v>
      </c>
      <c r="G127" s="344" t="s">
        <v>671</v>
      </c>
      <c r="H127" s="677"/>
      <c r="I127" s="351" t="s">
        <v>669</v>
      </c>
      <c r="J127" s="351" t="s">
        <v>670</v>
      </c>
      <c r="K127" s="351" t="s">
        <v>671</v>
      </c>
      <c r="L127" s="720"/>
      <c r="M127" s="723"/>
    </row>
    <row r="128" spans="2:50">
      <c r="B128" s="707" t="s">
        <v>673</v>
      </c>
      <c r="C128" s="343">
        <v>1</v>
      </c>
      <c r="D128" s="227"/>
      <c r="E128" s="182"/>
      <c r="F128" s="343"/>
      <c r="G128" s="346"/>
      <c r="H128" s="708" t="e">
        <f>AVERAGE(G128:G142)</f>
        <v>#DIV/0!</v>
      </c>
      <c r="I128" s="199" t="e">
        <f t="shared" ref="I128:K134" si="75">AVERAGEIF($D$7:$D$121,$D128,I$7:I$121)</f>
        <v>#DIV/0!</v>
      </c>
      <c r="J128" s="199" t="e">
        <f t="shared" si="75"/>
        <v>#DIV/0!</v>
      </c>
      <c r="K128" s="199" t="e">
        <f>AVERAGEIF($D$7:$D$121,$D128,K$7:K$121)</f>
        <v>#DIV/0!</v>
      </c>
      <c r="L128" s="715" t="e">
        <f>AVERAGE(K128:K142)</f>
        <v>#DIV/0!</v>
      </c>
      <c r="M128" s="199" t="e">
        <f>RANK(K128, K$128:$K$142)</f>
        <v>#DIV/0!</v>
      </c>
    </row>
    <row r="129" spans="2:13" s="108" customFormat="1">
      <c r="B129" s="667"/>
      <c r="C129" s="343">
        <v>2</v>
      </c>
      <c r="D129" s="227"/>
      <c r="E129" s="182"/>
      <c r="F129" s="343"/>
      <c r="G129" s="346"/>
      <c r="H129" s="709"/>
      <c r="I129" s="199" t="e">
        <f t="shared" si="75"/>
        <v>#DIV/0!</v>
      </c>
      <c r="J129" s="199" t="e">
        <f t="shared" si="75"/>
        <v>#DIV/0!</v>
      </c>
      <c r="K129" s="199" t="e">
        <f t="shared" si="75"/>
        <v>#DIV/0!</v>
      </c>
      <c r="L129" s="716"/>
      <c r="M129" s="199" t="e">
        <f>RANK(K129, K$128:$K$142)</f>
        <v>#DIV/0!</v>
      </c>
    </row>
    <row r="130" spans="2:13" s="108" customFormat="1">
      <c r="B130" s="667"/>
      <c r="C130" s="343">
        <v>3</v>
      </c>
      <c r="D130" s="227"/>
      <c r="E130" s="182"/>
      <c r="F130" s="343"/>
      <c r="G130" s="346"/>
      <c r="H130" s="709"/>
      <c r="I130" s="199" t="e">
        <f t="shared" si="75"/>
        <v>#DIV/0!</v>
      </c>
      <c r="J130" s="199" t="e">
        <f t="shared" si="75"/>
        <v>#DIV/0!</v>
      </c>
      <c r="K130" s="199" t="e">
        <f t="shared" si="75"/>
        <v>#DIV/0!</v>
      </c>
      <c r="L130" s="716"/>
      <c r="M130" s="199" t="e">
        <f>RANK(K130, K$128:$K$142)</f>
        <v>#DIV/0!</v>
      </c>
    </row>
    <row r="131" spans="2:13" s="108" customFormat="1">
      <c r="B131" s="667"/>
      <c r="C131" s="343">
        <v>4</v>
      </c>
      <c r="D131" s="227"/>
      <c r="E131" s="182"/>
      <c r="F131" s="343"/>
      <c r="G131" s="346"/>
      <c r="H131" s="709"/>
      <c r="I131" s="199" t="e">
        <f t="shared" si="75"/>
        <v>#DIV/0!</v>
      </c>
      <c r="J131" s="199" t="e">
        <f t="shared" si="75"/>
        <v>#DIV/0!</v>
      </c>
      <c r="K131" s="199" t="e">
        <f t="shared" si="75"/>
        <v>#DIV/0!</v>
      </c>
      <c r="L131" s="716"/>
      <c r="M131" s="199" t="e">
        <f>RANK(K131, K$128:$K$142)</f>
        <v>#DIV/0!</v>
      </c>
    </row>
    <row r="132" spans="2:13" s="108" customFormat="1">
      <c r="B132" s="667"/>
      <c r="C132" s="343">
        <v>5</v>
      </c>
      <c r="D132" s="227"/>
      <c r="E132" s="182"/>
      <c r="F132" s="343"/>
      <c r="G132" s="346"/>
      <c r="H132" s="709"/>
      <c r="I132" s="199" t="e">
        <f t="shared" si="75"/>
        <v>#DIV/0!</v>
      </c>
      <c r="J132" s="199" t="e">
        <f t="shared" si="75"/>
        <v>#DIV/0!</v>
      </c>
      <c r="K132" s="199" t="e">
        <f t="shared" si="75"/>
        <v>#DIV/0!</v>
      </c>
      <c r="L132" s="716"/>
      <c r="M132" s="199" t="e">
        <f>RANK(K132, K$128:$K$142)</f>
        <v>#DIV/0!</v>
      </c>
    </row>
    <row r="133" spans="2:13" s="108" customFormat="1">
      <c r="B133" s="667"/>
      <c r="C133" s="343">
        <v>6</v>
      </c>
      <c r="D133" s="352"/>
      <c r="E133" s="182"/>
      <c r="F133" s="343"/>
      <c r="G133" s="346"/>
      <c r="H133" s="709"/>
      <c r="I133" s="199" t="e">
        <f t="shared" si="75"/>
        <v>#DIV/0!</v>
      </c>
      <c r="J133" s="199" t="e">
        <f t="shared" si="75"/>
        <v>#DIV/0!</v>
      </c>
      <c r="K133" s="199" t="e">
        <f t="shared" si="75"/>
        <v>#DIV/0!</v>
      </c>
      <c r="L133" s="716"/>
      <c r="M133" s="199" t="e">
        <f>RANK(K133, K$128:$K$142)</f>
        <v>#DIV/0!</v>
      </c>
    </row>
    <row r="134" spans="2:13" s="108" customFormat="1">
      <c r="B134" s="667"/>
      <c r="C134" s="343">
        <v>7</v>
      </c>
      <c r="D134" s="227"/>
      <c r="E134" s="182"/>
      <c r="F134" s="343"/>
      <c r="G134" s="346"/>
      <c r="H134" s="709"/>
      <c r="I134" s="199" t="e">
        <f t="shared" si="75"/>
        <v>#DIV/0!</v>
      </c>
      <c r="J134" s="199" t="e">
        <f t="shared" si="75"/>
        <v>#DIV/0!</v>
      </c>
      <c r="K134" s="199" t="e">
        <f t="shared" si="75"/>
        <v>#DIV/0!</v>
      </c>
      <c r="L134" s="716"/>
      <c r="M134" s="199" t="e">
        <f>RANK(K134, K$128:$K$142)</f>
        <v>#DIV/0!</v>
      </c>
    </row>
    <row r="135" spans="2:13" s="108" customFormat="1">
      <c r="B135" s="667"/>
      <c r="C135" s="343">
        <v>8</v>
      </c>
      <c r="D135" s="227"/>
      <c r="E135" s="182"/>
      <c r="F135" s="343"/>
      <c r="G135" s="346"/>
      <c r="H135" s="709"/>
      <c r="I135" s="199"/>
      <c r="J135" s="199"/>
      <c r="K135" s="199"/>
      <c r="L135" s="716"/>
      <c r="M135" s="199" t="e">
        <f>RANK(K135, K$128:$K$142)</f>
        <v>#DIV/0!</v>
      </c>
    </row>
    <row r="136" spans="2:13" s="108" customFormat="1">
      <c r="B136" s="667"/>
      <c r="C136" s="343">
        <v>9</v>
      </c>
      <c r="D136" s="227"/>
      <c r="E136" s="343"/>
      <c r="F136" s="343"/>
      <c r="G136" s="343"/>
      <c r="H136" s="709"/>
      <c r="I136" s="199"/>
      <c r="J136" s="199"/>
      <c r="K136" s="199"/>
      <c r="L136" s="716"/>
      <c r="M136" s="199" t="e">
        <f>RANK(K136, K$128:$K$142)</f>
        <v>#DIV/0!</v>
      </c>
    </row>
    <row r="137" spans="2:13" s="108" customFormat="1">
      <c r="B137" s="667"/>
      <c r="C137" s="343">
        <v>10</v>
      </c>
      <c r="D137" s="227"/>
      <c r="E137" s="343"/>
      <c r="F137" s="343"/>
      <c r="G137" s="343"/>
      <c r="H137" s="709"/>
      <c r="I137" s="199"/>
      <c r="J137" s="199"/>
      <c r="K137" s="199"/>
      <c r="L137" s="716"/>
      <c r="M137" s="199" t="e">
        <f>RANK(K137, K$128:$K$142)</f>
        <v>#DIV/0!</v>
      </c>
    </row>
    <row r="138" spans="2:13" s="108" customFormat="1">
      <c r="B138" s="667"/>
      <c r="C138" s="343">
        <v>11</v>
      </c>
      <c r="D138" s="227"/>
      <c r="E138" s="343"/>
      <c r="F138" s="343"/>
      <c r="G138" s="343"/>
      <c r="H138" s="709"/>
      <c r="I138" s="199"/>
      <c r="J138" s="199"/>
      <c r="K138" s="199"/>
      <c r="L138" s="716"/>
      <c r="M138" s="199" t="e">
        <f>RANK(K138, K$128:$K$142)</f>
        <v>#DIV/0!</v>
      </c>
    </row>
    <row r="139" spans="2:13" s="108" customFormat="1">
      <c r="B139" s="667"/>
      <c r="C139" s="343">
        <v>12</v>
      </c>
      <c r="D139" s="227"/>
      <c r="E139" s="343"/>
      <c r="F139" s="343"/>
      <c r="G139" s="343"/>
      <c r="H139" s="709"/>
      <c r="I139" s="199"/>
      <c r="J139" s="199"/>
      <c r="K139" s="199"/>
      <c r="L139" s="716"/>
      <c r="M139" s="199" t="e">
        <f>RANK(K139, K$128:$K$142)</f>
        <v>#DIV/0!</v>
      </c>
    </row>
    <row r="140" spans="2:13" s="108" customFormat="1">
      <c r="B140" s="667"/>
      <c r="C140" s="343">
        <v>13</v>
      </c>
      <c r="D140" s="227"/>
      <c r="E140" s="343"/>
      <c r="F140" s="343"/>
      <c r="G140" s="343"/>
      <c r="H140" s="709"/>
      <c r="I140" s="199"/>
      <c r="J140" s="199"/>
      <c r="K140" s="199"/>
      <c r="L140" s="716"/>
      <c r="M140" s="199" t="e">
        <f>RANK(K140, K$128:$K$142)</f>
        <v>#DIV/0!</v>
      </c>
    </row>
    <row r="141" spans="2:13" s="108" customFormat="1">
      <c r="B141" s="667"/>
      <c r="C141" s="343">
        <v>14</v>
      </c>
      <c r="D141" s="227"/>
      <c r="E141" s="343"/>
      <c r="F141" s="343"/>
      <c r="G141" s="343"/>
      <c r="H141" s="709"/>
      <c r="I141" s="199"/>
      <c r="J141" s="199"/>
      <c r="K141" s="199"/>
      <c r="L141" s="716"/>
      <c r="M141" s="199" t="e">
        <f>RANK(K141, K$128:$K$142)</f>
        <v>#DIV/0!</v>
      </c>
    </row>
    <row r="142" spans="2:13" s="108" customFormat="1">
      <c r="B142" s="667"/>
      <c r="C142" s="343">
        <v>15</v>
      </c>
      <c r="D142" s="227"/>
      <c r="E142" s="343"/>
      <c r="F142" s="343"/>
      <c r="G142" s="343"/>
      <c r="H142" s="710"/>
      <c r="I142" s="199"/>
      <c r="J142" s="199"/>
      <c r="K142" s="199"/>
      <c r="L142" s="717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P2" sqref="P2:AX2"/>
      <selection pane="topRight" activeCell="AT7" sqref="AT7:AV1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257.59116520932349</v>
      </c>
    </row>
    <row r="2" spans="1:54" ht="15.75">
      <c r="A2" s="81"/>
      <c r="B2" s="671" t="s">
        <v>163</v>
      </c>
      <c r="C2" s="671"/>
      <c r="D2" s="671"/>
      <c r="E2" s="671"/>
      <c r="F2" s="671"/>
      <c r="G2" s="671"/>
      <c r="H2" s="671"/>
      <c r="I2" s="310"/>
      <c r="J2" s="310"/>
      <c r="K2" s="310"/>
      <c r="L2" s="310"/>
      <c r="M2" s="197"/>
      <c r="N2" s="660" t="s">
        <v>156</v>
      </c>
      <c r="O2" s="660" t="s">
        <v>155</v>
      </c>
      <c r="P2" s="687">
        <v>46084</v>
      </c>
      <c r="Q2" s="688"/>
      <c r="R2" s="688"/>
      <c r="S2" s="688"/>
      <c r="T2" s="689"/>
      <c r="U2" s="666">
        <f>P2+1</f>
        <v>46085</v>
      </c>
      <c r="V2" s="667"/>
      <c r="W2" s="667"/>
      <c r="X2" s="667"/>
      <c r="Y2" s="667"/>
      <c r="Z2" s="666">
        <f>U2+1</f>
        <v>46086</v>
      </c>
      <c r="AA2" s="667"/>
      <c r="AB2" s="667"/>
      <c r="AC2" s="667"/>
      <c r="AD2" s="667"/>
      <c r="AE2" s="666">
        <f>Z2+1</f>
        <v>46087</v>
      </c>
      <c r="AF2" s="667"/>
      <c r="AG2" s="667"/>
      <c r="AH2" s="667"/>
      <c r="AI2" s="667"/>
      <c r="AJ2" s="666">
        <f>AE2+1</f>
        <v>46088</v>
      </c>
      <c r="AK2" s="667"/>
      <c r="AL2" s="667"/>
      <c r="AM2" s="667"/>
      <c r="AN2" s="667"/>
      <c r="AO2" s="666">
        <f>AJ2+1</f>
        <v>46089</v>
      </c>
      <c r="AP2" s="667"/>
      <c r="AQ2" s="667"/>
      <c r="AR2" s="667"/>
      <c r="AS2" s="667"/>
      <c r="AT2" s="663">
        <f>AO2+1</f>
        <v>46090</v>
      </c>
      <c r="AU2" s="664"/>
      <c r="AV2" s="664"/>
      <c r="AW2" s="664"/>
      <c r="AX2" s="665"/>
    </row>
    <row r="3" spans="1:54" ht="15.75">
      <c r="A3" s="81"/>
      <c r="B3" s="690"/>
      <c r="C3" s="690"/>
      <c r="D3" s="690"/>
      <c r="E3" s="690"/>
      <c r="F3" s="690"/>
      <c r="G3" s="690"/>
      <c r="H3" s="690"/>
      <c r="I3" s="311"/>
      <c r="J3" s="311"/>
      <c r="K3" s="311"/>
      <c r="L3" s="311"/>
      <c r="M3" s="198"/>
      <c r="N3" s="662"/>
      <c r="O3" s="662"/>
      <c r="P3" s="663" t="s">
        <v>158</v>
      </c>
      <c r="Q3" s="664"/>
      <c r="R3" s="664"/>
      <c r="S3" s="664"/>
      <c r="T3" s="665"/>
      <c r="U3" s="663" t="s">
        <v>114</v>
      </c>
      <c r="V3" s="664"/>
      <c r="W3" s="664"/>
      <c r="X3" s="664"/>
      <c r="Y3" s="665"/>
      <c r="Z3" s="663" t="s">
        <v>159</v>
      </c>
      <c r="AA3" s="664"/>
      <c r="AB3" s="664"/>
      <c r="AC3" s="664"/>
      <c r="AD3" s="665"/>
      <c r="AE3" s="663" t="s">
        <v>157</v>
      </c>
      <c r="AF3" s="664"/>
      <c r="AG3" s="664"/>
      <c r="AH3" s="664"/>
      <c r="AI3" s="665"/>
      <c r="AJ3" s="663" t="s">
        <v>160</v>
      </c>
      <c r="AK3" s="664"/>
      <c r="AL3" s="664"/>
      <c r="AM3" s="664"/>
      <c r="AN3" s="665"/>
      <c r="AO3" s="663" t="s">
        <v>161</v>
      </c>
      <c r="AP3" s="664"/>
      <c r="AQ3" s="664"/>
      <c r="AR3" s="664"/>
      <c r="AS3" s="665"/>
      <c r="AT3" s="663" t="s">
        <v>162</v>
      </c>
      <c r="AU3" s="664"/>
      <c r="AV3" s="664"/>
      <c r="AW3" s="664"/>
      <c r="AX3" s="665"/>
    </row>
    <row r="4" spans="1:54" ht="14.25">
      <c r="A4" s="81"/>
      <c r="B4" s="659" t="s">
        <v>154</v>
      </c>
      <c r="C4" s="659" t="s">
        <v>429</v>
      </c>
      <c r="D4" s="659"/>
      <c r="E4" s="659" t="s">
        <v>462</v>
      </c>
      <c r="F4" s="659"/>
      <c r="G4" s="659"/>
      <c r="H4" s="675" t="s">
        <v>416</v>
      </c>
      <c r="I4" s="659" t="s">
        <v>464</v>
      </c>
      <c r="J4" s="659"/>
      <c r="K4" s="659"/>
      <c r="L4" s="675" t="s">
        <v>416</v>
      </c>
      <c r="M4" s="660" t="s">
        <v>417</v>
      </c>
      <c r="N4" s="659"/>
      <c r="O4" s="659" t="s">
        <v>466</v>
      </c>
      <c r="P4" s="656" t="s">
        <v>418</v>
      </c>
      <c r="Q4" s="657"/>
      <c r="R4" s="657"/>
      <c r="S4" s="658"/>
      <c r="T4" s="659" t="s">
        <v>416</v>
      </c>
      <c r="U4" s="656" t="s">
        <v>418</v>
      </c>
      <c r="V4" s="657"/>
      <c r="W4" s="657"/>
      <c r="X4" s="658"/>
      <c r="Y4" s="659" t="s">
        <v>416</v>
      </c>
      <c r="Z4" s="656" t="s">
        <v>418</v>
      </c>
      <c r="AA4" s="657"/>
      <c r="AB4" s="657"/>
      <c r="AC4" s="658"/>
      <c r="AD4" s="659" t="s">
        <v>416</v>
      </c>
      <c r="AE4" s="656" t="s">
        <v>418</v>
      </c>
      <c r="AF4" s="657"/>
      <c r="AG4" s="657"/>
      <c r="AH4" s="658"/>
      <c r="AI4" s="659" t="s">
        <v>416</v>
      </c>
      <c r="AJ4" s="656" t="s">
        <v>418</v>
      </c>
      <c r="AK4" s="657"/>
      <c r="AL4" s="657"/>
      <c r="AM4" s="658"/>
      <c r="AN4" s="659" t="s">
        <v>416</v>
      </c>
      <c r="AO4" s="656" t="s">
        <v>418</v>
      </c>
      <c r="AP4" s="657"/>
      <c r="AQ4" s="657"/>
      <c r="AR4" s="658"/>
      <c r="AS4" s="659" t="s">
        <v>416</v>
      </c>
      <c r="AT4" s="656" t="s">
        <v>418</v>
      </c>
      <c r="AU4" s="657"/>
      <c r="AV4" s="657"/>
      <c r="AW4" s="658"/>
      <c r="AX4" s="659" t="s">
        <v>416</v>
      </c>
    </row>
    <row r="5" spans="1:54" ht="14.25">
      <c r="A5" s="81"/>
      <c r="B5" s="659"/>
      <c r="C5" s="659"/>
      <c r="D5" s="659"/>
      <c r="E5" s="659" t="s">
        <v>423</v>
      </c>
      <c r="F5" s="659"/>
      <c r="G5" s="659"/>
      <c r="H5" s="676"/>
      <c r="I5" s="659" t="s">
        <v>423</v>
      </c>
      <c r="J5" s="659"/>
      <c r="K5" s="659"/>
      <c r="L5" s="676"/>
      <c r="M5" s="661"/>
      <c r="N5" s="659"/>
      <c r="O5" s="659"/>
      <c r="P5" s="656" t="s">
        <v>821</v>
      </c>
      <c r="Q5" s="657"/>
      <c r="R5" s="657"/>
      <c r="S5" s="658"/>
      <c r="T5" s="659"/>
      <c r="U5" s="656" t="s">
        <v>821</v>
      </c>
      <c r="V5" s="657"/>
      <c r="W5" s="657"/>
      <c r="X5" s="658"/>
      <c r="Y5" s="659"/>
      <c r="Z5" s="656" t="s">
        <v>821</v>
      </c>
      <c r="AA5" s="657"/>
      <c r="AB5" s="657"/>
      <c r="AC5" s="658"/>
      <c r="AD5" s="659"/>
      <c r="AE5" s="656" t="s">
        <v>821</v>
      </c>
      <c r="AF5" s="657"/>
      <c r="AG5" s="657"/>
      <c r="AH5" s="658"/>
      <c r="AI5" s="659"/>
      <c r="AJ5" s="656" t="s">
        <v>821</v>
      </c>
      <c r="AK5" s="657"/>
      <c r="AL5" s="657"/>
      <c r="AM5" s="658"/>
      <c r="AN5" s="659"/>
      <c r="AO5" s="656" t="s">
        <v>821</v>
      </c>
      <c r="AP5" s="657"/>
      <c r="AQ5" s="657"/>
      <c r="AR5" s="658"/>
      <c r="AS5" s="659"/>
      <c r="AT5" s="656" t="s">
        <v>821</v>
      </c>
      <c r="AU5" s="657"/>
      <c r="AV5" s="657"/>
      <c r="AW5" s="658"/>
      <c r="AX5" s="659"/>
    </row>
    <row r="6" spans="1:54" ht="14.25">
      <c r="A6" s="79"/>
      <c r="B6" s="659"/>
      <c r="C6" s="659"/>
      <c r="D6" s="659"/>
      <c r="E6" s="514" t="s">
        <v>425</v>
      </c>
      <c r="F6" s="514" t="s">
        <v>823</v>
      </c>
      <c r="G6" s="514" t="s">
        <v>824</v>
      </c>
      <c r="H6" s="677"/>
      <c r="I6" s="514" t="s">
        <v>425</v>
      </c>
      <c r="J6" s="514" t="s">
        <v>823</v>
      </c>
      <c r="K6" s="514" t="s">
        <v>824</v>
      </c>
      <c r="L6" s="677"/>
      <c r="M6" s="662"/>
      <c r="N6" s="659"/>
      <c r="O6" s="659"/>
      <c r="P6" s="514" t="s">
        <v>425</v>
      </c>
      <c r="Q6" s="514" t="s">
        <v>823</v>
      </c>
      <c r="R6" s="514" t="s">
        <v>824</v>
      </c>
      <c r="S6" s="514" t="s">
        <v>417</v>
      </c>
      <c r="T6" s="659"/>
      <c r="U6" s="514" t="s">
        <v>425</v>
      </c>
      <c r="V6" s="514" t="s">
        <v>823</v>
      </c>
      <c r="W6" s="514" t="s">
        <v>824</v>
      </c>
      <c r="X6" s="514" t="s">
        <v>417</v>
      </c>
      <c r="Y6" s="659"/>
      <c r="Z6" s="514" t="s">
        <v>425</v>
      </c>
      <c r="AA6" s="514" t="s">
        <v>823</v>
      </c>
      <c r="AB6" s="514" t="s">
        <v>824</v>
      </c>
      <c r="AC6" s="514" t="s">
        <v>417</v>
      </c>
      <c r="AD6" s="659"/>
      <c r="AE6" s="514" t="s">
        <v>425</v>
      </c>
      <c r="AF6" s="514" t="s">
        <v>823</v>
      </c>
      <c r="AG6" s="514" t="s">
        <v>824</v>
      </c>
      <c r="AH6" s="514" t="s">
        <v>417</v>
      </c>
      <c r="AI6" s="659"/>
      <c r="AJ6" s="514" t="s">
        <v>425</v>
      </c>
      <c r="AK6" s="514" t="s">
        <v>823</v>
      </c>
      <c r="AL6" s="514" t="s">
        <v>824</v>
      </c>
      <c r="AM6" s="514" t="s">
        <v>417</v>
      </c>
      <c r="AN6" s="659"/>
      <c r="AO6" s="514" t="s">
        <v>425</v>
      </c>
      <c r="AP6" s="514" t="s">
        <v>823</v>
      </c>
      <c r="AQ6" s="514" t="s">
        <v>824</v>
      </c>
      <c r="AR6" s="514" t="s">
        <v>417</v>
      </c>
      <c r="AS6" s="659"/>
      <c r="AT6" s="514" t="s">
        <v>425</v>
      </c>
      <c r="AU6" s="514" t="s">
        <v>823</v>
      </c>
      <c r="AV6" s="514" t="s">
        <v>824</v>
      </c>
      <c r="AW6" s="514" t="s">
        <v>417</v>
      </c>
      <c r="AX6" s="659"/>
    </row>
    <row r="7" spans="1:54" ht="14.25">
      <c r="A7" s="81"/>
      <c r="B7" s="707" t="s">
        <v>826</v>
      </c>
      <c r="C7" s="515">
        <v>1</v>
      </c>
      <c r="D7" s="498" t="s">
        <v>387</v>
      </c>
      <c r="E7" s="518">
        <v>4</v>
      </c>
      <c r="F7" s="518">
        <v>2000</v>
      </c>
      <c r="G7" s="518">
        <v>500</v>
      </c>
      <c r="H7" s="703">
        <f>AVERAGE(G7:G21)</f>
        <v>293.66060606060603</v>
      </c>
      <c r="I7" s="518">
        <f>AVERAGE(P7,U7,Z7,AE7,AJ7,AO7,AT7)</f>
        <v>5</v>
      </c>
      <c r="J7" s="518">
        <f>AVERAGE(Q7,V7,AA7,AF7,AK7,AP7,AU7)</f>
        <v>2132.2916662794237</v>
      </c>
      <c r="K7" s="513">
        <f>AVERAGE(R7,W7,AB7,AG7,AL7,AQ7,AV7)</f>
        <v>426.45833325588472</v>
      </c>
      <c r="L7" s="703">
        <f>AVERAGE(K7:K21)</f>
        <v>257.59116520932349</v>
      </c>
      <c r="M7" s="518">
        <f>RANK(K7, K$7:$K$21)</f>
        <v>2</v>
      </c>
      <c r="N7" s="659"/>
      <c r="O7" s="659"/>
      <c r="P7" s="515">
        <v>5</v>
      </c>
      <c r="Q7" s="518">
        <v>2133.0434782608695</v>
      </c>
      <c r="R7" s="518">
        <v>426.60869565217388</v>
      </c>
      <c r="S7" s="515">
        <f>RANK(R7, R$7:R$21)</f>
        <v>3</v>
      </c>
      <c r="T7" s="706">
        <f>AVERAGE(R7:R21)</f>
        <v>261.50566097626825</v>
      </c>
      <c r="U7" s="573">
        <v>5</v>
      </c>
      <c r="V7" s="574">
        <v>2131.3846153846148</v>
      </c>
      <c r="W7" s="574">
        <v>426.27692307692297</v>
      </c>
      <c r="X7" s="515">
        <f>RANK(W7, W$7:W$21)</f>
        <v>3</v>
      </c>
      <c r="Y7" s="706">
        <f t="shared" ref="Y7" si="0">AVERAGE(W7:W21)</f>
        <v>260.98730389632811</v>
      </c>
      <c r="Z7" s="573">
        <v>5</v>
      </c>
      <c r="AA7" s="574">
        <v>2139.0000000000005</v>
      </c>
      <c r="AB7" s="574">
        <v>427.80000000000007</v>
      </c>
      <c r="AC7" s="515">
        <f>RANK(AB7, AB$7:AB$21)</f>
        <v>1</v>
      </c>
      <c r="AD7" s="706">
        <f t="shared" ref="AD7" si="1">AVERAGE(AB7:AB21)</f>
        <v>254.07571663676106</v>
      </c>
      <c r="AE7" s="573">
        <v>5</v>
      </c>
      <c r="AF7" s="574">
        <v>2136.4705882352951</v>
      </c>
      <c r="AG7" s="574">
        <v>427.29411764705901</v>
      </c>
      <c r="AH7" s="515">
        <f>RANK(AG7, AG$7:AG$21)</f>
        <v>2</v>
      </c>
      <c r="AI7" s="706">
        <f t="shared" ref="AI7" si="2">AVERAGE(AG7:AG21)</f>
        <v>254.59777542165378</v>
      </c>
      <c r="AJ7" s="573">
        <v>5</v>
      </c>
      <c r="AK7" s="574">
        <v>2129.4915254237289</v>
      </c>
      <c r="AL7" s="574">
        <v>425.8983050847458</v>
      </c>
      <c r="AM7" s="515">
        <f>RANK(AL7, AL$7:AL$21)</f>
        <v>3</v>
      </c>
      <c r="AN7" s="706">
        <f t="shared" ref="AN7" si="3">AVERAGE(AL7:AL21)</f>
        <v>259.6408190239917</v>
      </c>
      <c r="AO7" s="573">
        <v>5</v>
      </c>
      <c r="AP7" s="574">
        <v>2122.5974025974028</v>
      </c>
      <c r="AQ7" s="574">
        <v>424.51948051948057</v>
      </c>
      <c r="AR7" s="515">
        <f>RANK(AQ7, AQ$7:AQ$21)</f>
        <v>3</v>
      </c>
      <c r="AS7" s="706">
        <f t="shared" ref="AS7" si="4">AVERAGE(AQ7:AQ21)</f>
        <v>254.03431628220505</v>
      </c>
      <c r="AT7" s="573">
        <v>5</v>
      </c>
      <c r="AU7" s="574">
        <v>2134.0540540540533</v>
      </c>
      <c r="AV7" s="574">
        <v>426.81081081081066</v>
      </c>
      <c r="AW7" s="515">
        <f>RANK(AV7, AV$7:AV$21)</f>
        <v>2</v>
      </c>
      <c r="AX7" s="706">
        <f t="shared" ref="AX7" si="5">AVERAGE(AV7:AV21)</f>
        <v>258.29656422805641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92"/>
      <c r="C8" s="515">
        <v>2</v>
      </c>
      <c r="D8" s="498" t="s">
        <v>501</v>
      </c>
      <c r="E8" s="518">
        <v>4</v>
      </c>
      <c r="F8" s="518">
        <v>2000</v>
      </c>
      <c r="G8" s="518">
        <v>500</v>
      </c>
      <c r="H8" s="704"/>
      <c r="I8" s="518">
        <f t="shared" ref="I8:I17" si="6">AVERAGE(P8,U8,Z8,AE8,AJ8,AO8,AT8)</f>
        <v>5</v>
      </c>
      <c r="J8" s="518">
        <f t="shared" ref="J8:J17" si="7">AVERAGE(Q8,V8,AA8,AF8,AK8,AP8,AU8)</f>
        <v>2137.0082918295107</v>
      </c>
      <c r="K8" s="513">
        <f t="shared" ref="K8:K17" si="8">AVERAGE(R8,W8,AB8,AG8,AL8,AQ8,AV8)</f>
        <v>427.40165836590211</v>
      </c>
      <c r="L8" s="704"/>
      <c r="M8" s="518">
        <f>RANK(K8, K$7:$K$21)</f>
        <v>1</v>
      </c>
      <c r="N8" s="659"/>
      <c r="O8" s="659"/>
      <c r="P8" s="515">
        <v>5</v>
      </c>
      <c r="Q8" s="518">
        <v>2134.2857142857151</v>
      </c>
      <c r="R8" s="518">
        <v>426.857142857143</v>
      </c>
      <c r="S8" s="515">
        <f t="shared" ref="S8:S21" si="9">RANK(R8, R$7:R$21)</f>
        <v>2</v>
      </c>
      <c r="T8" s="706"/>
      <c r="U8" s="573">
        <v>5</v>
      </c>
      <c r="V8" s="574">
        <v>2151.1475409836071</v>
      </c>
      <c r="W8" s="574">
        <v>430.22950819672144</v>
      </c>
      <c r="X8" s="515">
        <f t="shared" ref="X8:X21" si="10">RANK(W8, W$7:W$21)</f>
        <v>1</v>
      </c>
      <c r="Y8" s="706"/>
      <c r="Z8" s="573">
        <v>5</v>
      </c>
      <c r="AA8" s="574">
        <v>2131.0344827586209</v>
      </c>
      <c r="AB8" s="574">
        <v>426.20689655172418</v>
      </c>
      <c r="AC8" s="515">
        <f t="shared" ref="AC8:AC21" si="11">RANK(AB8, AB$7:AB$21)</f>
        <v>2</v>
      </c>
      <c r="AD8" s="706"/>
      <c r="AE8" s="573">
        <v>5</v>
      </c>
      <c r="AF8" s="574">
        <v>2145.0000000000005</v>
      </c>
      <c r="AG8" s="574">
        <v>429.00000000000011</v>
      </c>
      <c r="AH8" s="515">
        <f t="shared" ref="AH8:AH21" si="12">RANK(AG8, AG$7:AG$21)</f>
        <v>1</v>
      </c>
      <c r="AI8" s="706"/>
      <c r="AJ8" s="573">
        <v>5</v>
      </c>
      <c r="AK8" s="574">
        <v>2146.0714285714303</v>
      </c>
      <c r="AL8" s="574">
        <v>429.21428571428606</v>
      </c>
      <c r="AM8" s="515">
        <f t="shared" ref="AM8:AM21" si="13">RANK(AL8, AL$7:AL$21)</f>
        <v>1</v>
      </c>
      <c r="AN8" s="706"/>
      <c r="AO8" s="573">
        <v>5</v>
      </c>
      <c r="AP8" s="574">
        <v>2128.2352941176468</v>
      </c>
      <c r="AQ8" s="574">
        <v>425.64705882352939</v>
      </c>
      <c r="AR8" s="515">
        <f t="shared" ref="AR8:AR21" si="14">RANK(AQ8, AQ$7:AQ$21)</f>
        <v>2</v>
      </c>
      <c r="AS8" s="706"/>
      <c r="AT8" s="573">
        <v>5</v>
      </c>
      <c r="AU8" s="574">
        <v>2123.2835820895521</v>
      </c>
      <c r="AV8" s="574">
        <v>424.65671641791039</v>
      </c>
      <c r="AW8" s="515">
        <f t="shared" ref="AW8:AW21" si="15">RANK(AV8, AV$7:AV$21)</f>
        <v>3</v>
      </c>
      <c r="AX8" s="706"/>
      <c r="AZ8" s="362" t="e">
        <f>RANK(AX8, $K$7:AX$21)</f>
        <v>#N/A</v>
      </c>
      <c r="BB8" s="359" t="e">
        <f t="shared" ref="BB8:BB21" si="16">RANK(BA8, BA$7:BA$21)</f>
        <v>#N/A</v>
      </c>
    </row>
    <row r="9" spans="1:54" ht="14.25">
      <c r="A9" s="81"/>
      <c r="B9" s="692"/>
      <c r="C9" s="515">
        <v>3</v>
      </c>
      <c r="D9" s="498" t="s">
        <v>388</v>
      </c>
      <c r="E9" s="518">
        <v>13</v>
      </c>
      <c r="F9" s="518">
        <v>2250</v>
      </c>
      <c r="G9" s="518">
        <v>173.1</v>
      </c>
      <c r="H9" s="704"/>
      <c r="I9" s="518">
        <f t="shared" si="6"/>
        <v>13</v>
      </c>
      <c r="J9" s="518">
        <f t="shared" si="7"/>
        <v>2085.8897100499171</v>
      </c>
      <c r="K9" s="513">
        <f t="shared" si="8"/>
        <v>160.45305461922439</v>
      </c>
      <c r="L9" s="704"/>
      <c r="M9" s="518">
        <f>RANK(K9, K$7:$K$21)</f>
        <v>10</v>
      </c>
      <c r="N9" s="659"/>
      <c r="O9" s="659"/>
      <c r="P9" s="515">
        <v>13</v>
      </c>
      <c r="Q9" s="518">
        <v>2096.1290322580649</v>
      </c>
      <c r="R9" s="518">
        <v>161.24069478908191</v>
      </c>
      <c r="S9" s="515">
        <f t="shared" si="9"/>
        <v>10</v>
      </c>
      <c r="T9" s="706"/>
      <c r="U9" s="573">
        <v>13</v>
      </c>
      <c r="V9" s="574">
        <v>2067.0967741935488</v>
      </c>
      <c r="W9" s="574">
        <v>159.00744416873451</v>
      </c>
      <c r="X9" s="515">
        <f t="shared" si="10"/>
        <v>10</v>
      </c>
      <c r="Y9" s="706"/>
      <c r="Z9" s="573">
        <v>13</v>
      </c>
      <c r="AA9" s="574">
        <v>2072.0689655172414</v>
      </c>
      <c r="AB9" s="574">
        <v>159.38992042440319</v>
      </c>
      <c r="AC9" s="515">
        <f t="shared" si="11"/>
        <v>10</v>
      </c>
      <c r="AD9" s="706"/>
      <c r="AE9" s="573">
        <v>13</v>
      </c>
      <c r="AF9" s="574">
        <v>2112.5000000000005</v>
      </c>
      <c r="AG9" s="574">
        <v>162.50000000000003</v>
      </c>
      <c r="AH9" s="515">
        <f t="shared" si="12"/>
        <v>10</v>
      </c>
      <c r="AI9" s="706"/>
      <c r="AJ9" s="573">
        <v>13</v>
      </c>
      <c r="AK9" s="574">
        <v>2077.894736842105</v>
      </c>
      <c r="AL9" s="574">
        <v>159.83805668016191</v>
      </c>
      <c r="AM9" s="515">
        <f t="shared" si="13"/>
        <v>10</v>
      </c>
      <c r="AN9" s="706"/>
      <c r="AO9" s="573">
        <v>13</v>
      </c>
      <c r="AP9" s="574">
        <v>2070</v>
      </c>
      <c r="AQ9" s="574">
        <v>159.23076923076923</v>
      </c>
      <c r="AR9" s="515">
        <f t="shared" si="14"/>
        <v>10</v>
      </c>
      <c r="AS9" s="706"/>
      <c r="AT9" s="573">
        <v>13</v>
      </c>
      <c r="AU9" s="574">
        <v>2105.538461538461</v>
      </c>
      <c r="AV9" s="574">
        <v>161.96449704142009</v>
      </c>
      <c r="AW9" s="515">
        <f t="shared" si="15"/>
        <v>10</v>
      </c>
      <c r="AX9" s="706"/>
      <c r="AZ9" s="362" t="e">
        <f>RANK(AX9, $K$7:AX$21)</f>
        <v>#N/A</v>
      </c>
      <c r="BB9" s="359" t="e">
        <f t="shared" si="16"/>
        <v>#N/A</v>
      </c>
    </row>
    <row r="10" spans="1:54" ht="14.25">
      <c r="A10" s="81"/>
      <c r="B10" s="692"/>
      <c r="C10" s="515">
        <v>4</v>
      </c>
      <c r="D10" s="498" t="s">
        <v>389</v>
      </c>
      <c r="E10" s="518">
        <v>12</v>
      </c>
      <c r="F10" s="518">
        <v>2118</v>
      </c>
      <c r="G10" s="518">
        <v>176.5</v>
      </c>
      <c r="H10" s="704"/>
      <c r="I10" s="518">
        <f t="shared" si="6"/>
        <v>12</v>
      </c>
      <c r="J10" s="518">
        <f t="shared" si="7"/>
        <v>2031.2045867120009</v>
      </c>
      <c r="K10" s="513">
        <f t="shared" si="8"/>
        <v>169.26704889266674</v>
      </c>
      <c r="L10" s="704"/>
      <c r="M10" s="518">
        <f>RANK(K10, K$7:$K$21)</f>
        <v>7</v>
      </c>
      <c r="N10" s="659"/>
      <c r="O10" s="659"/>
      <c r="P10" s="515">
        <v>12</v>
      </c>
      <c r="Q10" s="518">
        <v>2101.8749999999982</v>
      </c>
      <c r="R10" s="518">
        <v>175.15624999999986</v>
      </c>
      <c r="S10" s="515">
        <f t="shared" si="9"/>
        <v>6</v>
      </c>
      <c r="T10" s="706"/>
      <c r="U10" s="573">
        <v>12</v>
      </c>
      <c r="V10" s="574">
        <v>2070.4615384615372</v>
      </c>
      <c r="W10" s="574">
        <v>172.53846153846143</v>
      </c>
      <c r="X10" s="515">
        <f t="shared" si="10"/>
        <v>6</v>
      </c>
      <c r="Y10" s="706"/>
      <c r="Z10" s="573">
        <v>12</v>
      </c>
      <c r="AA10" s="574">
        <v>2089.1803278688531</v>
      </c>
      <c r="AB10" s="574">
        <v>174.09836065573776</v>
      </c>
      <c r="AC10" s="515">
        <f t="shared" si="11"/>
        <v>6</v>
      </c>
      <c r="AD10" s="706"/>
      <c r="AE10" s="573">
        <v>12</v>
      </c>
      <c r="AF10" s="574">
        <v>2086.1538461538457</v>
      </c>
      <c r="AG10" s="574">
        <v>173.84615384615381</v>
      </c>
      <c r="AH10" s="515">
        <f t="shared" si="12"/>
        <v>6</v>
      </c>
      <c r="AI10" s="706"/>
      <c r="AJ10" s="573">
        <v>12</v>
      </c>
      <c r="AK10" s="574">
        <v>1944.9230769230778</v>
      </c>
      <c r="AL10" s="574">
        <v>162.07692307692315</v>
      </c>
      <c r="AM10" s="515">
        <f t="shared" si="13"/>
        <v>9</v>
      </c>
      <c r="AN10" s="706"/>
      <c r="AO10" s="573">
        <v>12</v>
      </c>
      <c r="AP10" s="574">
        <v>1963.0985915492961</v>
      </c>
      <c r="AQ10" s="574">
        <v>163.59154929577468</v>
      </c>
      <c r="AR10" s="515">
        <f t="shared" si="14"/>
        <v>9</v>
      </c>
      <c r="AS10" s="706"/>
      <c r="AT10" s="573">
        <v>12</v>
      </c>
      <c r="AU10" s="574">
        <v>1962.7397260273979</v>
      </c>
      <c r="AV10" s="574">
        <v>163.56164383561648</v>
      </c>
      <c r="AW10" s="515">
        <f t="shared" si="15"/>
        <v>9</v>
      </c>
      <c r="AX10" s="706"/>
      <c r="AZ10" s="362" t="e">
        <f>RANK(AX10, $K$7:AX$21)</f>
        <v>#N/A</v>
      </c>
      <c r="BB10" s="359" t="e">
        <f t="shared" si="16"/>
        <v>#N/A</v>
      </c>
    </row>
    <row r="11" spans="1:54" ht="14.25">
      <c r="A11" s="81"/>
      <c r="B11" s="692"/>
      <c r="C11" s="515">
        <v>5</v>
      </c>
      <c r="D11" s="498" t="s">
        <v>950</v>
      </c>
      <c r="E11" s="518">
        <v>13</v>
      </c>
      <c r="F11" s="518">
        <v>2250</v>
      </c>
      <c r="G11" s="518">
        <v>187.5</v>
      </c>
      <c r="H11" s="704"/>
      <c r="I11" s="518">
        <f t="shared" si="6"/>
        <v>13</v>
      </c>
      <c r="J11" s="518">
        <f t="shared" si="7"/>
        <v>2176.4748805618028</v>
      </c>
      <c r="K11" s="513">
        <f t="shared" si="8"/>
        <v>167.42114465860021</v>
      </c>
      <c r="L11" s="704"/>
      <c r="M11" s="518">
        <f>RANK(K11, K$7:$K$21)</f>
        <v>9</v>
      </c>
      <c r="N11" s="659"/>
      <c r="O11" s="659"/>
      <c r="P11" s="515">
        <v>13</v>
      </c>
      <c r="Q11" s="518">
        <v>2184.5783132530128</v>
      </c>
      <c r="R11" s="518">
        <v>168.04448563484715</v>
      </c>
      <c r="S11" s="515">
        <f t="shared" si="9"/>
        <v>9</v>
      </c>
      <c r="T11" s="706"/>
      <c r="U11" s="573">
        <v>13</v>
      </c>
      <c r="V11" s="574">
        <v>2177.3493975903616</v>
      </c>
      <c r="W11" s="574">
        <v>167.48841519925858</v>
      </c>
      <c r="X11" s="515">
        <f t="shared" si="10"/>
        <v>9</v>
      </c>
      <c r="Y11" s="706"/>
      <c r="Z11" s="573">
        <v>13</v>
      </c>
      <c r="AA11" s="574">
        <v>2168.25</v>
      </c>
      <c r="AB11" s="574">
        <v>166.78846153846155</v>
      </c>
      <c r="AC11" s="515">
        <f t="shared" si="11"/>
        <v>9</v>
      </c>
      <c r="AD11" s="706"/>
      <c r="AE11" s="573">
        <v>13</v>
      </c>
      <c r="AF11" s="574">
        <v>2210</v>
      </c>
      <c r="AG11" s="574">
        <v>170</v>
      </c>
      <c r="AH11" s="515">
        <f t="shared" si="12"/>
        <v>8</v>
      </c>
      <c r="AI11" s="706"/>
      <c r="AJ11" s="573">
        <v>13</v>
      </c>
      <c r="AK11" s="574">
        <v>2186.8421052631575</v>
      </c>
      <c r="AL11" s="574">
        <v>168.21862348178135</v>
      </c>
      <c r="AM11" s="515">
        <f t="shared" si="13"/>
        <v>7</v>
      </c>
      <c r="AN11" s="706"/>
      <c r="AO11" s="573">
        <v>13</v>
      </c>
      <c r="AP11" s="574">
        <v>2162</v>
      </c>
      <c r="AQ11" s="574">
        <v>166.30769230769232</v>
      </c>
      <c r="AR11" s="515">
        <f t="shared" si="14"/>
        <v>8</v>
      </c>
      <c r="AS11" s="706"/>
      <c r="AT11" s="573">
        <v>13</v>
      </c>
      <c r="AU11" s="574">
        <v>2146.304347826087</v>
      </c>
      <c r="AV11" s="574">
        <v>165.10033444816054</v>
      </c>
      <c r="AW11" s="515">
        <f t="shared" si="15"/>
        <v>7</v>
      </c>
      <c r="AX11" s="706"/>
      <c r="AZ11" s="362" t="e">
        <f>RANK(AX11, $K$7:AX$21)</f>
        <v>#N/A</v>
      </c>
      <c r="BB11" s="359" t="e">
        <f t="shared" si="16"/>
        <v>#N/A</v>
      </c>
    </row>
    <row r="12" spans="1:54" ht="14.25">
      <c r="A12" s="81"/>
      <c r="B12" s="692"/>
      <c r="C12" s="515">
        <v>6</v>
      </c>
      <c r="D12" s="498" t="s">
        <v>390</v>
      </c>
      <c r="E12" s="518">
        <v>13</v>
      </c>
      <c r="F12" s="518">
        <v>2250</v>
      </c>
      <c r="G12" s="518">
        <v>173.1</v>
      </c>
      <c r="H12" s="704"/>
      <c r="I12" s="518">
        <f t="shared" si="6"/>
        <v>13</v>
      </c>
      <c r="J12" s="518">
        <f t="shared" si="7"/>
        <v>2180.228807973212</v>
      </c>
      <c r="K12" s="513">
        <f t="shared" si="8"/>
        <v>167.70990830563164</v>
      </c>
      <c r="L12" s="704"/>
      <c r="M12" s="518">
        <f>RANK(K12, K$7:$K$21)</f>
        <v>8</v>
      </c>
      <c r="N12" s="659"/>
      <c r="O12" s="659"/>
      <c r="P12" s="515">
        <v>13</v>
      </c>
      <c r="Q12" s="518">
        <v>2208.0000000000005</v>
      </c>
      <c r="R12" s="518">
        <v>169.84615384615387</v>
      </c>
      <c r="S12" s="515">
        <f t="shared" si="9"/>
        <v>8</v>
      </c>
      <c r="T12" s="706"/>
      <c r="U12" s="573">
        <v>13</v>
      </c>
      <c r="V12" s="574">
        <v>2213.1958762886597</v>
      </c>
      <c r="W12" s="574">
        <v>170.24583663758921</v>
      </c>
      <c r="X12" s="515">
        <f t="shared" si="10"/>
        <v>8</v>
      </c>
      <c r="Y12" s="706"/>
      <c r="Z12" s="573">
        <v>13</v>
      </c>
      <c r="AA12" s="574">
        <v>2170</v>
      </c>
      <c r="AB12" s="574">
        <v>166.92307692307693</v>
      </c>
      <c r="AC12" s="515">
        <f t="shared" si="11"/>
        <v>8</v>
      </c>
      <c r="AD12" s="706"/>
      <c r="AE12" s="573">
        <v>13</v>
      </c>
      <c r="AF12" s="574">
        <v>2186.823529411764</v>
      </c>
      <c r="AG12" s="574">
        <v>168.21719457013569</v>
      </c>
      <c r="AH12" s="515">
        <f t="shared" si="12"/>
        <v>9</v>
      </c>
      <c r="AI12" s="706"/>
      <c r="AJ12" s="573">
        <v>13</v>
      </c>
      <c r="AK12" s="574">
        <v>2182.886597938144</v>
      </c>
      <c r="AL12" s="574">
        <v>167.91435368754952</v>
      </c>
      <c r="AM12" s="515">
        <f t="shared" si="13"/>
        <v>8</v>
      </c>
      <c r="AN12" s="706"/>
      <c r="AO12" s="573">
        <v>13</v>
      </c>
      <c r="AP12" s="574">
        <v>2164.1739130434785</v>
      </c>
      <c r="AQ12" s="574">
        <v>166.47491638795989</v>
      </c>
      <c r="AR12" s="515">
        <f t="shared" si="14"/>
        <v>7</v>
      </c>
      <c r="AS12" s="706"/>
      <c r="AT12" s="573">
        <v>13</v>
      </c>
      <c r="AU12" s="574">
        <v>2136.521739130435</v>
      </c>
      <c r="AV12" s="574">
        <v>164.34782608695653</v>
      </c>
      <c r="AW12" s="515">
        <f t="shared" si="15"/>
        <v>8</v>
      </c>
      <c r="AX12" s="706"/>
      <c r="AZ12" s="362" t="e">
        <f>RANK(AX12, $K$7:AX$21)</f>
        <v>#N/A</v>
      </c>
      <c r="BB12" s="359" t="e">
        <f t="shared" si="16"/>
        <v>#N/A</v>
      </c>
    </row>
    <row r="13" spans="1:54" ht="14.25">
      <c r="A13" s="81"/>
      <c r="B13" s="692"/>
      <c r="C13" s="515">
        <v>7</v>
      </c>
      <c r="D13" s="498" t="s">
        <v>391</v>
      </c>
      <c r="E13" s="518">
        <v>10</v>
      </c>
      <c r="F13" s="518">
        <v>2769</v>
      </c>
      <c r="G13" s="518">
        <v>276.89999999999998</v>
      </c>
      <c r="H13" s="704"/>
      <c r="I13" s="518">
        <f t="shared" si="6"/>
        <v>10</v>
      </c>
      <c r="J13" s="518">
        <f t="shared" si="7"/>
        <v>2278.751427876025</v>
      </c>
      <c r="K13" s="513">
        <f t="shared" si="8"/>
        <v>227.87514278760244</v>
      </c>
      <c r="L13" s="704"/>
      <c r="M13" s="518">
        <f>RANK(K13, K$7:$K$21)</f>
        <v>5</v>
      </c>
      <c r="N13" s="659"/>
      <c r="O13" s="659"/>
      <c r="P13" s="515">
        <v>10</v>
      </c>
      <c r="Q13" s="518">
        <v>2274.3333333333298</v>
      </c>
      <c r="R13" s="518">
        <v>227.433333333333</v>
      </c>
      <c r="S13" s="515">
        <f t="shared" si="9"/>
        <v>5</v>
      </c>
      <c r="T13" s="706"/>
      <c r="U13" s="573">
        <v>10</v>
      </c>
      <c r="V13" s="574">
        <v>2292.2812499999995</v>
      </c>
      <c r="W13" s="574">
        <v>229.22812499999995</v>
      </c>
      <c r="X13" s="515">
        <f t="shared" si="10"/>
        <v>5</v>
      </c>
      <c r="Y13" s="706"/>
      <c r="Z13" s="573">
        <v>10</v>
      </c>
      <c r="AA13" s="574">
        <v>2324.349999999999</v>
      </c>
      <c r="AB13" s="574">
        <v>232.43499999999989</v>
      </c>
      <c r="AC13" s="515">
        <f t="shared" si="11"/>
        <v>5</v>
      </c>
      <c r="AD13" s="706"/>
      <c r="AE13" s="573">
        <v>10</v>
      </c>
      <c r="AF13" s="574">
        <v>2307.5084745762697</v>
      </c>
      <c r="AG13" s="574">
        <v>230.75084745762697</v>
      </c>
      <c r="AH13" s="515">
        <f t="shared" si="12"/>
        <v>5</v>
      </c>
      <c r="AI13" s="706"/>
      <c r="AJ13" s="573">
        <v>10</v>
      </c>
      <c r="AK13" s="574">
        <v>2279.9999999999995</v>
      </c>
      <c r="AL13" s="574">
        <v>227.99999999999994</v>
      </c>
      <c r="AM13" s="515">
        <f t="shared" si="13"/>
        <v>5</v>
      </c>
      <c r="AN13" s="706"/>
      <c r="AO13" s="573">
        <v>10</v>
      </c>
      <c r="AP13" s="574">
        <v>2231.313253012047</v>
      </c>
      <c r="AQ13" s="574">
        <v>223.1313253012047</v>
      </c>
      <c r="AR13" s="515">
        <f t="shared" si="14"/>
        <v>5</v>
      </c>
      <c r="AS13" s="706"/>
      <c r="AT13" s="573">
        <v>10</v>
      </c>
      <c r="AU13" s="574">
        <v>2241.4736842105272</v>
      </c>
      <c r="AV13" s="574">
        <v>224.1473684210527</v>
      </c>
      <c r="AW13" s="515">
        <f t="shared" si="15"/>
        <v>5</v>
      </c>
      <c r="AX13" s="706"/>
      <c r="AZ13" s="362" t="e">
        <f>RANK(AX13, $K$7:AX$21)</f>
        <v>#N/A</v>
      </c>
      <c r="BB13" s="359" t="e">
        <f t="shared" si="16"/>
        <v>#N/A</v>
      </c>
    </row>
    <row r="14" spans="1:54" ht="14.25">
      <c r="A14" s="81"/>
      <c r="B14" s="692"/>
      <c r="C14" s="515">
        <v>8</v>
      </c>
      <c r="D14" s="498" t="s">
        <v>386</v>
      </c>
      <c r="E14" s="518">
        <v>18</v>
      </c>
      <c r="F14" s="518">
        <v>1200</v>
      </c>
      <c r="G14" s="518">
        <v>66.666666666666671</v>
      </c>
      <c r="H14" s="704"/>
      <c r="I14" s="518">
        <f t="shared" si="6"/>
        <v>13</v>
      </c>
      <c r="J14" s="518">
        <f t="shared" si="7"/>
        <v>1253.6971988795524</v>
      </c>
      <c r="K14" s="513">
        <f t="shared" si="8"/>
        <v>96.438246067657857</v>
      </c>
      <c r="L14" s="704"/>
      <c r="M14" s="518">
        <f>RANK(K14, K$7:$K$21)</f>
        <v>11</v>
      </c>
      <c r="N14" s="659"/>
      <c r="O14" s="659"/>
      <c r="P14" s="515">
        <v>13</v>
      </c>
      <c r="Q14" s="518">
        <v>1340</v>
      </c>
      <c r="R14" s="518">
        <v>103.07692307692308</v>
      </c>
      <c r="S14" s="515">
        <f t="shared" si="9"/>
        <v>11</v>
      </c>
      <c r="T14" s="706"/>
      <c r="U14" s="573">
        <v>13</v>
      </c>
      <c r="V14" s="574">
        <v>1289.6470588235304</v>
      </c>
      <c r="W14" s="574">
        <v>99.203619909502336</v>
      </c>
      <c r="X14" s="515">
        <f t="shared" si="10"/>
        <v>11</v>
      </c>
      <c r="Y14" s="706"/>
      <c r="Z14" s="573">
        <v>13</v>
      </c>
      <c r="AA14" s="574">
        <v>1232.8000000000004</v>
      </c>
      <c r="AB14" s="574">
        <v>94.830769230769263</v>
      </c>
      <c r="AC14" s="515">
        <f t="shared" si="11"/>
        <v>11</v>
      </c>
      <c r="AD14" s="706"/>
      <c r="AE14" s="573">
        <v>13</v>
      </c>
      <c r="AF14" s="574">
        <v>1200.0000000000007</v>
      </c>
      <c r="AG14" s="574">
        <v>92.307692307692363</v>
      </c>
      <c r="AH14" s="515">
        <f t="shared" si="12"/>
        <v>11</v>
      </c>
      <c r="AI14" s="706"/>
      <c r="AJ14" s="573">
        <v>13</v>
      </c>
      <c r="AK14" s="574">
        <v>1276.5000000000007</v>
      </c>
      <c r="AL14" s="574">
        <v>98.19230769230775</v>
      </c>
      <c r="AM14" s="515">
        <f t="shared" si="13"/>
        <v>11</v>
      </c>
      <c r="AN14" s="706"/>
      <c r="AO14" s="573">
        <v>13</v>
      </c>
      <c r="AP14" s="574">
        <v>1233.3333333333335</v>
      </c>
      <c r="AQ14" s="574">
        <v>94.87179487179489</v>
      </c>
      <c r="AR14" s="515">
        <f t="shared" si="14"/>
        <v>11</v>
      </c>
      <c r="AS14" s="706"/>
      <c r="AT14" s="573">
        <v>13</v>
      </c>
      <c r="AU14" s="574">
        <v>1203.6000000000004</v>
      </c>
      <c r="AV14" s="574">
        <v>92.584615384615418</v>
      </c>
      <c r="AW14" s="515">
        <f t="shared" si="15"/>
        <v>11</v>
      </c>
      <c r="AX14" s="706"/>
      <c r="AZ14" s="362" t="e">
        <f>RANK(AX14, $K$7:AX$21)</f>
        <v>#N/A</v>
      </c>
      <c r="BB14" s="359" t="e">
        <f t="shared" si="16"/>
        <v>#N/A</v>
      </c>
    </row>
    <row r="15" spans="1:54" ht="14.25">
      <c r="A15" s="81"/>
      <c r="B15" s="692"/>
      <c r="C15" s="515">
        <v>9</v>
      </c>
      <c r="D15" s="498" t="s">
        <v>800</v>
      </c>
      <c r="E15" s="518">
        <v>12</v>
      </c>
      <c r="F15" s="518">
        <v>2118</v>
      </c>
      <c r="G15" s="518">
        <v>176.5</v>
      </c>
      <c r="H15" s="704"/>
      <c r="I15" s="518">
        <f t="shared" si="6"/>
        <v>12</v>
      </c>
      <c r="J15" s="518">
        <f t="shared" si="7"/>
        <v>2060.1726753308849</v>
      </c>
      <c r="K15" s="513">
        <f t="shared" si="8"/>
        <v>171.68105627757373</v>
      </c>
      <c r="L15" s="704"/>
      <c r="M15" s="518">
        <f>RANK(K15, K$7:$K$21)</f>
        <v>6</v>
      </c>
      <c r="N15" s="659"/>
      <c r="O15" s="659"/>
      <c r="P15" s="515">
        <v>12</v>
      </c>
      <c r="Q15" s="518">
        <v>2077.1830985915494</v>
      </c>
      <c r="R15" s="518">
        <v>173.09859154929578</v>
      </c>
      <c r="S15" s="515">
        <f t="shared" si="9"/>
        <v>7</v>
      </c>
      <c r="T15" s="706"/>
      <c r="U15" s="573">
        <v>12</v>
      </c>
      <c r="V15" s="574">
        <v>2058.9041095890416</v>
      </c>
      <c r="W15" s="574">
        <v>171.57534246575347</v>
      </c>
      <c r="X15" s="515">
        <f t="shared" si="10"/>
        <v>7</v>
      </c>
      <c r="Y15" s="706"/>
      <c r="Z15" s="573">
        <v>12</v>
      </c>
      <c r="AA15" s="574">
        <v>2061.9718309859159</v>
      </c>
      <c r="AB15" s="574">
        <v>171.83098591549299</v>
      </c>
      <c r="AC15" s="515">
        <f t="shared" si="11"/>
        <v>7</v>
      </c>
      <c r="AD15" s="706"/>
      <c r="AE15" s="573">
        <v>12</v>
      </c>
      <c r="AF15" s="574">
        <v>2074.9999999999991</v>
      </c>
      <c r="AG15" s="574">
        <v>172.9166666666666</v>
      </c>
      <c r="AH15" s="515">
        <f t="shared" si="12"/>
        <v>7</v>
      </c>
      <c r="AI15" s="706"/>
      <c r="AJ15" s="573">
        <v>12</v>
      </c>
      <c r="AK15" s="574">
        <v>2086.1538461538457</v>
      </c>
      <c r="AL15" s="574">
        <v>173.84615384615381</v>
      </c>
      <c r="AM15" s="515">
        <f t="shared" si="13"/>
        <v>6</v>
      </c>
      <c r="AN15" s="706"/>
      <c r="AO15" s="573">
        <v>12</v>
      </c>
      <c r="AP15" s="574">
        <v>2048.9189189189196</v>
      </c>
      <c r="AQ15" s="574">
        <v>170.74324324324331</v>
      </c>
      <c r="AR15" s="515">
        <f t="shared" si="14"/>
        <v>6</v>
      </c>
      <c r="AS15" s="706"/>
      <c r="AT15" s="573">
        <v>12</v>
      </c>
      <c r="AU15" s="574">
        <v>2013.0769230769217</v>
      </c>
      <c r="AV15" s="574">
        <v>167.75641025641013</v>
      </c>
      <c r="AW15" s="515">
        <f t="shared" si="15"/>
        <v>6</v>
      </c>
      <c r="AX15" s="706"/>
      <c r="AZ15" s="362" t="e">
        <f>RANK(AX15, $K$7:AX$21)</f>
        <v>#N/A</v>
      </c>
      <c r="BB15" s="359" t="e">
        <f t="shared" si="16"/>
        <v>#N/A</v>
      </c>
    </row>
    <row r="16" spans="1:54" ht="14.25">
      <c r="A16" s="81"/>
      <c r="B16" s="692"/>
      <c r="C16" s="515">
        <v>10</v>
      </c>
      <c r="D16" s="498" t="s">
        <v>875</v>
      </c>
      <c r="E16" s="518">
        <v>4</v>
      </c>
      <c r="F16" s="518">
        <v>2000</v>
      </c>
      <c r="G16" s="518">
        <v>500</v>
      </c>
      <c r="H16" s="704"/>
      <c r="I16" s="518">
        <f t="shared" si="6"/>
        <v>5</v>
      </c>
      <c r="J16" s="518">
        <f t="shared" si="7"/>
        <v>1963.0140266632966</v>
      </c>
      <c r="K16" s="513">
        <f t="shared" si="8"/>
        <v>392.60280533265939</v>
      </c>
      <c r="L16" s="704"/>
      <c r="M16" s="518">
        <f>RANK(K16, K$7:$K$21)</f>
        <v>4</v>
      </c>
      <c r="N16" s="659"/>
      <c r="O16" s="659"/>
      <c r="P16" s="515">
        <v>5</v>
      </c>
      <c r="Q16" s="518">
        <v>2069.9999999999991</v>
      </c>
      <c r="R16" s="518">
        <v>413.99999999999983</v>
      </c>
      <c r="S16" s="515">
        <f t="shared" si="9"/>
        <v>4</v>
      </c>
      <c r="T16" s="706"/>
      <c r="U16" s="573">
        <v>5</v>
      </c>
      <c r="V16" s="574">
        <v>2143.3333333333317</v>
      </c>
      <c r="W16" s="574">
        <v>428.66666666666634</v>
      </c>
      <c r="X16" s="515">
        <f t="shared" si="10"/>
        <v>2</v>
      </c>
      <c r="Y16" s="706"/>
      <c r="Z16" s="573">
        <v>5</v>
      </c>
      <c r="AA16" s="574">
        <v>1757.6470588235318</v>
      </c>
      <c r="AB16" s="574">
        <v>351.52941176470637</v>
      </c>
      <c r="AC16" s="515">
        <f t="shared" si="11"/>
        <v>4</v>
      </c>
      <c r="AD16" s="706"/>
      <c r="AE16" s="573">
        <v>5</v>
      </c>
      <c r="AF16" s="574">
        <v>1735.7142857142871</v>
      </c>
      <c r="AG16" s="574">
        <v>347.14285714285745</v>
      </c>
      <c r="AH16" s="515">
        <f t="shared" si="12"/>
        <v>4</v>
      </c>
      <c r="AI16" s="706"/>
      <c r="AJ16" s="573">
        <v>5</v>
      </c>
      <c r="AK16" s="574">
        <v>2072.9999999999995</v>
      </c>
      <c r="AL16" s="574">
        <v>414.59999999999991</v>
      </c>
      <c r="AM16" s="515">
        <f t="shared" si="13"/>
        <v>4</v>
      </c>
      <c r="AN16" s="706"/>
      <c r="AO16" s="573">
        <v>5</v>
      </c>
      <c r="AP16" s="574">
        <v>1826.6666666666654</v>
      </c>
      <c r="AQ16" s="574">
        <v>365.33333333333309</v>
      </c>
      <c r="AR16" s="515">
        <f t="shared" si="14"/>
        <v>4</v>
      </c>
      <c r="AS16" s="706"/>
      <c r="AT16" s="573">
        <v>5</v>
      </c>
      <c r="AU16" s="574">
        <v>2134.7368421052615</v>
      </c>
      <c r="AV16" s="574">
        <v>426.94736842105232</v>
      </c>
      <c r="AW16" s="515">
        <f t="shared" si="15"/>
        <v>1</v>
      </c>
      <c r="AX16" s="706"/>
      <c r="AZ16" s="362" t="e">
        <f>RANK(AX16, $K$7:AX$21)</f>
        <v>#N/A</v>
      </c>
      <c r="BB16" s="359" t="e">
        <f t="shared" si="16"/>
        <v>#N/A</v>
      </c>
    </row>
    <row r="17" spans="2:54">
      <c r="B17" s="692"/>
      <c r="C17" s="515">
        <v>11</v>
      </c>
      <c r="D17" s="498" t="s">
        <v>924</v>
      </c>
      <c r="E17" s="518">
        <v>4</v>
      </c>
      <c r="F17" s="518">
        <v>2000</v>
      </c>
      <c r="G17" s="518">
        <v>500</v>
      </c>
      <c r="H17" s="704"/>
      <c r="I17" s="518">
        <f t="shared" si="6"/>
        <v>5</v>
      </c>
      <c r="J17" s="518">
        <f t="shared" si="7"/>
        <v>2130.9720936957756</v>
      </c>
      <c r="K17" s="513">
        <f t="shared" si="8"/>
        <v>426.19441873915508</v>
      </c>
      <c r="L17" s="704"/>
      <c r="M17" s="518">
        <f>RANK(K17, K$7:$K$21)</f>
        <v>3</v>
      </c>
      <c r="N17" s="659"/>
      <c r="O17" s="659"/>
      <c r="P17" s="515">
        <v>5</v>
      </c>
      <c r="Q17" s="518">
        <v>2155.9999999999959</v>
      </c>
      <c r="R17" s="518">
        <v>431.19999999999919</v>
      </c>
      <c r="S17" s="515">
        <f t="shared" si="9"/>
        <v>1</v>
      </c>
      <c r="T17" s="706"/>
      <c r="U17" s="573">
        <v>5</v>
      </c>
      <c r="V17" s="574">
        <v>2081.9999999999964</v>
      </c>
      <c r="W17" s="574">
        <v>416.3999999999993</v>
      </c>
      <c r="X17" s="515">
        <f t="shared" si="10"/>
        <v>4</v>
      </c>
      <c r="Y17" s="706"/>
      <c r="Z17" s="573">
        <v>5</v>
      </c>
      <c r="AA17" s="574">
        <v>2114.9999999999968</v>
      </c>
      <c r="AB17" s="574">
        <v>422.99999999999937</v>
      </c>
      <c r="AC17" s="515">
        <f t="shared" si="11"/>
        <v>3</v>
      </c>
      <c r="AD17" s="706"/>
      <c r="AE17" s="573">
        <v>5</v>
      </c>
      <c r="AF17" s="574">
        <v>2132.9999999999995</v>
      </c>
      <c r="AG17" s="574">
        <v>426.59999999999991</v>
      </c>
      <c r="AH17" s="515">
        <f t="shared" si="12"/>
        <v>3</v>
      </c>
      <c r="AI17" s="706"/>
      <c r="AJ17" s="573">
        <v>5</v>
      </c>
      <c r="AK17" s="574">
        <v>2141.2499999999968</v>
      </c>
      <c r="AL17" s="574">
        <v>428.24999999999937</v>
      </c>
      <c r="AM17" s="515">
        <f t="shared" si="13"/>
        <v>2</v>
      </c>
      <c r="AN17" s="706"/>
      <c r="AO17" s="573">
        <v>5</v>
      </c>
      <c r="AP17" s="574">
        <v>2172.6315789473665</v>
      </c>
      <c r="AQ17" s="574">
        <v>434.5263157894733</v>
      </c>
      <c r="AR17" s="515">
        <f t="shared" si="14"/>
        <v>1</v>
      </c>
      <c r="AS17" s="706"/>
      <c r="AT17" s="573">
        <v>5</v>
      </c>
      <c r="AU17" s="574">
        <v>2116.9230769230758</v>
      </c>
      <c r="AV17" s="574">
        <v>423.38461538461513</v>
      </c>
      <c r="AW17" s="515">
        <f t="shared" si="15"/>
        <v>4</v>
      </c>
      <c r="AX17" s="706"/>
      <c r="AZ17" s="362" t="e">
        <f>RANK(AX17, $K$7:AX$21)</f>
        <v>#N/A</v>
      </c>
      <c r="BB17" s="359" t="e">
        <f t="shared" si="16"/>
        <v>#N/A</v>
      </c>
    </row>
    <row r="18" spans="2:54">
      <c r="B18" s="692"/>
      <c r="C18" s="515">
        <v>12</v>
      </c>
      <c r="D18" s="498"/>
      <c r="E18" s="518"/>
      <c r="F18" s="518"/>
      <c r="G18" s="518"/>
      <c r="H18" s="704"/>
      <c r="I18" s="551"/>
      <c r="J18" s="551"/>
      <c r="K18" s="548"/>
      <c r="L18" s="704"/>
      <c r="M18" s="518" t="e">
        <f>RANK(K18, K$7:$K$21)</f>
        <v>#N/A</v>
      </c>
      <c r="N18" s="659"/>
      <c r="O18" s="659"/>
      <c r="P18" s="515"/>
      <c r="Q18" s="518"/>
      <c r="R18" s="518"/>
      <c r="S18" s="515" t="e">
        <f t="shared" si="9"/>
        <v>#N/A</v>
      </c>
      <c r="T18" s="706"/>
      <c r="U18" s="573"/>
      <c r="V18" s="574"/>
      <c r="W18" s="574"/>
      <c r="X18" s="515" t="e">
        <f t="shared" si="10"/>
        <v>#N/A</v>
      </c>
      <c r="Y18" s="706"/>
      <c r="Z18" s="573"/>
      <c r="AA18" s="574"/>
      <c r="AB18" s="574"/>
      <c r="AC18" s="515" t="e">
        <f t="shared" si="11"/>
        <v>#N/A</v>
      </c>
      <c r="AD18" s="706"/>
      <c r="AE18" s="573"/>
      <c r="AF18" s="574"/>
      <c r="AG18" s="574"/>
      <c r="AH18" s="515" t="e">
        <f t="shared" si="12"/>
        <v>#N/A</v>
      </c>
      <c r="AI18" s="706"/>
      <c r="AJ18" s="573"/>
      <c r="AK18" s="574"/>
      <c r="AL18" s="574"/>
      <c r="AM18" s="515" t="e">
        <f t="shared" si="13"/>
        <v>#N/A</v>
      </c>
      <c r="AN18" s="706"/>
      <c r="AO18" s="573"/>
      <c r="AP18" s="574"/>
      <c r="AQ18" s="574"/>
      <c r="AR18" s="515" t="e">
        <f t="shared" si="14"/>
        <v>#N/A</v>
      </c>
      <c r="AS18" s="706"/>
      <c r="AT18" s="573"/>
      <c r="AU18" s="574"/>
      <c r="AV18" s="574"/>
      <c r="AW18" s="515" t="e">
        <f t="shared" si="15"/>
        <v>#N/A</v>
      </c>
      <c r="AX18" s="706"/>
      <c r="AZ18" s="362" t="e">
        <f>RANK(AX18, $K$7:AX$21)</f>
        <v>#N/A</v>
      </c>
      <c r="BB18" s="359" t="e">
        <f t="shared" si="16"/>
        <v>#N/A</v>
      </c>
    </row>
    <row r="19" spans="2:54">
      <c r="B19" s="692"/>
      <c r="C19" s="515">
        <v>13</v>
      </c>
      <c r="D19" s="498"/>
      <c r="E19" s="518"/>
      <c r="F19" s="518"/>
      <c r="G19" s="518"/>
      <c r="H19" s="704"/>
      <c r="I19" s="518"/>
      <c r="J19" s="518"/>
      <c r="K19" s="513"/>
      <c r="L19" s="704"/>
      <c r="M19" s="518" t="e">
        <f>RANK(K19, K$7:$K$21)</f>
        <v>#N/A</v>
      </c>
      <c r="N19" s="659"/>
      <c r="O19" s="659"/>
      <c r="P19" s="515"/>
      <c r="Q19" s="518"/>
      <c r="R19" s="518"/>
      <c r="S19" s="515" t="e">
        <f t="shared" si="9"/>
        <v>#N/A</v>
      </c>
      <c r="T19" s="706"/>
      <c r="U19" s="573"/>
      <c r="V19" s="574"/>
      <c r="W19" s="574"/>
      <c r="X19" s="515" t="e">
        <f t="shared" si="10"/>
        <v>#N/A</v>
      </c>
      <c r="Y19" s="706"/>
      <c r="Z19" s="573"/>
      <c r="AA19" s="574"/>
      <c r="AB19" s="574"/>
      <c r="AC19" s="515" t="e">
        <f t="shared" si="11"/>
        <v>#N/A</v>
      </c>
      <c r="AD19" s="706"/>
      <c r="AE19" s="573"/>
      <c r="AF19" s="574"/>
      <c r="AG19" s="574"/>
      <c r="AH19" s="515" t="e">
        <f t="shared" si="12"/>
        <v>#N/A</v>
      </c>
      <c r="AI19" s="706"/>
      <c r="AJ19" s="573"/>
      <c r="AK19" s="574"/>
      <c r="AL19" s="574"/>
      <c r="AM19" s="515" t="e">
        <f t="shared" si="13"/>
        <v>#N/A</v>
      </c>
      <c r="AN19" s="706"/>
      <c r="AO19" s="573"/>
      <c r="AP19" s="574"/>
      <c r="AQ19" s="574"/>
      <c r="AR19" s="515" t="e">
        <f t="shared" si="14"/>
        <v>#N/A</v>
      </c>
      <c r="AS19" s="706"/>
      <c r="AT19" s="573"/>
      <c r="AU19" s="574"/>
      <c r="AV19" s="574"/>
      <c r="AW19" s="515" t="e">
        <f t="shared" si="15"/>
        <v>#N/A</v>
      </c>
      <c r="AX19" s="706"/>
      <c r="AZ19" s="362" t="e">
        <f>RANK(AX19, $K$7:AX$21)</f>
        <v>#N/A</v>
      </c>
      <c r="BB19" s="359" t="e">
        <f t="shared" si="16"/>
        <v>#N/A</v>
      </c>
    </row>
    <row r="20" spans="2:54">
      <c r="B20" s="692"/>
      <c r="C20" s="515">
        <v>14</v>
      </c>
      <c r="D20" s="498"/>
      <c r="E20" s="518"/>
      <c r="F20" s="518"/>
      <c r="G20" s="518"/>
      <c r="H20" s="704"/>
      <c r="I20" s="518"/>
      <c r="J20" s="518"/>
      <c r="K20" s="513"/>
      <c r="L20" s="704"/>
      <c r="M20" s="518" t="e">
        <f>RANK(K20, K$7:$K$21)</f>
        <v>#N/A</v>
      </c>
      <c r="N20" s="659"/>
      <c r="O20" s="659"/>
      <c r="P20" s="515"/>
      <c r="Q20" s="518"/>
      <c r="R20" s="518"/>
      <c r="S20" s="515" t="e">
        <f t="shared" si="9"/>
        <v>#N/A</v>
      </c>
      <c r="T20" s="706"/>
      <c r="U20" s="573"/>
      <c r="V20" s="574"/>
      <c r="W20" s="574"/>
      <c r="X20" s="515" t="e">
        <f t="shared" si="10"/>
        <v>#N/A</v>
      </c>
      <c r="Y20" s="706"/>
      <c r="Z20" s="573"/>
      <c r="AA20" s="574"/>
      <c r="AB20" s="574"/>
      <c r="AC20" s="515" t="e">
        <f t="shared" si="11"/>
        <v>#N/A</v>
      </c>
      <c r="AD20" s="706"/>
      <c r="AE20" s="573"/>
      <c r="AF20" s="574"/>
      <c r="AG20" s="574"/>
      <c r="AH20" s="515" t="e">
        <f t="shared" si="12"/>
        <v>#N/A</v>
      </c>
      <c r="AI20" s="706"/>
      <c r="AJ20" s="573"/>
      <c r="AK20" s="574"/>
      <c r="AL20" s="574"/>
      <c r="AM20" s="515" t="e">
        <f t="shared" si="13"/>
        <v>#N/A</v>
      </c>
      <c r="AN20" s="706"/>
      <c r="AO20" s="573"/>
      <c r="AP20" s="574"/>
      <c r="AQ20" s="574"/>
      <c r="AR20" s="515" t="e">
        <f t="shared" si="14"/>
        <v>#N/A</v>
      </c>
      <c r="AS20" s="706"/>
      <c r="AT20" s="573"/>
      <c r="AU20" s="574"/>
      <c r="AV20" s="574"/>
      <c r="AW20" s="515" t="e">
        <f t="shared" si="15"/>
        <v>#N/A</v>
      </c>
      <c r="AX20" s="706"/>
      <c r="AZ20" s="362" t="e">
        <f>RANK(AX20, $K$7:AX$21)</f>
        <v>#N/A</v>
      </c>
      <c r="BB20" s="359" t="e">
        <f t="shared" si="16"/>
        <v>#N/A</v>
      </c>
    </row>
    <row r="21" spans="2:54">
      <c r="B21" s="692"/>
      <c r="C21" s="515">
        <v>15</v>
      </c>
      <c r="D21" s="498"/>
      <c r="E21" s="518"/>
      <c r="F21" s="518"/>
      <c r="G21" s="518"/>
      <c r="H21" s="714"/>
      <c r="I21" s="518"/>
      <c r="J21" s="518"/>
      <c r="K21" s="513"/>
      <c r="L21" s="714"/>
      <c r="M21" s="518" t="e">
        <f>RANK(K21, K$7:$K$21)</f>
        <v>#N/A</v>
      </c>
      <c r="N21" s="659"/>
      <c r="O21" s="659"/>
      <c r="P21" s="515"/>
      <c r="Q21" s="518"/>
      <c r="R21" s="518"/>
      <c r="S21" s="515" t="e">
        <f t="shared" si="9"/>
        <v>#N/A</v>
      </c>
      <c r="T21" s="706"/>
      <c r="U21" s="573"/>
      <c r="V21" s="574"/>
      <c r="W21" s="574"/>
      <c r="X21" s="515" t="e">
        <f t="shared" si="10"/>
        <v>#N/A</v>
      </c>
      <c r="Y21" s="706"/>
      <c r="Z21" s="573"/>
      <c r="AA21" s="574"/>
      <c r="AB21" s="574"/>
      <c r="AC21" s="515" t="e">
        <f t="shared" si="11"/>
        <v>#N/A</v>
      </c>
      <c r="AD21" s="706"/>
      <c r="AE21" s="573"/>
      <c r="AF21" s="574"/>
      <c r="AG21" s="574"/>
      <c r="AH21" s="515" t="e">
        <f t="shared" si="12"/>
        <v>#N/A</v>
      </c>
      <c r="AI21" s="706"/>
      <c r="AJ21" s="573"/>
      <c r="AK21" s="574"/>
      <c r="AL21" s="574"/>
      <c r="AM21" s="515" t="e">
        <f t="shared" si="13"/>
        <v>#N/A</v>
      </c>
      <c r="AN21" s="706"/>
      <c r="AO21" s="573"/>
      <c r="AP21" s="574"/>
      <c r="AQ21" s="574"/>
      <c r="AR21" s="515" t="e">
        <f t="shared" si="14"/>
        <v>#N/A</v>
      </c>
      <c r="AS21" s="706"/>
      <c r="AT21" s="573"/>
      <c r="AU21" s="574"/>
      <c r="AV21" s="574"/>
      <c r="AW21" s="515" t="e">
        <f t="shared" si="15"/>
        <v>#N/A</v>
      </c>
      <c r="AX21" s="706"/>
      <c r="AZ21" s="361" t="e">
        <f>RANK(AX21, $K$7:AX$21)</f>
        <v>#N/A</v>
      </c>
      <c r="BB21" s="359" t="e">
        <f t="shared" si="16"/>
        <v>#N/A</v>
      </c>
    </row>
    <row r="22" spans="2:54" ht="15.75">
      <c r="B22" s="685" t="s">
        <v>163</v>
      </c>
      <c r="C22" s="686"/>
      <c r="D22" s="686"/>
      <c r="E22" s="686"/>
      <c r="F22" s="686"/>
      <c r="G22" s="686"/>
      <c r="H22" s="686"/>
      <c r="I22" s="203"/>
      <c r="J22" s="203"/>
      <c r="K22" s="203"/>
      <c r="L22" s="203"/>
      <c r="M22" s="204"/>
      <c r="N22" s="660" t="s">
        <v>156</v>
      </c>
      <c r="O22" s="660" t="s">
        <v>105</v>
      </c>
      <c r="P22" s="666">
        <f>P2+7</f>
        <v>46091</v>
      </c>
      <c r="Q22" s="667"/>
      <c r="R22" s="667"/>
      <c r="S22" s="667"/>
      <c r="T22" s="667"/>
      <c r="U22" s="663">
        <f>P22+1</f>
        <v>46092</v>
      </c>
      <c r="V22" s="664"/>
      <c r="W22" s="664"/>
      <c r="X22" s="664"/>
      <c r="Y22" s="665"/>
      <c r="Z22" s="663">
        <f>U22+1</f>
        <v>46093</v>
      </c>
      <c r="AA22" s="664"/>
      <c r="AB22" s="664"/>
      <c r="AC22" s="664"/>
      <c r="AD22" s="665"/>
      <c r="AE22" s="663">
        <f>Z22+1</f>
        <v>46094</v>
      </c>
      <c r="AF22" s="664"/>
      <c r="AG22" s="664"/>
      <c r="AH22" s="664"/>
      <c r="AI22" s="665"/>
      <c r="AJ22" s="663">
        <f>AE22+1</f>
        <v>46095</v>
      </c>
      <c r="AK22" s="664"/>
      <c r="AL22" s="664"/>
      <c r="AM22" s="664"/>
      <c r="AN22" s="665"/>
      <c r="AO22" s="663">
        <f>AJ22+1</f>
        <v>46096</v>
      </c>
      <c r="AP22" s="664"/>
      <c r="AQ22" s="664"/>
      <c r="AR22" s="664"/>
      <c r="AS22" s="665"/>
      <c r="AT22" s="663">
        <f>AO22+1</f>
        <v>46097</v>
      </c>
      <c r="AU22" s="664"/>
      <c r="AV22" s="664"/>
      <c r="AW22" s="664"/>
      <c r="AX22" s="665"/>
    </row>
    <row r="23" spans="2:54" ht="15.75">
      <c r="B23" s="674"/>
      <c r="C23" s="674"/>
      <c r="D23" s="674"/>
      <c r="E23" s="674"/>
      <c r="F23" s="674"/>
      <c r="G23" s="674"/>
      <c r="H23" s="674"/>
      <c r="I23" s="205"/>
      <c r="J23" s="205"/>
      <c r="K23" s="205"/>
      <c r="L23" s="205"/>
      <c r="M23" s="206"/>
      <c r="N23" s="662"/>
      <c r="O23" s="662"/>
      <c r="P23" s="666" t="s">
        <v>336</v>
      </c>
      <c r="Q23" s="667"/>
      <c r="R23" s="667"/>
      <c r="S23" s="667"/>
      <c r="T23" s="667"/>
      <c r="U23" s="666" t="s">
        <v>337</v>
      </c>
      <c r="V23" s="667"/>
      <c r="W23" s="667"/>
      <c r="X23" s="667"/>
      <c r="Y23" s="667"/>
      <c r="Z23" s="666" t="s">
        <v>338</v>
      </c>
      <c r="AA23" s="667"/>
      <c r="AB23" s="667"/>
      <c r="AC23" s="667"/>
      <c r="AD23" s="667"/>
      <c r="AE23" s="666" t="s">
        <v>339</v>
      </c>
      <c r="AF23" s="667"/>
      <c r="AG23" s="667"/>
      <c r="AH23" s="667"/>
      <c r="AI23" s="667"/>
      <c r="AJ23" s="666" t="s">
        <v>340</v>
      </c>
      <c r="AK23" s="667"/>
      <c r="AL23" s="667"/>
      <c r="AM23" s="667"/>
      <c r="AN23" s="667"/>
      <c r="AO23" s="666" t="s">
        <v>341</v>
      </c>
      <c r="AP23" s="667"/>
      <c r="AQ23" s="667"/>
      <c r="AR23" s="667"/>
      <c r="AS23" s="667"/>
      <c r="AT23" s="666" t="s">
        <v>342</v>
      </c>
      <c r="AU23" s="667"/>
      <c r="AV23" s="667"/>
      <c r="AW23" s="667"/>
      <c r="AX23" s="667"/>
    </row>
    <row r="24" spans="2:54">
      <c r="B24" s="659" t="s">
        <v>419</v>
      </c>
      <c r="C24" s="659" t="s">
        <v>429</v>
      </c>
      <c r="D24" s="659"/>
      <c r="E24" s="659" t="s">
        <v>420</v>
      </c>
      <c r="F24" s="659"/>
      <c r="G24" s="659"/>
      <c r="H24" s="675" t="s">
        <v>416</v>
      </c>
      <c r="I24" s="643" t="s">
        <v>421</v>
      </c>
      <c r="J24" s="643"/>
      <c r="K24" s="643"/>
      <c r="L24" s="644" t="s">
        <v>416</v>
      </c>
      <c r="M24" s="650" t="s">
        <v>417</v>
      </c>
      <c r="N24" s="659"/>
      <c r="O24" s="659" t="s">
        <v>422</v>
      </c>
      <c r="P24" s="656" t="s">
        <v>868</v>
      </c>
      <c r="Q24" s="657"/>
      <c r="R24" s="657"/>
      <c r="S24" s="658"/>
      <c r="T24" s="659" t="s">
        <v>864</v>
      </c>
      <c r="U24" s="656" t="s">
        <v>868</v>
      </c>
      <c r="V24" s="657"/>
      <c r="W24" s="657"/>
      <c r="X24" s="658"/>
      <c r="Y24" s="659" t="s">
        <v>864</v>
      </c>
      <c r="Z24" s="656" t="s">
        <v>868</v>
      </c>
      <c r="AA24" s="657"/>
      <c r="AB24" s="657"/>
      <c r="AC24" s="658"/>
      <c r="AD24" s="659" t="s">
        <v>864</v>
      </c>
      <c r="AE24" s="656" t="s">
        <v>868</v>
      </c>
      <c r="AF24" s="657"/>
      <c r="AG24" s="657"/>
      <c r="AH24" s="658"/>
      <c r="AI24" s="659" t="s">
        <v>864</v>
      </c>
      <c r="AJ24" s="656" t="s">
        <v>868</v>
      </c>
      <c r="AK24" s="657"/>
      <c r="AL24" s="657"/>
      <c r="AM24" s="658"/>
      <c r="AN24" s="659" t="s">
        <v>864</v>
      </c>
      <c r="AO24" s="656" t="s">
        <v>868</v>
      </c>
      <c r="AP24" s="657"/>
      <c r="AQ24" s="657"/>
      <c r="AR24" s="658"/>
      <c r="AS24" s="659" t="s">
        <v>864</v>
      </c>
      <c r="AT24" s="656" t="s">
        <v>868</v>
      </c>
      <c r="AU24" s="657"/>
      <c r="AV24" s="657"/>
      <c r="AW24" s="658"/>
      <c r="AX24" s="659" t="s">
        <v>864</v>
      </c>
    </row>
    <row r="25" spans="2:54">
      <c r="B25" s="659"/>
      <c r="C25" s="659"/>
      <c r="D25" s="659"/>
      <c r="E25" s="659" t="s">
        <v>423</v>
      </c>
      <c r="F25" s="659"/>
      <c r="G25" s="659"/>
      <c r="H25" s="676"/>
      <c r="I25" s="643" t="s">
        <v>423</v>
      </c>
      <c r="J25" s="643"/>
      <c r="K25" s="643"/>
      <c r="L25" s="645"/>
      <c r="M25" s="651"/>
      <c r="N25" s="659"/>
      <c r="O25" s="659"/>
      <c r="P25" s="656" t="s">
        <v>870</v>
      </c>
      <c r="Q25" s="657"/>
      <c r="R25" s="657"/>
      <c r="S25" s="658"/>
      <c r="T25" s="659"/>
      <c r="U25" s="656" t="s">
        <v>870</v>
      </c>
      <c r="V25" s="657"/>
      <c r="W25" s="657"/>
      <c r="X25" s="658"/>
      <c r="Y25" s="659"/>
      <c r="Z25" s="656" t="s">
        <v>870</v>
      </c>
      <c r="AA25" s="657"/>
      <c r="AB25" s="657"/>
      <c r="AC25" s="658"/>
      <c r="AD25" s="659"/>
      <c r="AE25" s="656" t="s">
        <v>870</v>
      </c>
      <c r="AF25" s="657"/>
      <c r="AG25" s="657"/>
      <c r="AH25" s="658"/>
      <c r="AI25" s="659"/>
      <c r="AJ25" s="656" t="s">
        <v>870</v>
      </c>
      <c r="AK25" s="657"/>
      <c r="AL25" s="657"/>
      <c r="AM25" s="658"/>
      <c r="AN25" s="659"/>
      <c r="AO25" s="656" t="s">
        <v>870</v>
      </c>
      <c r="AP25" s="657"/>
      <c r="AQ25" s="657"/>
      <c r="AR25" s="658"/>
      <c r="AS25" s="659"/>
      <c r="AT25" s="656" t="s">
        <v>870</v>
      </c>
      <c r="AU25" s="657"/>
      <c r="AV25" s="657"/>
      <c r="AW25" s="658"/>
      <c r="AX25" s="659"/>
    </row>
    <row r="26" spans="2:54">
      <c r="B26" s="659"/>
      <c r="C26" s="659"/>
      <c r="D26" s="659"/>
      <c r="E26" s="308" t="s">
        <v>425</v>
      </c>
      <c r="F26" s="308" t="s">
        <v>426</v>
      </c>
      <c r="G26" s="308" t="s">
        <v>427</v>
      </c>
      <c r="H26" s="677"/>
      <c r="I26" s="307" t="s">
        <v>425</v>
      </c>
      <c r="J26" s="307" t="s">
        <v>426</v>
      </c>
      <c r="K26" s="307" t="s">
        <v>427</v>
      </c>
      <c r="L26" s="646"/>
      <c r="M26" s="652"/>
      <c r="N26" s="659"/>
      <c r="O26" s="659"/>
      <c r="P26" s="521" t="s">
        <v>871</v>
      </c>
      <c r="Q26" s="521" t="s">
        <v>872</v>
      </c>
      <c r="R26" s="521" t="s">
        <v>873</v>
      </c>
      <c r="S26" s="521" t="s">
        <v>866</v>
      </c>
      <c r="T26" s="659"/>
      <c r="U26" s="521" t="s">
        <v>871</v>
      </c>
      <c r="V26" s="521" t="s">
        <v>872</v>
      </c>
      <c r="W26" s="521" t="s">
        <v>873</v>
      </c>
      <c r="X26" s="521" t="s">
        <v>866</v>
      </c>
      <c r="Y26" s="659"/>
      <c r="Z26" s="521" t="s">
        <v>871</v>
      </c>
      <c r="AA26" s="521" t="s">
        <v>872</v>
      </c>
      <c r="AB26" s="521" t="s">
        <v>873</v>
      </c>
      <c r="AC26" s="521" t="s">
        <v>866</v>
      </c>
      <c r="AD26" s="659"/>
      <c r="AE26" s="521" t="s">
        <v>871</v>
      </c>
      <c r="AF26" s="521" t="s">
        <v>872</v>
      </c>
      <c r="AG26" s="521" t="s">
        <v>873</v>
      </c>
      <c r="AH26" s="521" t="s">
        <v>866</v>
      </c>
      <c r="AI26" s="659"/>
      <c r="AJ26" s="521" t="s">
        <v>871</v>
      </c>
      <c r="AK26" s="521" t="s">
        <v>872</v>
      </c>
      <c r="AL26" s="521" t="s">
        <v>873</v>
      </c>
      <c r="AM26" s="521" t="s">
        <v>866</v>
      </c>
      <c r="AN26" s="659"/>
      <c r="AO26" s="521" t="s">
        <v>871</v>
      </c>
      <c r="AP26" s="521" t="s">
        <v>872</v>
      </c>
      <c r="AQ26" s="521" t="s">
        <v>873</v>
      </c>
      <c r="AR26" s="521" t="s">
        <v>866</v>
      </c>
      <c r="AS26" s="659"/>
      <c r="AT26" s="521" t="s">
        <v>871</v>
      </c>
      <c r="AU26" s="521" t="s">
        <v>872</v>
      </c>
      <c r="AV26" s="521" t="s">
        <v>873</v>
      </c>
      <c r="AW26" s="521" t="s">
        <v>866</v>
      </c>
      <c r="AX26" s="659"/>
    </row>
    <row r="27" spans="2:54">
      <c r="B27" s="707" t="s">
        <v>428</v>
      </c>
      <c r="C27" s="309">
        <v>1</v>
      </c>
      <c r="D27" s="227"/>
      <c r="E27" s="182"/>
      <c r="F27" s="569"/>
      <c r="G27" s="570"/>
      <c r="H27" s="708" t="e">
        <f>AVERAGE(G27:G41)</f>
        <v>#DIV/0!</v>
      </c>
      <c r="I27" s="199" t="e">
        <f>AVERAGE(P27,U27,Z27,AE27,AJ27,AO27,AT27)</f>
        <v>#DIV/0!</v>
      </c>
      <c r="J27" s="199" t="e">
        <f>AVERAGE(Q27,V27,AA27,AF27,AK27,AP27,AU27)</f>
        <v>#DIV/0!</v>
      </c>
      <c r="K27" s="200" t="e">
        <f>AVERAGE(R27,W27,AB27,AG27,AL27,AQ27,AV27)</f>
        <v>#DIV/0!</v>
      </c>
      <c r="L27" s="640" t="str">
        <f>IFERROR(AVERAGE(K27:K41),"-")</f>
        <v>-</v>
      </c>
      <c r="M27" s="201" t="e">
        <f>RANK(K27, K$27:$K$41)</f>
        <v>#DIV/0!</v>
      </c>
      <c r="N27" s="659"/>
      <c r="O27" s="659"/>
      <c r="P27" s="573"/>
      <c r="Q27" s="574"/>
      <c r="R27" s="574"/>
      <c r="S27" s="522" t="e">
        <f>RANK(R27, R$27:R$41)</f>
        <v>#N/A</v>
      </c>
      <c r="T27" s="681" t="e">
        <f>AVERAGE(R27:R41)</f>
        <v>#DIV/0!</v>
      </c>
      <c r="U27" s="573"/>
      <c r="V27" s="574"/>
      <c r="W27" s="574"/>
      <c r="X27" s="522" t="e">
        <f>RANK(W27, W$27:W$41)</f>
        <v>#N/A</v>
      </c>
      <c r="Y27" s="681" t="e">
        <f>AVERAGE(W27:W41)</f>
        <v>#DIV/0!</v>
      </c>
      <c r="Z27" s="573"/>
      <c r="AA27" s="574"/>
      <c r="AB27" s="574"/>
      <c r="AC27" s="522" t="e">
        <f>RANK(AB27, AB$27:AB$41)</f>
        <v>#N/A</v>
      </c>
      <c r="AD27" s="681" t="e">
        <f>AVERAGE(AB27:AB41)</f>
        <v>#DIV/0!</v>
      </c>
      <c r="AE27" s="573"/>
      <c r="AF27" s="574"/>
      <c r="AG27" s="574"/>
      <c r="AH27" s="522" t="e">
        <f>RANK(AG27, AG$27:AG$41)</f>
        <v>#N/A</v>
      </c>
      <c r="AI27" s="681" t="e">
        <f>AVERAGE(AG27:AG41)</f>
        <v>#DIV/0!</v>
      </c>
      <c r="AJ27" s="573"/>
      <c r="AK27" s="574"/>
      <c r="AL27" s="574"/>
      <c r="AM27" s="522" t="e">
        <f>RANK(AL27, AL$27:AL$41)</f>
        <v>#N/A</v>
      </c>
      <c r="AN27" s="681" t="e">
        <f>AVERAGE(AL27:AL41)</f>
        <v>#DIV/0!</v>
      </c>
      <c r="AO27" s="573"/>
      <c r="AP27" s="574"/>
      <c r="AQ27" s="574"/>
      <c r="AR27" s="522"/>
      <c r="AS27" s="681" t="e">
        <f>AVERAGE(AQ27:AQ41)</f>
        <v>#DIV/0!</v>
      </c>
      <c r="AT27" s="573"/>
      <c r="AU27" s="574"/>
      <c r="AV27" s="574"/>
      <c r="AW27" s="522"/>
      <c r="AX27" s="681" t="e">
        <f>AVERAGE(AV27:AV41)</f>
        <v>#DIV/0!</v>
      </c>
    </row>
    <row r="28" spans="2:54">
      <c r="B28" s="667"/>
      <c r="C28" s="309">
        <v>2</v>
      </c>
      <c r="D28" s="227"/>
      <c r="E28" s="182"/>
      <c r="F28" s="569"/>
      <c r="G28" s="570"/>
      <c r="H28" s="709"/>
      <c r="I28" s="199" t="e">
        <f t="shared" ref="I28:I36" si="17">AVERAGE(P28,U28,Z28,AE28,AJ28,AO28,AT28)</f>
        <v>#DIV/0!</v>
      </c>
      <c r="J28" s="199" t="e">
        <f t="shared" ref="J28:J36" si="18">AVERAGE(Q28,V28,AA28,AF28,AK28,AP28,AU28)</f>
        <v>#DIV/0!</v>
      </c>
      <c r="K28" s="200" t="e">
        <f t="shared" ref="K28:K36" si="19">AVERAGE(R28,W28,AB28,AG28,AL28,AQ28,AV28)</f>
        <v>#DIV/0!</v>
      </c>
      <c r="L28" s="641"/>
      <c r="M28" s="201" t="e">
        <f>RANK(K28, K$27:$K$41)</f>
        <v>#DIV/0!</v>
      </c>
      <c r="N28" s="659"/>
      <c r="O28" s="659"/>
      <c r="P28" s="573"/>
      <c r="Q28" s="574"/>
      <c r="R28" s="574"/>
      <c r="S28" s="522" t="e">
        <f t="shared" ref="S28:S41" si="20">RANK(R28, R$27:R$41)</f>
        <v>#N/A</v>
      </c>
      <c r="T28" s="681"/>
      <c r="U28" s="573"/>
      <c r="V28" s="574"/>
      <c r="W28" s="574"/>
      <c r="X28" s="522" t="e">
        <f t="shared" ref="X28:X40" si="21">RANK(W28, W$27:W$41)</f>
        <v>#N/A</v>
      </c>
      <c r="Y28" s="681"/>
      <c r="Z28" s="573"/>
      <c r="AA28" s="574"/>
      <c r="AB28" s="574"/>
      <c r="AC28" s="522" t="e">
        <f t="shared" ref="AC28:AC40" si="22">RANK(AB28, AB$27:AB$41)</f>
        <v>#N/A</v>
      </c>
      <c r="AD28" s="681"/>
      <c r="AE28" s="573"/>
      <c r="AF28" s="574"/>
      <c r="AG28" s="574"/>
      <c r="AH28" s="522" t="e">
        <f t="shared" ref="AH28:AH40" si="23">RANK(AG28, AG$27:AG$41)</f>
        <v>#N/A</v>
      </c>
      <c r="AI28" s="681"/>
      <c r="AJ28" s="573"/>
      <c r="AK28" s="574"/>
      <c r="AL28" s="574"/>
      <c r="AM28" s="522" t="e">
        <f t="shared" ref="AM28:AM40" si="24">RANK(AL28, AL$27:AL$41)</f>
        <v>#N/A</v>
      </c>
      <c r="AN28" s="681"/>
      <c r="AO28" s="573"/>
      <c r="AP28" s="574"/>
      <c r="AQ28" s="574"/>
      <c r="AR28" s="522"/>
      <c r="AS28" s="681"/>
      <c r="AT28" s="573"/>
      <c r="AU28" s="574"/>
      <c r="AV28" s="574"/>
      <c r="AW28" s="522"/>
      <c r="AX28" s="681"/>
    </row>
    <row r="29" spans="2:54">
      <c r="B29" s="667"/>
      <c r="C29" s="309">
        <v>3</v>
      </c>
      <c r="D29" s="227"/>
      <c r="E29" s="182"/>
      <c r="F29" s="569"/>
      <c r="G29" s="570"/>
      <c r="H29" s="709"/>
      <c r="I29" s="199" t="e">
        <f t="shared" si="17"/>
        <v>#DIV/0!</v>
      </c>
      <c r="J29" s="199" t="e">
        <f t="shared" si="18"/>
        <v>#DIV/0!</v>
      </c>
      <c r="K29" s="200" t="e">
        <f t="shared" si="19"/>
        <v>#DIV/0!</v>
      </c>
      <c r="L29" s="641"/>
      <c r="M29" s="201" t="e">
        <f>RANK(K29, K$27:$K$41)</f>
        <v>#DIV/0!</v>
      </c>
      <c r="N29" s="659"/>
      <c r="O29" s="659"/>
      <c r="P29" s="573"/>
      <c r="Q29" s="574"/>
      <c r="R29" s="574"/>
      <c r="S29" s="522" t="e">
        <f t="shared" si="20"/>
        <v>#N/A</v>
      </c>
      <c r="T29" s="681"/>
      <c r="U29" s="573"/>
      <c r="V29" s="574"/>
      <c r="W29" s="574"/>
      <c r="X29" s="522" t="e">
        <f t="shared" si="21"/>
        <v>#N/A</v>
      </c>
      <c r="Y29" s="681"/>
      <c r="Z29" s="573"/>
      <c r="AA29" s="574"/>
      <c r="AB29" s="574"/>
      <c r="AC29" s="522" t="e">
        <f t="shared" si="22"/>
        <v>#N/A</v>
      </c>
      <c r="AD29" s="681"/>
      <c r="AE29" s="573"/>
      <c r="AF29" s="574"/>
      <c r="AG29" s="574"/>
      <c r="AH29" s="522" t="e">
        <f t="shared" si="23"/>
        <v>#N/A</v>
      </c>
      <c r="AI29" s="681"/>
      <c r="AJ29" s="573"/>
      <c r="AK29" s="574"/>
      <c r="AL29" s="574"/>
      <c r="AM29" s="522" t="e">
        <f t="shared" si="24"/>
        <v>#N/A</v>
      </c>
      <c r="AN29" s="681"/>
      <c r="AO29" s="573"/>
      <c r="AP29" s="574"/>
      <c r="AQ29" s="574"/>
      <c r="AR29" s="522"/>
      <c r="AS29" s="681"/>
      <c r="AT29" s="573"/>
      <c r="AU29" s="574"/>
      <c r="AV29" s="574"/>
      <c r="AW29" s="522"/>
      <c r="AX29" s="681"/>
    </row>
    <row r="30" spans="2:54">
      <c r="B30" s="667"/>
      <c r="C30" s="309">
        <v>4</v>
      </c>
      <c r="D30" s="227"/>
      <c r="E30" s="182"/>
      <c r="F30" s="569"/>
      <c r="G30" s="570"/>
      <c r="H30" s="709"/>
      <c r="I30" s="199" t="e">
        <f t="shared" si="17"/>
        <v>#DIV/0!</v>
      </c>
      <c r="J30" s="199" t="e">
        <f t="shared" si="18"/>
        <v>#DIV/0!</v>
      </c>
      <c r="K30" s="200" t="e">
        <f t="shared" si="19"/>
        <v>#DIV/0!</v>
      </c>
      <c r="L30" s="641"/>
      <c r="M30" s="201" t="e">
        <f>RANK(K30, K$27:$K$41)</f>
        <v>#DIV/0!</v>
      </c>
      <c r="N30" s="659"/>
      <c r="O30" s="659"/>
      <c r="P30" s="573"/>
      <c r="Q30" s="574"/>
      <c r="R30" s="574"/>
      <c r="S30" s="522" t="e">
        <f t="shared" si="20"/>
        <v>#N/A</v>
      </c>
      <c r="T30" s="681"/>
      <c r="U30" s="573"/>
      <c r="V30" s="574"/>
      <c r="W30" s="574"/>
      <c r="X30" s="522" t="e">
        <f t="shared" si="21"/>
        <v>#N/A</v>
      </c>
      <c r="Y30" s="681"/>
      <c r="Z30" s="573"/>
      <c r="AA30" s="574"/>
      <c r="AB30" s="574"/>
      <c r="AC30" s="522" t="e">
        <f t="shared" si="22"/>
        <v>#N/A</v>
      </c>
      <c r="AD30" s="681"/>
      <c r="AE30" s="573"/>
      <c r="AF30" s="574"/>
      <c r="AG30" s="574"/>
      <c r="AH30" s="522" t="e">
        <f t="shared" si="23"/>
        <v>#N/A</v>
      </c>
      <c r="AI30" s="681"/>
      <c r="AJ30" s="573"/>
      <c r="AK30" s="574"/>
      <c r="AL30" s="574"/>
      <c r="AM30" s="522" t="e">
        <f t="shared" si="24"/>
        <v>#N/A</v>
      </c>
      <c r="AN30" s="681"/>
      <c r="AO30" s="573"/>
      <c r="AP30" s="574"/>
      <c r="AQ30" s="574"/>
      <c r="AR30" s="522"/>
      <c r="AS30" s="681"/>
      <c r="AT30" s="573"/>
      <c r="AU30" s="574"/>
      <c r="AV30" s="574"/>
      <c r="AW30" s="522"/>
      <c r="AX30" s="681"/>
    </row>
    <row r="31" spans="2:54">
      <c r="B31" s="667"/>
      <c r="C31" s="309">
        <v>5</v>
      </c>
      <c r="D31" s="227"/>
      <c r="E31" s="182"/>
      <c r="F31" s="569"/>
      <c r="G31" s="570"/>
      <c r="H31" s="709"/>
      <c r="I31" s="199" t="e">
        <f t="shared" si="17"/>
        <v>#DIV/0!</v>
      </c>
      <c r="J31" s="199" t="e">
        <f t="shared" si="18"/>
        <v>#DIV/0!</v>
      </c>
      <c r="K31" s="200" t="e">
        <f t="shared" si="19"/>
        <v>#DIV/0!</v>
      </c>
      <c r="L31" s="641"/>
      <c r="M31" s="201" t="e">
        <f>RANK(K31, K$27:$K$41)</f>
        <v>#DIV/0!</v>
      </c>
      <c r="N31" s="659"/>
      <c r="O31" s="659"/>
      <c r="P31" s="573"/>
      <c r="Q31" s="574"/>
      <c r="R31" s="574"/>
      <c r="S31" s="522" t="e">
        <f t="shared" si="20"/>
        <v>#N/A</v>
      </c>
      <c r="T31" s="681"/>
      <c r="U31" s="573"/>
      <c r="V31" s="574"/>
      <c r="W31" s="574"/>
      <c r="X31" s="522" t="e">
        <f t="shared" si="21"/>
        <v>#N/A</v>
      </c>
      <c r="Y31" s="681"/>
      <c r="Z31" s="573"/>
      <c r="AA31" s="574"/>
      <c r="AB31" s="574"/>
      <c r="AC31" s="522" t="e">
        <f t="shared" si="22"/>
        <v>#N/A</v>
      </c>
      <c r="AD31" s="681"/>
      <c r="AE31" s="573"/>
      <c r="AF31" s="574"/>
      <c r="AG31" s="574"/>
      <c r="AH31" s="522" t="e">
        <f t="shared" si="23"/>
        <v>#N/A</v>
      </c>
      <c r="AI31" s="681"/>
      <c r="AJ31" s="573"/>
      <c r="AK31" s="574"/>
      <c r="AL31" s="574"/>
      <c r="AM31" s="522" t="e">
        <f t="shared" si="24"/>
        <v>#N/A</v>
      </c>
      <c r="AN31" s="681"/>
      <c r="AO31" s="573"/>
      <c r="AP31" s="574"/>
      <c r="AQ31" s="574"/>
      <c r="AR31" s="522"/>
      <c r="AS31" s="681"/>
      <c r="AT31" s="573"/>
      <c r="AU31" s="574"/>
      <c r="AV31" s="574"/>
      <c r="AW31" s="522"/>
      <c r="AX31" s="681"/>
    </row>
    <row r="32" spans="2:54">
      <c r="B32" s="667"/>
      <c r="C32" s="309">
        <v>6</v>
      </c>
      <c r="D32" s="227"/>
      <c r="E32" s="182"/>
      <c r="F32" s="569"/>
      <c r="G32" s="570"/>
      <c r="H32" s="709"/>
      <c r="I32" s="199" t="e">
        <f t="shared" si="17"/>
        <v>#DIV/0!</v>
      </c>
      <c r="J32" s="199" t="e">
        <f t="shared" si="18"/>
        <v>#DIV/0!</v>
      </c>
      <c r="K32" s="200" t="e">
        <f t="shared" si="19"/>
        <v>#DIV/0!</v>
      </c>
      <c r="L32" s="641"/>
      <c r="M32" s="201" t="e">
        <f>RANK(K32, K$27:$K$41)</f>
        <v>#DIV/0!</v>
      </c>
      <c r="N32" s="659"/>
      <c r="O32" s="659"/>
      <c r="P32" s="573"/>
      <c r="Q32" s="574"/>
      <c r="R32" s="574"/>
      <c r="S32" s="522" t="e">
        <f t="shared" si="20"/>
        <v>#N/A</v>
      </c>
      <c r="T32" s="681"/>
      <c r="U32" s="573"/>
      <c r="V32" s="574"/>
      <c r="W32" s="574"/>
      <c r="X32" s="522" t="e">
        <f t="shared" si="21"/>
        <v>#N/A</v>
      </c>
      <c r="Y32" s="681"/>
      <c r="Z32" s="573"/>
      <c r="AA32" s="574"/>
      <c r="AB32" s="574"/>
      <c r="AC32" s="522" t="e">
        <f t="shared" si="22"/>
        <v>#N/A</v>
      </c>
      <c r="AD32" s="681"/>
      <c r="AE32" s="573"/>
      <c r="AF32" s="574"/>
      <c r="AG32" s="574"/>
      <c r="AH32" s="522" t="e">
        <f t="shared" si="23"/>
        <v>#N/A</v>
      </c>
      <c r="AI32" s="681"/>
      <c r="AJ32" s="573"/>
      <c r="AK32" s="574"/>
      <c r="AL32" s="574"/>
      <c r="AM32" s="522" t="e">
        <f t="shared" si="24"/>
        <v>#N/A</v>
      </c>
      <c r="AN32" s="681"/>
      <c r="AO32" s="573"/>
      <c r="AP32" s="574"/>
      <c r="AQ32" s="574"/>
      <c r="AR32" s="522"/>
      <c r="AS32" s="681"/>
      <c r="AT32" s="573"/>
      <c r="AU32" s="574"/>
      <c r="AV32" s="574"/>
      <c r="AW32" s="522"/>
      <c r="AX32" s="681"/>
    </row>
    <row r="33" spans="2:50">
      <c r="B33" s="667"/>
      <c r="C33" s="309">
        <v>7</v>
      </c>
      <c r="D33" s="227"/>
      <c r="E33" s="182"/>
      <c r="F33" s="569"/>
      <c r="G33" s="570"/>
      <c r="H33" s="709"/>
      <c r="I33" s="199" t="e">
        <f t="shared" si="17"/>
        <v>#DIV/0!</v>
      </c>
      <c r="J33" s="199" t="e">
        <f t="shared" si="18"/>
        <v>#DIV/0!</v>
      </c>
      <c r="K33" s="200" t="e">
        <f t="shared" si="19"/>
        <v>#DIV/0!</v>
      </c>
      <c r="L33" s="641"/>
      <c r="M33" s="201" t="e">
        <f>RANK(K33, K$27:$K$41)</f>
        <v>#DIV/0!</v>
      </c>
      <c r="N33" s="659"/>
      <c r="O33" s="659"/>
      <c r="P33" s="573"/>
      <c r="Q33" s="574"/>
      <c r="R33" s="574"/>
      <c r="S33" s="522" t="e">
        <f t="shared" si="20"/>
        <v>#N/A</v>
      </c>
      <c r="T33" s="681"/>
      <c r="U33" s="573"/>
      <c r="V33" s="574"/>
      <c r="W33" s="574"/>
      <c r="X33" s="522" t="e">
        <f t="shared" si="21"/>
        <v>#N/A</v>
      </c>
      <c r="Y33" s="681"/>
      <c r="Z33" s="573"/>
      <c r="AA33" s="574"/>
      <c r="AB33" s="574"/>
      <c r="AC33" s="522" t="e">
        <f t="shared" si="22"/>
        <v>#N/A</v>
      </c>
      <c r="AD33" s="681"/>
      <c r="AE33" s="573"/>
      <c r="AF33" s="574"/>
      <c r="AG33" s="574"/>
      <c r="AH33" s="522" t="e">
        <f t="shared" si="23"/>
        <v>#N/A</v>
      </c>
      <c r="AI33" s="681"/>
      <c r="AJ33" s="573"/>
      <c r="AK33" s="574"/>
      <c r="AL33" s="574"/>
      <c r="AM33" s="522" t="e">
        <f t="shared" si="24"/>
        <v>#N/A</v>
      </c>
      <c r="AN33" s="681"/>
      <c r="AO33" s="573"/>
      <c r="AP33" s="574"/>
      <c r="AQ33" s="574"/>
      <c r="AR33" s="522"/>
      <c r="AS33" s="681"/>
      <c r="AT33" s="573"/>
      <c r="AU33" s="574"/>
      <c r="AV33" s="574"/>
      <c r="AW33" s="522"/>
      <c r="AX33" s="681"/>
    </row>
    <row r="34" spans="2:50">
      <c r="B34" s="667"/>
      <c r="C34" s="309">
        <v>8</v>
      </c>
      <c r="D34" s="227"/>
      <c r="E34" s="182"/>
      <c r="F34" s="569"/>
      <c r="G34" s="570"/>
      <c r="H34" s="709"/>
      <c r="I34" s="199" t="e">
        <f t="shared" si="17"/>
        <v>#DIV/0!</v>
      </c>
      <c r="J34" s="199" t="e">
        <f t="shared" si="18"/>
        <v>#DIV/0!</v>
      </c>
      <c r="K34" s="200" t="e">
        <f t="shared" si="19"/>
        <v>#DIV/0!</v>
      </c>
      <c r="L34" s="641"/>
      <c r="M34" s="201" t="e">
        <f>RANK(K34, K$27:$K$41)</f>
        <v>#DIV/0!</v>
      </c>
      <c r="N34" s="659"/>
      <c r="O34" s="659"/>
      <c r="P34" s="573"/>
      <c r="Q34" s="574"/>
      <c r="R34" s="574"/>
      <c r="S34" s="522" t="e">
        <f t="shared" si="20"/>
        <v>#N/A</v>
      </c>
      <c r="T34" s="681"/>
      <c r="U34" s="573"/>
      <c r="V34" s="574"/>
      <c r="W34" s="574"/>
      <c r="X34" s="522" t="e">
        <f t="shared" si="21"/>
        <v>#N/A</v>
      </c>
      <c r="Y34" s="681"/>
      <c r="Z34" s="573"/>
      <c r="AA34" s="574"/>
      <c r="AB34" s="574"/>
      <c r="AC34" s="522" t="e">
        <f t="shared" si="22"/>
        <v>#N/A</v>
      </c>
      <c r="AD34" s="681"/>
      <c r="AE34" s="573"/>
      <c r="AF34" s="574"/>
      <c r="AG34" s="574"/>
      <c r="AH34" s="522" t="e">
        <f t="shared" si="23"/>
        <v>#N/A</v>
      </c>
      <c r="AI34" s="681"/>
      <c r="AJ34" s="573"/>
      <c r="AK34" s="574"/>
      <c r="AL34" s="574"/>
      <c r="AM34" s="522" t="e">
        <f t="shared" si="24"/>
        <v>#N/A</v>
      </c>
      <c r="AN34" s="681"/>
      <c r="AO34" s="573"/>
      <c r="AP34" s="574"/>
      <c r="AQ34" s="574"/>
      <c r="AR34" s="522"/>
      <c r="AS34" s="681"/>
      <c r="AT34" s="573"/>
      <c r="AU34" s="574"/>
      <c r="AV34" s="574"/>
      <c r="AW34" s="522"/>
      <c r="AX34" s="681"/>
    </row>
    <row r="35" spans="2:50">
      <c r="B35" s="667"/>
      <c r="C35" s="309">
        <v>9</v>
      </c>
      <c r="D35" s="227"/>
      <c r="E35" s="182"/>
      <c r="F35" s="569"/>
      <c r="G35" s="570"/>
      <c r="H35" s="709"/>
      <c r="I35" s="199" t="e">
        <f t="shared" si="17"/>
        <v>#DIV/0!</v>
      </c>
      <c r="J35" s="199" t="e">
        <f t="shared" si="18"/>
        <v>#DIV/0!</v>
      </c>
      <c r="K35" s="200" t="e">
        <f t="shared" si="19"/>
        <v>#DIV/0!</v>
      </c>
      <c r="L35" s="641"/>
      <c r="M35" s="201" t="e">
        <f>RANK(K35, K$27:$K$41)</f>
        <v>#DIV/0!</v>
      </c>
      <c r="N35" s="659"/>
      <c r="O35" s="659"/>
      <c r="P35" s="573"/>
      <c r="Q35" s="574"/>
      <c r="R35" s="574"/>
      <c r="S35" s="522" t="e">
        <f t="shared" si="20"/>
        <v>#N/A</v>
      </c>
      <c r="T35" s="681"/>
      <c r="U35" s="573"/>
      <c r="V35" s="574"/>
      <c r="W35" s="574"/>
      <c r="X35" s="522" t="e">
        <f t="shared" si="21"/>
        <v>#N/A</v>
      </c>
      <c r="Y35" s="681"/>
      <c r="Z35" s="573"/>
      <c r="AA35" s="574"/>
      <c r="AB35" s="574"/>
      <c r="AC35" s="522" t="e">
        <f t="shared" si="22"/>
        <v>#N/A</v>
      </c>
      <c r="AD35" s="681"/>
      <c r="AE35" s="573"/>
      <c r="AF35" s="574"/>
      <c r="AG35" s="574"/>
      <c r="AH35" s="522" t="e">
        <f t="shared" si="23"/>
        <v>#N/A</v>
      </c>
      <c r="AI35" s="681"/>
      <c r="AJ35" s="573"/>
      <c r="AK35" s="574"/>
      <c r="AL35" s="574"/>
      <c r="AM35" s="522" t="e">
        <f t="shared" si="24"/>
        <v>#N/A</v>
      </c>
      <c r="AN35" s="681"/>
      <c r="AO35" s="573"/>
      <c r="AP35" s="574"/>
      <c r="AQ35" s="574"/>
      <c r="AR35" s="522"/>
      <c r="AS35" s="681"/>
      <c r="AT35" s="573"/>
      <c r="AU35" s="574"/>
      <c r="AV35" s="574"/>
      <c r="AW35" s="522"/>
      <c r="AX35" s="681"/>
    </row>
    <row r="36" spans="2:50">
      <c r="B36" s="667"/>
      <c r="C36" s="309">
        <v>10</v>
      </c>
      <c r="D36" s="227"/>
      <c r="E36" s="182"/>
      <c r="F36" s="569"/>
      <c r="G36" s="570"/>
      <c r="H36" s="709"/>
      <c r="I36" s="199" t="e">
        <f t="shared" si="17"/>
        <v>#DIV/0!</v>
      </c>
      <c r="J36" s="199" t="e">
        <f t="shared" si="18"/>
        <v>#DIV/0!</v>
      </c>
      <c r="K36" s="200" t="e">
        <f t="shared" si="19"/>
        <v>#DIV/0!</v>
      </c>
      <c r="L36" s="641"/>
      <c r="M36" s="201" t="e">
        <f>RANK(K36, K$27:$K$41)</f>
        <v>#DIV/0!</v>
      </c>
      <c r="N36" s="659"/>
      <c r="O36" s="659"/>
      <c r="P36" s="573"/>
      <c r="Q36" s="574"/>
      <c r="R36" s="574"/>
      <c r="S36" s="522" t="e">
        <f t="shared" si="20"/>
        <v>#N/A</v>
      </c>
      <c r="T36" s="681"/>
      <c r="U36" s="573"/>
      <c r="V36" s="574"/>
      <c r="W36" s="574"/>
      <c r="X36" s="522" t="e">
        <f t="shared" si="21"/>
        <v>#N/A</v>
      </c>
      <c r="Y36" s="681"/>
      <c r="Z36" s="573"/>
      <c r="AA36" s="574"/>
      <c r="AB36" s="574"/>
      <c r="AC36" s="522" t="e">
        <f t="shared" si="22"/>
        <v>#N/A</v>
      </c>
      <c r="AD36" s="681"/>
      <c r="AE36" s="573"/>
      <c r="AF36" s="574"/>
      <c r="AG36" s="574"/>
      <c r="AH36" s="522" t="e">
        <f t="shared" si="23"/>
        <v>#N/A</v>
      </c>
      <c r="AI36" s="681"/>
      <c r="AJ36" s="573"/>
      <c r="AK36" s="574"/>
      <c r="AL36" s="574"/>
      <c r="AM36" s="522" t="e">
        <f t="shared" si="24"/>
        <v>#N/A</v>
      </c>
      <c r="AN36" s="681"/>
      <c r="AO36" s="573"/>
      <c r="AP36" s="574"/>
      <c r="AQ36" s="574"/>
      <c r="AR36" s="522"/>
      <c r="AS36" s="681"/>
      <c r="AT36" s="573"/>
      <c r="AU36" s="574"/>
      <c r="AV36" s="574"/>
      <c r="AW36" s="522"/>
      <c r="AX36" s="681"/>
    </row>
    <row r="37" spans="2:50">
      <c r="B37" s="667"/>
      <c r="C37" s="309">
        <v>11</v>
      </c>
      <c r="D37" s="227"/>
      <c r="E37" s="182"/>
      <c r="F37" s="569"/>
      <c r="G37" s="570"/>
      <c r="H37" s="709"/>
      <c r="I37" s="523" t="e">
        <f t="shared" ref="I37:I38" si="25">AVERAGE(P37,U37,Z37,AE37,AJ37,AO37,AT37)</f>
        <v>#DIV/0!</v>
      </c>
      <c r="J37" s="523" t="e">
        <f t="shared" ref="J37:J38" si="26">AVERAGE(Q37,V37,AA37,AF37,AK37,AP37,AU37)</f>
        <v>#DIV/0!</v>
      </c>
      <c r="K37" s="200" t="e">
        <f t="shared" ref="K37:K38" si="27">AVERAGE(R37,W37,AB37,AG37,AL37,AQ37,AV37)</f>
        <v>#DIV/0!</v>
      </c>
      <c r="L37" s="641"/>
      <c r="M37" s="201" t="e">
        <f>RANK(K37, K$27:$K$41)</f>
        <v>#DIV/0!</v>
      </c>
      <c r="N37" s="659"/>
      <c r="O37" s="659"/>
      <c r="P37" s="573"/>
      <c r="Q37" s="574"/>
      <c r="R37" s="574"/>
      <c r="S37" s="522" t="e">
        <f t="shared" si="20"/>
        <v>#N/A</v>
      </c>
      <c r="T37" s="681"/>
      <c r="U37" s="573"/>
      <c r="V37" s="574"/>
      <c r="W37" s="574"/>
      <c r="X37" s="522" t="e">
        <f t="shared" si="21"/>
        <v>#N/A</v>
      </c>
      <c r="Y37" s="681"/>
      <c r="Z37" s="573"/>
      <c r="AA37" s="574"/>
      <c r="AB37" s="574"/>
      <c r="AC37" s="522" t="e">
        <f t="shared" si="22"/>
        <v>#N/A</v>
      </c>
      <c r="AD37" s="681"/>
      <c r="AE37" s="573"/>
      <c r="AF37" s="574"/>
      <c r="AG37" s="574"/>
      <c r="AH37" s="522" t="e">
        <f t="shared" si="23"/>
        <v>#N/A</v>
      </c>
      <c r="AI37" s="681"/>
      <c r="AJ37" s="573"/>
      <c r="AK37" s="574"/>
      <c r="AL37" s="574"/>
      <c r="AM37" s="522" t="e">
        <f t="shared" si="24"/>
        <v>#N/A</v>
      </c>
      <c r="AN37" s="681"/>
      <c r="AO37" s="573"/>
      <c r="AP37" s="574"/>
      <c r="AQ37" s="574"/>
      <c r="AR37" s="522"/>
      <c r="AS37" s="681"/>
      <c r="AT37" s="573"/>
      <c r="AU37" s="574"/>
      <c r="AV37" s="574"/>
      <c r="AW37" s="522"/>
      <c r="AX37" s="681"/>
    </row>
    <row r="38" spans="2:50">
      <c r="B38" s="667"/>
      <c r="C38" s="309">
        <v>12</v>
      </c>
      <c r="D38" s="227"/>
      <c r="E38" s="182"/>
      <c r="F38" s="569"/>
      <c r="G38" s="570"/>
      <c r="H38" s="709"/>
      <c r="I38" s="523" t="e">
        <f t="shared" si="25"/>
        <v>#DIV/0!</v>
      </c>
      <c r="J38" s="523" t="e">
        <f t="shared" si="26"/>
        <v>#DIV/0!</v>
      </c>
      <c r="K38" s="200" t="e">
        <f t="shared" si="27"/>
        <v>#DIV/0!</v>
      </c>
      <c r="L38" s="641"/>
      <c r="M38" s="201" t="e">
        <f>RANK(K38, K$27:$K$41)</f>
        <v>#DIV/0!</v>
      </c>
      <c r="N38" s="659"/>
      <c r="O38" s="659"/>
      <c r="P38" s="573"/>
      <c r="Q38" s="574"/>
      <c r="R38" s="574"/>
      <c r="S38" s="522" t="e">
        <f t="shared" si="20"/>
        <v>#N/A</v>
      </c>
      <c r="T38" s="681"/>
      <c r="U38" s="573"/>
      <c r="V38" s="574"/>
      <c r="W38" s="574"/>
      <c r="X38" s="522" t="e">
        <f t="shared" si="21"/>
        <v>#N/A</v>
      </c>
      <c r="Y38" s="681"/>
      <c r="Z38" s="573"/>
      <c r="AA38" s="574"/>
      <c r="AB38" s="574"/>
      <c r="AC38" s="522" t="e">
        <f t="shared" si="22"/>
        <v>#N/A</v>
      </c>
      <c r="AD38" s="681"/>
      <c r="AE38" s="573"/>
      <c r="AF38" s="574"/>
      <c r="AG38" s="574"/>
      <c r="AH38" s="522" t="e">
        <f t="shared" si="23"/>
        <v>#N/A</v>
      </c>
      <c r="AI38" s="681"/>
      <c r="AJ38" s="573"/>
      <c r="AK38" s="574"/>
      <c r="AL38" s="574"/>
      <c r="AM38" s="522" t="e">
        <f t="shared" si="24"/>
        <v>#N/A</v>
      </c>
      <c r="AN38" s="681"/>
      <c r="AO38" s="573"/>
      <c r="AP38" s="574"/>
      <c r="AQ38" s="574"/>
      <c r="AR38" s="522"/>
      <c r="AS38" s="681"/>
      <c r="AT38" s="573"/>
      <c r="AU38" s="574"/>
      <c r="AV38" s="574"/>
      <c r="AW38" s="522"/>
      <c r="AX38" s="681"/>
    </row>
    <row r="39" spans="2:50">
      <c r="B39" s="667"/>
      <c r="C39" s="309">
        <v>13</v>
      </c>
      <c r="D39" s="227"/>
      <c r="E39" s="182"/>
      <c r="F39" s="569"/>
      <c r="G39" s="570"/>
      <c r="H39" s="709"/>
      <c r="I39" s="202"/>
      <c r="J39" s="202"/>
      <c r="K39" s="202"/>
      <c r="L39" s="641"/>
      <c r="M39" s="201" t="e">
        <f>RANK(K39, K$27:$K$41)</f>
        <v>#DIV/0!</v>
      </c>
      <c r="N39" s="659"/>
      <c r="O39" s="659"/>
      <c r="P39" s="573"/>
      <c r="Q39" s="574"/>
      <c r="R39" s="574"/>
      <c r="S39" s="522" t="e">
        <f t="shared" si="20"/>
        <v>#N/A</v>
      </c>
      <c r="T39" s="681"/>
      <c r="U39" s="573"/>
      <c r="V39" s="574"/>
      <c r="W39" s="574"/>
      <c r="X39" s="522" t="e">
        <f t="shared" si="21"/>
        <v>#N/A</v>
      </c>
      <c r="Y39" s="681"/>
      <c r="Z39" s="573"/>
      <c r="AA39" s="574"/>
      <c r="AB39" s="574"/>
      <c r="AC39" s="522" t="e">
        <f t="shared" si="22"/>
        <v>#N/A</v>
      </c>
      <c r="AD39" s="681"/>
      <c r="AE39" s="573"/>
      <c r="AF39" s="574"/>
      <c r="AG39" s="574"/>
      <c r="AH39" s="522" t="e">
        <f t="shared" si="23"/>
        <v>#N/A</v>
      </c>
      <c r="AI39" s="681"/>
      <c r="AJ39" s="573"/>
      <c r="AK39" s="574"/>
      <c r="AL39" s="574"/>
      <c r="AM39" s="522" t="e">
        <f t="shared" si="24"/>
        <v>#N/A</v>
      </c>
      <c r="AN39" s="681"/>
      <c r="AO39" s="573"/>
      <c r="AP39" s="574"/>
      <c r="AQ39" s="574"/>
      <c r="AR39" s="522"/>
      <c r="AS39" s="681"/>
      <c r="AT39" s="573"/>
      <c r="AU39" s="574"/>
      <c r="AV39" s="574"/>
      <c r="AW39" s="522"/>
      <c r="AX39" s="681"/>
    </row>
    <row r="40" spans="2:50">
      <c r="B40" s="667"/>
      <c r="C40" s="309">
        <v>14</v>
      </c>
      <c r="D40" s="227"/>
      <c r="E40" s="182"/>
      <c r="F40" s="569"/>
      <c r="G40" s="570"/>
      <c r="H40" s="709"/>
      <c r="I40" s="202"/>
      <c r="J40" s="202"/>
      <c r="K40" s="202"/>
      <c r="L40" s="641"/>
      <c r="M40" s="201" t="e">
        <f>RANK(K40, K$27:$K$41)</f>
        <v>#DIV/0!</v>
      </c>
      <c r="N40" s="659"/>
      <c r="O40" s="659"/>
      <c r="P40" s="573"/>
      <c r="Q40" s="574"/>
      <c r="R40" s="574"/>
      <c r="S40" s="522" t="e">
        <f t="shared" si="20"/>
        <v>#N/A</v>
      </c>
      <c r="T40" s="681"/>
      <c r="U40" s="573"/>
      <c r="V40" s="574"/>
      <c r="W40" s="574"/>
      <c r="X40" s="522" t="e">
        <f t="shared" si="21"/>
        <v>#N/A</v>
      </c>
      <c r="Y40" s="681"/>
      <c r="Z40" s="573"/>
      <c r="AA40" s="574"/>
      <c r="AB40" s="574"/>
      <c r="AC40" s="522" t="e">
        <f t="shared" si="22"/>
        <v>#N/A</v>
      </c>
      <c r="AD40" s="681"/>
      <c r="AE40" s="573"/>
      <c r="AF40" s="574"/>
      <c r="AG40" s="574"/>
      <c r="AH40" s="522" t="e">
        <f t="shared" si="23"/>
        <v>#N/A</v>
      </c>
      <c r="AI40" s="681"/>
      <c r="AJ40" s="573"/>
      <c r="AK40" s="574"/>
      <c r="AL40" s="574"/>
      <c r="AM40" s="522" t="e">
        <f t="shared" si="24"/>
        <v>#N/A</v>
      </c>
      <c r="AN40" s="681"/>
      <c r="AO40" s="573"/>
      <c r="AP40" s="574"/>
      <c r="AQ40" s="574"/>
      <c r="AR40" s="522"/>
      <c r="AS40" s="681"/>
      <c r="AT40" s="573"/>
      <c r="AU40" s="574"/>
      <c r="AV40" s="574"/>
      <c r="AW40" s="522"/>
      <c r="AX40" s="681"/>
    </row>
    <row r="41" spans="2:50">
      <c r="B41" s="667"/>
      <c r="C41" s="309">
        <v>15</v>
      </c>
      <c r="D41" s="227"/>
      <c r="E41" s="182"/>
      <c r="F41" s="569"/>
      <c r="G41" s="570"/>
      <c r="H41" s="710"/>
      <c r="I41" s="202"/>
      <c r="J41" s="202"/>
      <c r="K41" s="202"/>
      <c r="L41" s="642"/>
      <c r="M41" s="199" t="e">
        <f>RANK(K41, K$27:$K$41)</f>
        <v>#DIV/0!</v>
      </c>
      <c r="N41" s="659"/>
      <c r="O41" s="659"/>
      <c r="P41" s="573"/>
      <c r="Q41" s="574"/>
      <c r="R41" s="574"/>
      <c r="S41" s="522" t="e">
        <f t="shared" si="20"/>
        <v>#N/A</v>
      </c>
      <c r="T41" s="681"/>
      <c r="U41" s="573"/>
      <c r="V41" s="574"/>
      <c r="W41" s="574"/>
      <c r="X41" s="522"/>
      <c r="Y41" s="681"/>
      <c r="Z41" s="573"/>
      <c r="AA41" s="574"/>
      <c r="AB41" s="574"/>
      <c r="AC41" s="522"/>
      <c r="AD41" s="681"/>
      <c r="AE41" s="573"/>
      <c r="AF41" s="574"/>
      <c r="AG41" s="574"/>
      <c r="AH41" s="522"/>
      <c r="AI41" s="681"/>
      <c r="AJ41" s="573"/>
      <c r="AK41" s="574"/>
      <c r="AL41" s="574"/>
      <c r="AM41" s="522"/>
      <c r="AN41" s="681"/>
      <c r="AO41" s="573"/>
      <c r="AP41" s="574"/>
      <c r="AQ41" s="574"/>
      <c r="AR41" s="522"/>
      <c r="AS41" s="681"/>
      <c r="AT41" s="573"/>
      <c r="AU41" s="574"/>
      <c r="AV41" s="574"/>
      <c r="AW41" s="522"/>
      <c r="AX41" s="681"/>
    </row>
    <row r="42" spans="2:50" ht="15.75">
      <c r="B42" s="685" t="s">
        <v>163</v>
      </c>
      <c r="C42" s="686"/>
      <c r="D42" s="686"/>
      <c r="E42" s="686"/>
      <c r="F42" s="686"/>
      <c r="G42" s="686"/>
      <c r="H42" s="686"/>
      <c r="I42" s="208"/>
      <c r="J42" s="203"/>
      <c r="K42" s="208"/>
      <c r="L42" s="208"/>
      <c r="M42" s="204"/>
      <c r="N42" s="660" t="s">
        <v>156</v>
      </c>
      <c r="O42" s="660" t="s">
        <v>105</v>
      </c>
      <c r="P42" s="666">
        <f>P22+7</f>
        <v>46098</v>
      </c>
      <c r="Q42" s="667"/>
      <c r="R42" s="667"/>
      <c r="S42" s="667"/>
      <c r="T42" s="667"/>
      <c r="U42" s="663">
        <f>P42+1</f>
        <v>46099</v>
      </c>
      <c r="V42" s="664"/>
      <c r="W42" s="664"/>
      <c r="X42" s="664"/>
      <c r="Y42" s="665"/>
      <c r="Z42" s="663">
        <f>U42+1</f>
        <v>46100</v>
      </c>
      <c r="AA42" s="664"/>
      <c r="AB42" s="664"/>
      <c r="AC42" s="664"/>
      <c r="AD42" s="665"/>
      <c r="AE42" s="663">
        <f>Z42+1</f>
        <v>46101</v>
      </c>
      <c r="AF42" s="664"/>
      <c r="AG42" s="664"/>
      <c r="AH42" s="664"/>
      <c r="AI42" s="665"/>
      <c r="AJ42" s="663">
        <f>AE42+1</f>
        <v>46102</v>
      </c>
      <c r="AK42" s="664"/>
      <c r="AL42" s="664"/>
      <c r="AM42" s="664"/>
      <c r="AN42" s="665"/>
      <c r="AO42" s="663">
        <f>AJ42+1</f>
        <v>46103</v>
      </c>
      <c r="AP42" s="664"/>
      <c r="AQ42" s="664"/>
      <c r="AR42" s="664"/>
      <c r="AS42" s="665"/>
      <c r="AT42" s="663">
        <f>AO42+1</f>
        <v>46104</v>
      </c>
      <c r="AU42" s="664"/>
      <c r="AV42" s="664"/>
      <c r="AW42" s="664"/>
      <c r="AX42" s="665"/>
    </row>
    <row r="43" spans="2:50" ht="15.75">
      <c r="B43" s="674"/>
      <c r="C43" s="674"/>
      <c r="D43" s="674"/>
      <c r="E43" s="674"/>
      <c r="F43" s="674"/>
      <c r="G43" s="674"/>
      <c r="H43" s="674"/>
      <c r="I43" s="205"/>
      <c r="J43" s="205"/>
      <c r="K43" s="205"/>
      <c r="L43" s="205"/>
      <c r="M43" s="206"/>
      <c r="N43" s="662"/>
      <c r="O43" s="662"/>
      <c r="P43" s="666" t="s">
        <v>336</v>
      </c>
      <c r="Q43" s="667"/>
      <c r="R43" s="667"/>
      <c r="S43" s="667"/>
      <c r="T43" s="667"/>
      <c r="U43" s="666" t="s">
        <v>337</v>
      </c>
      <c r="V43" s="667"/>
      <c r="W43" s="667"/>
      <c r="X43" s="667"/>
      <c r="Y43" s="667"/>
      <c r="Z43" s="666" t="s">
        <v>338</v>
      </c>
      <c r="AA43" s="667"/>
      <c r="AB43" s="667"/>
      <c r="AC43" s="667"/>
      <c r="AD43" s="667"/>
      <c r="AE43" s="666" t="s">
        <v>339</v>
      </c>
      <c r="AF43" s="667"/>
      <c r="AG43" s="667"/>
      <c r="AH43" s="667"/>
      <c r="AI43" s="667"/>
      <c r="AJ43" s="666" t="s">
        <v>340</v>
      </c>
      <c r="AK43" s="667"/>
      <c r="AL43" s="667"/>
      <c r="AM43" s="667"/>
      <c r="AN43" s="667"/>
      <c r="AO43" s="666" t="s">
        <v>341</v>
      </c>
      <c r="AP43" s="667"/>
      <c r="AQ43" s="667"/>
      <c r="AR43" s="667"/>
      <c r="AS43" s="667"/>
      <c r="AT43" s="666" t="s">
        <v>342</v>
      </c>
      <c r="AU43" s="667"/>
      <c r="AV43" s="667"/>
      <c r="AW43" s="667"/>
      <c r="AX43" s="667"/>
    </row>
    <row r="44" spans="2:50">
      <c r="B44" s="659" t="s">
        <v>419</v>
      </c>
      <c r="C44" s="659" t="s">
        <v>429</v>
      </c>
      <c r="D44" s="659"/>
      <c r="E44" s="659" t="s">
        <v>420</v>
      </c>
      <c r="F44" s="659"/>
      <c r="G44" s="659"/>
      <c r="H44" s="675" t="s">
        <v>416</v>
      </c>
      <c r="I44" s="643" t="s">
        <v>421</v>
      </c>
      <c r="J44" s="643"/>
      <c r="K44" s="643"/>
      <c r="L44" s="644" t="s">
        <v>416</v>
      </c>
      <c r="M44" s="650" t="s">
        <v>417</v>
      </c>
      <c r="N44" s="659"/>
      <c r="O44" s="659" t="s">
        <v>422</v>
      </c>
      <c r="P44" s="656" t="s">
        <v>900</v>
      </c>
      <c r="Q44" s="657"/>
      <c r="R44" s="657"/>
      <c r="S44" s="658"/>
      <c r="T44" s="659" t="s">
        <v>901</v>
      </c>
      <c r="U44" s="656" t="s">
        <v>900</v>
      </c>
      <c r="V44" s="657"/>
      <c r="W44" s="657"/>
      <c r="X44" s="658"/>
      <c r="Y44" s="659" t="s">
        <v>901</v>
      </c>
      <c r="Z44" s="656" t="s">
        <v>900</v>
      </c>
      <c r="AA44" s="657"/>
      <c r="AB44" s="657"/>
      <c r="AC44" s="658"/>
      <c r="AD44" s="659" t="s">
        <v>901</v>
      </c>
      <c r="AE44" s="656" t="s">
        <v>900</v>
      </c>
      <c r="AF44" s="657"/>
      <c r="AG44" s="657"/>
      <c r="AH44" s="658"/>
      <c r="AI44" s="659" t="s">
        <v>901</v>
      </c>
      <c r="AJ44" s="656" t="s">
        <v>900</v>
      </c>
      <c r="AK44" s="657"/>
      <c r="AL44" s="657"/>
      <c r="AM44" s="658"/>
      <c r="AN44" s="659" t="s">
        <v>901</v>
      </c>
      <c r="AO44" s="656" t="s">
        <v>900</v>
      </c>
      <c r="AP44" s="657"/>
      <c r="AQ44" s="657"/>
      <c r="AR44" s="658"/>
      <c r="AS44" s="659" t="s">
        <v>901</v>
      </c>
      <c r="AT44" s="656" t="s">
        <v>900</v>
      </c>
      <c r="AU44" s="657"/>
      <c r="AV44" s="657"/>
      <c r="AW44" s="658"/>
      <c r="AX44" s="659" t="s">
        <v>901</v>
      </c>
    </row>
    <row r="45" spans="2:50">
      <c r="B45" s="659"/>
      <c r="C45" s="659"/>
      <c r="D45" s="659"/>
      <c r="E45" s="659" t="s">
        <v>423</v>
      </c>
      <c r="F45" s="659"/>
      <c r="G45" s="659"/>
      <c r="H45" s="676"/>
      <c r="I45" s="643" t="s">
        <v>423</v>
      </c>
      <c r="J45" s="643"/>
      <c r="K45" s="643"/>
      <c r="L45" s="645"/>
      <c r="M45" s="651"/>
      <c r="N45" s="659"/>
      <c r="O45" s="659"/>
      <c r="P45" s="656" t="s">
        <v>902</v>
      </c>
      <c r="Q45" s="657"/>
      <c r="R45" s="657"/>
      <c r="S45" s="658"/>
      <c r="T45" s="659"/>
      <c r="U45" s="656" t="s">
        <v>902</v>
      </c>
      <c r="V45" s="657"/>
      <c r="W45" s="657"/>
      <c r="X45" s="658"/>
      <c r="Y45" s="659"/>
      <c r="Z45" s="656" t="s">
        <v>902</v>
      </c>
      <c r="AA45" s="657"/>
      <c r="AB45" s="657"/>
      <c r="AC45" s="658"/>
      <c r="AD45" s="659"/>
      <c r="AE45" s="656" t="s">
        <v>902</v>
      </c>
      <c r="AF45" s="657"/>
      <c r="AG45" s="657"/>
      <c r="AH45" s="658"/>
      <c r="AI45" s="659"/>
      <c r="AJ45" s="656" t="s">
        <v>902</v>
      </c>
      <c r="AK45" s="657"/>
      <c r="AL45" s="657"/>
      <c r="AM45" s="658"/>
      <c r="AN45" s="659"/>
      <c r="AO45" s="656" t="s">
        <v>902</v>
      </c>
      <c r="AP45" s="657"/>
      <c r="AQ45" s="657"/>
      <c r="AR45" s="658"/>
      <c r="AS45" s="659"/>
      <c r="AT45" s="656" t="s">
        <v>902</v>
      </c>
      <c r="AU45" s="657"/>
      <c r="AV45" s="657"/>
      <c r="AW45" s="658"/>
      <c r="AX45" s="659"/>
    </row>
    <row r="46" spans="2:50">
      <c r="B46" s="659"/>
      <c r="C46" s="659"/>
      <c r="D46" s="659"/>
      <c r="E46" s="308" t="s">
        <v>425</v>
      </c>
      <c r="F46" s="308" t="s">
        <v>426</v>
      </c>
      <c r="G46" s="308" t="s">
        <v>427</v>
      </c>
      <c r="H46" s="677"/>
      <c r="I46" s="307" t="s">
        <v>425</v>
      </c>
      <c r="J46" s="307" t="s">
        <v>426</v>
      </c>
      <c r="K46" s="307" t="s">
        <v>427</v>
      </c>
      <c r="L46" s="646"/>
      <c r="M46" s="652"/>
      <c r="N46" s="659"/>
      <c r="O46" s="659"/>
      <c r="P46" s="532" t="s">
        <v>903</v>
      </c>
      <c r="Q46" s="532" t="s">
        <v>904</v>
      </c>
      <c r="R46" s="532" t="s">
        <v>905</v>
      </c>
      <c r="S46" s="532" t="s">
        <v>906</v>
      </c>
      <c r="T46" s="659"/>
      <c r="U46" s="532" t="s">
        <v>903</v>
      </c>
      <c r="V46" s="532" t="s">
        <v>904</v>
      </c>
      <c r="W46" s="532" t="s">
        <v>905</v>
      </c>
      <c r="X46" s="532" t="s">
        <v>906</v>
      </c>
      <c r="Y46" s="659"/>
      <c r="Z46" s="532" t="s">
        <v>903</v>
      </c>
      <c r="AA46" s="532" t="s">
        <v>904</v>
      </c>
      <c r="AB46" s="532" t="s">
        <v>905</v>
      </c>
      <c r="AC46" s="532" t="s">
        <v>906</v>
      </c>
      <c r="AD46" s="659"/>
      <c r="AE46" s="532" t="s">
        <v>903</v>
      </c>
      <c r="AF46" s="532" t="s">
        <v>904</v>
      </c>
      <c r="AG46" s="532" t="s">
        <v>905</v>
      </c>
      <c r="AH46" s="532" t="s">
        <v>906</v>
      </c>
      <c r="AI46" s="659"/>
      <c r="AJ46" s="532" t="s">
        <v>903</v>
      </c>
      <c r="AK46" s="532" t="s">
        <v>904</v>
      </c>
      <c r="AL46" s="532" t="s">
        <v>905</v>
      </c>
      <c r="AM46" s="532" t="s">
        <v>906</v>
      </c>
      <c r="AN46" s="659"/>
      <c r="AO46" s="532" t="s">
        <v>903</v>
      </c>
      <c r="AP46" s="532" t="s">
        <v>904</v>
      </c>
      <c r="AQ46" s="532" t="s">
        <v>905</v>
      </c>
      <c r="AR46" s="532" t="s">
        <v>906</v>
      </c>
      <c r="AS46" s="659"/>
      <c r="AT46" s="532" t="s">
        <v>903</v>
      </c>
      <c r="AU46" s="532" t="s">
        <v>904</v>
      </c>
      <c r="AV46" s="532" t="s">
        <v>905</v>
      </c>
      <c r="AW46" s="532" t="s">
        <v>906</v>
      </c>
      <c r="AX46" s="659"/>
    </row>
    <row r="47" spans="2:50">
      <c r="B47" s="707" t="s">
        <v>428</v>
      </c>
      <c r="C47" s="309">
        <v>1</v>
      </c>
      <c r="D47" s="227"/>
      <c r="E47" s="182"/>
      <c r="F47" s="569"/>
      <c r="G47" s="570"/>
      <c r="H47" s="708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40" t="str">
        <f>IFERROR(AVERAGE(K47:K61),"-")</f>
        <v>-</v>
      </c>
      <c r="M47" s="201" t="e">
        <f>RANK(K47, K$47:$K$61)</f>
        <v>#DIV/0!</v>
      </c>
      <c r="N47" s="659"/>
      <c r="O47" s="659"/>
      <c r="P47" s="573"/>
      <c r="Q47" s="574"/>
      <c r="R47" s="574"/>
      <c r="S47" s="533" t="e">
        <f>RANK(R47, R$47:R$61)</f>
        <v>#N/A</v>
      </c>
      <c r="T47" s="681" t="e">
        <f>AVERAGE(R47:R61)</f>
        <v>#DIV/0!</v>
      </c>
      <c r="U47" s="573"/>
      <c r="V47" s="574"/>
      <c r="W47" s="574"/>
      <c r="X47" s="533" t="e">
        <f>RANK(W47, W$47:W$61)</f>
        <v>#N/A</v>
      </c>
      <c r="Y47" s="681" t="e">
        <f>AVERAGE(W47:W61)</f>
        <v>#DIV/0!</v>
      </c>
      <c r="Z47" s="573"/>
      <c r="AA47" s="574"/>
      <c r="AB47" s="574"/>
      <c r="AC47" s="533" t="e">
        <f>RANK(AB47, AB$47:AB$61)</f>
        <v>#N/A</v>
      </c>
      <c r="AD47" s="681" t="e">
        <f>AVERAGE(AB47:AB61)</f>
        <v>#DIV/0!</v>
      </c>
      <c r="AE47" s="573"/>
      <c r="AF47" s="574"/>
      <c r="AG47" s="574"/>
      <c r="AH47" s="533" t="e">
        <f>RANK(AG47, AG$47:AG$61)</f>
        <v>#N/A</v>
      </c>
      <c r="AI47" s="681" t="e">
        <f>AVERAGE(AG47:AG61)</f>
        <v>#DIV/0!</v>
      </c>
      <c r="AJ47" s="573"/>
      <c r="AK47" s="574"/>
      <c r="AL47" s="574"/>
      <c r="AM47" s="533" t="e">
        <f>RANK(AL47, AL$47:AL$61)</f>
        <v>#N/A</v>
      </c>
      <c r="AN47" s="681" t="e">
        <f>AVERAGE(AL47:AL61)</f>
        <v>#DIV/0!</v>
      </c>
      <c r="AO47" s="573"/>
      <c r="AP47" s="574"/>
      <c r="AQ47" s="574"/>
      <c r="AR47" s="533" t="e">
        <f>RANK(AQ47, AQ$47:AQ$61)</f>
        <v>#N/A</v>
      </c>
      <c r="AS47" s="681" t="e">
        <f>AVERAGE(AQ47:AQ61)</f>
        <v>#DIV/0!</v>
      </c>
      <c r="AT47" s="573"/>
      <c r="AU47" s="574"/>
      <c r="AV47" s="574"/>
      <c r="AW47" s="533" t="e">
        <f>RANK(AV47, AV$47:AV$61)</f>
        <v>#N/A</v>
      </c>
      <c r="AX47" s="681" t="e">
        <f>AVERAGE(AV47:AV61)</f>
        <v>#DIV/0!</v>
      </c>
    </row>
    <row r="48" spans="2:50">
      <c r="B48" s="667"/>
      <c r="C48" s="309">
        <v>2</v>
      </c>
      <c r="D48" s="227"/>
      <c r="E48" s="182"/>
      <c r="F48" s="569"/>
      <c r="G48" s="570"/>
      <c r="H48" s="709"/>
      <c r="I48" s="199" t="e">
        <f t="shared" ref="I48:I56" si="28">AVERAGE(P48,U48,Z48,AE48,AJ48,AO48,AT48)</f>
        <v>#DIV/0!</v>
      </c>
      <c r="J48" s="199" t="e">
        <f t="shared" ref="J48:J56" si="29">AVERAGE(Q48,V48,AA48,AF48,AK48,AP48,AU48)</f>
        <v>#DIV/0!</v>
      </c>
      <c r="K48" s="200" t="e">
        <f t="shared" ref="K48:K56" si="30">AVERAGE(R48,W48,AB48,AG48,AL48,AQ48,AV48)</f>
        <v>#DIV/0!</v>
      </c>
      <c r="L48" s="641"/>
      <c r="M48" s="201" t="e">
        <f>RANK(K48, K$47:$K$61)</f>
        <v>#DIV/0!</v>
      </c>
      <c r="N48" s="659"/>
      <c r="O48" s="659"/>
      <c r="P48" s="573"/>
      <c r="Q48" s="574"/>
      <c r="R48" s="574"/>
      <c r="S48" s="533" t="e">
        <f t="shared" ref="S48:S61" si="31">RANK(R48, R$47:R$61)</f>
        <v>#N/A</v>
      </c>
      <c r="T48" s="681"/>
      <c r="U48" s="573"/>
      <c r="V48" s="574"/>
      <c r="W48" s="574"/>
      <c r="X48" s="533" t="e">
        <f t="shared" ref="X48:X61" si="32">RANK(W48, W$47:W$61)</f>
        <v>#N/A</v>
      </c>
      <c r="Y48" s="681"/>
      <c r="Z48" s="573"/>
      <c r="AA48" s="574"/>
      <c r="AB48" s="574"/>
      <c r="AC48" s="533" t="e">
        <f t="shared" ref="AC48:AC61" si="33">RANK(AB48, AB$47:AB$61)</f>
        <v>#N/A</v>
      </c>
      <c r="AD48" s="681"/>
      <c r="AE48" s="573"/>
      <c r="AF48" s="574"/>
      <c r="AG48" s="574"/>
      <c r="AH48" s="533" t="e">
        <f t="shared" ref="AH48:AH61" si="34">RANK(AG48, AG$47:AG$61)</f>
        <v>#N/A</v>
      </c>
      <c r="AI48" s="681"/>
      <c r="AJ48" s="573"/>
      <c r="AK48" s="574"/>
      <c r="AL48" s="574"/>
      <c r="AM48" s="533" t="e">
        <f t="shared" ref="AM48:AM61" si="35">RANK(AL48, AL$47:AL$61)</f>
        <v>#N/A</v>
      </c>
      <c r="AN48" s="681"/>
      <c r="AO48" s="573"/>
      <c r="AP48" s="574"/>
      <c r="AQ48" s="574"/>
      <c r="AR48" s="533" t="e">
        <f t="shared" ref="AR48:AR61" si="36">RANK(AQ48, AQ$47:AQ$61)</f>
        <v>#N/A</v>
      </c>
      <c r="AS48" s="681"/>
      <c r="AT48" s="573"/>
      <c r="AU48" s="574"/>
      <c r="AV48" s="574"/>
      <c r="AW48" s="533" t="e">
        <f t="shared" ref="AW48:AW61" si="37">RANK(AV48, AV$47:AV$61)</f>
        <v>#N/A</v>
      </c>
      <c r="AX48" s="681"/>
    </row>
    <row r="49" spans="2:50">
      <c r="B49" s="667"/>
      <c r="C49" s="309">
        <v>3</v>
      </c>
      <c r="D49" s="227"/>
      <c r="E49" s="182"/>
      <c r="F49" s="569"/>
      <c r="G49" s="570"/>
      <c r="H49" s="709"/>
      <c r="I49" s="199" t="e">
        <f t="shared" si="28"/>
        <v>#DIV/0!</v>
      </c>
      <c r="J49" s="199" t="e">
        <f t="shared" si="29"/>
        <v>#DIV/0!</v>
      </c>
      <c r="K49" s="200" t="e">
        <f t="shared" si="30"/>
        <v>#DIV/0!</v>
      </c>
      <c r="L49" s="641"/>
      <c r="M49" s="201" t="e">
        <f>RANK(K49, K$47:$K$61)</f>
        <v>#DIV/0!</v>
      </c>
      <c r="N49" s="659"/>
      <c r="O49" s="659"/>
      <c r="P49" s="573"/>
      <c r="Q49" s="574"/>
      <c r="R49" s="574"/>
      <c r="S49" s="533" t="e">
        <f t="shared" si="31"/>
        <v>#N/A</v>
      </c>
      <c r="T49" s="681"/>
      <c r="U49" s="573"/>
      <c r="V49" s="574"/>
      <c r="W49" s="574"/>
      <c r="X49" s="533" t="e">
        <f t="shared" si="32"/>
        <v>#N/A</v>
      </c>
      <c r="Y49" s="681"/>
      <c r="Z49" s="573"/>
      <c r="AA49" s="574"/>
      <c r="AB49" s="574"/>
      <c r="AC49" s="533" t="e">
        <f t="shared" si="33"/>
        <v>#N/A</v>
      </c>
      <c r="AD49" s="681"/>
      <c r="AE49" s="573"/>
      <c r="AF49" s="574"/>
      <c r="AG49" s="574"/>
      <c r="AH49" s="533" t="e">
        <f t="shared" si="34"/>
        <v>#N/A</v>
      </c>
      <c r="AI49" s="681"/>
      <c r="AJ49" s="573"/>
      <c r="AK49" s="574"/>
      <c r="AL49" s="574"/>
      <c r="AM49" s="533" t="e">
        <f t="shared" si="35"/>
        <v>#N/A</v>
      </c>
      <c r="AN49" s="681"/>
      <c r="AO49" s="573"/>
      <c r="AP49" s="574"/>
      <c r="AQ49" s="574"/>
      <c r="AR49" s="533" t="e">
        <f t="shared" si="36"/>
        <v>#N/A</v>
      </c>
      <c r="AS49" s="681"/>
      <c r="AT49" s="573"/>
      <c r="AU49" s="574"/>
      <c r="AV49" s="574"/>
      <c r="AW49" s="533" t="e">
        <f t="shared" si="37"/>
        <v>#N/A</v>
      </c>
      <c r="AX49" s="681"/>
    </row>
    <row r="50" spans="2:50">
      <c r="B50" s="667"/>
      <c r="C50" s="309">
        <v>4</v>
      </c>
      <c r="D50" s="227"/>
      <c r="E50" s="182"/>
      <c r="F50" s="569"/>
      <c r="G50" s="570"/>
      <c r="H50" s="709"/>
      <c r="I50" s="199" t="e">
        <f t="shared" si="28"/>
        <v>#DIV/0!</v>
      </c>
      <c r="J50" s="199" t="e">
        <f t="shared" si="29"/>
        <v>#DIV/0!</v>
      </c>
      <c r="K50" s="200" t="e">
        <f t="shared" si="30"/>
        <v>#DIV/0!</v>
      </c>
      <c r="L50" s="641"/>
      <c r="M50" s="201" t="e">
        <f>RANK(K50, K$47:$K$61)</f>
        <v>#DIV/0!</v>
      </c>
      <c r="N50" s="659"/>
      <c r="O50" s="659"/>
      <c r="P50" s="573"/>
      <c r="Q50" s="574"/>
      <c r="R50" s="574"/>
      <c r="S50" s="533" t="e">
        <f t="shared" si="31"/>
        <v>#N/A</v>
      </c>
      <c r="T50" s="681"/>
      <c r="U50" s="573"/>
      <c r="V50" s="574"/>
      <c r="W50" s="574"/>
      <c r="X50" s="533" t="e">
        <f t="shared" si="32"/>
        <v>#N/A</v>
      </c>
      <c r="Y50" s="681"/>
      <c r="Z50" s="573"/>
      <c r="AA50" s="574"/>
      <c r="AB50" s="574"/>
      <c r="AC50" s="533" t="e">
        <f t="shared" si="33"/>
        <v>#N/A</v>
      </c>
      <c r="AD50" s="681"/>
      <c r="AE50" s="573"/>
      <c r="AF50" s="574"/>
      <c r="AG50" s="574"/>
      <c r="AH50" s="533" t="e">
        <f t="shared" si="34"/>
        <v>#N/A</v>
      </c>
      <c r="AI50" s="681"/>
      <c r="AJ50" s="573"/>
      <c r="AK50" s="574"/>
      <c r="AL50" s="574"/>
      <c r="AM50" s="533" t="e">
        <f t="shared" si="35"/>
        <v>#N/A</v>
      </c>
      <c r="AN50" s="681"/>
      <c r="AO50" s="573"/>
      <c r="AP50" s="574"/>
      <c r="AQ50" s="574"/>
      <c r="AR50" s="533" t="e">
        <f t="shared" si="36"/>
        <v>#N/A</v>
      </c>
      <c r="AS50" s="681"/>
      <c r="AT50" s="573"/>
      <c r="AU50" s="574"/>
      <c r="AV50" s="574"/>
      <c r="AW50" s="533" t="e">
        <f t="shared" si="37"/>
        <v>#N/A</v>
      </c>
      <c r="AX50" s="681"/>
    </row>
    <row r="51" spans="2:50">
      <c r="B51" s="667"/>
      <c r="C51" s="309">
        <v>5</v>
      </c>
      <c r="D51" s="227"/>
      <c r="E51" s="182"/>
      <c r="F51" s="569"/>
      <c r="G51" s="570"/>
      <c r="H51" s="709"/>
      <c r="I51" s="199" t="e">
        <f t="shared" si="28"/>
        <v>#DIV/0!</v>
      </c>
      <c r="J51" s="199" t="e">
        <f t="shared" si="29"/>
        <v>#DIV/0!</v>
      </c>
      <c r="K51" s="200" t="e">
        <f t="shared" si="30"/>
        <v>#DIV/0!</v>
      </c>
      <c r="L51" s="641"/>
      <c r="M51" s="201" t="e">
        <f>RANK(K51, K$47:$K$61)</f>
        <v>#DIV/0!</v>
      </c>
      <c r="N51" s="659"/>
      <c r="O51" s="659"/>
      <c r="P51" s="573"/>
      <c r="Q51" s="574"/>
      <c r="R51" s="574"/>
      <c r="S51" s="533" t="e">
        <f t="shared" si="31"/>
        <v>#N/A</v>
      </c>
      <c r="T51" s="681"/>
      <c r="U51" s="573"/>
      <c r="V51" s="574"/>
      <c r="W51" s="574"/>
      <c r="X51" s="533" t="e">
        <f t="shared" si="32"/>
        <v>#N/A</v>
      </c>
      <c r="Y51" s="681"/>
      <c r="Z51" s="573"/>
      <c r="AA51" s="574"/>
      <c r="AB51" s="574"/>
      <c r="AC51" s="533" t="e">
        <f t="shared" si="33"/>
        <v>#N/A</v>
      </c>
      <c r="AD51" s="681"/>
      <c r="AE51" s="573"/>
      <c r="AF51" s="574"/>
      <c r="AG51" s="574"/>
      <c r="AH51" s="533" t="e">
        <f t="shared" si="34"/>
        <v>#N/A</v>
      </c>
      <c r="AI51" s="681"/>
      <c r="AJ51" s="573"/>
      <c r="AK51" s="574"/>
      <c r="AL51" s="574"/>
      <c r="AM51" s="533" t="e">
        <f t="shared" si="35"/>
        <v>#N/A</v>
      </c>
      <c r="AN51" s="681"/>
      <c r="AO51" s="573"/>
      <c r="AP51" s="574"/>
      <c r="AQ51" s="574"/>
      <c r="AR51" s="533" t="e">
        <f t="shared" si="36"/>
        <v>#N/A</v>
      </c>
      <c r="AS51" s="681"/>
      <c r="AT51" s="573"/>
      <c r="AU51" s="574"/>
      <c r="AV51" s="574"/>
      <c r="AW51" s="533" t="e">
        <f t="shared" si="37"/>
        <v>#N/A</v>
      </c>
      <c r="AX51" s="681"/>
    </row>
    <row r="52" spans="2:50">
      <c r="B52" s="667"/>
      <c r="C52" s="309">
        <v>6</v>
      </c>
      <c r="D52" s="227"/>
      <c r="E52" s="182"/>
      <c r="F52" s="569"/>
      <c r="G52" s="570"/>
      <c r="H52" s="709"/>
      <c r="I52" s="199" t="e">
        <f t="shared" si="28"/>
        <v>#DIV/0!</v>
      </c>
      <c r="J52" s="199" t="e">
        <f t="shared" si="29"/>
        <v>#DIV/0!</v>
      </c>
      <c r="K52" s="200" t="e">
        <f t="shared" si="30"/>
        <v>#DIV/0!</v>
      </c>
      <c r="L52" s="641"/>
      <c r="M52" s="201" t="e">
        <f>RANK(K52, K$47:$K$61)</f>
        <v>#DIV/0!</v>
      </c>
      <c r="N52" s="659"/>
      <c r="O52" s="659"/>
      <c r="P52" s="573"/>
      <c r="Q52" s="574"/>
      <c r="R52" s="574"/>
      <c r="S52" s="533" t="e">
        <f t="shared" si="31"/>
        <v>#N/A</v>
      </c>
      <c r="T52" s="681"/>
      <c r="U52" s="573"/>
      <c r="V52" s="574"/>
      <c r="W52" s="574"/>
      <c r="X52" s="533" t="e">
        <f t="shared" si="32"/>
        <v>#N/A</v>
      </c>
      <c r="Y52" s="681"/>
      <c r="Z52" s="573"/>
      <c r="AA52" s="574"/>
      <c r="AB52" s="574"/>
      <c r="AC52" s="533" t="e">
        <f t="shared" si="33"/>
        <v>#N/A</v>
      </c>
      <c r="AD52" s="681"/>
      <c r="AE52" s="573"/>
      <c r="AF52" s="574"/>
      <c r="AG52" s="574"/>
      <c r="AH52" s="533" t="e">
        <f t="shared" si="34"/>
        <v>#N/A</v>
      </c>
      <c r="AI52" s="681"/>
      <c r="AJ52" s="573"/>
      <c r="AK52" s="574"/>
      <c r="AL52" s="574"/>
      <c r="AM52" s="533" t="e">
        <f t="shared" si="35"/>
        <v>#N/A</v>
      </c>
      <c r="AN52" s="681"/>
      <c r="AO52" s="573"/>
      <c r="AP52" s="574"/>
      <c r="AQ52" s="574"/>
      <c r="AR52" s="533" t="e">
        <f t="shared" si="36"/>
        <v>#N/A</v>
      </c>
      <c r="AS52" s="681"/>
      <c r="AT52" s="573"/>
      <c r="AU52" s="574"/>
      <c r="AV52" s="574"/>
      <c r="AW52" s="533" t="e">
        <f t="shared" si="37"/>
        <v>#N/A</v>
      </c>
      <c r="AX52" s="681"/>
    </row>
    <row r="53" spans="2:50">
      <c r="B53" s="667"/>
      <c r="C53" s="309">
        <v>7</v>
      </c>
      <c r="D53" s="227"/>
      <c r="E53" s="182"/>
      <c r="F53" s="569"/>
      <c r="G53" s="570"/>
      <c r="H53" s="709"/>
      <c r="I53" s="199" t="e">
        <f t="shared" si="28"/>
        <v>#DIV/0!</v>
      </c>
      <c r="J53" s="199" t="e">
        <f t="shared" si="29"/>
        <v>#DIV/0!</v>
      </c>
      <c r="K53" s="200" t="e">
        <f t="shared" si="30"/>
        <v>#DIV/0!</v>
      </c>
      <c r="L53" s="641"/>
      <c r="M53" s="201" t="e">
        <f>RANK(K53, K$47:$K$61)</f>
        <v>#DIV/0!</v>
      </c>
      <c r="N53" s="659"/>
      <c r="O53" s="659"/>
      <c r="P53" s="573"/>
      <c r="Q53" s="574"/>
      <c r="R53" s="574"/>
      <c r="S53" s="533" t="e">
        <f t="shared" si="31"/>
        <v>#N/A</v>
      </c>
      <c r="T53" s="681"/>
      <c r="U53" s="573"/>
      <c r="V53" s="574"/>
      <c r="W53" s="574"/>
      <c r="X53" s="533" t="e">
        <f t="shared" si="32"/>
        <v>#N/A</v>
      </c>
      <c r="Y53" s="681"/>
      <c r="Z53" s="573"/>
      <c r="AA53" s="574"/>
      <c r="AB53" s="574"/>
      <c r="AC53" s="533" t="e">
        <f t="shared" si="33"/>
        <v>#N/A</v>
      </c>
      <c r="AD53" s="681"/>
      <c r="AE53" s="573"/>
      <c r="AF53" s="574"/>
      <c r="AG53" s="574"/>
      <c r="AH53" s="533" t="e">
        <f t="shared" si="34"/>
        <v>#N/A</v>
      </c>
      <c r="AI53" s="681"/>
      <c r="AJ53" s="573"/>
      <c r="AK53" s="574"/>
      <c r="AL53" s="574"/>
      <c r="AM53" s="533" t="e">
        <f t="shared" si="35"/>
        <v>#N/A</v>
      </c>
      <c r="AN53" s="681"/>
      <c r="AO53" s="573"/>
      <c r="AP53" s="574"/>
      <c r="AQ53" s="574"/>
      <c r="AR53" s="533" t="e">
        <f t="shared" si="36"/>
        <v>#N/A</v>
      </c>
      <c r="AS53" s="681"/>
      <c r="AT53" s="573"/>
      <c r="AU53" s="574"/>
      <c r="AV53" s="574"/>
      <c r="AW53" s="533" t="e">
        <f t="shared" si="37"/>
        <v>#N/A</v>
      </c>
      <c r="AX53" s="681"/>
    </row>
    <row r="54" spans="2:50">
      <c r="B54" s="667"/>
      <c r="C54" s="309">
        <v>8</v>
      </c>
      <c r="D54" s="227"/>
      <c r="E54" s="182"/>
      <c r="F54" s="569"/>
      <c r="G54" s="570"/>
      <c r="H54" s="709"/>
      <c r="I54" s="199" t="e">
        <f t="shared" si="28"/>
        <v>#DIV/0!</v>
      </c>
      <c r="J54" s="199" t="e">
        <f t="shared" si="29"/>
        <v>#DIV/0!</v>
      </c>
      <c r="K54" s="200" t="e">
        <f t="shared" si="30"/>
        <v>#DIV/0!</v>
      </c>
      <c r="L54" s="641"/>
      <c r="M54" s="201" t="e">
        <f>RANK(K54, K$47:$K$61)</f>
        <v>#DIV/0!</v>
      </c>
      <c r="N54" s="659"/>
      <c r="O54" s="659"/>
      <c r="P54" s="573"/>
      <c r="Q54" s="574"/>
      <c r="R54" s="574"/>
      <c r="S54" s="533" t="e">
        <f t="shared" si="31"/>
        <v>#N/A</v>
      </c>
      <c r="T54" s="681"/>
      <c r="U54" s="573"/>
      <c r="V54" s="574"/>
      <c r="W54" s="574"/>
      <c r="X54" s="533" t="e">
        <f t="shared" si="32"/>
        <v>#N/A</v>
      </c>
      <c r="Y54" s="681"/>
      <c r="Z54" s="573"/>
      <c r="AA54" s="574"/>
      <c r="AB54" s="574"/>
      <c r="AC54" s="533" t="e">
        <f t="shared" si="33"/>
        <v>#N/A</v>
      </c>
      <c r="AD54" s="681"/>
      <c r="AE54" s="573"/>
      <c r="AF54" s="574"/>
      <c r="AG54" s="574"/>
      <c r="AH54" s="533" t="e">
        <f t="shared" si="34"/>
        <v>#N/A</v>
      </c>
      <c r="AI54" s="681"/>
      <c r="AJ54" s="573"/>
      <c r="AK54" s="574"/>
      <c r="AL54" s="574"/>
      <c r="AM54" s="533" t="e">
        <f t="shared" si="35"/>
        <v>#N/A</v>
      </c>
      <c r="AN54" s="681"/>
      <c r="AO54" s="573"/>
      <c r="AP54" s="574"/>
      <c r="AQ54" s="574"/>
      <c r="AR54" s="533" t="e">
        <f t="shared" si="36"/>
        <v>#N/A</v>
      </c>
      <c r="AS54" s="681"/>
      <c r="AT54" s="573"/>
      <c r="AU54" s="574"/>
      <c r="AV54" s="574"/>
      <c r="AW54" s="533" t="e">
        <f t="shared" si="37"/>
        <v>#N/A</v>
      </c>
      <c r="AX54" s="681"/>
    </row>
    <row r="55" spans="2:50">
      <c r="B55" s="667"/>
      <c r="C55" s="309">
        <v>9</v>
      </c>
      <c r="D55" s="227"/>
      <c r="E55" s="182"/>
      <c r="F55" s="569"/>
      <c r="G55" s="570"/>
      <c r="H55" s="709"/>
      <c r="I55" s="199" t="e">
        <f t="shared" si="28"/>
        <v>#DIV/0!</v>
      </c>
      <c r="J55" s="199" t="e">
        <f t="shared" si="29"/>
        <v>#DIV/0!</v>
      </c>
      <c r="K55" s="200" t="e">
        <f t="shared" si="30"/>
        <v>#DIV/0!</v>
      </c>
      <c r="L55" s="641"/>
      <c r="M55" s="201" t="e">
        <f>RANK(K55, K$47:$K$61)</f>
        <v>#DIV/0!</v>
      </c>
      <c r="N55" s="659"/>
      <c r="O55" s="659"/>
      <c r="P55" s="573"/>
      <c r="Q55" s="574"/>
      <c r="R55" s="574"/>
      <c r="S55" s="533" t="e">
        <f t="shared" si="31"/>
        <v>#N/A</v>
      </c>
      <c r="T55" s="681"/>
      <c r="U55" s="573"/>
      <c r="V55" s="574"/>
      <c r="W55" s="574"/>
      <c r="X55" s="533" t="e">
        <f t="shared" si="32"/>
        <v>#N/A</v>
      </c>
      <c r="Y55" s="681"/>
      <c r="Z55" s="573"/>
      <c r="AA55" s="574"/>
      <c r="AB55" s="574"/>
      <c r="AC55" s="533" t="e">
        <f t="shared" si="33"/>
        <v>#N/A</v>
      </c>
      <c r="AD55" s="681"/>
      <c r="AE55" s="573"/>
      <c r="AF55" s="574"/>
      <c r="AG55" s="574"/>
      <c r="AH55" s="533" t="e">
        <f t="shared" si="34"/>
        <v>#N/A</v>
      </c>
      <c r="AI55" s="681"/>
      <c r="AJ55" s="573"/>
      <c r="AK55" s="574"/>
      <c r="AL55" s="574"/>
      <c r="AM55" s="533" t="e">
        <f t="shared" si="35"/>
        <v>#N/A</v>
      </c>
      <c r="AN55" s="681"/>
      <c r="AO55" s="573"/>
      <c r="AP55" s="574"/>
      <c r="AQ55" s="574"/>
      <c r="AR55" s="533" t="e">
        <f t="shared" si="36"/>
        <v>#N/A</v>
      </c>
      <c r="AS55" s="681"/>
      <c r="AT55" s="573"/>
      <c r="AU55" s="574"/>
      <c r="AV55" s="574"/>
      <c r="AW55" s="533" t="e">
        <f t="shared" si="37"/>
        <v>#N/A</v>
      </c>
      <c r="AX55" s="681"/>
    </row>
    <row r="56" spans="2:50">
      <c r="B56" s="667"/>
      <c r="C56" s="309">
        <v>10</v>
      </c>
      <c r="D56" s="227"/>
      <c r="E56" s="182"/>
      <c r="F56" s="569"/>
      <c r="G56" s="570"/>
      <c r="H56" s="709"/>
      <c r="I56" s="199" t="e">
        <f t="shared" si="28"/>
        <v>#DIV/0!</v>
      </c>
      <c r="J56" s="199" t="e">
        <f t="shared" si="29"/>
        <v>#DIV/0!</v>
      </c>
      <c r="K56" s="200" t="e">
        <f t="shared" si="30"/>
        <v>#DIV/0!</v>
      </c>
      <c r="L56" s="641"/>
      <c r="M56" s="201" t="e">
        <f>RANK(K56, K$47:$K$61)</f>
        <v>#DIV/0!</v>
      </c>
      <c r="N56" s="659"/>
      <c r="O56" s="659"/>
      <c r="P56" s="573"/>
      <c r="Q56" s="574"/>
      <c r="R56" s="574"/>
      <c r="S56" s="533" t="e">
        <f t="shared" si="31"/>
        <v>#N/A</v>
      </c>
      <c r="T56" s="681"/>
      <c r="U56" s="573"/>
      <c r="V56" s="574"/>
      <c r="W56" s="574"/>
      <c r="X56" s="533" t="e">
        <f t="shared" si="32"/>
        <v>#N/A</v>
      </c>
      <c r="Y56" s="681"/>
      <c r="Z56" s="573"/>
      <c r="AA56" s="574"/>
      <c r="AB56" s="574"/>
      <c r="AC56" s="533" t="e">
        <f t="shared" si="33"/>
        <v>#N/A</v>
      </c>
      <c r="AD56" s="681"/>
      <c r="AE56" s="573"/>
      <c r="AF56" s="574"/>
      <c r="AG56" s="574"/>
      <c r="AH56" s="533" t="e">
        <f t="shared" si="34"/>
        <v>#N/A</v>
      </c>
      <c r="AI56" s="681"/>
      <c r="AJ56" s="573"/>
      <c r="AK56" s="574"/>
      <c r="AL56" s="574"/>
      <c r="AM56" s="533" t="e">
        <f t="shared" si="35"/>
        <v>#N/A</v>
      </c>
      <c r="AN56" s="681"/>
      <c r="AO56" s="573"/>
      <c r="AP56" s="574"/>
      <c r="AQ56" s="574"/>
      <c r="AR56" s="533" t="e">
        <f t="shared" si="36"/>
        <v>#N/A</v>
      </c>
      <c r="AS56" s="681"/>
      <c r="AT56" s="573"/>
      <c r="AU56" s="574"/>
      <c r="AV56" s="574"/>
      <c r="AW56" s="533" t="e">
        <f t="shared" si="37"/>
        <v>#N/A</v>
      </c>
      <c r="AX56" s="681"/>
    </row>
    <row r="57" spans="2:50">
      <c r="B57" s="667"/>
      <c r="C57" s="309">
        <v>11</v>
      </c>
      <c r="D57" s="227"/>
      <c r="E57" s="182"/>
      <c r="F57" s="569"/>
      <c r="G57" s="570"/>
      <c r="H57" s="709"/>
      <c r="I57" s="479"/>
      <c r="J57" s="479"/>
      <c r="K57" s="200"/>
      <c r="L57" s="641"/>
      <c r="M57" s="201" t="e">
        <f>RANK(K57, K$47:$K$61)</f>
        <v>#DIV/0!</v>
      </c>
      <c r="N57" s="659"/>
      <c r="O57" s="659"/>
      <c r="P57" s="573"/>
      <c r="Q57" s="574"/>
      <c r="R57" s="574"/>
      <c r="S57" s="533" t="e">
        <f t="shared" si="31"/>
        <v>#N/A</v>
      </c>
      <c r="T57" s="681"/>
      <c r="U57" s="573"/>
      <c r="V57" s="574"/>
      <c r="W57" s="574"/>
      <c r="X57" s="533" t="e">
        <f t="shared" si="32"/>
        <v>#N/A</v>
      </c>
      <c r="Y57" s="681"/>
      <c r="Z57" s="573"/>
      <c r="AA57" s="574"/>
      <c r="AB57" s="574"/>
      <c r="AC57" s="533" t="e">
        <f t="shared" si="33"/>
        <v>#N/A</v>
      </c>
      <c r="AD57" s="681"/>
      <c r="AE57" s="573"/>
      <c r="AF57" s="574"/>
      <c r="AG57" s="574"/>
      <c r="AH57" s="533" t="e">
        <f t="shared" si="34"/>
        <v>#N/A</v>
      </c>
      <c r="AI57" s="681"/>
      <c r="AJ57" s="573"/>
      <c r="AK57" s="574"/>
      <c r="AL57" s="574"/>
      <c r="AM57" s="533" t="e">
        <f t="shared" si="35"/>
        <v>#N/A</v>
      </c>
      <c r="AN57" s="681"/>
      <c r="AO57" s="573"/>
      <c r="AP57" s="574"/>
      <c r="AQ57" s="574"/>
      <c r="AR57" s="533" t="e">
        <f t="shared" si="36"/>
        <v>#N/A</v>
      </c>
      <c r="AS57" s="681"/>
      <c r="AT57" s="573"/>
      <c r="AU57" s="574"/>
      <c r="AV57" s="574"/>
      <c r="AW57" s="533" t="e">
        <f t="shared" si="37"/>
        <v>#N/A</v>
      </c>
      <c r="AX57" s="681"/>
    </row>
    <row r="58" spans="2:50">
      <c r="B58" s="667"/>
      <c r="C58" s="309">
        <v>12</v>
      </c>
      <c r="D58" s="227"/>
      <c r="E58" s="182"/>
      <c r="F58" s="569"/>
      <c r="G58" s="570"/>
      <c r="H58" s="709"/>
      <c r="I58" s="536"/>
      <c r="J58" s="536"/>
      <c r="K58" s="200"/>
      <c r="L58" s="641"/>
      <c r="M58" s="201" t="e">
        <f>RANK(K58, K$47:$K$61)</f>
        <v>#DIV/0!</v>
      </c>
      <c r="N58" s="659"/>
      <c r="O58" s="659"/>
      <c r="P58" s="573"/>
      <c r="Q58" s="574"/>
      <c r="R58" s="574"/>
      <c r="S58" s="533" t="e">
        <f t="shared" si="31"/>
        <v>#N/A</v>
      </c>
      <c r="T58" s="681"/>
      <c r="U58" s="573"/>
      <c r="V58" s="574"/>
      <c r="W58" s="574"/>
      <c r="X58" s="533" t="e">
        <f t="shared" si="32"/>
        <v>#N/A</v>
      </c>
      <c r="Y58" s="681"/>
      <c r="Z58" s="573"/>
      <c r="AA58" s="574"/>
      <c r="AB58" s="574"/>
      <c r="AC58" s="533" t="e">
        <f t="shared" si="33"/>
        <v>#N/A</v>
      </c>
      <c r="AD58" s="681"/>
      <c r="AE58" s="573"/>
      <c r="AF58" s="574"/>
      <c r="AG58" s="574"/>
      <c r="AH58" s="533" t="e">
        <f t="shared" si="34"/>
        <v>#N/A</v>
      </c>
      <c r="AI58" s="681"/>
      <c r="AJ58" s="573"/>
      <c r="AK58" s="574"/>
      <c r="AL58" s="574"/>
      <c r="AM58" s="533" t="e">
        <f t="shared" si="35"/>
        <v>#N/A</v>
      </c>
      <c r="AN58" s="681"/>
      <c r="AO58" s="573"/>
      <c r="AP58" s="574"/>
      <c r="AQ58" s="574"/>
      <c r="AR58" s="533" t="e">
        <f t="shared" si="36"/>
        <v>#N/A</v>
      </c>
      <c r="AS58" s="681"/>
      <c r="AT58" s="573"/>
      <c r="AU58" s="574"/>
      <c r="AV58" s="574"/>
      <c r="AW58" s="533" t="e">
        <f t="shared" si="37"/>
        <v>#N/A</v>
      </c>
      <c r="AX58" s="681"/>
    </row>
    <row r="59" spans="2:50">
      <c r="B59" s="667"/>
      <c r="C59" s="309">
        <v>13</v>
      </c>
      <c r="D59" s="227"/>
      <c r="E59" s="182"/>
      <c r="F59" s="569"/>
      <c r="G59" s="570"/>
      <c r="H59" s="709"/>
      <c r="I59" s="202"/>
      <c r="J59" s="202"/>
      <c r="K59" s="202"/>
      <c r="L59" s="641"/>
      <c r="M59" s="201" t="e">
        <f>RANK(K59, K$47:$K$61)</f>
        <v>#DIV/0!</v>
      </c>
      <c r="N59" s="659"/>
      <c r="O59" s="659"/>
      <c r="P59" s="573"/>
      <c r="Q59" s="574"/>
      <c r="R59" s="574"/>
      <c r="S59" s="533" t="e">
        <f t="shared" si="31"/>
        <v>#N/A</v>
      </c>
      <c r="T59" s="681"/>
      <c r="U59" s="573"/>
      <c r="V59" s="574"/>
      <c r="W59" s="574"/>
      <c r="X59" s="533" t="e">
        <f t="shared" si="32"/>
        <v>#N/A</v>
      </c>
      <c r="Y59" s="681"/>
      <c r="Z59" s="573"/>
      <c r="AA59" s="574"/>
      <c r="AB59" s="574"/>
      <c r="AC59" s="533" t="e">
        <f t="shared" si="33"/>
        <v>#N/A</v>
      </c>
      <c r="AD59" s="681"/>
      <c r="AE59" s="573"/>
      <c r="AF59" s="574"/>
      <c r="AG59" s="574"/>
      <c r="AH59" s="533" t="e">
        <f t="shared" si="34"/>
        <v>#N/A</v>
      </c>
      <c r="AI59" s="681"/>
      <c r="AJ59" s="573"/>
      <c r="AK59" s="574"/>
      <c r="AL59" s="574"/>
      <c r="AM59" s="533" t="e">
        <f t="shared" si="35"/>
        <v>#N/A</v>
      </c>
      <c r="AN59" s="681"/>
      <c r="AO59" s="573"/>
      <c r="AP59" s="574"/>
      <c r="AQ59" s="574"/>
      <c r="AR59" s="533" t="e">
        <f t="shared" si="36"/>
        <v>#N/A</v>
      </c>
      <c r="AS59" s="681"/>
      <c r="AT59" s="573"/>
      <c r="AU59" s="574"/>
      <c r="AV59" s="574"/>
      <c r="AW59" s="533" t="e">
        <f t="shared" si="37"/>
        <v>#N/A</v>
      </c>
      <c r="AX59" s="681"/>
    </row>
    <row r="60" spans="2:50">
      <c r="B60" s="667"/>
      <c r="C60" s="309">
        <v>14</v>
      </c>
      <c r="D60" s="227"/>
      <c r="E60" s="182"/>
      <c r="F60" s="569"/>
      <c r="G60" s="570"/>
      <c r="H60" s="709"/>
      <c r="I60" s="202"/>
      <c r="J60" s="202"/>
      <c r="K60" s="202"/>
      <c r="L60" s="641"/>
      <c r="M60" s="201" t="e">
        <f>RANK(K60, K$47:$K$61)</f>
        <v>#DIV/0!</v>
      </c>
      <c r="N60" s="659"/>
      <c r="O60" s="659"/>
      <c r="P60" s="573"/>
      <c r="Q60" s="574"/>
      <c r="R60" s="574"/>
      <c r="S60" s="533" t="e">
        <f t="shared" si="31"/>
        <v>#N/A</v>
      </c>
      <c r="T60" s="681"/>
      <c r="U60" s="573"/>
      <c r="V60" s="574"/>
      <c r="W60" s="574"/>
      <c r="X60" s="533" t="e">
        <f t="shared" si="32"/>
        <v>#N/A</v>
      </c>
      <c r="Y60" s="681"/>
      <c r="Z60" s="573"/>
      <c r="AA60" s="574"/>
      <c r="AB60" s="574"/>
      <c r="AC60" s="533" t="e">
        <f t="shared" si="33"/>
        <v>#N/A</v>
      </c>
      <c r="AD60" s="681"/>
      <c r="AE60" s="573"/>
      <c r="AF60" s="574"/>
      <c r="AG60" s="574"/>
      <c r="AH60" s="533" t="e">
        <f t="shared" si="34"/>
        <v>#N/A</v>
      </c>
      <c r="AI60" s="681"/>
      <c r="AJ60" s="573"/>
      <c r="AK60" s="574"/>
      <c r="AL60" s="574"/>
      <c r="AM60" s="533" t="e">
        <f t="shared" si="35"/>
        <v>#N/A</v>
      </c>
      <c r="AN60" s="681"/>
      <c r="AO60" s="573"/>
      <c r="AP60" s="574"/>
      <c r="AQ60" s="574"/>
      <c r="AR60" s="533" t="e">
        <f t="shared" si="36"/>
        <v>#N/A</v>
      </c>
      <c r="AS60" s="681"/>
      <c r="AT60" s="573"/>
      <c r="AU60" s="574"/>
      <c r="AV60" s="574"/>
      <c r="AW60" s="533" t="e">
        <f t="shared" si="37"/>
        <v>#N/A</v>
      </c>
      <c r="AX60" s="681"/>
    </row>
    <row r="61" spans="2:50">
      <c r="B61" s="667"/>
      <c r="C61" s="309">
        <v>15</v>
      </c>
      <c r="D61" s="227"/>
      <c r="E61" s="182"/>
      <c r="F61" s="569"/>
      <c r="G61" s="570"/>
      <c r="H61" s="710"/>
      <c r="I61" s="202"/>
      <c r="J61" s="202"/>
      <c r="K61" s="202"/>
      <c r="L61" s="642"/>
      <c r="M61" s="201" t="e">
        <f>RANK(K61, K$47:$K$61)</f>
        <v>#DIV/0!</v>
      </c>
      <c r="N61" s="659"/>
      <c r="O61" s="659"/>
      <c r="P61" s="573"/>
      <c r="Q61" s="574"/>
      <c r="R61" s="574"/>
      <c r="S61" s="533" t="e">
        <f t="shared" si="31"/>
        <v>#N/A</v>
      </c>
      <c r="T61" s="681"/>
      <c r="U61" s="573"/>
      <c r="V61" s="574"/>
      <c r="W61" s="574"/>
      <c r="X61" s="533" t="e">
        <f t="shared" si="32"/>
        <v>#N/A</v>
      </c>
      <c r="Y61" s="681"/>
      <c r="Z61" s="573"/>
      <c r="AA61" s="574"/>
      <c r="AB61" s="574"/>
      <c r="AC61" s="533" t="e">
        <f t="shared" si="33"/>
        <v>#N/A</v>
      </c>
      <c r="AD61" s="681"/>
      <c r="AE61" s="573"/>
      <c r="AF61" s="574"/>
      <c r="AG61" s="574"/>
      <c r="AH61" s="533" t="e">
        <f t="shared" si="34"/>
        <v>#N/A</v>
      </c>
      <c r="AI61" s="681"/>
      <c r="AJ61" s="573"/>
      <c r="AK61" s="574"/>
      <c r="AL61" s="574"/>
      <c r="AM61" s="533" t="e">
        <f t="shared" si="35"/>
        <v>#N/A</v>
      </c>
      <c r="AN61" s="681"/>
      <c r="AO61" s="573"/>
      <c r="AP61" s="574"/>
      <c r="AQ61" s="574"/>
      <c r="AR61" s="533" t="e">
        <f t="shared" si="36"/>
        <v>#N/A</v>
      </c>
      <c r="AS61" s="681"/>
      <c r="AT61" s="573"/>
      <c r="AU61" s="574"/>
      <c r="AV61" s="574"/>
      <c r="AW61" s="533" t="e">
        <f t="shared" si="37"/>
        <v>#N/A</v>
      </c>
      <c r="AX61" s="681"/>
    </row>
    <row r="62" spans="2:50" ht="15.75">
      <c r="B62" s="671" t="s">
        <v>163</v>
      </c>
      <c r="C62" s="672"/>
      <c r="D62" s="672"/>
      <c r="E62" s="672"/>
      <c r="F62" s="672"/>
      <c r="G62" s="672"/>
      <c r="H62" s="673"/>
      <c r="I62" s="208"/>
      <c r="J62" s="208"/>
      <c r="K62" s="208"/>
      <c r="L62" s="208"/>
      <c r="M62" s="207"/>
      <c r="N62" s="660" t="s">
        <v>156</v>
      </c>
      <c r="O62" s="660" t="s">
        <v>105</v>
      </c>
      <c r="P62" s="666">
        <f>P42+7</f>
        <v>46105</v>
      </c>
      <c r="Q62" s="667"/>
      <c r="R62" s="667"/>
      <c r="S62" s="667"/>
      <c r="T62" s="667"/>
      <c r="U62" s="663">
        <f>P62+1</f>
        <v>46106</v>
      </c>
      <c r="V62" s="664"/>
      <c r="W62" s="664"/>
      <c r="X62" s="664"/>
      <c r="Y62" s="665"/>
      <c r="Z62" s="663">
        <f>U62+1</f>
        <v>46107</v>
      </c>
      <c r="AA62" s="664"/>
      <c r="AB62" s="664"/>
      <c r="AC62" s="664"/>
      <c r="AD62" s="665"/>
      <c r="AE62" s="663">
        <f>Z62+1</f>
        <v>46108</v>
      </c>
      <c r="AF62" s="664"/>
      <c r="AG62" s="664"/>
      <c r="AH62" s="664"/>
      <c r="AI62" s="665"/>
      <c r="AJ62" s="663">
        <f>AE62+1</f>
        <v>46109</v>
      </c>
      <c r="AK62" s="664"/>
      <c r="AL62" s="664"/>
      <c r="AM62" s="664"/>
      <c r="AN62" s="665"/>
      <c r="AO62" s="663">
        <f>AJ62+1</f>
        <v>46110</v>
      </c>
      <c r="AP62" s="664"/>
      <c r="AQ62" s="664"/>
      <c r="AR62" s="664"/>
      <c r="AS62" s="665"/>
      <c r="AT62" s="663">
        <f>AO62+1</f>
        <v>46111</v>
      </c>
      <c r="AU62" s="664"/>
      <c r="AV62" s="664"/>
      <c r="AW62" s="664"/>
      <c r="AX62" s="665"/>
    </row>
    <row r="63" spans="2:50" ht="15.75">
      <c r="B63" s="674"/>
      <c r="C63" s="674"/>
      <c r="D63" s="674"/>
      <c r="E63" s="674"/>
      <c r="F63" s="674"/>
      <c r="G63" s="674"/>
      <c r="H63" s="674"/>
      <c r="I63" s="205"/>
      <c r="J63" s="205"/>
      <c r="K63" s="205"/>
      <c r="L63" s="205"/>
      <c r="M63" s="206"/>
      <c r="N63" s="662"/>
      <c r="O63" s="662"/>
      <c r="P63" s="666" t="s">
        <v>336</v>
      </c>
      <c r="Q63" s="667"/>
      <c r="R63" s="667"/>
      <c r="S63" s="667"/>
      <c r="T63" s="667"/>
      <c r="U63" s="666" t="s">
        <v>337</v>
      </c>
      <c r="V63" s="667"/>
      <c r="W63" s="667"/>
      <c r="X63" s="667"/>
      <c r="Y63" s="667"/>
      <c r="Z63" s="666" t="s">
        <v>338</v>
      </c>
      <c r="AA63" s="667"/>
      <c r="AB63" s="667"/>
      <c r="AC63" s="667"/>
      <c r="AD63" s="667"/>
      <c r="AE63" s="666" t="s">
        <v>339</v>
      </c>
      <c r="AF63" s="667"/>
      <c r="AG63" s="667"/>
      <c r="AH63" s="667"/>
      <c r="AI63" s="667"/>
      <c r="AJ63" s="666" t="s">
        <v>340</v>
      </c>
      <c r="AK63" s="667"/>
      <c r="AL63" s="667"/>
      <c r="AM63" s="667"/>
      <c r="AN63" s="667"/>
      <c r="AO63" s="666" t="s">
        <v>341</v>
      </c>
      <c r="AP63" s="667"/>
      <c r="AQ63" s="667"/>
      <c r="AR63" s="667"/>
      <c r="AS63" s="667"/>
      <c r="AT63" s="666" t="s">
        <v>342</v>
      </c>
      <c r="AU63" s="667"/>
      <c r="AV63" s="667"/>
      <c r="AW63" s="667"/>
      <c r="AX63" s="667"/>
    </row>
    <row r="64" spans="2:50">
      <c r="B64" s="659" t="s">
        <v>419</v>
      </c>
      <c r="C64" s="659" t="s">
        <v>429</v>
      </c>
      <c r="D64" s="659"/>
      <c r="E64" s="659" t="s">
        <v>420</v>
      </c>
      <c r="F64" s="659"/>
      <c r="G64" s="659"/>
      <c r="H64" s="675" t="s">
        <v>416</v>
      </c>
      <c r="I64" s="643" t="s">
        <v>421</v>
      </c>
      <c r="J64" s="643"/>
      <c r="K64" s="643"/>
      <c r="L64" s="644" t="s">
        <v>416</v>
      </c>
      <c r="M64" s="650" t="s">
        <v>417</v>
      </c>
      <c r="N64" s="659"/>
      <c r="O64" s="659" t="s">
        <v>422</v>
      </c>
      <c r="P64" s="656" t="s">
        <v>418</v>
      </c>
      <c r="Q64" s="657"/>
      <c r="R64" s="657"/>
      <c r="S64" s="658"/>
      <c r="T64" s="659" t="s">
        <v>416</v>
      </c>
      <c r="U64" s="656" t="s">
        <v>418</v>
      </c>
      <c r="V64" s="657"/>
      <c r="W64" s="657"/>
      <c r="X64" s="658"/>
      <c r="Y64" s="659" t="s">
        <v>416</v>
      </c>
      <c r="Z64" s="656" t="s">
        <v>418</v>
      </c>
      <c r="AA64" s="657"/>
      <c r="AB64" s="657"/>
      <c r="AC64" s="658"/>
      <c r="AD64" s="659" t="s">
        <v>416</v>
      </c>
      <c r="AE64" s="656" t="s">
        <v>418</v>
      </c>
      <c r="AF64" s="657"/>
      <c r="AG64" s="657"/>
      <c r="AH64" s="658"/>
      <c r="AI64" s="659" t="s">
        <v>416</v>
      </c>
      <c r="AJ64" s="656" t="s">
        <v>418</v>
      </c>
      <c r="AK64" s="657"/>
      <c r="AL64" s="657"/>
      <c r="AM64" s="658"/>
      <c r="AN64" s="659" t="s">
        <v>416</v>
      </c>
      <c r="AO64" s="656" t="s">
        <v>418</v>
      </c>
      <c r="AP64" s="657"/>
      <c r="AQ64" s="657"/>
      <c r="AR64" s="658"/>
      <c r="AS64" s="659" t="s">
        <v>416</v>
      </c>
      <c r="AT64" s="656" t="s">
        <v>418</v>
      </c>
      <c r="AU64" s="657"/>
      <c r="AV64" s="657"/>
      <c r="AW64" s="658"/>
      <c r="AX64" s="659" t="s">
        <v>416</v>
      </c>
    </row>
    <row r="65" spans="2:50">
      <c r="B65" s="659"/>
      <c r="C65" s="659"/>
      <c r="D65" s="659"/>
      <c r="E65" s="659" t="s">
        <v>423</v>
      </c>
      <c r="F65" s="659"/>
      <c r="G65" s="659"/>
      <c r="H65" s="676"/>
      <c r="I65" s="643" t="s">
        <v>423</v>
      </c>
      <c r="J65" s="643"/>
      <c r="K65" s="643"/>
      <c r="L65" s="645"/>
      <c r="M65" s="651"/>
      <c r="N65" s="659"/>
      <c r="O65" s="659"/>
      <c r="P65" s="656" t="s">
        <v>424</v>
      </c>
      <c r="Q65" s="657"/>
      <c r="R65" s="657"/>
      <c r="S65" s="658"/>
      <c r="T65" s="659"/>
      <c r="U65" s="656" t="s">
        <v>424</v>
      </c>
      <c r="V65" s="657"/>
      <c r="W65" s="657"/>
      <c r="X65" s="658"/>
      <c r="Y65" s="659"/>
      <c r="Z65" s="656" t="s">
        <v>424</v>
      </c>
      <c r="AA65" s="657"/>
      <c r="AB65" s="657"/>
      <c r="AC65" s="658"/>
      <c r="AD65" s="659"/>
      <c r="AE65" s="656" t="s">
        <v>424</v>
      </c>
      <c r="AF65" s="657"/>
      <c r="AG65" s="657"/>
      <c r="AH65" s="658"/>
      <c r="AI65" s="659"/>
      <c r="AJ65" s="656" t="s">
        <v>424</v>
      </c>
      <c r="AK65" s="657"/>
      <c r="AL65" s="657"/>
      <c r="AM65" s="658"/>
      <c r="AN65" s="659"/>
      <c r="AO65" s="656" t="s">
        <v>424</v>
      </c>
      <c r="AP65" s="657"/>
      <c r="AQ65" s="657"/>
      <c r="AR65" s="658"/>
      <c r="AS65" s="659"/>
      <c r="AT65" s="656" t="s">
        <v>424</v>
      </c>
      <c r="AU65" s="657"/>
      <c r="AV65" s="657"/>
      <c r="AW65" s="658"/>
      <c r="AX65" s="659"/>
    </row>
    <row r="66" spans="2:50">
      <c r="B66" s="659"/>
      <c r="C66" s="659"/>
      <c r="D66" s="659"/>
      <c r="E66" s="308" t="s">
        <v>425</v>
      </c>
      <c r="F66" s="308" t="s">
        <v>426</v>
      </c>
      <c r="G66" s="308" t="s">
        <v>427</v>
      </c>
      <c r="H66" s="677"/>
      <c r="I66" s="307" t="s">
        <v>425</v>
      </c>
      <c r="J66" s="307" t="s">
        <v>426</v>
      </c>
      <c r="K66" s="307" t="s">
        <v>427</v>
      </c>
      <c r="L66" s="646"/>
      <c r="M66" s="652"/>
      <c r="N66" s="659"/>
      <c r="O66" s="659"/>
      <c r="P66" s="308" t="s">
        <v>425</v>
      </c>
      <c r="Q66" s="308" t="s">
        <v>426</v>
      </c>
      <c r="R66" s="308" t="s">
        <v>427</v>
      </c>
      <c r="S66" s="308" t="s">
        <v>417</v>
      </c>
      <c r="T66" s="659"/>
      <c r="U66" s="308" t="s">
        <v>425</v>
      </c>
      <c r="V66" s="308" t="s">
        <v>426</v>
      </c>
      <c r="W66" s="308" t="s">
        <v>427</v>
      </c>
      <c r="X66" s="308" t="s">
        <v>417</v>
      </c>
      <c r="Y66" s="659"/>
      <c r="Z66" s="308" t="s">
        <v>425</v>
      </c>
      <c r="AA66" s="308" t="s">
        <v>426</v>
      </c>
      <c r="AB66" s="308" t="s">
        <v>427</v>
      </c>
      <c r="AC66" s="308" t="s">
        <v>417</v>
      </c>
      <c r="AD66" s="659"/>
      <c r="AE66" s="308" t="s">
        <v>425</v>
      </c>
      <c r="AF66" s="308" t="s">
        <v>426</v>
      </c>
      <c r="AG66" s="308" t="s">
        <v>427</v>
      </c>
      <c r="AH66" s="308" t="s">
        <v>417</v>
      </c>
      <c r="AI66" s="659"/>
      <c r="AJ66" s="308" t="s">
        <v>425</v>
      </c>
      <c r="AK66" s="308" t="s">
        <v>426</v>
      </c>
      <c r="AL66" s="308" t="s">
        <v>427</v>
      </c>
      <c r="AM66" s="308" t="s">
        <v>417</v>
      </c>
      <c r="AN66" s="659"/>
      <c r="AO66" s="308" t="s">
        <v>425</v>
      </c>
      <c r="AP66" s="308" t="s">
        <v>426</v>
      </c>
      <c r="AQ66" s="308" t="s">
        <v>427</v>
      </c>
      <c r="AR66" s="308" t="s">
        <v>417</v>
      </c>
      <c r="AS66" s="659"/>
      <c r="AT66" s="308" t="s">
        <v>425</v>
      </c>
      <c r="AU66" s="308" t="s">
        <v>426</v>
      </c>
      <c r="AV66" s="308" t="s">
        <v>427</v>
      </c>
      <c r="AW66" s="308" t="s">
        <v>417</v>
      </c>
      <c r="AX66" s="659"/>
    </row>
    <row r="67" spans="2:50">
      <c r="B67" s="707" t="s">
        <v>428</v>
      </c>
      <c r="C67" s="309">
        <v>1</v>
      </c>
      <c r="D67" s="227"/>
      <c r="E67" s="182"/>
      <c r="F67" s="569"/>
      <c r="G67" s="570"/>
      <c r="H67" s="708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40" t="str">
        <f>IFERROR(AVERAGE(K67:K81),"-")</f>
        <v>-</v>
      </c>
      <c r="M67" s="201" t="e">
        <f>RANK(K67, K$67:$K$81)</f>
        <v>#DIV/0!</v>
      </c>
      <c r="N67" s="659"/>
      <c r="O67" s="659"/>
      <c r="P67" s="573"/>
      <c r="Q67" s="574"/>
      <c r="R67" s="574"/>
      <c r="S67" s="309" t="e">
        <f>RANK(R67, R$67:R$81)</f>
        <v>#N/A</v>
      </c>
      <c r="T67" s="681" t="e">
        <f>AVERAGE(R67:R81)</f>
        <v>#DIV/0!</v>
      </c>
      <c r="U67" s="573"/>
      <c r="V67" s="574"/>
      <c r="W67" s="574"/>
      <c r="X67" s="475" t="e">
        <f t="shared" ref="X67:X81" si="38">RANK(W67, W$67:W$81)</f>
        <v>#N/A</v>
      </c>
      <c r="Y67" s="681" t="e">
        <f t="shared" ref="Y67" si="39">AVERAGE(W67:W81)</f>
        <v>#DIV/0!</v>
      </c>
      <c r="Z67" s="573"/>
      <c r="AA67" s="574"/>
      <c r="AB67" s="574"/>
      <c r="AC67" s="475" t="e">
        <f t="shared" ref="AC67:AC81" si="40">RANK(AB67, AB$67:AB$81)</f>
        <v>#N/A</v>
      </c>
      <c r="AD67" s="681" t="e">
        <f t="shared" ref="AD67" si="41">AVERAGE(AB67:AB81)</f>
        <v>#DIV/0!</v>
      </c>
      <c r="AE67" s="573"/>
      <c r="AF67" s="574"/>
      <c r="AG67" s="574"/>
      <c r="AH67" s="475" t="e">
        <f t="shared" ref="AH67:AH81" si="42">RANK(AG67, AG$67:AG$81)</f>
        <v>#N/A</v>
      </c>
      <c r="AI67" s="681" t="e">
        <f t="shared" ref="AI67" si="43">AVERAGE(AG67:AG81)</f>
        <v>#DIV/0!</v>
      </c>
      <c r="AJ67" s="573"/>
      <c r="AK67" s="574"/>
      <c r="AL67" s="574"/>
      <c r="AM67" s="475" t="e">
        <f t="shared" ref="AM67:AM81" si="44">RANK(AL67, AL$67:AL$81)</f>
        <v>#N/A</v>
      </c>
      <c r="AN67" s="681" t="e">
        <f t="shared" ref="AN67" si="45">AVERAGE(AL67:AL81)</f>
        <v>#DIV/0!</v>
      </c>
      <c r="AO67" s="573"/>
      <c r="AP67" s="574"/>
      <c r="AQ67" s="574"/>
      <c r="AR67" s="475" t="e">
        <f t="shared" ref="AR67:AR81" si="46">RANK(AQ67, AQ$67:AQ$81)</f>
        <v>#N/A</v>
      </c>
      <c r="AS67" s="681" t="e">
        <f t="shared" ref="AS67" si="47">AVERAGE(AQ67:AQ81)</f>
        <v>#DIV/0!</v>
      </c>
      <c r="AT67" s="573"/>
      <c r="AU67" s="574"/>
      <c r="AV67" s="574"/>
      <c r="AW67" s="475" t="e">
        <f t="shared" ref="AW67:AW81" si="48">RANK(AV67, AV$67:AV$81)</f>
        <v>#N/A</v>
      </c>
      <c r="AX67" s="681" t="e">
        <f t="shared" ref="AX67" si="49">AVERAGE(AV67:AV81)</f>
        <v>#DIV/0!</v>
      </c>
    </row>
    <row r="68" spans="2:50">
      <c r="B68" s="667"/>
      <c r="C68" s="309">
        <v>2</v>
      </c>
      <c r="D68" s="227"/>
      <c r="E68" s="182"/>
      <c r="F68" s="569"/>
      <c r="G68" s="570"/>
      <c r="H68" s="709"/>
      <c r="I68" s="199" t="e">
        <f t="shared" ref="I68:I75" si="50">AVERAGE(P68,U68,Z68,AE68,AJ68,AO68,AT68)</f>
        <v>#DIV/0!</v>
      </c>
      <c r="J68" s="199" t="e">
        <f t="shared" ref="J68:J75" si="51">AVERAGE(Q68,V68,AA68,AF68,AK68,AP68,AU68)</f>
        <v>#DIV/0!</v>
      </c>
      <c r="K68" s="200" t="e">
        <f t="shared" ref="K68:K75" si="52">AVERAGE(R68,W68,AB68,AG68,AL68,AQ68,AV68)</f>
        <v>#DIV/0!</v>
      </c>
      <c r="L68" s="641"/>
      <c r="M68" s="201" t="e">
        <f>RANK(K68, K$67:$K$81)</f>
        <v>#DIV/0!</v>
      </c>
      <c r="N68" s="659"/>
      <c r="O68" s="659"/>
      <c r="P68" s="573"/>
      <c r="Q68" s="574"/>
      <c r="R68" s="574"/>
      <c r="S68" s="339" t="e">
        <f t="shared" ref="S68:S81" si="53">RANK(R68, R$67:R$81)</f>
        <v>#N/A</v>
      </c>
      <c r="T68" s="681"/>
      <c r="U68" s="573"/>
      <c r="V68" s="574"/>
      <c r="W68" s="574"/>
      <c r="X68" s="475" t="e">
        <f t="shared" si="38"/>
        <v>#N/A</v>
      </c>
      <c r="Y68" s="681"/>
      <c r="Z68" s="573"/>
      <c r="AA68" s="574"/>
      <c r="AB68" s="574"/>
      <c r="AC68" s="475" t="e">
        <f t="shared" si="40"/>
        <v>#N/A</v>
      </c>
      <c r="AD68" s="681"/>
      <c r="AE68" s="573"/>
      <c r="AF68" s="574"/>
      <c r="AG68" s="574"/>
      <c r="AH68" s="475" t="e">
        <f t="shared" si="42"/>
        <v>#N/A</v>
      </c>
      <c r="AI68" s="681"/>
      <c r="AJ68" s="573"/>
      <c r="AK68" s="574"/>
      <c r="AL68" s="574"/>
      <c r="AM68" s="475" t="e">
        <f t="shared" si="44"/>
        <v>#N/A</v>
      </c>
      <c r="AN68" s="681"/>
      <c r="AO68" s="573"/>
      <c r="AP68" s="574"/>
      <c r="AQ68" s="574"/>
      <c r="AR68" s="475" t="e">
        <f t="shared" si="46"/>
        <v>#N/A</v>
      </c>
      <c r="AS68" s="681"/>
      <c r="AT68" s="573"/>
      <c r="AU68" s="574"/>
      <c r="AV68" s="574"/>
      <c r="AW68" s="475" t="e">
        <f t="shared" si="48"/>
        <v>#N/A</v>
      </c>
      <c r="AX68" s="681"/>
    </row>
    <row r="69" spans="2:50">
      <c r="B69" s="667"/>
      <c r="C69" s="309">
        <v>3</v>
      </c>
      <c r="D69" s="227"/>
      <c r="E69" s="182"/>
      <c r="F69" s="569"/>
      <c r="G69" s="570"/>
      <c r="H69" s="709"/>
      <c r="I69" s="199" t="e">
        <f t="shared" si="50"/>
        <v>#DIV/0!</v>
      </c>
      <c r="J69" s="199" t="e">
        <f t="shared" si="51"/>
        <v>#DIV/0!</v>
      </c>
      <c r="K69" s="200" t="e">
        <f t="shared" si="52"/>
        <v>#DIV/0!</v>
      </c>
      <c r="L69" s="641"/>
      <c r="M69" s="201" t="e">
        <f>RANK(K69, K$67:$K$81)</f>
        <v>#DIV/0!</v>
      </c>
      <c r="N69" s="659"/>
      <c r="O69" s="659"/>
      <c r="P69" s="573"/>
      <c r="Q69" s="574"/>
      <c r="R69" s="574"/>
      <c r="S69" s="339" t="e">
        <f t="shared" si="53"/>
        <v>#N/A</v>
      </c>
      <c r="T69" s="681"/>
      <c r="U69" s="573"/>
      <c r="V69" s="574"/>
      <c r="W69" s="574"/>
      <c r="X69" s="475" t="e">
        <f t="shared" si="38"/>
        <v>#N/A</v>
      </c>
      <c r="Y69" s="681"/>
      <c r="Z69" s="573"/>
      <c r="AA69" s="574"/>
      <c r="AB69" s="574"/>
      <c r="AC69" s="475" t="e">
        <f t="shared" si="40"/>
        <v>#N/A</v>
      </c>
      <c r="AD69" s="681"/>
      <c r="AE69" s="573"/>
      <c r="AF69" s="574"/>
      <c r="AG69" s="574"/>
      <c r="AH69" s="475" t="e">
        <f t="shared" si="42"/>
        <v>#N/A</v>
      </c>
      <c r="AI69" s="681"/>
      <c r="AJ69" s="573"/>
      <c r="AK69" s="574"/>
      <c r="AL69" s="574"/>
      <c r="AM69" s="475" t="e">
        <f t="shared" si="44"/>
        <v>#N/A</v>
      </c>
      <c r="AN69" s="681"/>
      <c r="AO69" s="573"/>
      <c r="AP69" s="574"/>
      <c r="AQ69" s="574"/>
      <c r="AR69" s="475" t="e">
        <f t="shared" si="46"/>
        <v>#N/A</v>
      </c>
      <c r="AS69" s="681"/>
      <c r="AT69" s="573"/>
      <c r="AU69" s="574"/>
      <c r="AV69" s="574"/>
      <c r="AW69" s="475" t="e">
        <f t="shared" si="48"/>
        <v>#N/A</v>
      </c>
      <c r="AX69" s="681"/>
    </row>
    <row r="70" spans="2:50">
      <c r="B70" s="667"/>
      <c r="C70" s="309">
        <v>4</v>
      </c>
      <c r="D70" s="227"/>
      <c r="E70" s="182"/>
      <c r="F70" s="569"/>
      <c r="G70" s="570"/>
      <c r="H70" s="709"/>
      <c r="I70" s="199" t="e">
        <f t="shared" si="50"/>
        <v>#DIV/0!</v>
      </c>
      <c r="J70" s="199" t="e">
        <f t="shared" si="51"/>
        <v>#DIV/0!</v>
      </c>
      <c r="K70" s="200" t="e">
        <f t="shared" si="52"/>
        <v>#DIV/0!</v>
      </c>
      <c r="L70" s="641"/>
      <c r="M70" s="201" t="e">
        <f>RANK(K70, K$67:$K$81)</f>
        <v>#DIV/0!</v>
      </c>
      <c r="N70" s="659"/>
      <c r="O70" s="659"/>
      <c r="P70" s="573"/>
      <c r="Q70" s="574"/>
      <c r="R70" s="574"/>
      <c r="S70" s="339" t="e">
        <f t="shared" si="53"/>
        <v>#N/A</v>
      </c>
      <c r="T70" s="681"/>
      <c r="U70" s="573"/>
      <c r="V70" s="574"/>
      <c r="W70" s="574"/>
      <c r="X70" s="475" t="e">
        <f t="shared" si="38"/>
        <v>#N/A</v>
      </c>
      <c r="Y70" s="681"/>
      <c r="Z70" s="573"/>
      <c r="AA70" s="574"/>
      <c r="AB70" s="574"/>
      <c r="AC70" s="475" t="e">
        <f t="shared" si="40"/>
        <v>#N/A</v>
      </c>
      <c r="AD70" s="681"/>
      <c r="AE70" s="573"/>
      <c r="AF70" s="574"/>
      <c r="AG70" s="574"/>
      <c r="AH70" s="475" t="e">
        <f t="shared" si="42"/>
        <v>#N/A</v>
      </c>
      <c r="AI70" s="681"/>
      <c r="AJ70" s="573"/>
      <c r="AK70" s="574"/>
      <c r="AL70" s="574"/>
      <c r="AM70" s="475" t="e">
        <f t="shared" si="44"/>
        <v>#N/A</v>
      </c>
      <c r="AN70" s="681"/>
      <c r="AO70" s="573"/>
      <c r="AP70" s="574"/>
      <c r="AQ70" s="574"/>
      <c r="AR70" s="475" t="e">
        <f t="shared" si="46"/>
        <v>#N/A</v>
      </c>
      <c r="AS70" s="681"/>
      <c r="AT70" s="573"/>
      <c r="AU70" s="574"/>
      <c r="AV70" s="574"/>
      <c r="AW70" s="475" t="e">
        <f t="shared" si="48"/>
        <v>#N/A</v>
      </c>
      <c r="AX70" s="681"/>
    </row>
    <row r="71" spans="2:50">
      <c r="B71" s="667"/>
      <c r="C71" s="309">
        <v>5</v>
      </c>
      <c r="D71" s="227"/>
      <c r="E71" s="182"/>
      <c r="F71" s="569"/>
      <c r="G71" s="570"/>
      <c r="H71" s="709"/>
      <c r="I71" s="199" t="e">
        <f t="shared" si="50"/>
        <v>#DIV/0!</v>
      </c>
      <c r="J71" s="199" t="e">
        <f t="shared" si="51"/>
        <v>#DIV/0!</v>
      </c>
      <c r="K71" s="200" t="e">
        <f t="shared" si="52"/>
        <v>#DIV/0!</v>
      </c>
      <c r="L71" s="641"/>
      <c r="M71" s="201" t="e">
        <f>RANK(K71, K$67:$K$81)</f>
        <v>#DIV/0!</v>
      </c>
      <c r="N71" s="659"/>
      <c r="O71" s="659"/>
      <c r="P71" s="573"/>
      <c r="Q71" s="574"/>
      <c r="R71" s="574"/>
      <c r="S71" s="339" t="e">
        <f t="shared" si="53"/>
        <v>#N/A</v>
      </c>
      <c r="T71" s="681"/>
      <c r="U71" s="573"/>
      <c r="V71" s="574"/>
      <c r="W71" s="574"/>
      <c r="X71" s="475" t="e">
        <f t="shared" si="38"/>
        <v>#N/A</v>
      </c>
      <c r="Y71" s="681"/>
      <c r="Z71" s="573"/>
      <c r="AA71" s="574"/>
      <c r="AB71" s="574"/>
      <c r="AC71" s="475" t="e">
        <f t="shared" si="40"/>
        <v>#N/A</v>
      </c>
      <c r="AD71" s="681"/>
      <c r="AE71" s="573"/>
      <c r="AF71" s="574"/>
      <c r="AG71" s="574"/>
      <c r="AH71" s="475" t="e">
        <f t="shared" si="42"/>
        <v>#N/A</v>
      </c>
      <c r="AI71" s="681"/>
      <c r="AJ71" s="573"/>
      <c r="AK71" s="574"/>
      <c r="AL71" s="574"/>
      <c r="AM71" s="475" t="e">
        <f t="shared" si="44"/>
        <v>#N/A</v>
      </c>
      <c r="AN71" s="681"/>
      <c r="AO71" s="573"/>
      <c r="AP71" s="574"/>
      <c r="AQ71" s="574"/>
      <c r="AR71" s="475" t="e">
        <f t="shared" si="46"/>
        <v>#N/A</v>
      </c>
      <c r="AS71" s="681"/>
      <c r="AT71" s="573"/>
      <c r="AU71" s="574"/>
      <c r="AV71" s="574"/>
      <c r="AW71" s="475" t="e">
        <f t="shared" si="48"/>
        <v>#N/A</v>
      </c>
      <c r="AX71" s="681"/>
    </row>
    <row r="72" spans="2:50">
      <c r="B72" s="667"/>
      <c r="C72" s="309">
        <v>6</v>
      </c>
      <c r="D72" s="227"/>
      <c r="E72" s="182"/>
      <c r="F72" s="569"/>
      <c r="G72" s="570"/>
      <c r="H72" s="709"/>
      <c r="I72" s="199" t="e">
        <f t="shared" si="50"/>
        <v>#DIV/0!</v>
      </c>
      <c r="J72" s="199" t="e">
        <f t="shared" si="51"/>
        <v>#DIV/0!</v>
      </c>
      <c r="K72" s="200" t="e">
        <f t="shared" si="52"/>
        <v>#DIV/0!</v>
      </c>
      <c r="L72" s="641"/>
      <c r="M72" s="201" t="e">
        <f>RANK(K72, K$67:$K$81)</f>
        <v>#DIV/0!</v>
      </c>
      <c r="N72" s="659"/>
      <c r="O72" s="659"/>
      <c r="P72" s="573"/>
      <c r="Q72" s="574"/>
      <c r="R72" s="574"/>
      <c r="S72" s="339" t="e">
        <f t="shared" si="53"/>
        <v>#N/A</v>
      </c>
      <c r="T72" s="681"/>
      <c r="U72" s="573"/>
      <c r="V72" s="574"/>
      <c r="W72" s="574"/>
      <c r="X72" s="475" t="e">
        <f t="shared" si="38"/>
        <v>#N/A</v>
      </c>
      <c r="Y72" s="681"/>
      <c r="Z72" s="573"/>
      <c r="AA72" s="574"/>
      <c r="AB72" s="574"/>
      <c r="AC72" s="475" t="e">
        <f t="shared" si="40"/>
        <v>#N/A</v>
      </c>
      <c r="AD72" s="681"/>
      <c r="AE72" s="573"/>
      <c r="AF72" s="574"/>
      <c r="AG72" s="574"/>
      <c r="AH72" s="475" t="e">
        <f t="shared" si="42"/>
        <v>#N/A</v>
      </c>
      <c r="AI72" s="681"/>
      <c r="AJ72" s="573"/>
      <c r="AK72" s="574"/>
      <c r="AL72" s="574"/>
      <c r="AM72" s="475" t="e">
        <f t="shared" si="44"/>
        <v>#N/A</v>
      </c>
      <c r="AN72" s="681"/>
      <c r="AO72" s="573"/>
      <c r="AP72" s="574"/>
      <c r="AQ72" s="574"/>
      <c r="AR72" s="475" t="e">
        <f t="shared" si="46"/>
        <v>#N/A</v>
      </c>
      <c r="AS72" s="681"/>
      <c r="AT72" s="573"/>
      <c r="AU72" s="574"/>
      <c r="AV72" s="574"/>
      <c r="AW72" s="475" t="e">
        <f t="shared" si="48"/>
        <v>#N/A</v>
      </c>
      <c r="AX72" s="681"/>
    </row>
    <row r="73" spans="2:50">
      <c r="B73" s="667"/>
      <c r="C73" s="309">
        <v>7</v>
      </c>
      <c r="D73" s="227"/>
      <c r="E73" s="182"/>
      <c r="F73" s="569"/>
      <c r="G73" s="570"/>
      <c r="H73" s="709"/>
      <c r="I73" s="199" t="e">
        <f t="shared" si="50"/>
        <v>#DIV/0!</v>
      </c>
      <c r="J73" s="199" t="e">
        <f t="shared" si="51"/>
        <v>#DIV/0!</v>
      </c>
      <c r="K73" s="200" t="e">
        <f t="shared" si="52"/>
        <v>#DIV/0!</v>
      </c>
      <c r="L73" s="641"/>
      <c r="M73" s="201" t="e">
        <f>RANK(K73, K$67:$K$81)</f>
        <v>#DIV/0!</v>
      </c>
      <c r="N73" s="659"/>
      <c r="O73" s="659"/>
      <c r="P73" s="573"/>
      <c r="Q73" s="574"/>
      <c r="R73" s="574"/>
      <c r="S73" s="339" t="e">
        <f t="shared" si="53"/>
        <v>#N/A</v>
      </c>
      <c r="T73" s="681"/>
      <c r="U73" s="573"/>
      <c r="V73" s="574"/>
      <c r="W73" s="574"/>
      <c r="X73" s="475" t="e">
        <f t="shared" si="38"/>
        <v>#N/A</v>
      </c>
      <c r="Y73" s="681"/>
      <c r="Z73" s="573"/>
      <c r="AA73" s="574"/>
      <c r="AB73" s="574"/>
      <c r="AC73" s="475" t="e">
        <f t="shared" si="40"/>
        <v>#N/A</v>
      </c>
      <c r="AD73" s="681"/>
      <c r="AE73" s="573"/>
      <c r="AF73" s="574"/>
      <c r="AG73" s="574"/>
      <c r="AH73" s="475" t="e">
        <f t="shared" si="42"/>
        <v>#N/A</v>
      </c>
      <c r="AI73" s="681"/>
      <c r="AJ73" s="573"/>
      <c r="AK73" s="574"/>
      <c r="AL73" s="574"/>
      <c r="AM73" s="475" t="e">
        <f t="shared" si="44"/>
        <v>#N/A</v>
      </c>
      <c r="AN73" s="681"/>
      <c r="AO73" s="573"/>
      <c r="AP73" s="574"/>
      <c r="AQ73" s="574"/>
      <c r="AR73" s="475" t="e">
        <f t="shared" si="46"/>
        <v>#N/A</v>
      </c>
      <c r="AS73" s="681"/>
      <c r="AT73" s="573"/>
      <c r="AU73" s="574"/>
      <c r="AV73" s="574"/>
      <c r="AW73" s="475" t="e">
        <f t="shared" si="48"/>
        <v>#N/A</v>
      </c>
      <c r="AX73" s="681"/>
    </row>
    <row r="74" spans="2:50">
      <c r="B74" s="667"/>
      <c r="C74" s="309">
        <v>8</v>
      </c>
      <c r="D74" s="227"/>
      <c r="E74" s="182"/>
      <c r="F74" s="569"/>
      <c r="G74" s="570"/>
      <c r="H74" s="709"/>
      <c r="I74" s="199" t="e">
        <f t="shared" si="50"/>
        <v>#DIV/0!</v>
      </c>
      <c r="J74" s="199" t="e">
        <f t="shared" si="51"/>
        <v>#DIV/0!</v>
      </c>
      <c r="K74" s="200" t="e">
        <f t="shared" si="52"/>
        <v>#DIV/0!</v>
      </c>
      <c r="L74" s="641"/>
      <c r="M74" s="201" t="e">
        <f>RANK(K74, K$67:$K$81)</f>
        <v>#DIV/0!</v>
      </c>
      <c r="N74" s="659"/>
      <c r="O74" s="659"/>
      <c r="P74" s="573"/>
      <c r="Q74" s="574"/>
      <c r="R74" s="574"/>
      <c r="S74" s="339" t="e">
        <f t="shared" si="53"/>
        <v>#N/A</v>
      </c>
      <c r="T74" s="681"/>
      <c r="U74" s="573"/>
      <c r="V74" s="574"/>
      <c r="W74" s="574"/>
      <c r="X74" s="475" t="e">
        <f t="shared" si="38"/>
        <v>#N/A</v>
      </c>
      <c r="Y74" s="681"/>
      <c r="Z74" s="573"/>
      <c r="AA74" s="574"/>
      <c r="AB74" s="574"/>
      <c r="AC74" s="475" t="e">
        <f t="shared" si="40"/>
        <v>#N/A</v>
      </c>
      <c r="AD74" s="681"/>
      <c r="AE74" s="573"/>
      <c r="AF74" s="574"/>
      <c r="AG74" s="574"/>
      <c r="AH74" s="475" t="e">
        <f t="shared" si="42"/>
        <v>#N/A</v>
      </c>
      <c r="AI74" s="681"/>
      <c r="AJ74" s="573"/>
      <c r="AK74" s="574"/>
      <c r="AL74" s="574"/>
      <c r="AM74" s="475" t="e">
        <f t="shared" si="44"/>
        <v>#N/A</v>
      </c>
      <c r="AN74" s="681"/>
      <c r="AO74" s="573"/>
      <c r="AP74" s="574"/>
      <c r="AQ74" s="574"/>
      <c r="AR74" s="475" t="e">
        <f t="shared" si="46"/>
        <v>#N/A</v>
      </c>
      <c r="AS74" s="681"/>
      <c r="AT74" s="573"/>
      <c r="AU74" s="574"/>
      <c r="AV74" s="574"/>
      <c r="AW74" s="475" t="e">
        <f t="shared" si="48"/>
        <v>#N/A</v>
      </c>
      <c r="AX74" s="681"/>
    </row>
    <row r="75" spans="2:50">
      <c r="B75" s="667"/>
      <c r="C75" s="309">
        <v>9</v>
      </c>
      <c r="D75" s="227"/>
      <c r="E75" s="182"/>
      <c r="F75" s="569"/>
      <c r="G75" s="570"/>
      <c r="H75" s="709"/>
      <c r="I75" s="199" t="e">
        <f t="shared" si="50"/>
        <v>#DIV/0!</v>
      </c>
      <c r="J75" s="199" t="e">
        <f t="shared" si="51"/>
        <v>#DIV/0!</v>
      </c>
      <c r="K75" s="200" t="e">
        <f t="shared" si="52"/>
        <v>#DIV/0!</v>
      </c>
      <c r="L75" s="641"/>
      <c r="M75" s="201" t="e">
        <f>RANK(K75, K$67:$K$81)</f>
        <v>#DIV/0!</v>
      </c>
      <c r="N75" s="659"/>
      <c r="O75" s="659"/>
      <c r="P75" s="573"/>
      <c r="Q75" s="574"/>
      <c r="R75" s="574"/>
      <c r="S75" s="339" t="e">
        <f t="shared" si="53"/>
        <v>#N/A</v>
      </c>
      <c r="T75" s="681"/>
      <c r="U75" s="573"/>
      <c r="V75" s="574"/>
      <c r="W75" s="574"/>
      <c r="X75" s="475" t="e">
        <f t="shared" si="38"/>
        <v>#N/A</v>
      </c>
      <c r="Y75" s="681"/>
      <c r="Z75" s="573"/>
      <c r="AA75" s="574"/>
      <c r="AB75" s="574"/>
      <c r="AC75" s="475" t="e">
        <f t="shared" si="40"/>
        <v>#N/A</v>
      </c>
      <c r="AD75" s="681"/>
      <c r="AE75" s="573"/>
      <c r="AF75" s="574"/>
      <c r="AG75" s="574"/>
      <c r="AH75" s="475" t="e">
        <f t="shared" si="42"/>
        <v>#N/A</v>
      </c>
      <c r="AI75" s="681"/>
      <c r="AJ75" s="573"/>
      <c r="AK75" s="574"/>
      <c r="AL75" s="574"/>
      <c r="AM75" s="475" t="e">
        <f t="shared" si="44"/>
        <v>#N/A</v>
      </c>
      <c r="AN75" s="681"/>
      <c r="AO75" s="573"/>
      <c r="AP75" s="574"/>
      <c r="AQ75" s="574"/>
      <c r="AR75" s="475" t="e">
        <f t="shared" si="46"/>
        <v>#N/A</v>
      </c>
      <c r="AS75" s="681"/>
      <c r="AT75" s="573"/>
      <c r="AU75" s="574"/>
      <c r="AV75" s="574"/>
      <c r="AW75" s="475" t="e">
        <f t="shared" si="48"/>
        <v>#N/A</v>
      </c>
      <c r="AX75" s="681"/>
    </row>
    <row r="76" spans="2:50">
      <c r="B76" s="667"/>
      <c r="C76" s="309">
        <v>10</v>
      </c>
      <c r="D76" s="227"/>
      <c r="E76" s="182"/>
      <c r="F76" s="569"/>
      <c r="G76" s="570"/>
      <c r="H76" s="709"/>
      <c r="I76" s="484" t="e">
        <f t="shared" ref="I76" si="54">AVERAGE(P76,U76,Z76,AE76,AJ76,AO76,AT76)</f>
        <v>#DIV/0!</v>
      </c>
      <c r="J76" s="484" t="e">
        <f t="shared" ref="J76" si="55">AVERAGE(Q76,V76,AA76,AF76,AK76,AP76,AU76)</f>
        <v>#DIV/0!</v>
      </c>
      <c r="K76" s="200" t="e">
        <f t="shared" ref="K76" si="56">AVERAGE(R76,W76,AB76,AG76,AL76,AQ76,AV76)</f>
        <v>#DIV/0!</v>
      </c>
      <c r="L76" s="641"/>
      <c r="M76" s="201" t="e">
        <f>RANK(K76, K$67:$K$81)</f>
        <v>#DIV/0!</v>
      </c>
      <c r="N76" s="659"/>
      <c r="O76" s="659"/>
      <c r="P76" s="573"/>
      <c r="Q76" s="574"/>
      <c r="R76" s="574"/>
      <c r="S76" s="339" t="e">
        <f t="shared" si="53"/>
        <v>#N/A</v>
      </c>
      <c r="T76" s="681"/>
      <c r="U76" s="573"/>
      <c r="V76" s="574"/>
      <c r="W76" s="574"/>
      <c r="X76" s="475" t="e">
        <f t="shared" si="38"/>
        <v>#N/A</v>
      </c>
      <c r="Y76" s="681"/>
      <c r="Z76" s="573"/>
      <c r="AA76" s="574"/>
      <c r="AB76" s="574"/>
      <c r="AC76" s="475" t="e">
        <f t="shared" si="40"/>
        <v>#N/A</v>
      </c>
      <c r="AD76" s="681"/>
      <c r="AE76" s="573"/>
      <c r="AF76" s="574"/>
      <c r="AG76" s="574"/>
      <c r="AH76" s="475" t="e">
        <f t="shared" si="42"/>
        <v>#N/A</v>
      </c>
      <c r="AI76" s="681"/>
      <c r="AJ76" s="573"/>
      <c r="AK76" s="574"/>
      <c r="AL76" s="574"/>
      <c r="AM76" s="475" t="e">
        <f t="shared" si="44"/>
        <v>#N/A</v>
      </c>
      <c r="AN76" s="681"/>
      <c r="AO76" s="573"/>
      <c r="AP76" s="574"/>
      <c r="AQ76" s="574"/>
      <c r="AR76" s="475" t="e">
        <f t="shared" si="46"/>
        <v>#N/A</v>
      </c>
      <c r="AS76" s="681"/>
      <c r="AT76" s="573"/>
      <c r="AU76" s="574"/>
      <c r="AV76" s="574"/>
      <c r="AW76" s="475" t="e">
        <f t="shared" si="48"/>
        <v>#N/A</v>
      </c>
      <c r="AX76" s="681"/>
    </row>
    <row r="77" spans="2:50">
      <c r="B77" s="667"/>
      <c r="C77" s="309">
        <v>11</v>
      </c>
      <c r="D77" s="227"/>
      <c r="E77" s="182"/>
      <c r="F77" s="569"/>
      <c r="G77" s="570"/>
      <c r="H77" s="709"/>
      <c r="I77" s="484"/>
      <c r="J77" s="484"/>
      <c r="K77" s="200"/>
      <c r="L77" s="641"/>
      <c r="M77" s="201" t="e">
        <f>RANK(K77, K$67:$K$81)</f>
        <v>#DIV/0!</v>
      </c>
      <c r="N77" s="659"/>
      <c r="O77" s="659"/>
      <c r="P77" s="573"/>
      <c r="Q77" s="574"/>
      <c r="R77" s="574"/>
      <c r="S77" s="339" t="e">
        <f t="shared" si="53"/>
        <v>#N/A</v>
      </c>
      <c r="T77" s="681"/>
      <c r="U77" s="573"/>
      <c r="V77" s="574"/>
      <c r="W77" s="574"/>
      <c r="X77" s="475" t="e">
        <f t="shared" si="38"/>
        <v>#N/A</v>
      </c>
      <c r="Y77" s="681"/>
      <c r="Z77" s="573"/>
      <c r="AA77" s="574"/>
      <c r="AB77" s="574"/>
      <c r="AC77" s="475" t="e">
        <f t="shared" si="40"/>
        <v>#N/A</v>
      </c>
      <c r="AD77" s="681"/>
      <c r="AE77" s="573"/>
      <c r="AF77" s="574"/>
      <c r="AG77" s="574"/>
      <c r="AH77" s="475" t="e">
        <f t="shared" si="42"/>
        <v>#N/A</v>
      </c>
      <c r="AI77" s="681"/>
      <c r="AJ77" s="573"/>
      <c r="AK77" s="574"/>
      <c r="AL77" s="574"/>
      <c r="AM77" s="475" t="e">
        <f t="shared" si="44"/>
        <v>#N/A</v>
      </c>
      <c r="AN77" s="681"/>
      <c r="AO77" s="573"/>
      <c r="AP77" s="574"/>
      <c r="AQ77" s="574"/>
      <c r="AR77" s="475" t="e">
        <f t="shared" si="46"/>
        <v>#N/A</v>
      </c>
      <c r="AS77" s="681"/>
      <c r="AT77" s="573"/>
      <c r="AU77" s="574"/>
      <c r="AV77" s="574"/>
      <c r="AW77" s="475" t="e">
        <f t="shared" si="48"/>
        <v>#N/A</v>
      </c>
      <c r="AX77" s="681"/>
    </row>
    <row r="78" spans="2:50">
      <c r="B78" s="667"/>
      <c r="C78" s="309">
        <v>12</v>
      </c>
      <c r="D78" s="227"/>
      <c r="E78" s="182"/>
      <c r="F78" s="569"/>
      <c r="G78" s="570"/>
      <c r="H78" s="709"/>
      <c r="I78" s="539"/>
      <c r="J78" s="539"/>
      <c r="K78" s="200"/>
      <c r="L78" s="641"/>
      <c r="M78" s="201" t="e">
        <f>RANK(K78, K$67:$K$81)</f>
        <v>#DIV/0!</v>
      </c>
      <c r="N78" s="659"/>
      <c r="O78" s="659"/>
      <c r="P78" s="573"/>
      <c r="Q78" s="574"/>
      <c r="R78" s="574"/>
      <c r="S78" s="339" t="e">
        <f t="shared" si="53"/>
        <v>#N/A</v>
      </c>
      <c r="T78" s="681"/>
      <c r="U78" s="573"/>
      <c r="V78" s="574"/>
      <c r="W78" s="574"/>
      <c r="X78" s="475" t="e">
        <f t="shared" si="38"/>
        <v>#N/A</v>
      </c>
      <c r="Y78" s="681"/>
      <c r="Z78" s="573"/>
      <c r="AA78" s="574"/>
      <c r="AB78" s="574"/>
      <c r="AC78" s="475" t="e">
        <f t="shared" si="40"/>
        <v>#N/A</v>
      </c>
      <c r="AD78" s="681"/>
      <c r="AE78" s="573"/>
      <c r="AF78" s="574"/>
      <c r="AG78" s="574"/>
      <c r="AH78" s="475" t="e">
        <f t="shared" si="42"/>
        <v>#N/A</v>
      </c>
      <c r="AI78" s="681"/>
      <c r="AJ78" s="573"/>
      <c r="AK78" s="574"/>
      <c r="AL78" s="574"/>
      <c r="AM78" s="475" t="e">
        <f t="shared" si="44"/>
        <v>#N/A</v>
      </c>
      <c r="AN78" s="681"/>
      <c r="AO78" s="573"/>
      <c r="AP78" s="574"/>
      <c r="AQ78" s="574"/>
      <c r="AR78" s="475" t="e">
        <f t="shared" si="46"/>
        <v>#N/A</v>
      </c>
      <c r="AS78" s="681"/>
      <c r="AT78" s="573"/>
      <c r="AU78" s="574"/>
      <c r="AV78" s="574"/>
      <c r="AW78" s="475" t="e">
        <f t="shared" si="48"/>
        <v>#N/A</v>
      </c>
      <c r="AX78" s="681"/>
    </row>
    <row r="79" spans="2:50">
      <c r="B79" s="667"/>
      <c r="C79" s="309">
        <v>13</v>
      </c>
      <c r="D79" s="227"/>
      <c r="E79" s="182"/>
      <c r="F79" s="569"/>
      <c r="G79" s="570"/>
      <c r="H79" s="709"/>
      <c r="I79" s="202"/>
      <c r="J79" s="202"/>
      <c r="K79" s="202"/>
      <c r="L79" s="641"/>
      <c r="M79" s="201" t="e">
        <f>RANK(K79, K$67:$K$81)</f>
        <v>#DIV/0!</v>
      </c>
      <c r="N79" s="659"/>
      <c r="O79" s="659"/>
      <c r="P79" s="573"/>
      <c r="Q79" s="574"/>
      <c r="R79" s="574"/>
      <c r="S79" s="339" t="e">
        <f t="shared" si="53"/>
        <v>#N/A</v>
      </c>
      <c r="T79" s="681"/>
      <c r="U79" s="573"/>
      <c r="V79" s="574"/>
      <c r="W79" s="574"/>
      <c r="X79" s="475" t="e">
        <f t="shared" si="38"/>
        <v>#N/A</v>
      </c>
      <c r="Y79" s="681"/>
      <c r="Z79" s="573"/>
      <c r="AA79" s="574"/>
      <c r="AB79" s="574"/>
      <c r="AC79" s="475" t="e">
        <f t="shared" si="40"/>
        <v>#N/A</v>
      </c>
      <c r="AD79" s="681"/>
      <c r="AE79" s="573"/>
      <c r="AF79" s="574"/>
      <c r="AG79" s="574"/>
      <c r="AH79" s="475" t="e">
        <f t="shared" si="42"/>
        <v>#N/A</v>
      </c>
      <c r="AI79" s="681"/>
      <c r="AJ79" s="573"/>
      <c r="AK79" s="574"/>
      <c r="AL79" s="574"/>
      <c r="AM79" s="475" t="e">
        <f t="shared" si="44"/>
        <v>#N/A</v>
      </c>
      <c r="AN79" s="681"/>
      <c r="AO79" s="573"/>
      <c r="AP79" s="574"/>
      <c r="AQ79" s="574"/>
      <c r="AR79" s="475" t="e">
        <f t="shared" si="46"/>
        <v>#N/A</v>
      </c>
      <c r="AS79" s="681"/>
      <c r="AT79" s="573"/>
      <c r="AU79" s="574"/>
      <c r="AV79" s="574"/>
      <c r="AW79" s="475" t="e">
        <f t="shared" si="48"/>
        <v>#N/A</v>
      </c>
      <c r="AX79" s="681"/>
    </row>
    <row r="80" spans="2:50">
      <c r="B80" s="667"/>
      <c r="C80" s="309">
        <v>14</v>
      </c>
      <c r="D80" s="227"/>
      <c r="E80" s="182"/>
      <c r="F80" s="569"/>
      <c r="G80" s="570"/>
      <c r="H80" s="709"/>
      <c r="I80" s="202"/>
      <c r="J80" s="202"/>
      <c r="K80" s="202"/>
      <c r="L80" s="641"/>
      <c r="M80" s="201" t="e">
        <f>RANK(K80, K$67:$K$81)</f>
        <v>#DIV/0!</v>
      </c>
      <c r="N80" s="659"/>
      <c r="O80" s="659"/>
      <c r="P80" s="573"/>
      <c r="Q80" s="574"/>
      <c r="R80" s="574"/>
      <c r="S80" s="339" t="e">
        <f t="shared" si="53"/>
        <v>#N/A</v>
      </c>
      <c r="T80" s="681"/>
      <c r="U80" s="573"/>
      <c r="V80" s="574"/>
      <c r="W80" s="574"/>
      <c r="X80" s="475" t="e">
        <f t="shared" si="38"/>
        <v>#N/A</v>
      </c>
      <c r="Y80" s="681"/>
      <c r="Z80" s="573"/>
      <c r="AA80" s="574"/>
      <c r="AB80" s="574"/>
      <c r="AC80" s="475" t="e">
        <f t="shared" si="40"/>
        <v>#N/A</v>
      </c>
      <c r="AD80" s="681"/>
      <c r="AE80" s="573"/>
      <c r="AF80" s="574"/>
      <c r="AG80" s="574"/>
      <c r="AH80" s="475" t="e">
        <f t="shared" si="42"/>
        <v>#N/A</v>
      </c>
      <c r="AI80" s="681"/>
      <c r="AJ80" s="573"/>
      <c r="AK80" s="574"/>
      <c r="AL80" s="574"/>
      <c r="AM80" s="475" t="e">
        <f t="shared" si="44"/>
        <v>#N/A</v>
      </c>
      <c r="AN80" s="681"/>
      <c r="AO80" s="573"/>
      <c r="AP80" s="574"/>
      <c r="AQ80" s="574"/>
      <c r="AR80" s="475" t="e">
        <f t="shared" si="46"/>
        <v>#N/A</v>
      </c>
      <c r="AS80" s="681"/>
      <c r="AT80" s="573"/>
      <c r="AU80" s="574"/>
      <c r="AV80" s="574"/>
      <c r="AW80" s="475" t="e">
        <f t="shared" si="48"/>
        <v>#N/A</v>
      </c>
      <c r="AX80" s="681"/>
    </row>
    <row r="81" spans="2:50">
      <c r="B81" s="667"/>
      <c r="C81" s="309">
        <v>15</v>
      </c>
      <c r="D81" s="227"/>
      <c r="E81" s="182"/>
      <c r="F81" s="569"/>
      <c r="G81" s="570"/>
      <c r="H81" s="710"/>
      <c r="I81" s="202"/>
      <c r="J81" s="202"/>
      <c r="K81" s="202"/>
      <c r="L81" s="642"/>
      <c r="M81" s="201" t="e">
        <f>RANK(K81, K$67:$K$81)</f>
        <v>#DIV/0!</v>
      </c>
      <c r="N81" s="659"/>
      <c r="O81" s="659"/>
      <c r="P81" s="573"/>
      <c r="Q81" s="574"/>
      <c r="R81" s="574"/>
      <c r="S81" s="339" t="e">
        <f t="shared" si="53"/>
        <v>#N/A</v>
      </c>
      <c r="T81" s="681"/>
      <c r="U81" s="573"/>
      <c r="V81" s="574"/>
      <c r="W81" s="574"/>
      <c r="X81" s="475" t="e">
        <f t="shared" si="38"/>
        <v>#N/A</v>
      </c>
      <c r="Y81" s="681"/>
      <c r="Z81" s="573"/>
      <c r="AA81" s="574"/>
      <c r="AB81" s="574"/>
      <c r="AC81" s="475" t="e">
        <f t="shared" si="40"/>
        <v>#N/A</v>
      </c>
      <c r="AD81" s="681"/>
      <c r="AE81" s="573"/>
      <c r="AF81" s="574"/>
      <c r="AG81" s="574"/>
      <c r="AH81" s="475" t="e">
        <f t="shared" si="42"/>
        <v>#N/A</v>
      </c>
      <c r="AI81" s="681"/>
      <c r="AJ81" s="573"/>
      <c r="AK81" s="574"/>
      <c r="AL81" s="574"/>
      <c r="AM81" s="475" t="e">
        <f t="shared" si="44"/>
        <v>#N/A</v>
      </c>
      <c r="AN81" s="681"/>
      <c r="AO81" s="573"/>
      <c r="AP81" s="574"/>
      <c r="AQ81" s="574"/>
      <c r="AR81" s="475" t="e">
        <f t="shared" si="46"/>
        <v>#N/A</v>
      </c>
      <c r="AS81" s="681"/>
      <c r="AT81" s="573"/>
      <c r="AU81" s="574"/>
      <c r="AV81" s="574"/>
      <c r="AW81" s="475" t="e">
        <f t="shared" si="48"/>
        <v>#N/A</v>
      </c>
      <c r="AX81" s="681"/>
    </row>
    <row r="82" spans="2:50" ht="15.75">
      <c r="B82" s="671" t="s">
        <v>163</v>
      </c>
      <c r="C82" s="672"/>
      <c r="D82" s="672"/>
      <c r="E82" s="672"/>
      <c r="F82" s="672"/>
      <c r="G82" s="672"/>
      <c r="H82" s="673"/>
      <c r="I82" s="208"/>
      <c r="J82" s="208"/>
      <c r="K82" s="208"/>
      <c r="L82" s="208"/>
      <c r="M82" s="207"/>
      <c r="N82" s="660" t="s">
        <v>156</v>
      </c>
      <c r="O82" s="660" t="s">
        <v>105</v>
      </c>
      <c r="P82" s="666">
        <f>P62+7</f>
        <v>46112</v>
      </c>
      <c r="Q82" s="667"/>
      <c r="R82" s="667"/>
      <c r="S82" s="667"/>
      <c r="T82" s="667"/>
      <c r="U82" s="663">
        <f>P82+1</f>
        <v>46113</v>
      </c>
      <c r="V82" s="664"/>
      <c r="W82" s="664"/>
      <c r="X82" s="664"/>
      <c r="Y82" s="665"/>
      <c r="Z82" s="663">
        <f>U82+1</f>
        <v>46114</v>
      </c>
      <c r="AA82" s="664"/>
      <c r="AB82" s="664"/>
      <c r="AC82" s="664"/>
      <c r="AD82" s="665"/>
      <c r="AE82" s="663">
        <f>Z82+1</f>
        <v>46115</v>
      </c>
      <c r="AF82" s="664"/>
      <c r="AG82" s="664"/>
      <c r="AH82" s="664"/>
      <c r="AI82" s="665"/>
      <c r="AJ82" s="663">
        <f>AE82+1</f>
        <v>46116</v>
      </c>
      <c r="AK82" s="664"/>
      <c r="AL82" s="664"/>
      <c r="AM82" s="664"/>
      <c r="AN82" s="665"/>
      <c r="AO82" s="663">
        <f>AJ82+1</f>
        <v>46117</v>
      </c>
      <c r="AP82" s="664"/>
      <c r="AQ82" s="664"/>
      <c r="AR82" s="664"/>
      <c r="AS82" s="665"/>
      <c r="AT82" s="663">
        <f>AO82+1</f>
        <v>46118</v>
      </c>
      <c r="AU82" s="664"/>
      <c r="AV82" s="664"/>
      <c r="AW82" s="664"/>
      <c r="AX82" s="665"/>
    </row>
    <row r="83" spans="2:50" ht="15.75">
      <c r="B83" s="674"/>
      <c r="C83" s="674"/>
      <c r="D83" s="674"/>
      <c r="E83" s="674"/>
      <c r="F83" s="674"/>
      <c r="G83" s="674"/>
      <c r="H83" s="674"/>
      <c r="I83" s="205"/>
      <c r="J83" s="205"/>
      <c r="K83" s="205"/>
      <c r="L83" s="205"/>
      <c r="M83" s="206"/>
      <c r="N83" s="662"/>
      <c r="O83" s="662"/>
      <c r="P83" s="666" t="s">
        <v>336</v>
      </c>
      <c r="Q83" s="667"/>
      <c r="R83" s="667"/>
      <c r="S83" s="667"/>
      <c r="T83" s="667"/>
      <c r="U83" s="666" t="s">
        <v>337</v>
      </c>
      <c r="V83" s="667"/>
      <c r="W83" s="667"/>
      <c r="X83" s="667"/>
      <c r="Y83" s="667"/>
      <c r="Z83" s="666" t="s">
        <v>338</v>
      </c>
      <c r="AA83" s="667"/>
      <c r="AB83" s="667"/>
      <c r="AC83" s="667"/>
      <c r="AD83" s="667"/>
      <c r="AE83" s="666" t="s">
        <v>339</v>
      </c>
      <c r="AF83" s="667"/>
      <c r="AG83" s="667"/>
      <c r="AH83" s="667"/>
      <c r="AI83" s="667"/>
      <c r="AJ83" s="666" t="s">
        <v>340</v>
      </c>
      <c r="AK83" s="667"/>
      <c r="AL83" s="667"/>
      <c r="AM83" s="667"/>
      <c r="AN83" s="667"/>
      <c r="AO83" s="666" t="s">
        <v>341</v>
      </c>
      <c r="AP83" s="667"/>
      <c r="AQ83" s="667"/>
      <c r="AR83" s="667"/>
      <c r="AS83" s="667"/>
      <c r="AT83" s="666" t="s">
        <v>342</v>
      </c>
      <c r="AU83" s="667"/>
      <c r="AV83" s="667"/>
      <c r="AW83" s="667"/>
      <c r="AX83" s="667"/>
    </row>
    <row r="84" spans="2:50">
      <c r="B84" s="659" t="s">
        <v>460</v>
      </c>
      <c r="C84" s="659" t="s">
        <v>461</v>
      </c>
      <c r="D84" s="659"/>
      <c r="E84" s="659" t="s">
        <v>462</v>
      </c>
      <c r="F84" s="659"/>
      <c r="G84" s="659"/>
      <c r="H84" s="675" t="s">
        <v>463</v>
      </c>
      <c r="I84" s="643" t="s">
        <v>464</v>
      </c>
      <c r="J84" s="643"/>
      <c r="K84" s="643"/>
      <c r="L84" s="644" t="s">
        <v>463</v>
      </c>
      <c r="M84" s="650" t="s">
        <v>465</v>
      </c>
      <c r="N84" s="659"/>
      <c r="O84" s="659" t="s">
        <v>466</v>
      </c>
      <c r="P84" s="656" t="s">
        <v>467</v>
      </c>
      <c r="Q84" s="657"/>
      <c r="R84" s="657"/>
      <c r="S84" s="658"/>
      <c r="T84" s="659" t="s">
        <v>463</v>
      </c>
      <c r="U84" s="656" t="s">
        <v>467</v>
      </c>
      <c r="V84" s="657"/>
      <c r="W84" s="657"/>
      <c r="X84" s="658"/>
      <c r="Y84" s="659" t="s">
        <v>463</v>
      </c>
      <c r="Z84" s="656" t="s">
        <v>467</v>
      </c>
      <c r="AA84" s="657"/>
      <c r="AB84" s="657"/>
      <c r="AC84" s="658"/>
      <c r="AD84" s="659" t="s">
        <v>463</v>
      </c>
      <c r="AE84" s="656" t="s">
        <v>467</v>
      </c>
      <c r="AF84" s="657"/>
      <c r="AG84" s="657"/>
      <c r="AH84" s="658"/>
      <c r="AI84" s="659" t="s">
        <v>463</v>
      </c>
      <c r="AJ84" s="656" t="s">
        <v>467</v>
      </c>
      <c r="AK84" s="657"/>
      <c r="AL84" s="657"/>
      <c r="AM84" s="658"/>
      <c r="AN84" s="659" t="s">
        <v>463</v>
      </c>
      <c r="AO84" s="656" t="s">
        <v>467</v>
      </c>
      <c r="AP84" s="657"/>
      <c r="AQ84" s="657"/>
      <c r="AR84" s="658"/>
      <c r="AS84" s="659" t="s">
        <v>463</v>
      </c>
      <c r="AT84" s="656" t="s">
        <v>467</v>
      </c>
      <c r="AU84" s="657"/>
      <c r="AV84" s="657"/>
      <c r="AW84" s="658"/>
      <c r="AX84" s="659" t="s">
        <v>463</v>
      </c>
    </row>
    <row r="85" spans="2:50">
      <c r="B85" s="659"/>
      <c r="C85" s="659"/>
      <c r="D85" s="659"/>
      <c r="E85" s="659" t="s">
        <v>468</v>
      </c>
      <c r="F85" s="659"/>
      <c r="G85" s="659"/>
      <c r="H85" s="676"/>
      <c r="I85" s="643" t="s">
        <v>468</v>
      </c>
      <c r="J85" s="643"/>
      <c r="K85" s="643"/>
      <c r="L85" s="645"/>
      <c r="M85" s="651"/>
      <c r="N85" s="659"/>
      <c r="O85" s="659"/>
      <c r="P85" s="656" t="s">
        <v>469</v>
      </c>
      <c r="Q85" s="657"/>
      <c r="R85" s="657"/>
      <c r="S85" s="658"/>
      <c r="T85" s="659"/>
      <c r="U85" s="656" t="s">
        <v>469</v>
      </c>
      <c r="V85" s="657"/>
      <c r="W85" s="657"/>
      <c r="X85" s="658"/>
      <c r="Y85" s="659"/>
      <c r="Z85" s="656" t="s">
        <v>469</v>
      </c>
      <c r="AA85" s="657"/>
      <c r="AB85" s="657"/>
      <c r="AC85" s="658"/>
      <c r="AD85" s="659"/>
      <c r="AE85" s="656" t="s">
        <v>469</v>
      </c>
      <c r="AF85" s="657"/>
      <c r="AG85" s="657"/>
      <c r="AH85" s="658"/>
      <c r="AI85" s="659"/>
      <c r="AJ85" s="656" t="s">
        <v>469</v>
      </c>
      <c r="AK85" s="657"/>
      <c r="AL85" s="657"/>
      <c r="AM85" s="658"/>
      <c r="AN85" s="659"/>
      <c r="AO85" s="656" t="s">
        <v>469</v>
      </c>
      <c r="AP85" s="657"/>
      <c r="AQ85" s="657"/>
      <c r="AR85" s="658"/>
      <c r="AS85" s="659"/>
      <c r="AT85" s="656" t="s">
        <v>469</v>
      </c>
      <c r="AU85" s="657"/>
      <c r="AV85" s="657"/>
      <c r="AW85" s="658"/>
      <c r="AX85" s="659"/>
    </row>
    <row r="86" spans="2:50">
      <c r="B86" s="659"/>
      <c r="C86" s="659"/>
      <c r="D86" s="659"/>
      <c r="E86" s="302" t="s">
        <v>470</v>
      </c>
      <c r="F86" s="302" t="s">
        <v>471</v>
      </c>
      <c r="G86" s="302" t="s">
        <v>472</v>
      </c>
      <c r="H86" s="677"/>
      <c r="I86" s="303" t="s">
        <v>470</v>
      </c>
      <c r="J86" s="303" t="s">
        <v>471</v>
      </c>
      <c r="K86" s="303" t="s">
        <v>472</v>
      </c>
      <c r="L86" s="646"/>
      <c r="M86" s="652"/>
      <c r="N86" s="659"/>
      <c r="O86" s="659"/>
      <c r="P86" s="302" t="s">
        <v>470</v>
      </c>
      <c r="Q86" s="302" t="s">
        <v>471</v>
      </c>
      <c r="R86" s="302" t="s">
        <v>472</v>
      </c>
      <c r="S86" s="302" t="s">
        <v>465</v>
      </c>
      <c r="T86" s="659"/>
      <c r="U86" s="302" t="s">
        <v>470</v>
      </c>
      <c r="V86" s="302" t="s">
        <v>471</v>
      </c>
      <c r="W86" s="302" t="s">
        <v>472</v>
      </c>
      <c r="X86" s="302" t="s">
        <v>465</v>
      </c>
      <c r="Y86" s="659"/>
      <c r="Z86" s="302" t="s">
        <v>470</v>
      </c>
      <c r="AA86" s="302" t="s">
        <v>471</v>
      </c>
      <c r="AB86" s="302" t="s">
        <v>472</v>
      </c>
      <c r="AC86" s="302" t="s">
        <v>465</v>
      </c>
      <c r="AD86" s="659"/>
      <c r="AE86" s="302" t="s">
        <v>470</v>
      </c>
      <c r="AF86" s="302" t="s">
        <v>471</v>
      </c>
      <c r="AG86" s="302" t="s">
        <v>472</v>
      </c>
      <c r="AH86" s="302" t="s">
        <v>465</v>
      </c>
      <c r="AI86" s="659"/>
      <c r="AJ86" s="302" t="s">
        <v>470</v>
      </c>
      <c r="AK86" s="302" t="s">
        <v>471</v>
      </c>
      <c r="AL86" s="302" t="s">
        <v>472</v>
      </c>
      <c r="AM86" s="302" t="s">
        <v>465</v>
      </c>
      <c r="AN86" s="659"/>
      <c r="AO86" s="302" t="s">
        <v>470</v>
      </c>
      <c r="AP86" s="302" t="s">
        <v>471</v>
      </c>
      <c r="AQ86" s="302" t="s">
        <v>472</v>
      </c>
      <c r="AR86" s="302" t="s">
        <v>465</v>
      </c>
      <c r="AS86" s="659"/>
      <c r="AT86" s="302" t="s">
        <v>470</v>
      </c>
      <c r="AU86" s="302" t="s">
        <v>471</v>
      </c>
      <c r="AV86" s="302" t="s">
        <v>472</v>
      </c>
      <c r="AW86" s="302" t="s">
        <v>465</v>
      </c>
      <c r="AX86" s="659"/>
    </row>
    <row r="87" spans="2:50">
      <c r="B87" s="707" t="s">
        <v>474</v>
      </c>
      <c r="C87" s="301">
        <v>1</v>
      </c>
      <c r="D87" s="227"/>
      <c r="E87" s="182"/>
      <c r="F87" s="510"/>
      <c r="G87" s="511"/>
      <c r="H87" s="708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0" t="str">
        <f>IFERROR(AVERAGE(K87:K101),"-")</f>
        <v>-</v>
      </c>
      <c r="M87" s="201" t="e">
        <f>RANK(K87, K$87:$K$101)</f>
        <v>#DIV/0!</v>
      </c>
      <c r="N87" s="659"/>
      <c r="O87" s="659"/>
      <c r="P87" s="573"/>
      <c r="Q87" s="574"/>
      <c r="R87" s="574"/>
      <c r="S87" s="301" t="e">
        <f>RANK(R87, R$87:R$101)</f>
        <v>#N/A</v>
      </c>
      <c r="T87" s="681" t="e">
        <f>AVERAGE(R87:R101)</f>
        <v>#DIV/0!</v>
      </c>
      <c r="U87" s="573"/>
      <c r="V87" s="574"/>
      <c r="W87" s="574"/>
      <c r="X87" s="475" t="e">
        <f t="shared" ref="X87:X101" si="57">RANK(W87, W$87:W$101)</f>
        <v>#N/A</v>
      </c>
      <c r="Y87" s="681" t="e">
        <f t="shared" ref="Y87" si="58">AVERAGE(W87:W101)</f>
        <v>#DIV/0!</v>
      </c>
      <c r="Z87" s="573"/>
      <c r="AA87" s="574"/>
      <c r="AB87" s="574"/>
      <c r="AC87" s="475" t="e">
        <f t="shared" ref="AC87:AC101" si="59">RANK(AB87, AB$87:AB$101)</f>
        <v>#N/A</v>
      </c>
      <c r="AD87" s="681" t="e">
        <f t="shared" ref="AD87" si="60">AVERAGE(AB87:AB101)</f>
        <v>#DIV/0!</v>
      </c>
      <c r="AE87" s="573"/>
      <c r="AF87" s="574"/>
      <c r="AG87" s="574"/>
      <c r="AH87" s="475" t="e">
        <f t="shared" ref="AH87:AH101" si="61">RANK(AG87, AG$87:AG$101)</f>
        <v>#N/A</v>
      </c>
      <c r="AI87" s="681" t="e">
        <f t="shared" ref="AI87" si="62">AVERAGE(AG87:AG101)</f>
        <v>#DIV/0!</v>
      </c>
      <c r="AJ87" s="573"/>
      <c r="AK87" s="574"/>
      <c r="AL87" s="574"/>
      <c r="AM87" s="475" t="e">
        <f t="shared" ref="AM87:AM101" si="63">RANK(AL87, AL$87:AL$101)</f>
        <v>#N/A</v>
      </c>
      <c r="AN87" s="681" t="e">
        <f t="shared" ref="AN87" si="64">AVERAGE(AL87:AL101)</f>
        <v>#DIV/0!</v>
      </c>
      <c r="AO87" s="573"/>
      <c r="AP87" s="574"/>
      <c r="AQ87" s="574"/>
      <c r="AR87" s="475" t="e">
        <f t="shared" ref="AR87:AR101" si="65">RANK(AQ87, AQ$87:AQ$101)</f>
        <v>#N/A</v>
      </c>
      <c r="AS87" s="681" t="e">
        <f t="shared" ref="AS87" si="66">AVERAGE(AQ87:AQ101)</f>
        <v>#DIV/0!</v>
      </c>
      <c r="AT87" s="573"/>
      <c r="AU87" s="574"/>
      <c r="AV87" s="574"/>
      <c r="AW87" s="475" t="e">
        <f t="shared" ref="AW87:AW101" si="67">RANK(AV87, AV$87:AV$101)</f>
        <v>#N/A</v>
      </c>
      <c r="AX87" s="681" t="e">
        <f t="shared" ref="AX87" si="68">AVERAGE(AV87:AV101)</f>
        <v>#DIV/0!</v>
      </c>
    </row>
    <row r="88" spans="2:50">
      <c r="B88" s="667"/>
      <c r="C88" s="301">
        <v>2</v>
      </c>
      <c r="D88" s="227"/>
      <c r="E88" s="182"/>
      <c r="F88" s="510"/>
      <c r="G88" s="511"/>
      <c r="H88" s="709"/>
      <c r="I88" s="199" t="e">
        <f t="shared" ref="I88:K96" si="69">AVERAGE(P88,U88,Z88,AE88,AJ88,AO88,AT88)</f>
        <v>#DIV/0!</v>
      </c>
      <c r="J88" s="199" t="e">
        <f t="shared" si="69"/>
        <v>#DIV/0!</v>
      </c>
      <c r="K88" s="200" t="e">
        <f t="shared" si="69"/>
        <v>#DIV/0!</v>
      </c>
      <c r="L88" s="641"/>
      <c r="M88" s="201" t="e">
        <f>RANK(K88, K$87:$K$101)</f>
        <v>#DIV/0!</v>
      </c>
      <c r="N88" s="659"/>
      <c r="O88" s="659"/>
      <c r="P88" s="573"/>
      <c r="Q88" s="574"/>
      <c r="R88" s="574"/>
      <c r="S88" s="301" t="e">
        <f t="shared" ref="S88:S101" si="70">RANK(R88, R$87:R$101)</f>
        <v>#N/A</v>
      </c>
      <c r="T88" s="681"/>
      <c r="U88" s="573"/>
      <c r="V88" s="574"/>
      <c r="W88" s="574"/>
      <c r="X88" s="475" t="e">
        <f t="shared" si="57"/>
        <v>#N/A</v>
      </c>
      <c r="Y88" s="681"/>
      <c r="Z88" s="573"/>
      <c r="AA88" s="574"/>
      <c r="AB88" s="574"/>
      <c r="AC88" s="475" t="e">
        <f t="shared" si="59"/>
        <v>#N/A</v>
      </c>
      <c r="AD88" s="681"/>
      <c r="AE88" s="573"/>
      <c r="AF88" s="574"/>
      <c r="AG88" s="574"/>
      <c r="AH88" s="475" t="e">
        <f t="shared" si="61"/>
        <v>#N/A</v>
      </c>
      <c r="AI88" s="681"/>
      <c r="AJ88" s="573"/>
      <c r="AK88" s="574"/>
      <c r="AL88" s="574"/>
      <c r="AM88" s="475" t="e">
        <f t="shared" si="63"/>
        <v>#N/A</v>
      </c>
      <c r="AN88" s="681"/>
      <c r="AO88" s="573"/>
      <c r="AP88" s="574"/>
      <c r="AQ88" s="574"/>
      <c r="AR88" s="475" t="e">
        <f t="shared" si="65"/>
        <v>#N/A</v>
      </c>
      <c r="AS88" s="681"/>
      <c r="AT88" s="573"/>
      <c r="AU88" s="574"/>
      <c r="AV88" s="574"/>
      <c r="AW88" s="475" t="e">
        <f t="shared" si="67"/>
        <v>#N/A</v>
      </c>
      <c r="AX88" s="681"/>
    </row>
    <row r="89" spans="2:50">
      <c r="B89" s="667"/>
      <c r="C89" s="301">
        <v>3</v>
      </c>
      <c r="D89" s="227"/>
      <c r="E89" s="182"/>
      <c r="F89" s="510"/>
      <c r="G89" s="511"/>
      <c r="H89" s="709"/>
      <c r="I89" s="199" t="e">
        <f t="shared" si="69"/>
        <v>#DIV/0!</v>
      </c>
      <c r="J89" s="199" t="e">
        <f t="shared" si="69"/>
        <v>#DIV/0!</v>
      </c>
      <c r="K89" s="200" t="e">
        <f t="shared" si="69"/>
        <v>#DIV/0!</v>
      </c>
      <c r="L89" s="641"/>
      <c r="M89" s="201" t="e">
        <f>RANK(K89, K$87:$K$101)</f>
        <v>#DIV/0!</v>
      </c>
      <c r="N89" s="659"/>
      <c r="O89" s="659"/>
      <c r="P89" s="573"/>
      <c r="Q89" s="574"/>
      <c r="R89" s="574"/>
      <c r="S89" s="301" t="e">
        <f t="shared" si="70"/>
        <v>#N/A</v>
      </c>
      <c r="T89" s="681"/>
      <c r="U89" s="573"/>
      <c r="V89" s="574"/>
      <c r="W89" s="574"/>
      <c r="X89" s="475" t="e">
        <f t="shared" si="57"/>
        <v>#N/A</v>
      </c>
      <c r="Y89" s="681"/>
      <c r="Z89" s="573"/>
      <c r="AA89" s="574"/>
      <c r="AB89" s="574"/>
      <c r="AC89" s="475" t="e">
        <f t="shared" si="59"/>
        <v>#N/A</v>
      </c>
      <c r="AD89" s="681"/>
      <c r="AE89" s="573"/>
      <c r="AF89" s="574"/>
      <c r="AG89" s="574"/>
      <c r="AH89" s="475" t="e">
        <f t="shared" si="61"/>
        <v>#N/A</v>
      </c>
      <c r="AI89" s="681"/>
      <c r="AJ89" s="573"/>
      <c r="AK89" s="574"/>
      <c r="AL89" s="574"/>
      <c r="AM89" s="475" t="e">
        <f t="shared" si="63"/>
        <v>#N/A</v>
      </c>
      <c r="AN89" s="681"/>
      <c r="AO89" s="573"/>
      <c r="AP89" s="574"/>
      <c r="AQ89" s="574"/>
      <c r="AR89" s="475" t="e">
        <f t="shared" si="65"/>
        <v>#N/A</v>
      </c>
      <c r="AS89" s="681"/>
      <c r="AT89" s="573"/>
      <c r="AU89" s="574"/>
      <c r="AV89" s="574"/>
      <c r="AW89" s="475" t="e">
        <f t="shared" si="67"/>
        <v>#N/A</v>
      </c>
      <c r="AX89" s="681"/>
    </row>
    <row r="90" spans="2:50">
      <c r="B90" s="667"/>
      <c r="C90" s="301">
        <v>4</v>
      </c>
      <c r="D90" s="227"/>
      <c r="E90" s="182"/>
      <c r="F90" s="510"/>
      <c r="G90" s="511"/>
      <c r="H90" s="709"/>
      <c r="I90" s="199" t="e">
        <f t="shared" si="69"/>
        <v>#DIV/0!</v>
      </c>
      <c r="J90" s="199" t="e">
        <f t="shared" si="69"/>
        <v>#DIV/0!</v>
      </c>
      <c r="K90" s="200" t="e">
        <f t="shared" si="69"/>
        <v>#DIV/0!</v>
      </c>
      <c r="L90" s="641"/>
      <c r="M90" s="201" t="e">
        <f>RANK(K90, K$87:$K$101)</f>
        <v>#DIV/0!</v>
      </c>
      <c r="N90" s="659"/>
      <c r="O90" s="659"/>
      <c r="P90" s="573"/>
      <c r="Q90" s="574"/>
      <c r="R90" s="574"/>
      <c r="S90" s="301" t="e">
        <f t="shared" si="70"/>
        <v>#N/A</v>
      </c>
      <c r="T90" s="681"/>
      <c r="U90" s="573"/>
      <c r="V90" s="574"/>
      <c r="W90" s="574"/>
      <c r="X90" s="475" t="e">
        <f t="shared" si="57"/>
        <v>#N/A</v>
      </c>
      <c r="Y90" s="681"/>
      <c r="Z90" s="573"/>
      <c r="AA90" s="574"/>
      <c r="AB90" s="574"/>
      <c r="AC90" s="475" t="e">
        <f t="shared" si="59"/>
        <v>#N/A</v>
      </c>
      <c r="AD90" s="681"/>
      <c r="AE90" s="573"/>
      <c r="AF90" s="574"/>
      <c r="AG90" s="574"/>
      <c r="AH90" s="475" t="e">
        <f t="shared" si="61"/>
        <v>#N/A</v>
      </c>
      <c r="AI90" s="681"/>
      <c r="AJ90" s="573"/>
      <c r="AK90" s="574"/>
      <c r="AL90" s="574"/>
      <c r="AM90" s="475" t="e">
        <f t="shared" si="63"/>
        <v>#N/A</v>
      </c>
      <c r="AN90" s="681"/>
      <c r="AO90" s="573"/>
      <c r="AP90" s="574"/>
      <c r="AQ90" s="574"/>
      <c r="AR90" s="475" t="e">
        <f t="shared" si="65"/>
        <v>#N/A</v>
      </c>
      <c r="AS90" s="681"/>
      <c r="AT90" s="573"/>
      <c r="AU90" s="574"/>
      <c r="AV90" s="574"/>
      <c r="AW90" s="475" t="e">
        <f t="shared" si="67"/>
        <v>#N/A</v>
      </c>
      <c r="AX90" s="681"/>
    </row>
    <row r="91" spans="2:50">
      <c r="B91" s="667"/>
      <c r="C91" s="301">
        <v>5</v>
      </c>
      <c r="D91" s="227"/>
      <c r="E91" s="182"/>
      <c r="F91" s="510"/>
      <c r="G91" s="511"/>
      <c r="H91" s="709"/>
      <c r="I91" s="199" t="e">
        <f t="shared" si="69"/>
        <v>#DIV/0!</v>
      </c>
      <c r="J91" s="199" t="e">
        <f t="shared" si="69"/>
        <v>#DIV/0!</v>
      </c>
      <c r="K91" s="200" t="e">
        <f t="shared" si="69"/>
        <v>#DIV/0!</v>
      </c>
      <c r="L91" s="641"/>
      <c r="M91" s="201" t="e">
        <f>RANK(K91, K$87:$K$101)</f>
        <v>#DIV/0!</v>
      </c>
      <c r="N91" s="659"/>
      <c r="O91" s="659"/>
      <c r="P91" s="573"/>
      <c r="Q91" s="574"/>
      <c r="R91" s="574"/>
      <c r="S91" s="301" t="e">
        <f t="shared" si="70"/>
        <v>#N/A</v>
      </c>
      <c r="T91" s="681"/>
      <c r="U91" s="573"/>
      <c r="V91" s="574"/>
      <c r="W91" s="574"/>
      <c r="X91" s="475" t="e">
        <f t="shared" si="57"/>
        <v>#N/A</v>
      </c>
      <c r="Y91" s="681"/>
      <c r="Z91" s="573"/>
      <c r="AA91" s="574"/>
      <c r="AB91" s="574"/>
      <c r="AC91" s="475" t="e">
        <f t="shared" si="59"/>
        <v>#N/A</v>
      </c>
      <c r="AD91" s="681"/>
      <c r="AE91" s="573"/>
      <c r="AF91" s="574"/>
      <c r="AG91" s="574"/>
      <c r="AH91" s="475" t="e">
        <f t="shared" si="61"/>
        <v>#N/A</v>
      </c>
      <c r="AI91" s="681"/>
      <c r="AJ91" s="573"/>
      <c r="AK91" s="574"/>
      <c r="AL91" s="574"/>
      <c r="AM91" s="475" t="e">
        <f t="shared" si="63"/>
        <v>#N/A</v>
      </c>
      <c r="AN91" s="681"/>
      <c r="AO91" s="573"/>
      <c r="AP91" s="574"/>
      <c r="AQ91" s="574"/>
      <c r="AR91" s="475" t="e">
        <f t="shared" si="65"/>
        <v>#N/A</v>
      </c>
      <c r="AS91" s="681"/>
      <c r="AT91" s="573"/>
      <c r="AU91" s="574"/>
      <c r="AV91" s="574"/>
      <c r="AW91" s="475" t="e">
        <f t="shared" si="67"/>
        <v>#N/A</v>
      </c>
      <c r="AX91" s="681"/>
    </row>
    <row r="92" spans="2:50">
      <c r="B92" s="667"/>
      <c r="C92" s="301">
        <v>6</v>
      </c>
      <c r="D92" s="227"/>
      <c r="E92" s="182"/>
      <c r="F92" s="510"/>
      <c r="G92" s="511"/>
      <c r="H92" s="709"/>
      <c r="I92" s="199" t="e">
        <f t="shared" si="69"/>
        <v>#DIV/0!</v>
      </c>
      <c r="J92" s="199" t="e">
        <f t="shared" si="69"/>
        <v>#DIV/0!</v>
      </c>
      <c r="K92" s="200" t="e">
        <f t="shared" si="69"/>
        <v>#DIV/0!</v>
      </c>
      <c r="L92" s="641"/>
      <c r="M92" s="201" t="e">
        <f>RANK(K92, K$87:$K$101)</f>
        <v>#DIV/0!</v>
      </c>
      <c r="N92" s="659"/>
      <c r="O92" s="659"/>
      <c r="P92" s="573"/>
      <c r="Q92" s="574"/>
      <c r="R92" s="574"/>
      <c r="S92" s="301" t="e">
        <f t="shared" si="70"/>
        <v>#N/A</v>
      </c>
      <c r="T92" s="681"/>
      <c r="U92" s="573"/>
      <c r="V92" s="574"/>
      <c r="W92" s="574"/>
      <c r="X92" s="475" t="e">
        <f t="shared" si="57"/>
        <v>#N/A</v>
      </c>
      <c r="Y92" s="681"/>
      <c r="Z92" s="573"/>
      <c r="AA92" s="574"/>
      <c r="AB92" s="574"/>
      <c r="AC92" s="475" t="e">
        <f t="shared" si="59"/>
        <v>#N/A</v>
      </c>
      <c r="AD92" s="681"/>
      <c r="AE92" s="573"/>
      <c r="AF92" s="574"/>
      <c r="AG92" s="574"/>
      <c r="AH92" s="475" t="e">
        <f t="shared" si="61"/>
        <v>#N/A</v>
      </c>
      <c r="AI92" s="681"/>
      <c r="AJ92" s="573"/>
      <c r="AK92" s="574"/>
      <c r="AL92" s="574"/>
      <c r="AM92" s="475" t="e">
        <f t="shared" si="63"/>
        <v>#N/A</v>
      </c>
      <c r="AN92" s="681"/>
      <c r="AO92" s="573"/>
      <c r="AP92" s="574"/>
      <c r="AQ92" s="574"/>
      <c r="AR92" s="475" t="e">
        <f t="shared" si="65"/>
        <v>#N/A</v>
      </c>
      <c r="AS92" s="681"/>
      <c r="AT92" s="573"/>
      <c r="AU92" s="574"/>
      <c r="AV92" s="574"/>
      <c r="AW92" s="475" t="e">
        <f t="shared" si="67"/>
        <v>#N/A</v>
      </c>
      <c r="AX92" s="681"/>
    </row>
    <row r="93" spans="2:50">
      <c r="B93" s="667"/>
      <c r="C93" s="301">
        <v>7</v>
      </c>
      <c r="D93" s="227"/>
      <c r="E93" s="182"/>
      <c r="F93" s="510"/>
      <c r="G93" s="511"/>
      <c r="H93" s="709"/>
      <c r="I93" s="199" t="e">
        <f t="shared" si="69"/>
        <v>#DIV/0!</v>
      </c>
      <c r="J93" s="199" t="e">
        <f t="shared" si="69"/>
        <v>#DIV/0!</v>
      </c>
      <c r="K93" s="200" t="e">
        <f t="shared" si="69"/>
        <v>#DIV/0!</v>
      </c>
      <c r="L93" s="641"/>
      <c r="M93" s="201" t="e">
        <f>RANK(K93, K$87:$K$101)</f>
        <v>#DIV/0!</v>
      </c>
      <c r="N93" s="659"/>
      <c r="O93" s="659"/>
      <c r="P93" s="573"/>
      <c r="Q93" s="574"/>
      <c r="R93" s="574"/>
      <c r="S93" s="301" t="e">
        <f t="shared" si="70"/>
        <v>#N/A</v>
      </c>
      <c r="T93" s="681"/>
      <c r="U93" s="573"/>
      <c r="V93" s="574"/>
      <c r="W93" s="574"/>
      <c r="X93" s="475" t="e">
        <f t="shared" si="57"/>
        <v>#N/A</v>
      </c>
      <c r="Y93" s="681"/>
      <c r="Z93" s="573"/>
      <c r="AA93" s="574"/>
      <c r="AB93" s="574"/>
      <c r="AC93" s="475" t="e">
        <f t="shared" si="59"/>
        <v>#N/A</v>
      </c>
      <c r="AD93" s="681"/>
      <c r="AE93" s="573"/>
      <c r="AF93" s="574"/>
      <c r="AG93" s="574"/>
      <c r="AH93" s="475" t="e">
        <f t="shared" si="61"/>
        <v>#N/A</v>
      </c>
      <c r="AI93" s="681"/>
      <c r="AJ93" s="573"/>
      <c r="AK93" s="574"/>
      <c r="AL93" s="574"/>
      <c r="AM93" s="475" t="e">
        <f t="shared" si="63"/>
        <v>#N/A</v>
      </c>
      <c r="AN93" s="681"/>
      <c r="AO93" s="573"/>
      <c r="AP93" s="574"/>
      <c r="AQ93" s="574"/>
      <c r="AR93" s="475" t="e">
        <f t="shared" si="65"/>
        <v>#N/A</v>
      </c>
      <c r="AS93" s="681"/>
      <c r="AT93" s="573"/>
      <c r="AU93" s="574"/>
      <c r="AV93" s="574"/>
      <c r="AW93" s="475" t="e">
        <f t="shared" si="67"/>
        <v>#N/A</v>
      </c>
      <c r="AX93" s="681"/>
    </row>
    <row r="94" spans="2:50">
      <c r="B94" s="667"/>
      <c r="C94" s="301">
        <v>8</v>
      </c>
      <c r="D94" s="227"/>
      <c r="E94" s="182"/>
      <c r="F94" s="510"/>
      <c r="G94" s="511"/>
      <c r="H94" s="709"/>
      <c r="I94" s="199" t="e">
        <f t="shared" si="69"/>
        <v>#DIV/0!</v>
      </c>
      <c r="J94" s="199" t="e">
        <f t="shared" si="69"/>
        <v>#DIV/0!</v>
      </c>
      <c r="K94" s="200" t="e">
        <f t="shared" si="69"/>
        <v>#DIV/0!</v>
      </c>
      <c r="L94" s="641"/>
      <c r="M94" s="201" t="e">
        <f>RANK(K94, K$87:$K$101)</f>
        <v>#DIV/0!</v>
      </c>
      <c r="N94" s="659"/>
      <c r="O94" s="659"/>
      <c r="P94" s="573"/>
      <c r="Q94" s="574"/>
      <c r="R94" s="574"/>
      <c r="S94" s="301" t="e">
        <f t="shared" si="70"/>
        <v>#N/A</v>
      </c>
      <c r="T94" s="681"/>
      <c r="U94" s="573"/>
      <c r="V94" s="574"/>
      <c r="W94" s="574"/>
      <c r="X94" s="475" t="e">
        <f t="shared" si="57"/>
        <v>#N/A</v>
      </c>
      <c r="Y94" s="681"/>
      <c r="Z94" s="573"/>
      <c r="AA94" s="574"/>
      <c r="AB94" s="574"/>
      <c r="AC94" s="475" t="e">
        <f t="shared" si="59"/>
        <v>#N/A</v>
      </c>
      <c r="AD94" s="681"/>
      <c r="AE94" s="573"/>
      <c r="AF94" s="574"/>
      <c r="AG94" s="574"/>
      <c r="AH94" s="475" t="e">
        <f t="shared" si="61"/>
        <v>#N/A</v>
      </c>
      <c r="AI94" s="681"/>
      <c r="AJ94" s="573"/>
      <c r="AK94" s="574"/>
      <c r="AL94" s="574"/>
      <c r="AM94" s="475" t="e">
        <f t="shared" si="63"/>
        <v>#N/A</v>
      </c>
      <c r="AN94" s="681"/>
      <c r="AO94" s="573"/>
      <c r="AP94" s="574"/>
      <c r="AQ94" s="574"/>
      <c r="AR94" s="475" t="e">
        <f t="shared" si="65"/>
        <v>#N/A</v>
      </c>
      <c r="AS94" s="681"/>
      <c r="AT94" s="573"/>
      <c r="AU94" s="574"/>
      <c r="AV94" s="574"/>
      <c r="AW94" s="475" t="e">
        <f t="shared" si="67"/>
        <v>#N/A</v>
      </c>
      <c r="AX94" s="681"/>
    </row>
    <row r="95" spans="2:50">
      <c r="B95" s="667"/>
      <c r="C95" s="301">
        <v>9</v>
      </c>
      <c r="D95" s="227"/>
      <c r="E95" s="182"/>
      <c r="F95" s="510"/>
      <c r="G95" s="511"/>
      <c r="H95" s="709"/>
      <c r="I95" s="199" t="e">
        <f t="shared" si="69"/>
        <v>#DIV/0!</v>
      </c>
      <c r="J95" s="199" t="e">
        <f t="shared" si="69"/>
        <v>#DIV/0!</v>
      </c>
      <c r="K95" s="200" t="e">
        <f t="shared" si="69"/>
        <v>#DIV/0!</v>
      </c>
      <c r="L95" s="641"/>
      <c r="M95" s="201" t="e">
        <f>RANK(K95, K$87:$K$101)</f>
        <v>#DIV/0!</v>
      </c>
      <c r="N95" s="659"/>
      <c r="O95" s="659"/>
      <c r="P95" s="573"/>
      <c r="Q95" s="574"/>
      <c r="R95" s="574"/>
      <c r="S95" s="301" t="e">
        <f t="shared" si="70"/>
        <v>#N/A</v>
      </c>
      <c r="T95" s="681"/>
      <c r="U95" s="573"/>
      <c r="V95" s="574"/>
      <c r="W95" s="574"/>
      <c r="X95" s="475" t="e">
        <f t="shared" si="57"/>
        <v>#N/A</v>
      </c>
      <c r="Y95" s="681"/>
      <c r="Z95" s="573"/>
      <c r="AA95" s="574"/>
      <c r="AB95" s="574"/>
      <c r="AC95" s="475" t="e">
        <f t="shared" si="59"/>
        <v>#N/A</v>
      </c>
      <c r="AD95" s="681"/>
      <c r="AE95" s="573"/>
      <c r="AF95" s="574"/>
      <c r="AG95" s="574"/>
      <c r="AH95" s="475" t="e">
        <f t="shared" si="61"/>
        <v>#N/A</v>
      </c>
      <c r="AI95" s="681"/>
      <c r="AJ95" s="573"/>
      <c r="AK95" s="574"/>
      <c r="AL95" s="574"/>
      <c r="AM95" s="475" t="e">
        <f t="shared" si="63"/>
        <v>#N/A</v>
      </c>
      <c r="AN95" s="681"/>
      <c r="AO95" s="573"/>
      <c r="AP95" s="574"/>
      <c r="AQ95" s="574"/>
      <c r="AR95" s="475" t="e">
        <f t="shared" si="65"/>
        <v>#N/A</v>
      </c>
      <c r="AS95" s="681"/>
      <c r="AT95" s="573"/>
      <c r="AU95" s="574"/>
      <c r="AV95" s="574"/>
      <c r="AW95" s="475" t="e">
        <f t="shared" si="67"/>
        <v>#N/A</v>
      </c>
      <c r="AX95" s="681"/>
    </row>
    <row r="96" spans="2:50">
      <c r="B96" s="667"/>
      <c r="C96" s="301">
        <v>10</v>
      </c>
      <c r="D96" s="227"/>
      <c r="E96" s="182"/>
      <c r="F96" s="510"/>
      <c r="G96" s="511"/>
      <c r="H96" s="709"/>
      <c r="I96" s="199" t="e">
        <f t="shared" si="69"/>
        <v>#DIV/0!</v>
      </c>
      <c r="J96" s="199" t="e">
        <f t="shared" si="69"/>
        <v>#DIV/0!</v>
      </c>
      <c r="K96" s="200" t="e">
        <f t="shared" si="69"/>
        <v>#DIV/0!</v>
      </c>
      <c r="L96" s="641"/>
      <c r="M96" s="201" t="e">
        <f>RANK(K96, K$87:$K$101)</f>
        <v>#DIV/0!</v>
      </c>
      <c r="N96" s="659"/>
      <c r="O96" s="659"/>
      <c r="P96" s="573"/>
      <c r="Q96" s="574"/>
      <c r="R96" s="574"/>
      <c r="S96" s="301" t="e">
        <f t="shared" si="70"/>
        <v>#N/A</v>
      </c>
      <c r="T96" s="681"/>
      <c r="U96" s="573"/>
      <c r="V96" s="574"/>
      <c r="W96" s="574"/>
      <c r="X96" s="475" t="e">
        <f t="shared" si="57"/>
        <v>#N/A</v>
      </c>
      <c r="Y96" s="681"/>
      <c r="Z96" s="573"/>
      <c r="AA96" s="574"/>
      <c r="AB96" s="574"/>
      <c r="AC96" s="475" t="e">
        <f t="shared" si="59"/>
        <v>#N/A</v>
      </c>
      <c r="AD96" s="681"/>
      <c r="AE96" s="573"/>
      <c r="AF96" s="574"/>
      <c r="AG96" s="574"/>
      <c r="AH96" s="475" t="e">
        <f t="shared" si="61"/>
        <v>#N/A</v>
      </c>
      <c r="AI96" s="681"/>
      <c r="AJ96" s="573"/>
      <c r="AK96" s="574"/>
      <c r="AL96" s="574"/>
      <c r="AM96" s="475" t="e">
        <f t="shared" si="63"/>
        <v>#N/A</v>
      </c>
      <c r="AN96" s="681"/>
      <c r="AO96" s="573"/>
      <c r="AP96" s="574"/>
      <c r="AQ96" s="574"/>
      <c r="AR96" s="475" t="e">
        <f t="shared" si="65"/>
        <v>#N/A</v>
      </c>
      <c r="AS96" s="681"/>
      <c r="AT96" s="573"/>
      <c r="AU96" s="574"/>
      <c r="AV96" s="574"/>
      <c r="AW96" s="475" t="e">
        <f t="shared" si="67"/>
        <v>#N/A</v>
      </c>
      <c r="AX96" s="681"/>
    </row>
    <row r="97" spans="2:50">
      <c r="B97" s="667"/>
      <c r="C97" s="301">
        <v>11</v>
      </c>
      <c r="D97" s="227"/>
      <c r="E97" s="182"/>
      <c r="F97" s="510"/>
      <c r="G97" s="511"/>
      <c r="H97" s="709"/>
      <c r="I97" s="486" t="e">
        <f t="shared" ref="I97" si="71">AVERAGE(P97,U97,Z97,AE97,AJ97,AO97,AT97)</f>
        <v>#DIV/0!</v>
      </c>
      <c r="J97" s="486" t="e">
        <f t="shared" ref="J97" si="72">AVERAGE(Q97,V97,AA97,AF97,AK97,AP97,AU97)</f>
        <v>#DIV/0!</v>
      </c>
      <c r="K97" s="200" t="e">
        <f t="shared" ref="K97" si="73">AVERAGE(R97,W97,AB97,AG97,AL97,AQ97,AV97)</f>
        <v>#DIV/0!</v>
      </c>
      <c r="L97" s="641"/>
      <c r="M97" s="201" t="e">
        <f>RANK(K97, K$87:$K$101)</f>
        <v>#DIV/0!</v>
      </c>
      <c r="N97" s="659"/>
      <c r="O97" s="659"/>
      <c r="P97" s="573"/>
      <c r="Q97" s="574"/>
      <c r="R97" s="574"/>
      <c r="S97" s="301" t="e">
        <f t="shared" si="70"/>
        <v>#N/A</v>
      </c>
      <c r="T97" s="681"/>
      <c r="U97" s="573"/>
      <c r="V97" s="574"/>
      <c r="W97" s="574"/>
      <c r="X97" s="475" t="e">
        <f t="shared" si="57"/>
        <v>#N/A</v>
      </c>
      <c r="Y97" s="681"/>
      <c r="Z97" s="573"/>
      <c r="AA97" s="574"/>
      <c r="AB97" s="574"/>
      <c r="AC97" s="475" t="e">
        <f t="shared" si="59"/>
        <v>#N/A</v>
      </c>
      <c r="AD97" s="681"/>
      <c r="AE97" s="573"/>
      <c r="AF97" s="574"/>
      <c r="AG97" s="574"/>
      <c r="AH97" s="475" t="e">
        <f t="shared" si="61"/>
        <v>#N/A</v>
      </c>
      <c r="AI97" s="681"/>
      <c r="AJ97" s="573"/>
      <c r="AK97" s="574"/>
      <c r="AL97" s="574"/>
      <c r="AM97" s="475" t="e">
        <f t="shared" si="63"/>
        <v>#N/A</v>
      </c>
      <c r="AN97" s="681"/>
      <c r="AO97" s="573"/>
      <c r="AP97" s="574"/>
      <c r="AQ97" s="574"/>
      <c r="AR97" s="475" t="e">
        <f t="shared" si="65"/>
        <v>#N/A</v>
      </c>
      <c r="AS97" s="681"/>
      <c r="AT97" s="573"/>
      <c r="AU97" s="574"/>
      <c r="AV97" s="574"/>
      <c r="AW97" s="475" t="e">
        <f t="shared" si="67"/>
        <v>#N/A</v>
      </c>
      <c r="AX97" s="681"/>
    </row>
    <row r="98" spans="2:50">
      <c r="B98" s="667"/>
      <c r="C98" s="301">
        <v>12</v>
      </c>
      <c r="D98" s="227"/>
      <c r="E98" s="182"/>
      <c r="F98" s="510"/>
      <c r="G98" s="511"/>
      <c r="H98" s="709"/>
      <c r="I98" s="542"/>
      <c r="J98" s="542"/>
      <c r="K98" s="200"/>
      <c r="L98" s="641"/>
      <c r="M98" s="201" t="e">
        <f>RANK(K98, K$87:$K$101)</f>
        <v>#DIV/0!</v>
      </c>
      <c r="N98" s="659"/>
      <c r="O98" s="659"/>
      <c r="P98" s="573"/>
      <c r="Q98" s="574"/>
      <c r="R98" s="574"/>
      <c r="S98" s="301" t="e">
        <f t="shared" si="70"/>
        <v>#N/A</v>
      </c>
      <c r="T98" s="681"/>
      <c r="U98" s="573"/>
      <c r="V98" s="574"/>
      <c r="W98" s="574"/>
      <c r="X98" s="475" t="e">
        <f t="shared" si="57"/>
        <v>#N/A</v>
      </c>
      <c r="Y98" s="681"/>
      <c r="Z98" s="573"/>
      <c r="AA98" s="574"/>
      <c r="AB98" s="574"/>
      <c r="AC98" s="475" t="e">
        <f t="shared" si="59"/>
        <v>#N/A</v>
      </c>
      <c r="AD98" s="681"/>
      <c r="AE98" s="573"/>
      <c r="AF98" s="574"/>
      <c r="AG98" s="574"/>
      <c r="AH98" s="475" t="e">
        <f t="shared" si="61"/>
        <v>#N/A</v>
      </c>
      <c r="AI98" s="681"/>
      <c r="AJ98" s="573"/>
      <c r="AK98" s="574"/>
      <c r="AL98" s="574"/>
      <c r="AM98" s="475" t="e">
        <f t="shared" si="63"/>
        <v>#N/A</v>
      </c>
      <c r="AN98" s="681"/>
      <c r="AO98" s="573"/>
      <c r="AP98" s="574"/>
      <c r="AQ98" s="574"/>
      <c r="AR98" s="475" t="e">
        <f t="shared" si="65"/>
        <v>#N/A</v>
      </c>
      <c r="AS98" s="681"/>
      <c r="AT98" s="573"/>
      <c r="AU98" s="574"/>
      <c r="AV98" s="574"/>
      <c r="AW98" s="475" t="e">
        <f t="shared" si="67"/>
        <v>#N/A</v>
      </c>
      <c r="AX98" s="681"/>
    </row>
    <row r="99" spans="2:50">
      <c r="B99" s="667"/>
      <c r="C99" s="301">
        <v>13</v>
      </c>
      <c r="D99" s="227"/>
      <c r="E99" s="182"/>
      <c r="F99" s="510"/>
      <c r="G99" s="511"/>
      <c r="H99" s="709"/>
      <c r="I99" s="202"/>
      <c r="J99" s="202"/>
      <c r="K99" s="202"/>
      <c r="L99" s="641"/>
      <c r="M99" s="201" t="e">
        <f>RANK(K99, K$87:$K$101)</f>
        <v>#DIV/0!</v>
      </c>
      <c r="N99" s="659"/>
      <c r="O99" s="659"/>
      <c r="P99" s="573"/>
      <c r="Q99" s="574"/>
      <c r="R99" s="574"/>
      <c r="S99" s="301" t="e">
        <f t="shared" si="70"/>
        <v>#N/A</v>
      </c>
      <c r="T99" s="681"/>
      <c r="U99" s="573"/>
      <c r="V99" s="574"/>
      <c r="W99" s="574"/>
      <c r="X99" s="475" t="e">
        <f t="shared" si="57"/>
        <v>#N/A</v>
      </c>
      <c r="Y99" s="681"/>
      <c r="Z99" s="573"/>
      <c r="AA99" s="574"/>
      <c r="AB99" s="574"/>
      <c r="AC99" s="475" t="e">
        <f t="shared" si="59"/>
        <v>#N/A</v>
      </c>
      <c r="AD99" s="681"/>
      <c r="AE99" s="573"/>
      <c r="AF99" s="574"/>
      <c r="AG99" s="574"/>
      <c r="AH99" s="475" t="e">
        <f t="shared" si="61"/>
        <v>#N/A</v>
      </c>
      <c r="AI99" s="681"/>
      <c r="AJ99" s="573"/>
      <c r="AK99" s="574"/>
      <c r="AL99" s="574"/>
      <c r="AM99" s="475" t="e">
        <f t="shared" si="63"/>
        <v>#N/A</v>
      </c>
      <c r="AN99" s="681"/>
      <c r="AO99" s="573"/>
      <c r="AP99" s="574"/>
      <c r="AQ99" s="574"/>
      <c r="AR99" s="475" t="e">
        <f t="shared" si="65"/>
        <v>#N/A</v>
      </c>
      <c r="AS99" s="681"/>
      <c r="AT99" s="573"/>
      <c r="AU99" s="574"/>
      <c r="AV99" s="574"/>
      <c r="AW99" s="475" t="e">
        <f t="shared" si="67"/>
        <v>#N/A</v>
      </c>
      <c r="AX99" s="681"/>
    </row>
    <row r="100" spans="2:50">
      <c r="B100" s="667"/>
      <c r="C100" s="301">
        <v>14</v>
      </c>
      <c r="D100" s="227"/>
      <c r="E100" s="182"/>
      <c r="F100" s="510"/>
      <c r="G100" s="511"/>
      <c r="H100" s="709"/>
      <c r="I100" s="202"/>
      <c r="J100" s="202"/>
      <c r="K100" s="202"/>
      <c r="L100" s="641"/>
      <c r="M100" s="201" t="e">
        <f>RANK(K100, K$87:$K$101)</f>
        <v>#DIV/0!</v>
      </c>
      <c r="N100" s="659"/>
      <c r="O100" s="659"/>
      <c r="P100" s="573"/>
      <c r="Q100" s="574"/>
      <c r="R100" s="574"/>
      <c r="S100" s="301" t="e">
        <f t="shared" si="70"/>
        <v>#N/A</v>
      </c>
      <c r="T100" s="681"/>
      <c r="U100" s="573"/>
      <c r="V100" s="574"/>
      <c r="W100" s="574"/>
      <c r="X100" s="475" t="e">
        <f t="shared" si="57"/>
        <v>#N/A</v>
      </c>
      <c r="Y100" s="681"/>
      <c r="Z100" s="573"/>
      <c r="AA100" s="574"/>
      <c r="AB100" s="574"/>
      <c r="AC100" s="475" t="e">
        <f t="shared" si="59"/>
        <v>#N/A</v>
      </c>
      <c r="AD100" s="681"/>
      <c r="AE100" s="573"/>
      <c r="AF100" s="574"/>
      <c r="AG100" s="574"/>
      <c r="AH100" s="475" t="e">
        <f t="shared" si="61"/>
        <v>#N/A</v>
      </c>
      <c r="AI100" s="681"/>
      <c r="AJ100" s="573"/>
      <c r="AK100" s="574"/>
      <c r="AL100" s="574"/>
      <c r="AM100" s="475" t="e">
        <f t="shared" si="63"/>
        <v>#N/A</v>
      </c>
      <c r="AN100" s="681"/>
      <c r="AO100" s="573"/>
      <c r="AP100" s="574"/>
      <c r="AQ100" s="574"/>
      <c r="AR100" s="475" t="e">
        <f t="shared" si="65"/>
        <v>#N/A</v>
      </c>
      <c r="AS100" s="681"/>
      <c r="AT100" s="573"/>
      <c r="AU100" s="574"/>
      <c r="AV100" s="574"/>
      <c r="AW100" s="475" t="e">
        <f t="shared" si="67"/>
        <v>#N/A</v>
      </c>
      <c r="AX100" s="681"/>
    </row>
    <row r="101" spans="2:50">
      <c r="B101" s="667"/>
      <c r="C101" s="301">
        <v>15</v>
      </c>
      <c r="D101" s="227"/>
      <c r="E101" s="182"/>
      <c r="F101" s="510"/>
      <c r="G101" s="511"/>
      <c r="H101" s="710"/>
      <c r="I101" s="202"/>
      <c r="J101" s="202"/>
      <c r="K101" s="202"/>
      <c r="L101" s="642"/>
      <c r="M101" s="199" t="e">
        <f>RANK(K101, K$87:$K$101)</f>
        <v>#DIV/0!</v>
      </c>
      <c r="N101" s="659"/>
      <c r="O101" s="659"/>
      <c r="P101" s="573"/>
      <c r="Q101" s="574"/>
      <c r="R101" s="574"/>
      <c r="S101" s="301" t="e">
        <f t="shared" si="70"/>
        <v>#N/A</v>
      </c>
      <c r="T101" s="681"/>
      <c r="U101" s="573"/>
      <c r="V101" s="574"/>
      <c r="W101" s="574"/>
      <c r="X101" s="475" t="e">
        <f t="shared" si="57"/>
        <v>#N/A</v>
      </c>
      <c r="Y101" s="681"/>
      <c r="Z101" s="573"/>
      <c r="AA101" s="574"/>
      <c r="AB101" s="574"/>
      <c r="AC101" s="475" t="e">
        <f t="shared" si="59"/>
        <v>#N/A</v>
      </c>
      <c r="AD101" s="681"/>
      <c r="AE101" s="573"/>
      <c r="AF101" s="574"/>
      <c r="AG101" s="574"/>
      <c r="AH101" s="475" t="e">
        <f t="shared" si="61"/>
        <v>#N/A</v>
      </c>
      <c r="AI101" s="681"/>
      <c r="AJ101" s="573"/>
      <c r="AK101" s="574"/>
      <c r="AL101" s="574"/>
      <c r="AM101" s="475" t="e">
        <f t="shared" si="63"/>
        <v>#N/A</v>
      </c>
      <c r="AN101" s="681"/>
      <c r="AO101" s="573"/>
      <c r="AP101" s="574"/>
      <c r="AQ101" s="574"/>
      <c r="AR101" s="475" t="e">
        <f t="shared" si="65"/>
        <v>#N/A</v>
      </c>
      <c r="AS101" s="681"/>
      <c r="AT101" s="573"/>
      <c r="AU101" s="574"/>
      <c r="AV101" s="574"/>
      <c r="AW101" s="475" t="e">
        <f t="shared" si="67"/>
        <v>#N/A</v>
      </c>
      <c r="AX101" s="681"/>
    </row>
    <row r="102" spans="2:50" ht="15.75">
      <c r="B102" s="671" t="s">
        <v>163</v>
      </c>
      <c r="C102" s="672"/>
      <c r="D102" s="672"/>
      <c r="E102" s="672"/>
      <c r="F102" s="672"/>
      <c r="G102" s="672"/>
      <c r="H102" s="673"/>
      <c r="I102" s="208"/>
      <c r="J102" s="208"/>
      <c r="K102" s="208"/>
      <c r="L102" s="208"/>
      <c r="M102" s="207"/>
      <c r="N102" s="660" t="s">
        <v>156</v>
      </c>
      <c r="O102" s="660" t="s">
        <v>105</v>
      </c>
      <c r="P102" s="666">
        <f>P82+7</f>
        <v>46119</v>
      </c>
      <c r="Q102" s="667"/>
      <c r="R102" s="667"/>
      <c r="S102" s="667"/>
      <c r="T102" s="667"/>
      <c r="U102" s="663">
        <f>P102+1</f>
        <v>46120</v>
      </c>
      <c r="V102" s="664"/>
      <c r="W102" s="664"/>
      <c r="X102" s="664"/>
      <c r="Y102" s="665"/>
      <c r="Z102" s="663">
        <f>U102+1</f>
        <v>46121</v>
      </c>
      <c r="AA102" s="664"/>
      <c r="AB102" s="664"/>
      <c r="AC102" s="664"/>
      <c r="AD102" s="665"/>
      <c r="AE102" s="663">
        <f>Z102+1</f>
        <v>46122</v>
      </c>
      <c r="AF102" s="664"/>
      <c r="AG102" s="664"/>
      <c r="AH102" s="664"/>
      <c r="AI102" s="665"/>
      <c r="AJ102" s="663">
        <f>AE102+1</f>
        <v>46123</v>
      </c>
      <c r="AK102" s="664"/>
      <c r="AL102" s="664"/>
      <c r="AM102" s="664"/>
      <c r="AN102" s="665"/>
      <c r="AO102" s="663">
        <f>AJ102+1</f>
        <v>46124</v>
      </c>
      <c r="AP102" s="664"/>
      <c r="AQ102" s="664"/>
      <c r="AR102" s="664"/>
      <c r="AS102" s="665"/>
      <c r="AT102" s="663">
        <f>AO102+1</f>
        <v>46125</v>
      </c>
      <c r="AU102" s="664"/>
      <c r="AV102" s="664"/>
      <c r="AW102" s="664"/>
      <c r="AX102" s="665"/>
    </row>
    <row r="103" spans="2:50" ht="15.75">
      <c r="B103" s="674"/>
      <c r="C103" s="674"/>
      <c r="D103" s="674"/>
      <c r="E103" s="674"/>
      <c r="F103" s="674"/>
      <c r="G103" s="674"/>
      <c r="H103" s="674"/>
      <c r="I103" s="205"/>
      <c r="J103" s="205"/>
      <c r="K103" s="205"/>
      <c r="L103" s="205"/>
      <c r="M103" s="206"/>
      <c r="N103" s="662"/>
      <c r="O103" s="662"/>
      <c r="P103" s="666" t="s">
        <v>158</v>
      </c>
      <c r="Q103" s="667"/>
      <c r="R103" s="667"/>
      <c r="S103" s="667"/>
      <c r="T103" s="667"/>
      <c r="U103" s="666" t="s">
        <v>114</v>
      </c>
      <c r="V103" s="667"/>
      <c r="W103" s="667"/>
      <c r="X103" s="667"/>
      <c r="Y103" s="667"/>
      <c r="Z103" s="666" t="s">
        <v>159</v>
      </c>
      <c r="AA103" s="667"/>
      <c r="AB103" s="667"/>
      <c r="AC103" s="667"/>
      <c r="AD103" s="667"/>
      <c r="AE103" s="666" t="s">
        <v>157</v>
      </c>
      <c r="AF103" s="667"/>
      <c r="AG103" s="667"/>
      <c r="AH103" s="667"/>
      <c r="AI103" s="667"/>
      <c r="AJ103" s="666" t="s">
        <v>160</v>
      </c>
      <c r="AK103" s="667"/>
      <c r="AL103" s="667"/>
      <c r="AM103" s="667"/>
      <c r="AN103" s="667"/>
      <c r="AO103" s="666" t="s">
        <v>115</v>
      </c>
      <c r="AP103" s="667"/>
      <c r="AQ103" s="667"/>
      <c r="AR103" s="667"/>
      <c r="AS103" s="667"/>
      <c r="AT103" s="666" t="s">
        <v>162</v>
      </c>
      <c r="AU103" s="667"/>
      <c r="AV103" s="667"/>
      <c r="AW103" s="667"/>
      <c r="AX103" s="667"/>
    </row>
    <row r="104" spans="2:50">
      <c r="B104" s="659" t="s">
        <v>812</v>
      </c>
      <c r="C104" s="659" t="s">
        <v>813</v>
      </c>
      <c r="D104" s="659"/>
      <c r="E104" s="659" t="s">
        <v>814</v>
      </c>
      <c r="F104" s="659"/>
      <c r="G104" s="659"/>
      <c r="H104" s="675" t="s">
        <v>815</v>
      </c>
      <c r="I104" s="659" t="s">
        <v>816</v>
      </c>
      <c r="J104" s="659"/>
      <c r="K104" s="659"/>
      <c r="L104" s="675" t="s">
        <v>815</v>
      </c>
      <c r="M104" s="660" t="s">
        <v>817</v>
      </c>
      <c r="N104" s="659"/>
      <c r="O104" s="659" t="s">
        <v>818</v>
      </c>
      <c r="P104" s="656" t="s">
        <v>819</v>
      </c>
      <c r="Q104" s="657"/>
      <c r="R104" s="657"/>
      <c r="S104" s="658"/>
      <c r="T104" s="659" t="s">
        <v>815</v>
      </c>
      <c r="U104" s="656" t="s">
        <v>819</v>
      </c>
      <c r="V104" s="657"/>
      <c r="W104" s="657"/>
      <c r="X104" s="658"/>
      <c r="Y104" s="659" t="s">
        <v>815</v>
      </c>
      <c r="Z104" s="656" t="s">
        <v>819</v>
      </c>
      <c r="AA104" s="657"/>
      <c r="AB104" s="657"/>
      <c r="AC104" s="658"/>
      <c r="AD104" s="659" t="s">
        <v>815</v>
      </c>
      <c r="AE104" s="656" t="s">
        <v>819</v>
      </c>
      <c r="AF104" s="657"/>
      <c r="AG104" s="657"/>
      <c r="AH104" s="658"/>
      <c r="AI104" s="659" t="s">
        <v>815</v>
      </c>
      <c r="AJ104" s="656" t="s">
        <v>819</v>
      </c>
      <c r="AK104" s="657"/>
      <c r="AL104" s="657"/>
      <c r="AM104" s="658"/>
      <c r="AN104" s="659" t="s">
        <v>815</v>
      </c>
      <c r="AO104" s="656" t="s">
        <v>819</v>
      </c>
      <c r="AP104" s="657"/>
      <c r="AQ104" s="657"/>
      <c r="AR104" s="658"/>
      <c r="AS104" s="659" t="s">
        <v>815</v>
      </c>
      <c r="AT104" s="656" t="s">
        <v>819</v>
      </c>
      <c r="AU104" s="657"/>
      <c r="AV104" s="657"/>
      <c r="AW104" s="658"/>
      <c r="AX104" s="659" t="s">
        <v>815</v>
      </c>
    </row>
    <row r="105" spans="2:50">
      <c r="B105" s="659"/>
      <c r="C105" s="659"/>
      <c r="D105" s="659"/>
      <c r="E105" s="659" t="s">
        <v>820</v>
      </c>
      <c r="F105" s="659"/>
      <c r="G105" s="659"/>
      <c r="H105" s="676"/>
      <c r="I105" s="659" t="s">
        <v>820</v>
      </c>
      <c r="J105" s="659"/>
      <c r="K105" s="659"/>
      <c r="L105" s="676"/>
      <c r="M105" s="661"/>
      <c r="N105" s="659"/>
      <c r="O105" s="659"/>
      <c r="P105" s="656" t="s">
        <v>821</v>
      </c>
      <c r="Q105" s="657"/>
      <c r="R105" s="657"/>
      <c r="S105" s="658"/>
      <c r="T105" s="659"/>
      <c r="U105" s="656" t="s">
        <v>821</v>
      </c>
      <c r="V105" s="657"/>
      <c r="W105" s="657"/>
      <c r="X105" s="658"/>
      <c r="Y105" s="659"/>
      <c r="Z105" s="656" t="s">
        <v>821</v>
      </c>
      <c r="AA105" s="657"/>
      <c r="AB105" s="657"/>
      <c r="AC105" s="658"/>
      <c r="AD105" s="659"/>
      <c r="AE105" s="656" t="s">
        <v>821</v>
      </c>
      <c r="AF105" s="657"/>
      <c r="AG105" s="657"/>
      <c r="AH105" s="658"/>
      <c r="AI105" s="659"/>
      <c r="AJ105" s="656" t="s">
        <v>821</v>
      </c>
      <c r="AK105" s="657"/>
      <c r="AL105" s="657"/>
      <c r="AM105" s="658"/>
      <c r="AN105" s="659"/>
      <c r="AO105" s="656" t="s">
        <v>821</v>
      </c>
      <c r="AP105" s="657"/>
      <c r="AQ105" s="657"/>
      <c r="AR105" s="658"/>
      <c r="AS105" s="659"/>
      <c r="AT105" s="656" t="s">
        <v>821</v>
      </c>
      <c r="AU105" s="657"/>
      <c r="AV105" s="657"/>
      <c r="AW105" s="658"/>
      <c r="AX105" s="659"/>
    </row>
    <row r="106" spans="2:50">
      <c r="B106" s="659"/>
      <c r="C106" s="659"/>
      <c r="D106" s="659"/>
      <c r="E106" s="488" t="s">
        <v>822</v>
      </c>
      <c r="F106" s="488" t="s">
        <v>823</v>
      </c>
      <c r="G106" s="488" t="s">
        <v>824</v>
      </c>
      <c r="H106" s="677"/>
      <c r="I106" s="488" t="s">
        <v>822</v>
      </c>
      <c r="J106" s="488" t="s">
        <v>823</v>
      </c>
      <c r="K106" s="488" t="s">
        <v>824</v>
      </c>
      <c r="L106" s="677"/>
      <c r="M106" s="662"/>
      <c r="N106" s="659"/>
      <c r="O106" s="659"/>
      <c r="P106" s="488" t="s">
        <v>822</v>
      </c>
      <c r="Q106" s="488" t="s">
        <v>823</v>
      </c>
      <c r="R106" s="488" t="s">
        <v>824</v>
      </c>
      <c r="S106" s="488" t="s">
        <v>817</v>
      </c>
      <c r="T106" s="659"/>
      <c r="U106" s="488" t="s">
        <v>822</v>
      </c>
      <c r="V106" s="488" t="s">
        <v>823</v>
      </c>
      <c r="W106" s="488" t="s">
        <v>824</v>
      </c>
      <c r="X106" s="488" t="s">
        <v>817</v>
      </c>
      <c r="Y106" s="659"/>
      <c r="Z106" s="488" t="s">
        <v>822</v>
      </c>
      <c r="AA106" s="488" t="s">
        <v>823</v>
      </c>
      <c r="AB106" s="488" t="s">
        <v>824</v>
      </c>
      <c r="AC106" s="488" t="s">
        <v>817</v>
      </c>
      <c r="AD106" s="659"/>
      <c r="AE106" s="488" t="s">
        <v>822</v>
      </c>
      <c r="AF106" s="488" t="s">
        <v>823</v>
      </c>
      <c r="AG106" s="488" t="s">
        <v>824</v>
      </c>
      <c r="AH106" s="488" t="s">
        <v>817</v>
      </c>
      <c r="AI106" s="659"/>
      <c r="AJ106" s="488" t="s">
        <v>822</v>
      </c>
      <c r="AK106" s="488" t="s">
        <v>823</v>
      </c>
      <c r="AL106" s="488" t="s">
        <v>824</v>
      </c>
      <c r="AM106" s="488" t="s">
        <v>817</v>
      </c>
      <c r="AN106" s="659"/>
      <c r="AO106" s="488" t="s">
        <v>822</v>
      </c>
      <c r="AP106" s="488" t="s">
        <v>823</v>
      </c>
      <c r="AQ106" s="488" t="s">
        <v>824</v>
      </c>
      <c r="AR106" s="488" t="s">
        <v>817</v>
      </c>
      <c r="AS106" s="659"/>
      <c r="AT106" s="488" t="s">
        <v>822</v>
      </c>
      <c r="AU106" s="488" t="s">
        <v>823</v>
      </c>
      <c r="AV106" s="488" t="s">
        <v>824</v>
      </c>
      <c r="AW106" s="488" t="s">
        <v>817</v>
      </c>
      <c r="AX106" s="659"/>
    </row>
    <row r="107" spans="2:50">
      <c r="B107" s="707" t="s">
        <v>826</v>
      </c>
      <c r="C107" s="493">
        <v>1</v>
      </c>
      <c r="D107" s="498"/>
      <c r="E107" s="494"/>
      <c r="F107" s="494"/>
      <c r="G107" s="494"/>
      <c r="H107" s="703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0" t="str">
        <f>IFERROR(AVERAGE(K107:K121),"-")</f>
        <v>-</v>
      </c>
      <c r="M107" s="494" t="e">
        <f>RANK(K107, K$67:$K$81)</f>
        <v>#DIV/0!</v>
      </c>
      <c r="N107" s="659"/>
      <c r="O107" s="659"/>
      <c r="P107" s="182"/>
      <c r="Q107" s="182"/>
      <c r="R107" s="182"/>
      <c r="S107" s="493" t="e">
        <f>RANK(R107, R$67:R$81)</f>
        <v>#N/A</v>
      </c>
      <c r="T107" s="706" t="e">
        <f>AVERAGE(R107:R121)</f>
        <v>#DIV/0!</v>
      </c>
      <c r="U107" s="182"/>
      <c r="V107" s="182"/>
      <c r="W107" s="182"/>
      <c r="X107" s="493" t="e">
        <f t="shared" ref="X107:AM121" si="74">RANK(W107, W$67:W$81)</f>
        <v>#N/A</v>
      </c>
      <c r="Y107" s="706" t="e">
        <f t="shared" ref="Y107" si="75">AVERAGE(W107:W121)</f>
        <v>#DIV/0!</v>
      </c>
      <c r="Z107" s="182"/>
      <c r="AA107" s="182"/>
      <c r="AB107" s="182"/>
      <c r="AC107" s="493" t="e">
        <f t="shared" ref="AC107" si="76">RANK(AB107, AB$67:AB$81)</f>
        <v>#N/A</v>
      </c>
      <c r="AD107" s="706" t="e">
        <f t="shared" ref="AD107" si="77">AVERAGE(AB107:AB121)</f>
        <v>#DIV/0!</v>
      </c>
      <c r="AE107" s="182"/>
      <c r="AF107" s="182"/>
      <c r="AG107" s="182"/>
      <c r="AH107" s="493" t="e">
        <f t="shared" ref="AH107" si="78">RANK(AG107, AG$67:AG$81)</f>
        <v>#N/A</v>
      </c>
      <c r="AI107" s="706" t="e">
        <f t="shared" ref="AI107" si="79">AVERAGE(AG107:AG121)</f>
        <v>#DIV/0!</v>
      </c>
      <c r="AJ107" s="182"/>
      <c r="AK107" s="182"/>
      <c r="AL107" s="182"/>
      <c r="AM107" s="493" t="e">
        <f t="shared" ref="AM107" si="80">RANK(AL107, AL$67:AL$81)</f>
        <v>#N/A</v>
      </c>
      <c r="AN107" s="706" t="e">
        <f t="shared" ref="AN107" si="81">AVERAGE(AL107:AL121)</f>
        <v>#DIV/0!</v>
      </c>
      <c r="AO107" s="182"/>
      <c r="AP107" s="182"/>
      <c r="AQ107" s="182"/>
      <c r="AR107" s="493" t="e">
        <f t="shared" ref="AR107:AW121" si="82">RANK(AQ107, AQ$67:AQ$81)</f>
        <v>#N/A</v>
      </c>
      <c r="AS107" s="706" t="e">
        <f t="shared" ref="AS107" si="83">AVERAGE(AQ107:AQ121)</f>
        <v>#DIV/0!</v>
      </c>
      <c r="AT107" s="182"/>
      <c r="AU107" s="182"/>
      <c r="AV107" s="182"/>
      <c r="AW107" s="493" t="e">
        <f t="shared" ref="AW107" si="84">RANK(AV107, AV$67:AV$81)</f>
        <v>#N/A</v>
      </c>
      <c r="AX107" s="706" t="e">
        <f t="shared" ref="AX107" si="85">AVERAGE(AV107:AV121)</f>
        <v>#DIV/0!</v>
      </c>
    </row>
    <row r="108" spans="2:50">
      <c r="B108" s="692"/>
      <c r="C108" s="493">
        <v>2</v>
      </c>
      <c r="D108" s="498"/>
      <c r="E108" s="494"/>
      <c r="F108" s="494"/>
      <c r="G108" s="494"/>
      <c r="H108" s="704"/>
      <c r="I108" s="494" t="e">
        <f t="shared" ref="I108:K117" si="86">AVERAGE(P108,U108,Z108,AE108,AJ108,AO108,AT108)</f>
        <v>#DIV/0!</v>
      </c>
      <c r="J108" s="494" t="e">
        <f t="shared" si="86"/>
        <v>#DIV/0!</v>
      </c>
      <c r="K108" s="495" t="e">
        <f t="shared" si="86"/>
        <v>#DIV/0!</v>
      </c>
      <c r="L108" s="641"/>
      <c r="M108" s="494" t="e">
        <f>RANK(K108, K$67:$K$81)</f>
        <v>#DIV/0!</v>
      </c>
      <c r="N108" s="659"/>
      <c r="O108" s="659"/>
      <c r="P108" s="182"/>
      <c r="Q108" s="182"/>
      <c r="R108" s="182"/>
      <c r="S108" s="493" t="e">
        <f t="shared" ref="S108:S121" si="87">RANK(R108, R$67:R$81)</f>
        <v>#N/A</v>
      </c>
      <c r="T108" s="706"/>
      <c r="U108" s="182"/>
      <c r="V108" s="182"/>
      <c r="W108" s="182"/>
      <c r="X108" s="493" t="e">
        <f t="shared" si="74"/>
        <v>#N/A</v>
      </c>
      <c r="Y108" s="706"/>
      <c r="Z108" s="182"/>
      <c r="AA108" s="182"/>
      <c r="AB108" s="182"/>
      <c r="AC108" s="493" t="e">
        <f t="shared" si="74"/>
        <v>#N/A</v>
      </c>
      <c r="AD108" s="706"/>
      <c r="AE108" s="182"/>
      <c r="AF108" s="182"/>
      <c r="AG108" s="182"/>
      <c r="AH108" s="493" t="e">
        <f t="shared" si="74"/>
        <v>#N/A</v>
      </c>
      <c r="AI108" s="706"/>
      <c r="AJ108" s="182"/>
      <c r="AK108" s="182"/>
      <c r="AL108" s="182"/>
      <c r="AM108" s="493" t="e">
        <f t="shared" si="74"/>
        <v>#N/A</v>
      </c>
      <c r="AN108" s="706"/>
      <c r="AO108" s="182"/>
      <c r="AP108" s="182"/>
      <c r="AQ108" s="182"/>
      <c r="AR108" s="493" t="e">
        <f t="shared" si="82"/>
        <v>#N/A</v>
      </c>
      <c r="AS108" s="706"/>
      <c r="AT108" s="182"/>
      <c r="AU108" s="182"/>
      <c r="AV108" s="182"/>
      <c r="AW108" s="493" t="e">
        <f t="shared" si="82"/>
        <v>#N/A</v>
      </c>
      <c r="AX108" s="706"/>
    </row>
    <row r="109" spans="2:50">
      <c r="B109" s="692"/>
      <c r="C109" s="493">
        <v>3</v>
      </c>
      <c r="D109" s="498"/>
      <c r="E109" s="494"/>
      <c r="F109" s="494"/>
      <c r="G109" s="494"/>
      <c r="H109" s="704"/>
      <c r="I109" s="494" t="e">
        <f t="shared" si="86"/>
        <v>#DIV/0!</v>
      </c>
      <c r="J109" s="494" t="e">
        <f t="shared" si="86"/>
        <v>#DIV/0!</v>
      </c>
      <c r="K109" s="495" t="e">
        <f t="shared" si="86"/>
        <v>#DIV/0!</v>
      </c>
      <c r="L109" s="641"/>
      <c r="M109" s="494" t="e">
        <f>RANK(K109, K$67:$K$81)</f>
        <v>#DIV/0!</v>
      </c>
      <c r="N109" s="659"/>
      <c r="O109" s="659"/>
      <c r="P109" s="182"/>
      <c r="Q109" s="182"/>
      <c r="R109" s="182"/>
      <c r="S109" s="493" t="e">
        <f t="shared" si="87"/>
        <v>#N/A</v>
      </c>
      <c r="T109" s="706"/>
      <c r="U109" s="182"/>
      <c r="V109" s="182"/>
      <c r="W109" s="182"/>
      <c r="X109" s="493" t="e">
        <f t="shared" si="74"/>
        <v>#N/A</v>
      </c>
      <c r="Y109" s="706"/>
      <c r="Z109" s="182"/>
      <c r="AA109" s="182"/>
      <c r="AB109" s="182"/>
      <c r="AC109" s="493" t="e">
        <f t="shared" si="74"/>
        <v>#N/A</v>
      </c>
      <c r="AD109" s="706"/>
      <c r="AE109" s="182"/>
      <c r="AF109" s="182"/>
      <c r="AG109" s="182"/>
      <c r="AH109" s="493" t="e">
        <f t="shared" si="74"/>
        <v>#N/A</v>
      </c>
      <c r="AI109" s="706"/>
      <c r="AJ109" s="182"/>
      <c r="AK109" s="182"/>
      <c r="AL109" s="182"/>
      <c r="AM109" s="493" t="e">
        <f t="shared" si="74"/>
        <v>#N/A</v>
      </c>
      <c r="AN109" s="706"/>
      <c r="AO109" s="182"/>
      <c r="AP109" s="182"/>
      <c r="AQ109" s="182"/>
      <c r="AR109" s="493" t="e">
        <f t="shared" si="82"/>
        <v>#N/A</v>
      </c>
      <c r="AS109" s="706"/>
      <c r="AT109" s="182"/>
      <c r="AU109" s="182"/>
      <c r="AV109" s="182"/>
      <c r="AW109" s="493" t="e">
        <f t="shared" si="82"/>
        <v>#N/A</v>
      </c>
      <c r="AX109" s="706"/>
    </row>
    <row r="110" spans="2:50">
      <c r="B110" s="692"/>
      <c r="C110" s="493">
        <v>4</v>
      </c>
      <c r="D110" s="498"/>
      <c r="E110" s="494"/>
      <c r="F110" s="494"/>
      <c r="G110" s="494"/>
      <c r="H110" s="704"/>
      <c r="I110" s="494" t="e">
        <f t="shared" si="86"/>
        <v>#DIV/0!</v>
      </c>
      <c r="J110" s="494" t="e">
        <f t="shared" si="86"/>
        <v>#DIV/0!</v>
      </c>
      <c r="K110" s="495" t="e">
        <f t="shared" si="86"/>
        <v>#DIV/0!</v>
      </c>
      <c r="L110" s="641"/>
      <c r="M110" s="494" t="e">
        <f>RANK(K110, K$67:$K$81)</f>
        <v>#DIV/0!</v>
      </c>
      <c r="N110" s="659"/>
      <c r="O110" s="659"/>
      <c r="P110" s="182"/>
      <c r="Q110" s="182"/>
      <c r="R110" s="182"/>
      <c r="S110" s="493" t="e">
        <f t="shared" si="87"/>
        <v>#N/A</v>
      </c>
      <c r="T110" s="706"/>
      <c r="U110" s="182"/>
      <c r="V110" s="182"/>
      <c r="W110" s="182"/>
      <c r="X110" s="493" t="e">
        <f t="shared" si="74"/>
        <v>#N/A</v>
      </c>
      <c r="Y110" s="706"/>
      <c r="Z110" s="182"/>
      <c r="AA110" s="182"/>
      <c r="AB110" s="182"/>
      <c r="AC110" s="493" t="e">
        <f t="shared" si="74"/>
        <v>#N/A</v>
      </c>
      <c r="AD110" s="706"/>
      <c r="AE110" s="182"/>
      <c r="AF110" s="182"/>
      <c r="AG110" s="182"/>
      <c r="AH110" s="493" t="e">
        <f t="shared" si="74"/>
        <v>#N/A</v>
      </c>
      <c r="AI110" s="706"/>
      <c r="AJ110" s="182"/>
      <c r="AK110" s="182"/>
      <c r="AL110" s="182"/>
      <c r="AM110" s="493" t="e">
        <f t="shared" si="74"/>
        <v>#N/A</v>
      </c>
      <c r="AN110" s="706"/>
      <c r="AO110" s="182"/>
      <c r="AP110" s="182"/>
      <c r="AQ110" s="182"/>
      <c r="AR110" s="493" t="e">
        <f t="shared" si="82"/>
        <v>#N/A</v>
      </c>
      <c r="AS110" s="706"/>
      <c r="AT110" s="182"/>
      <c r="AU110" s="182"/>
      <c r="AV110" s="182"/>
      <c r="AW110" s="493" t="e">
        <f t="shared" si="82"/>
        <v>#N/A</v>
      </c>
      <c r="AX110" s="706"/>
    </row>
    <row r="111" spans="2:50">
      <c r="B111" s="692"/>
      <c r="C111" s="493">
        <v>5</v>
      </c>
      <c r="D111" s="498"/>
      <c r="E111" s="494"/>
      <c r="F111" s="494"/>
      <c r="G111" s="494"/>
      <c r="H111" s="704"/>
      <c r="I111" s="494" t="e">
        <f t="shared" si="86"/>
        <v>#DIV/0!</v>
      </c>
      <c r="J111" s="494" t="e">
        <f t="shared" si="86"/>
        <v>#DIV/0!</v>
      </c>
      <c r="K111" s="495" t="e">
        <f t="shared" si="86"/>
        <v>#DIV/0!</v>
      </c>
      <c r="L111" s="641"/>
      <c r="M111" s="494" t="e">
        <f>RANK(K111, K$67:$K$81)</f>
        <v>#DIV/0!</v>
      </c>
      <c r="N111" s="659"/>
      <c r="O111" s="659"/>
      <c r="P111" s="182"/>
      <c r="Q111" s="182"/>
      <c r="R111" s="182"/>
      <c r="S111" s="493" t="e">
        <f t="shared" si="87"/>
        <v>#N/A</v>
      </c>
      <c r="T111" s="706"/>
      <c r="U111" s="182"/>
      <c r="V111" s="182"/>
      <c r="W111" s="182"/>
      <c r="X111" s="493" t="e">
        <f t="shared" si="74"/>
        <v>#N/A</v>
      </c>
      <c r="Y111" s="706"/>
      <c r="Z111" s="182"/>
      <c r="AA111" s="182"/>
      <c r="AB111" s="182"/>
      <c r="AC111" s="493" t="e">
        <f t="shared" si="74"/>
        <v>#N/A</v>
      </c>
      <c r="AD111" s="706"/>
      <c r="AE111" s="182"/>
      <c r="AF111" s="182"/>
      <c r="AG111" s="182"/>
      <c r="AH111" s="493" t="e">
        <f t="shared" si="74"/>
        <v>#N/A</v>
      </c>
      <c r="AI111" s="706"/>
      <c r="AJ111" s="182"/>
      <c r="AK111" s="182"/>
      <c r="AL111" s="182"/>
      <c r="AM111" s="493" t="e">
        <f t="shared" si="74"/>
        <v>#N/A</v>
      </c>
      <c r="AN111" s="706"/>
      <c r="AO111" s="182"/>
      <c r="AP111" s="182"/>
      <c r="AQ111" s="182"/>
      <c r="AR111" s="493" t="e">
        <f t="shared" si="82"/>
        <v>#N/A</v>
      </c>
      <c r="AS111" s="706"/>
      <c r="AT111" s="182"/>
      <c r="AU111" s="182"/>
      <c r="AV111" s="182"/>
      <c r="AW111" s="493" t="e">
        <f t="shared" si="82"/>
        <v>#N/A</v>
      </c>
      <c r="AX111" s="706"/>
    </row>
    <row r="112" spans="2:50">
      <c r="B112" s="692"/>
      <c r="C112" s="493">
        <v>6</v>
      </c>
      <c r="D112" s="498"/>
      <c r="E112" s="494"/>
      <c r="F112" s="494"/>
      <c r="G112" s="494"/>
      <c r="H112" s="704"/>
      <c r="I112" s="494" t="e">
        <f t="shared" si="86"/>
        <v>#DIV/0!</v>
      </c>
      <c r="J112" s="494" t="e">
        <f t="shared" si="86"/>
        <v>#DIV/0!</v>
      </c>
      <c r="K112" s="495" t="e">
        <f t="shared" si="86"/>
        <v>#DIV/0!</v>
      </c>
      <c r="L112" s="641"/>
      <c r="M112" s="494" t="e">
        <f>RANK(K112, K$67:$K$81)</f>
        <v>#DIV/0!</v>
      </c>
      <c r="N112" s="659"/>
      <c r="O112" s="659"/>
      <c r="P112" s="182"/>
      <c r="Q112" s="182"/>
      <c r="R112" s="182"/>
      <c r="S112" s="493" t="e">
        <f t="shared" si="87"/>
        <v>#N/A</v>
      </c>
      <c r="T112" s="706"/>
      <c r="U112" s="182"/>
      <c r="V112" s="182"/>
      <c r="W112" s="182"/>
      <c r="X112" s="493" t="e">
        <f t="shared" si="74"/>
        <v>#N/A</v>
      </c>
      <c r="Y112" s="706"/>
      <c r="Z112" s="182"/>
      <c r="AA112" s="182"/>
      <c r="AB112" s="182"/>
      <c r="AC112" s="493" t="e">
        <f t="shared" si="74"/>
        <v>#N/A</v>
      </c>
      <c r="AD112" s="706"/>
      <c r="AE112" s="182"/>
      <c r="AF112" s="182"/>
      <c r="AG112" s="182"/>
      <c r="AH112" s="493" t="e">
        <f t="shared" si="74"/>
        <v>#N/A</v>
      </c>
      <c r="AI112" s="706"/>
      <c r="AJ112" s="182"/>
      <c r="AK112" s="182"/>
      <c r="AL112" s="182"/>
      <c r="AM112" s="493" t="e">
        <f t="shared" si="74"/>
        <v>#N/A</v>
      </c>
      <c r="AN112" s="706"/>
      <c r="AO112" s="182"/>
      <c r="AP112" s="182"/>
      <c r="AQ112" s="182"/>
      <c r="AR112" s="493" t="e">
        <f t="shared" si="82"/>
        <v>#N/A</v>
      </c>
      <c r="AS112" s="706"/>
      <c r="AT112" s="182"/>
      <c r="AU112" s="182"/>
      <c r="AV112" s="182"/>
      <c r="AW112" s="493" t="e">
        <f t="shared" si="82"/>
        <v>#N/A</v>
      </c>
      <c r="AX112" s="706"/>
    </row>
    <row r="113" spans="2:50">
      <c r="B113" s="692"/>
      <c r="C113" s="493">
        <v>7</v>
      </c>
      <c r="D113" s="498"/>
      <c r="E113" s="494"/>
      <c r="F113" s="494"/>
      <c r="G113" s="494"/>
      <c r="H113" s="704"/>
      <c r="I113" s="494" t="e">
        <f t="shared" si="86"/>
        <v>#DIV/0!</v>
      </c>
      <c r="J113" s="494" t="e">
        <f t="shared" si="86"/>
        <v>#DIV/0!</v>
      </c>
      <c r="K113" s="495" t="e">
        <f t="shared" si="86"/>
        <v>#DIV/0!</v>
      </c>
      <c r="L113" s="641"/>
      <c r="M113" s="494" t="e">
        <f>RANK(K113, K$67:$K$81)</f>
        <v>#DIV/0!</v>
      </c>
      <c r="N113" s="659"/>
      <c r="O113" s="659"/>
      <c r="P113" s="182"/>
      <c r="Q113" s="182"/>
      <c r="R113" s="182"/>
      <c r="S113" s="493" t="e">
        <f t="shared" si="87"/>
        <v>#N/A</v>
      </c>
      <c r="T113" s="706"/>
      <c r="U113" s="182"/>
      <c r="V113" s="182"/>
      <c r="W113" s="182"/>
      <c r="X113" s="493" t="e">
        <f t="shared" si="74"/>
        <v>#N/A</v>
      </c>
      <c r="Y113" s="706"/>
      <c r="Z113" s="182"/>
      <c r="AA113" s="182"/>
      <c r="AB113" s="182"/>
      <c r="AC113" s="493" t="e">
        <f t="shared" si="74"/>
        <v>#N/A</v>
      </c>
      <c r="AD113" s="706"/>
      <c r="AE113" s="182"/>
      <c r="AF113" s="182"/>
      <c r="AG113" s="182"/>
      <c r="AH113" s="493" t="e">
        <f t="shared" si="74"/>
        <v>#N/A</v>
      </c>
      <c r="AI113" s="706"/>
      <c r="AJ113" s="182"/>
      <c r="AK113" s="182"/>
      <c r="AL113" s="182"/>
      <c r="AM113" s="493" t="e">
        <f t="shared" si="74"/>
        <v>#N/A</v>
      </c>
      <c r="AN113" s="706"/>
      <c r="AO113" s="182"/>
      <c r="AP113" s="182"/>
      <c r="AQ113" s="182"/>
      <c r="AR113" s="493" t="e">
        <f t="shared" si="82"/>
        <v>#N/A</v>
      </c>
      <c r="AS113" s="706"/>
      <c r="AT113" s="182"/>
      <c r="AU113" s="182"/>
      <c r="AV113" s="182"/>
      <c r="AW113" s="493" t="e">
        <f t="shared" si="82"/>
        <v>#N/A</v>
      </c>
      <c r="AX113" s="706"/>
    </row>
    <row r="114" spans="2:50">
      <c r="B114" s="692"/>
      <c r="C114" s="493">
        <v>8</v>
      </c>
      <c r="D114" s="498"/>
      <c r="E114" s="494"/>
      <c r="F114" s="494"/>
      <c r="G114" s="494"/>
      <c r="H114" s="704"/>
      <c r="I114" s="494" t="e">
        <f t="shared" si="86"/>
        <v>#DIV/0!</v>
      </c>
      <c r="J114" s="494" t="e">
        <f t="shared" si="86"/>
        <v>#DIV/0!</v>
      </c>
      <c r="K114" s="495" t="e">
        <f t="shared" si="86"/>
        <v>#DIV/0!</v>
      </c>
      <c r="L114" s="641"/>
      <c r="M114" s="494" t="e">
        <f>RANK(K114, K$67:$K$81)</f>
        <v>#DIV/0!</v>
      </c>
      <c r="N114" s="659"/>
      <c r="O114" s="659"/>
      <c r="P114" s="182"/>
      <c r="Q114" s="182"/>
      <c r="R114" s="182"/>
      <c r="S114" s="493" t="e">
        <f t="shared" si="87"/>
        <v>#N/A</v>
      </c>
      <c r="T114" s="706"/>
      <c r="U114" s="182"/>
      <c r="V114" s="182"/>
      <c r="W114" s="182"/>
      <c r="X114" s="493" t="e">
        <f t="shared" si="74"/>
        <v>#N/A</v>
      </c>
      <c r="Y114" s="706"/>
      <c r="Z114" s="182"/>
      <c r="AA114" s="182"/>
      <c r="AB114" s="182"/>
      <c r="AC114" s="493" t="e">
        <f t="shared" si="74"/>
        <v>#N/A</v>
      </c>
      <c r="AD114" s="706"/>
      <c r="AE114" s="182"/>
      <c r="AF114" s="182"/>
      <c r="AG114" s="182"/>
      <c r="AH114" s="493" t="e">
        <f t="shared" si="74"/>
        <v>#N/A</v>
      </c>
      <c r="AI114" s="706"/>
      <c r="AJ114" s="182"/>
      <c r="AK114" s="182"/>
      <c r="AL114" s="182"/>
      <c r="AM114" s="493" t="e">
        <f t="shared" si="74"/>
        <v>#N/A</v>
      </c>
      <c r="AN114" s="706"/>
      <c r="AO114" s="182"/>
      <c r="AP114" s="182"/>
      <c r="AQ114" s="182"/>
      <c r="AR114" s="493" t="e">
        <f t="shared" si="82"/>
        <v>#N/A</v>
      </c>
      <c r="AS114" s="706"/>
      <c r="AT114" s="182"/>
      <c r="AU114" s="182"/>
      <c r="AV114" s="182"/>
      <c r="AW114" s="493" t="e">
        <f t="shared" si="82"/>
        <v>#N/A</v>
      </c>
      <c r="AX114" s="706"/>
    </row>
    <row r="115" spans="2:50">
      <c r="B115" s="692"/>
      <c r="C115" s="493">
        <v>9</v>
      </c>
      <c r="D115" s="498"/>
      <c r="E115" s="494"/>
      <c r="F115" s="494"/>
      <c r="G115" s="494"/>
      <c r="H115" s="704"/>
      <c r="I115" s="494" t="e">
        <f t="shared" si="86"/>
        <v>#DIV/0!</v>
      </c>
      <c r="J115" s="494" t="e">
        <f t="shared" si="86"/>
        <v>#DIV/0!</v>
      </c>
      <c r="K115" s="495" t="e">
        <f t="shared" si="86"/>
        <v>#DIV/0!</v>
      </c>
      <c r="L115" s="641"/>
      <c r="M115" s="494" t="e">
        <f>RANK(K115, K$67:$K$81)</f>
        <v>#DIV/0!</v>
      </c>
      <c r="N115" s="659"/>
      <c r="O115" s="659"/>
      <c r="P115" s="182"/>
      <c r="Q115" s="182"/>
      <c r="R115" s="182"/>
      <c r="S115" s="493" t="e">
        <f t="shared" si="87"/>
        <v>#N/A</v>
      </c>
      <c r="T115" s="706"/>
      <c r="U115" s="182"/>
      <c r="V115" s="182"/>
      <c r="W115" s="182"/>
      <c r="X115" s="493" t="e">
        <f t="shared" si="74"/>
        <v>#N/A</v>
      </c>
      <c r="Y115" s="706"/>
      <c r="Z115" s="182"/>
      <c r="AA115" s="182"/>
      <c r="AB115" s="182"/>
      <c r="AC115" s="493" t="e">
        <f t="shared" si="74"/>
        <v>#N/A</v>
      </c>
      <c r="AD115" s="706"/>
      <c r="AE115" s="182"/>
      <c r="AF115" s="182"/>
      <c r="AG115" s="182"/>
      <c r="AH115" s="493" t="e">
        <f t="shared" si="74"/>
        <v>#N/A</v>
      </c>
      <c r="AI115" s="706"/>
      <c r="AJ115" s="182"/>
      <c r="AK115" s="182"/>
      <c r="AL115" s="182"/>
      <c r="AM115" s="493" t="e">
        <f t="shared" si="74"/>
        <v>#N/A</v>
      </c>
      <c r="AN115" s="706"/>
      <c r="AO115" s="182"/>
      <c r="AP115" s="182"/>
      <c r="AQ115" s="182"/>
      <c r="AR115" s="493" t="e">
        <f t="shared" si="82"/>
        <v>#N/A</v>
      </c>
      <c r="AS115" s="706"/>
      <c r="AT115" s="182"/>
      <c r="AU115" s="182"/>
      <c r="AV115" s="182"/>
      <c r="AW115" s="493" t="e">
        <f t="shared" si="82"/>
        <v>#N/A</v>
      </c>
      <c r="AX115" s="706"/>
    </row>
    <row r="116" spans="2:50">
      <c r="B116" s="692"/>
      <c r="C116" s="493">
        <v>10</v>
      </c>
      <c r="D116" s="498"/>
      <c r="E116" s="494"/>
      <c r="F116" s="494"/>
      <c r="G116" s="494"/>
      <c r="H116" s="704"/>
      <c r="I116" s="494" t="e">
        <f t="shared" si="86"/>
        <v>#DIV/0!</v>
      </c>
      <c r="J116" s="494" t="e">
        <f t="shared" si="86"/>
        <v>#DIV/0!</v>
      </c>
      <c r="K116" s="495" t="e">
        <f t="shared" si="86"/>
        <v>#DIV/0!</v>
      </c>
      <c r="L116" s="641"/>
      <c r="M116" s="494" t="e">
        <f>RANK(K116, K$67:$K$81)</f>
        <v>#DIV/0!</v>
      </c>
      <c r="N116" s="659"/>
      <c r="O116" s="659"/>
      <c r="P116" s="182"/>
      <c r="Q116" s="182"/>
      <c r="R116" s="182"/>
      <c r="S116" s="493" t="e">
        <f t="shared" si="87"/>
        <v>#N/A</v>
      </c>
      <c r="T116" s="706"/>
      <c r="U116" s="182"/>
      <c r="V116" s="182"/>
      <c r="W116" s="182"/>
      <c r="X116" s="493" t="e">
        <f t="shared" si="74"/>
        <v>#N/A</v>
      </c>
      <c r="Y116" s="706"/>
      <c r="Z116" s="182"/>
      <c r="AA116" s="182"/>
      <c r="AB116" s="182"/>
      <c r="AC116" s="493" t="e">
        <f t="shared" si="74"/>
        <v>#N/A</v>
      </c>
      <c r="AD116" s="706"/>
      <c r="AE116" s="182"/>
      <c r="AF116" s="182"/>
      <c r="AG116" s="182"/>
      <c r="AH116" s="493" t="e">
        <f t="shared" si="74"/>
        <v>#N/A</v>
      </c>
      <c r="AI116" s="706"/>
      <c r="AJ116" s="182"/>
      <c r="AK116" s="182"/>
      <c r="AL116" s="182"/>
      <c r="AM116" s="493" t="e">
        <f t="shared" si="74"/>
        <v>#N/A</v>
      </c>
      <c r="AN116" s="706"/>
      <c r="AO116" s="182"/>
      <c r="AP116" s="182"/>
      <c r="AQ116" s="182"/>
      <c r="AR116" s="493" t="e">
        <f t="shared" si="82"/>
        <v>#N/A</v>
      </c>
      <c r="AS116" s="706"/>
      <c r="AT116" s="182"/>
      <c r="AU116" s="182"/>
      <c r="AV116" s="182"/>
      <c r="AW116" s="493" t="e">
        <f t="shared" si="82"/>
        <v>#N/A</v>
      </c>
      <c r="AX116" s="706"/>
    </row>
    <row r="117" spans="2:50">
      <c r="B117" s="692"/>
      <c r="C117" s="493">
        <v>11</v>
      </c>
      <c r="D117" s="498"/>
      <c r="E117" s="494"/>
      <c r="F117" s="494"/>
      <c r="G117" s="494"/>
      <c r="H117" s="704"/>
      <c r="I117" s="494" t="e">
        <f t="shared" si="86"/>
        <v>#DIV/0!</v>
      </c>
      <c r="J117" s="494" t="e">
        <f t="shared" si="86"/>
        <v>#DIV/0!</v>
      </c>
      <c r="K117" s="495" t="e">
        <f t="shared" si="86"/>
        <v>#DIV/0!</v>
      </c>
      <c r="L117" s="641"/>
      <c r="M117" s="494" t="e">
        <f>RANK(K117, K$67:$K$81)</f>
        <v>#DIV/0!</v>
      </c>
      <c r="N117" s="659"/>
      <c r="O117" s="659"/>
      <c r="P117" s="182"/>
      <c r="Q117" s="182"/>
      <c r="R117" s="182"/>
      <c r="S117" s="493" t="e">
        <f t="shared" si="87"/>
        <v>#N/A</v>
      </c>
      <c r="T117" s="706"/>
      <c r="U117" s="182"/>
      <c r="V117" s="182"/>
      <c r="W117" s="182"/>
      <c r="X117" s="493" t="e">
        <f t="shared" si="74"/>
        <v>#N/A</v>
      </c>
      <c r="Y117" s="706"/>
      <c r="Z117" s="182"/>
      <c r="AA117" s="182"/>
      <c r="AB117" s="182"/>
      <c r="AC117" s="493" t="e">
        <f t="shared" si="74"/>
        <v>#N/A</v>
      </c>
      <c r="AD117" s="706"/>
      <c r="AE117" s="182"/>
      <c r="AF117" s="182"/>
      <c r="AG117" s="182"/>
      <c r="AH117" s="493" t="e">
        <f t="shared" si="74"/>
        <v>#N/A</v>
      </c>
      <c r="AI117" s="706"/>
      <c r="AJ117" s="182"/>
      <c r="AK117" s="182"/>
      <c r="AL117" s="182"/>
      <c r="AM117" s="493" t="e">
        <f t="shared" si="74"/>
        <v>#N/A</v>
      </c>
      <c r="AN117" s="706"/>
      <c r="AO117" s="182"/>
      <c r="AP117" s="182"/>
      <c r="AQ117" s="182"/>
      <c r="AR117" s="493" t="e">
        <f t="shared" si="82"/>
        <v>#N/A</v>
      </c>
      <c r="AS117" s="706"/>
      <c r="AT117" s="182"/>
      <c r="AU117" s="182"/>
      <c r="AV117" s="182"/>
      <c r="AW117" s="493" t="e">
        <f t="shared" si="82"/>
        <v>#N/A</v>
      </c>
      <c r="AX117" s="706"/>
    </row>
    <row r="118" spans="2:50">
      <c r="B118" s="692"/>
      <c r="C118" s="493">
        <v>12</v>
      </c>
      <c r="D118" s="498"/>
      <c r="E118" s="494"/>
      <c r="F118" s="494"/>
      <c r="G118" s="494"/>
      <c r="H118" s="704"/>
      <c r="I118" s="494"/>
      <c r="J118" s="494"/>
      <c r="K118" s="495"/>
      <c r="L118" s="641"/>
      <c r="M118" s="494" t="e">
        <f>RANK(K118, K$67:$K$81)</f>
        <v>#DIV/0!</v>
      </c>
      <c r="N118" s="659"/>
      <c r="O118" s="659"/>
      <c r="P118" s="182"/>
      <c r="Q118" s="182"/>
      <c r="R118" s="182"/>
      <c r="S118" s="493" t="e">
        <f t="shared" si="87"/>
        <v>#N/A</v>
      </c>
      <c r="T118" s="706"/>
      <c r="U118" s="182"/>
      <c r="V118" s="182"/>
      <c r="W118" s="182"/>
      <c r="X118" s="493" t="e">
        <f t="shared" si="74"/>
        <v>#N/A</v>
      </c>
      <c r="Y118" s="706"/>
      <c r="Z118" s="182"/>
      <c r="AA118" s="182"/>
      <c r="AB118" s="182"/>
      <c r="AC118" s="493" t="e">
        <f t="shared" si="74"/>
        <v>#N/A</v>
      </c>
      <c r="AD118" s="706"/>
      <c r="AE118" s="182"/>
      <c r="AF118" s="182"/>
      <c r="AG118" s="182"/>
      <c r="AH118" s="493" t="e">
        <f t="shared" si="74"/>
        <v>#N/A</v>
      </c>
      <c r="AI118" s="706"/>
      <c r="AJ118" s="182"/>
      <c r="AK118" s="182"/>
      <c r="AL118" s="182"/>
      <c r="AM118" s="493" t="e">
        <f t="shared" si="74"/>
        <v>#N/A</v>
      </c>
      <c r="AN118" s="706"/>
      <c r="AO118" s="182"/>
      <c r="AP118" s="182"/>
      <c r="AQ118" s="182"/>
      <c r="AR118" s="493" t="e">
        <f t="shared" si="82"/>
        <v>#N/A</v>
      </c>
      <c r="AS118" s="706"/>
      <c r="AT118" s="182"/>
      <c r="AU118" s="182"/>
      <c r="AV118" s="182"/>
      <c r="AW118" s="493" t="e">
        <f t="shared" si="82"/>
        <v>#N/A</v>
      </c>
      <c r="AX118" s="706"/>
    </row>
    <row r="119" spans="2:50">
      <c r="B119" s="692"/>
      <c r="C119" s="493">
        <v>13</v>
      </c>
      <c r="D119" s="498"/>
      <c r="E119" s="494"/>
      <c r="F119" s="494"/>
      <c r="G119" s="494"/>
      <c r="H119" s="704"/>
      <c r="I119" s="494"/>
      <c r="J119" s="494"/>
      <c r="K119" s="495"/>
      <c r="L119" s="641"/>
      <c r="M119" s="494" t="e">
        <f>RANK(K119, K$67:$K$81)</f>
        <v>#DIV/0!</v>
      </c>
      <c r="N119" s="659"/>
      <c r="O119" s="659"/>
      <c r="P119" s="182"/>
      <c r="Q119" s="182"/>
      <c r="R119" s="182"/>
      <c r="S119" s="493" t="e">
        <f t="shared" si="87"/>
        <v>#N/A</v>
      </c>
      <c r="T119" s="706"/>
      <c r="U119" s="182"/>
      <c r="V119" s="182"/>
      <c r="W119" s="182"/>
      <c r="X119" s="493" t="e">
        <f t="shared" si="74"/>
        <v>#N/A</v>
      </c>
      <c r="Y119" s="706"/>
      <c r="Z119" s="182"/>
      <c r="AA119" s="182"/>
      <c r="AB119" s="182"/>
      <c r="AC119" s="493" t="e">
        <f t="shared" si="74"/>
        <v>#N/A</v>
      </c>
      <c r="AD119" s="706"/>
      <c r="AE119" s="182"/>
      <c r="AF119" s="182"/>
      <c r="AG119" s="182"/>
      <c r="AH119" s="493" t="e">
        <f t="shared" si="74"/>
        <v>#N/A</v>
      </c>
      <c r="AI119" s="706"/>
      <c r="AJ119" s="182"/>
      <c r="AK119" s="182"/>
      <c r="AL119" s="182"/>
      <c r="AM119" s="493" t="e">
        <f t="shared" si="74"/>
        <v>#N/A</v>
      </c>
      <c r="AN119" s="706"/>
      <c r="AO119" s="182"/>
      <c r="AP119" s="182"/>
      <c r="AQ119" s="182"/>
      <c r="AR119" s="493" t="e">
        <f t="shared" si="82"/>
        <v>#N/A</v>
      </c>
      <c r="AS119" s="706"/>
      <c r="AT119" s="182"/>
      <c r="AU119" s="182"/>
      <c r="AV119" s="182"/>
      <c r="AW119" s="493" t="e">
        <f t="shared" si="82"/>
        <v>#N/A</v>
      </c>
      <c r="AX119" s="706"/>
    </row>
    <row r="120" spans="2:50">
      <c r="B120" s="692"/>
      <c r="C120" s="493">
        <v>14</v>
      </c>
      <c r="D120" s="498"/>
      <c r="E120" s="494"/>
      <c r="F120" s="494"/>
      <c r="G120" s="494"/>
      <c r="H120" s="704"/>
      <c r="I120" s="494"/>
      <c r="J120" s="494"/>
      <c r="K120" s="495"/>
      <c r="L120" s="641"/>
      <c r="M120" s="494" t="e">
        <f>RANK(K120, K$67:$K$81)</f>
        <v>#DIV/0!</v>
      </c>
      <c r="N120" s="659"/>
      <c r="O120" s="659"/>
      <c r="P120" s="182"/>
      <c r="Q120" s="182"/>
      <c r="R120" s="182"/>
      <c r="S120" s="493" t="e">
        <f t="shared" si="87"/>
        <v>#N/A</v>
      </c>
      <c r="T120" s="706"/>
      <c r="U120" s="182"/>
      <c r="V120" s="182"/>
      <c r="W120" s="182"/>
      <c r="X120" s="493" t="e">
        <f t="shared" si="74"/>
        <v>#N/A</v>
      </c>
      <c r="Y120" s="706"/>
      <c r="Z120" s="182"/>
      <c r="AA120" s="182"/>
      <c r="AB120" s="182"/>
      <c r="AC120" s="493" t="e">
        <f t="shared" si="74"/>
        <v>#N/A</v>
      </c>
      <c r="AD120" s="706"/>
      <c r="AE120" s="182"/>
      <c r="AF120" s="182"/>
      <c r="AG120" s="182"/>
      <c r="AH120" s="493" t="e">
        <f t="shared" si="74"/>
        <v>#N/A</v>
      </c>
      <c r="AI120" s="706"/>
      <c r="AJ120" s="182"/>
      <c r="AK120" s="182"/>
      <c r="AL120" s="182"/>
      <c r="AM120" s="493" t="e">
        <f t="shared" si="74"/>
        <v>#N/A</v>
      </c>
      <c r="AN120" s="706"/>
      <c r="AO120" s="182"/>
      <c r="AP120" s="182"/>
      <c r="AQ120" s="182"/>
      <c r="AR120" s="493" t="e">
        <f t="shared" si="82"/>
        <v>#N/A</v>
      </c>
      <c r="AS120" s="706"/>
      <c r="AT120" s="182"/>
      <c r="AU120" s="182"/>
      <c r="AV120" s="182"/>
      <c r="AW120" s="493" t="e">
        <f t="shared" si="82"/>
        <v>#N/A</v>
      </c>
      <c r="AX120" s="706"/>
    </row>
    <row r="121" spans="2:50">
      <c r="B121" s="692"/>
      <c r="C121" s="493">
        <v>15</v>
      </c>
      <c r="D121" s="498"/>
      <c r="E121" s="494"/>
      <c r="F121" s="494"/>
      <c r="G121" s="494"/>
      <c r="H121" s="714"/>
      <c r="I121" s="494"/>
      <c r="J121" s="494"/>
      <c r="K121" s="495"/>
      <c r="L121" s="642"/>
      <c r="M121" s="494" t="e">
        <f>RANK(K121, K$67:$K$81)</f>
        <v>#DIV/0!</v>
      </c>
      <c r="N121" s="659"/>
      <c r="O121" s="659"/>
      <c r="P121" s="182"/>
      <c r="Q121" s="182"/>
      <c r="R121" s="182"/>
      <c r="S121" s="493" t="e">
        <f t="shared" si="87"/>
        <v>#N/A</v>
      </c>
      <c r="T121" s="706"/>
      <c r="U121" s="182"/>
      <c r="V121" s="182"/>
      <c r="W121" s="182"/>
      <c r="X121" s="493" t="e">
        <f t="shared" si="74"/>
        <v>#N/A</v>
      </c>
      <c r="Y121" s="706"/>
      <c r="Z121" s="182"/>
      <c r="AA121" s="182"/>
      <c r="AB121" s="182"/>
      <c r="AC121" s="493" t="e">
        <f t="shared" si="74"/>
        <v>#N/A</v>
      </c>
      <c r="AD121" s="706"/>
      <c r="AE121" s="182"/>
      <c r="AF121" s="182"/>
      <c r="AG121" s="182"/>
      <c r="AH121" s="493" t="e">
        <f t="shared" si="74"/>
        <v>#N/A</v>
      </c>
      <c r="AI121" s="706"/>
      <c r="AJ121" s="182"/>
      <c r="AK121" s="182"/>
      <c r="AL121" s="182"/>
      <c r="AM121" s="493" t="e">
        <f t="shared" si="74"/>
        <v>#N/A</v>
      </c>
      <c r="AN121" s="706"/>
      <c r="AO121" s="182"/>
      <c r="AP121" s="182"/>
      <c r="AQ121" s="182"/>
      <c r="AR121" s="493" t="e">
        <f t="shared" si="82"/>
        <v>#N/A</v>
      </c>
      <c r="AS121" s="706"/>
      <c r="AT121" s="182"/>
      <c r="AU121" s="182"/>
      <c r="AV121" s="182"/>
      <c r="AW121" s="493" t="e">
        <f t="shared" si="82"/>
        <v>#N/A</v>
      </c>
      <c r="AX121" s="706"/>
    </row>
    <row r="123" spans="2:50" ht="15.75">
      <c r="B123" s="698" t="s">
        <v>674</v>
      </c>
      <c r="C123" s="699"/>
      <c r="D123" s="699"/>
      <c r="E123" s="699"/>
      <c r="F123" s="699"/>
      <c r="G123" s="699"/>
      <c r="H123" s="700"/>
      <c r="I123" s="347"/>
      <c r="J123" s="347"/>
      <c r="K123" s="347"/>
      <c r="L123" s="347"/>
      <c r="M123" s="348"/>
    </row>
    <row r="124" spans="2:50" ht="15.75">
      <c r="B124" s="701"/>
      <c r="C124" s="701"/>
      <c r="D124" s="701"/>
      <c r="E124" s="701"/>
      <c r="F124" s="701"/>
      <c r="G124" s="701"/>
      <c r="H124" s="701"/>
      <c r="I124" s="349"/>
      <c r="J124" s="349"/>
      <c r="K124" s="349"/>
      <c r="L124" s="349"/>
      <c r="M124" s="350"/>
    </row>
    <row r="125" spans="2:50">
      <c r="B125" s="659" t="s">
        <v>154</v>
      </c>
      <c r="C125" s="659" t="s">
        <v>429</v>
      </c>
      <c r="D125" s="659"/>
      <c r="E125" s="659" t="s">
        <v>420</v>
      </c>
      <c r="F125" s="659"/>
      <c r="G125" s="659"/>
      <c r="H125" s="675" t="s">
        <v>416</v>
      </c>
      <c r="I125" s="702" t="s">
        <v>421</v>
      </c>
      <c r="J125" s="702"/>
      <c r="K125" s="702"/>
      <c r="L125" s="718" t="s">
        <v>416</v>
      </c>
      <c r="M125" s="721" t="s">
        <v>417</v>
      </c>
    </row>
    <row r="126" spans="2:50">
      <c r="B126" s="659"/>
      <c r="C126" s="659"/>
      <c r="D126" s="659"/>
      <c r="E126" s="659" t="s">
        <v>423</v>
      </c>
      <c r="F126" s="659"/>
      <c r="G126" s="659"/>
      <c r="H126" s="676"/>
      <c r="I126" s="702" t="s">
        <v>423</v>
      </c>
      <c r="J126" s="702"/>
      <c r="K126" s="702"/>
      <c r="L126" s="719"/>
      <c r="M126" s="722"/>
    </row>
    <row r="127" spans="2:50">
      <c r="B127" s="659"/>
      <c r="C127" s="659"/>
      <c r="D127" s="659"/>
      <c r="E127" s="344" t="s">
        <v>425</v>
      </c>
      <c r="F127" s="344" t="s">
        <v>426</v>
      </c>
      <c r="G127" s="344" t="s">
        <v>427</v>
      </c>
      <c r="H127" s="677"/>
      <c r="I127" s="351" t="s">
        <v>425</v>
      </c>
      <c r="J127" s="351" t="s">
        <v>426</v>
      </c>
      <c r="K127" s="351" t="s">
        <v>427</v>
      </c>
      <c r="L127" s="720"/>
      <c r="M127" s="723"/>
    </row>
    <row r="128" spans="2:50">
      <c r="B128" s="707" t="s">
        <v>428</v>
      </c>
      <c r="C128" s="343">
        <v>1</v>
      </c>
      <c r="D128" s="227"/>
      <c r="E128" s="182"/>
      <c r="F128" s="343"/>
      <c r="G128" s="346"/>
      <c r="H128" s="708" t="e">
        <f>AVERAGE(G128:G142)</f>
        <v>#DIV/0!</v>
      </c>
      <c r="I128" s="199" t="e">
        <f t="shared" ref="I128:J138" si="88">AVERAGEIF($D$7:$D$121,$D128,I$7:I$121)</f>
        <v>#DIV/0!</v>
      </c>
      <c r="J128" s="199" t="e">
        <f t="shared" si="88"/>
        <v>#DIV/0!</v>
      </c>
      <c r="K128" s="199" t="e">
        <f t="shared" ref="K128:K138" si="89">AVERAGEIF($D$7:$D$121,$D128,K$7:K$121)</f>
        <v>#DIV/0!</v>
      </c>
      <c r="L128" s="715" t="e">
        <f>AVERAGE(K128:K142)</f>
        <v>#DIV/0!</v>
      </c>
      <c r="M128" s="199" t="e">
        <f>RANK(K128, K$128:$K$142)</f>
        <v>#DIV/0!</v>
      </c>
    </row>
    <row r="129" spans="2:13" s="108" customFormat="1">
      <c r="B129" s="667"/>
      <c r="C129" s="343">
        <v>2</v>
      </c>
      <c r="D129" s="227"/>
      <c r="E129" s="182"/>
      <c r="F129" s="343"/>
      <c r="G129" s="346"/>
      <c r="H129" s="709"/>
      <c r="I129" s="199" t="e">
        <f t="shared" si="88"/>
        <v>#DIV/0!</v>
      </c>
      <c r="J129" s="199" t="e">
        <f t="shared" si="88"/>
        <v>#DIV/0!</v>
      </c>
      <c r="K129" s="199" t="e">
        <f t="shared" si="89"/>
        <v>#DIV/0!</v>
      </c>
      <c r="L129" s="716"/>
      <c r="M129" s="199" t="e">
        <f>RANK(K129, K$128:$K$142)</f>
        <v>#DIV/0!</v>
      </c>
    </row>
    <row r="130" spans="2:13" s="108" customFormat="1">
      <c r="B130" s="667"/>
      <c r="C130" s="343">
        <v>3</v>
      </c>
      <c r="D130" s="227"/>
      <c r="E130" s="182"/>
      <c r="F130" s="343"/>
      <c r="G130" s="346"/>
      <c r="H130" s="709"/>
      <c r="I130" s="199" t="e">
        <f t="shared" si="88"/>
        <v>#DIV/0!</v>
      </c>
      <c r="J130" s="199" t="e">
        <f t="shared" si="88"/>
        <v>#DIV/0!</v>
      </c>
      <c r="K130" s="199" t="e">
        <f t="shared" si="89"/>
        <v>#DIV/0!</v>
      </c>
      <c r="L130" s="716"/>
      <c r="M130" s="199" t="e">
        <f>RANK(K130, K$128:$K$142)</f>
        <v>#DIV/0!</v>
      </c>
    </row>
    <row r="131" spans="2:13" s="108" customFormat="1">
      <c r="B131" s="667"/>
      <c r="C131" s="343">
        <v>4</v>
      </c>
      <c r="D131" s="227"/>
      <c r="E131" s="182"/>
      <c r="F131" s="343"/>
      <c r="G131" s="346"/>
      <c r="H131" s="709"/>
      <c r="I131" s="199" t="e">
        <f t="shared" si="88"/>
        <v>#DIV/0!</v>
      </c>
      <c r="J131" s="199" t="e">
        <f t="shared" si="88"/>
        <v>#DIV/0!</v>
      </c>
      <c r="K131" s="199" t="e">
        <f t="shared" si="89"/>
        <v>#DIV/0!</v>
      </c>
      <c r="L131" s="716"/>
      <c r="M131" s="199" t="e">
        <f>RANK(K131, K$128:$K$142)</f>
        <v>#DIV/0!</v>
      </c>
    </row>
    <row r="132" spans="2:13" s="108" customFormat="1">
      <c r="B132" s="667"/>
      <c r="C132" s="343">
        <v>5</v>
      </c>
      <c r="D132" s="227"/>
      <c r="E132" s="182"/>
      <c r="F132" s="343"/>
      <c r="G132" s="346"/>
      <c r="H132" s="709"/>
      <c r="I132" s="199" t="e">
        <f t="shared" si="88"/>
        <v>#DIV/0!</v>
      </c>
      <c r="J132" s="199" t="e">
        <f t="shared" si="88"/>
        <v>#DIV/0!</v>
      </c>
      <c r="K132" s="199" t="e">
        <f t="shared" si="89"/>
        <v>#DIV/0!</v>
      </c>
      <c r="L132" s="716"/>
      <c r="M132" s="199" t="e">
        <f>RANK(K132, K$128:$K$142)</f>
        <v>#DIV/0!</v>
      </c>
    </row>
    <row r="133" spans="2:13" s="108" customFormat="1">
      <c r="B133" s="667"/>
      <c r="C133" s="343">
        <v>6</v>
      </c>
      <c r="D133" s="352"/>
      <c r="E133" s="182"/>
      <c r="F133" s="343"/>
      <c r="G133" s="346"/>
      <c r="H133" s="709"/>
      <c r="I133" s="199" t="e">
        <f t="shared" si="88"/>
        <v>#DIV/0!</v>
      </c>
      <c r="J133" s="199" t="e">
        <f t="shared" si="88"/>
        <v>#DIV/0!</v>
      </c>
      <c r="K133" s="199" t="e">
        <f t="shared" si="89"/>
        <v>#DIV/0!</v>
      </c>
      <c r="L133" s="716"/>
      <c r="M133" s="199" t="e">
        <f>RANK(K133, K$128:$K$142)</f>
        <v>#DIV/0!</v>
      </c>
    </row>
    <row r="134" spans="2:13" s="108" customFormat="1">
      <c r="B134" s="667"/>
      <c r="C134" s="343">
        <v>7</v>
      </c>
      <c r="D134" s="227"/>
      <c r="E134" s="182"/>
      <c r="F134" s="343"/>
      <c r="G134" s="346"/>
      <c r="H134" s="709"/>
      <c r="I134" s="199" t="e">
        <f t="shared" si="88"/>
        <v>#DIV/0!</v>
      </c>
      <c r="J134" s="199" t="e">
        <f t="shared" si="88"/>
        <v>#DIV/0!</v>
      </c>
      <c r="K134" s="199" t="e">
        <f t="shared" si="89"/>
        <v>#DIV/0!</v>
      </c>
      <c r="L134" s="716"/>
      <c r="M134" s="199" t="e">
        <f>RANK(K134, K$128:$K$142)</f>
        <v>#DIV/0!</v>
      </c>
    </row>
    <row r="135" spans="2:13" s="108" customFormat="1">
      <c r="B135" s="667"/>
      <c r="C135" s="343">
        <v>8</v>
      </c>
      <c r="D135" s="227"/>
      <c r="E135" s="182"/>
      <c r="F135" s="343"/>
      <c r="G135" s="346"/>
      <c r="H135" s="709"/>
      <c r="I135" s="199" t="e">
        <f t="shared" si="88"/>
        <v>#DIV/0!</v>
      </c>
      <c r="J135" s="199" t="e">
        <f t="shared" si="88"/>
        <v>#DIV/0!</v>
      </c>
      <c r="K135" s="199" t="e">
        <f t="shared" si="89"/>
        <v>#DIV/0!</v>
      </c>
      <c r="L135" s="716"/>
      <c r="M135" s="199" t="e">
        <f>RANK(K135, K$128:$K$142)</f>
        <v>#DIV/0!</v>
      </c>
    </row>
    <row r="136" spans="2:13" s="108" customFormat="1">
      <c r="B136" s="667"/>
      <c r="C136" s="343">
        <v>9</v>
      </c>
      <c r="D136" s="227"/>
      <c r="E136" s="343"/>
      <c r="F136" s="343"/>
      <c r="G136" s="343"/>
      <c r="H136" s="709"/>
      <c r="I136" s="199" t="e">
        <f t="shared" si="88"/>
        <v>#DIV/0!</v>
      </c>
      <c r="J136" s="199" t="e">
        <f t="shared" si="88"/>
        <v>#DIV/0!</v>
      </c>
      <c r="K136" s="199" t="e">
        <f t="shared" si="89"/>
        <v>#DIV/0!</v>
      </c>
      <c r="L136" s="716"/>
      <c r="M136" s="199" t="e">
        <f>RANK(K136, K$128:$K$142)</f>
        <v>#DIV/0!</v>
      </c>
    </row>
    <row r="137" spans="2:13" s="108" customFormat="1">
      <c r="B137" s="667"/>
      <c r="C137" s="343">
        <v>10</v>
      </c>
      <c r="D137" s="227"/>
      <c r="E137" s="343"/>
      <c r="F137" s="343"/>
      <c r="G137" s="343"/>
      <c r="H137" s="709"/>
      <c r="I137" s="199" t="e">
        <f t="shared" si="88"/>
        <v>#DIV/0!</v>
      </c>
      <c r="J137" s="199" t="e">
        <f t="shared" si="88"/>
        <v>#DIV/0!</v>
      </c>
      <c r="K137" s="199" t="e">
        <f t="shared" si="89"/>
        <v>#DIV/0!</v>
      </c>
      <c r="L137" s="716"/>
      <c r="M137" s="199" t="e">
        <f>RANK(K137, K$128:$K$142)</f>
        <v>#DIV/0!</v>
      </c>
    </row>
    <row r="138" spans="2:13" s="108" customFormat="1">
      <c r="B138" s="667"/>
      <c r="C138" s="343">
        <v>11</v>
      </c>
      <c r="D138" s="227"/>
      <c r="E138" s="343"/>
      <c r="F138" s="343"/>
      <c r="G138" s="343"/>
      <c r="H138" s="709"/>
      <c r="I138" s="199" t="e">
        <f t="shared" si="88"/>
        <v>#DIV/0!</v>
      </c>
      <c r="J138" s="199" t="e">
        <f t="shared" si="88"/>
        <v>#DIV/0!</v>
      </c>
      <c r="K138" s="199" t="e">
        <f t="shared" si="89"/>
        <v>#DIV/0!</v>
      </c>
      <c r="L138" s="716"/>
      <c r="M138" s="199" t="e">
        <f>RANK(K138, K$128:$K$142)</f>
        <v>#DIV/0!</v>
      </c>
    </row>
    <row r="139" spans="2:13" s="108" customFormat="1">
      <c r="B139" s="667"/>
      <c r="C139" s="343">
        <v>12</v>
      </c>
      <c r="D139" s="227"/>
      <c r="E139" s="343"/>
      <c r="F139" s="343"/>
      <c r="G139" s="343"/>
      <c r="H139" s="709"/>
      <c r="I139" s="199"/>
      <c r="J139" s="199"/>
      <c r="K139" s="199"/>
      <c r="L139" s="716"/>
      <c r="M139" s="199" t="e">
        <f>RANK(K139, K$128:$K$142)</f>
        <v>#DIV/0!</v>
      </c>
    </row>
    <row r="140" spans="2:13" s="108" customFormat="1">
      <c r="B140" s="667"/>
      <c r="C140" s="343">
        <v>13</v>
      </c>
      <c r="D140" s="227"/>
      <c r="E140" s="343"/>
      <c r="F140" s="343"/>
      <c r="G140" s="343"/>
      <c r="H140" s="709"/>
      <c r="I140" s="199"/>
      <c r="J140" s="199"/>
      <c r="K140" s="199"/>
      <c r="L140" s="716"/>
      <c r="M140" s="199" t="e">
        <f>RANK(K140, K$128:$K$142)</f>
        <v>#DIV/0!</v>
      </c>
    </row>
    <row r="141" spans="2:13" s="108" customFormat="1">
      <c r="B141" s="667"/>
      <c r="C141" s="343">
        <v>14</v>
      </c>
      <c r="D141" s="227"/>
      <c r="E141" s="343"/>
      <c r="F141" s="343"/>
      <c r="G141" s="343"/>
      <c r="H141" s="709"/>
      <c r="I141" s="199"/>
      <c r="J141" s="199"/>
      <c r="K141" s="199"/>
      <c r="L141" s="716"/>
      <c r="M141" s="199" t="e">
        <f>RANK(K141, K$128:$K$142)</f>
        <v>#DIV/0!</v>
      </c>
    </row>
    <row r="142" spans="2:13" s="108" customFormat="1">
      <c r="B142" s="667"/>
      <c r="C142" s="343">
        <v>15</v>
      </c>
      <c r="D142" s="227"/>
      <c r="E142" s="343"/>
      <c r="F142" s="343"/>
      <c r="G142" s="343"/>
      <c r="H142" s="710"/>
      <c r="I142" s="199"/>
      <c r="J142" s="199"/>
      <c r="K142" s="199"/>
      <c r="L142" s="717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P2" sqref="P2:AX2"/>
      <selection pane="topRight" activeCell="AT7" sqref="AT7:AV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126.0119667097608</v>
      </c>
    </row>
    <row r="2" spans="1:54" ht="15.75">
      <c r="A2" s="81"/>
      <c r="B2" s="671" t="s">
        <v>163</v>
      </c>
      <c r="C2" s="671"/>
      <c r="D2" s="671"/>
      <c r="E2" s="671"/>
      <c r="F2" s="671"/>
      <c r="G2" s="671"/>
      <c r="H2" s="671"/>
      <c r="I2" s="310"/>
      <c r="J2" s="310"/>
      <c r="K2" s="310"/>
      <c r="L2" s="310"/>
      <c r="M2" s="197"/>
      <c r="N2" s="660" t="s">
        <v>156</v>
      </c>
      <c r="O2" s="660" t="s">
        <v>155</v>
      </c>
      <c r="P2" s="687">
        <v>46084</v>
      </c>
      <c r="Q2" s="688"/>
      <c r="R2" s="688"/>
      <c r="S2" s="688"/>
      <c r="T2" s="689"/>
      <c r="U2" s="666">
        <f>P2+1</f>
        <v>46085</v>
      </c>
      <c r="V2" s="667"/>
      <c r="W2" s="667"/>
      <c r="X2" s="667"/>
      <c r="Y2" s="667"/>
      <c r="Z2" s="666">
        <f>U2+1</f>
        <v>46086</v>
      </c>
      <c r="AA2" s="667"/>
      <c r="AB2" s="667"/>
      <c r="AC2" s="667"/>
      <c r="AD2" s="667"/>
      <c r="AE2" s="666">
        <f>Z2+1</f>
        <v>46087</v>
      </c>
      <c r="AF2" s="667"/>
      <c r="AG2" s="667"/>
      <c r="AH2" s="667"/>
      <c r="AI2" s="667"/>
      <c r="AJ2" s="666">
        <f>AE2+1</f>
        <v>46088</v>
      </c>
      <c r="AK2" s="667"/>
      <c r="AL2" s="667"/>
      <c r="AM2" s="667"/>
      <c r="AN2" s="667"/>
      <c r="AO2" s="666">
        <f>AJ2+1</f>
        <v>46089</v>
      </c>
      <c r="AP2" s="667"/>
      <c r="AQ2" s="667"/>
      <c r="AR2" s="667"/>
      <c r="AS2" s="667"/>
      <c r="AT2" s="663">
        <f>AO2+1</f>
        <v>46090</v>
      </c>
      <c r="AU2" s="664"/>
      <c r="AV2" s="664"/>
      <c r="AW2" s="664"/>
      <c r="AX2" s="665"/>
    </row>
    <row r="3" spans="1:54" ht="15.75">
      <c r="A3" s="81"/>
      <c r="B3" s="690"/>
      <c r="C3" s="690"/>
      <c r="D3" s="690"/>
      <c r="E3" s="690"/>
      <c r="F3" s="690"/>
      <c r="G3" s="690"/>
      <c r="H3" s="690"/>
      <c r="I3" s="311"/>
      <c r="J3" s="311"/>
      <c r="K3" s="311"/>
      <c r="L3" s="311"/>
      <c r="M3" s="198"/>
      <c r="N3" s="662"/>
      <c r="O3" s="662"/>
      <c r="P3" s="663" t="s">
        <v>158</v>
      </c>
      <c r="Q3" s="664"/>
      <c r="R3" s="664"/>
      <c r="S3" s="664"/>
      <c r="T3" s="665"/>
      <c r="U3" s="663" t="s">
        <v>114</v>
      </c>
      <c r="V3" s="664"/>
      <c r="W3" s="664"/>
      <c r="X3" s="664"/>
      <c r="Y3" s="665"/>
      <c r="Z3" s="663" t="s">
        <v>159</v>
      </c>
      <c r="AA3" s="664"/>
      <c r="AB3" s="664"/>
      <c r="AC3" s="664"/>
      <c r="AD3" s="665"/>
      <c r="AE3" s="663" t="s">
        <v>157</v>
      </c>
      <c r="AF3" s="664"/>
      <c r="AG3" s="664"/>
      <c r="AH3" s="664"/>
      <c r="AI3" s="665"/>
      <c r="AJ3" s="663" t="s">
        <v>160</v>
      </c>
      <c r="AK3" s="664"/>
      <c r="AL3" s="664"/>
      <c r="AM3" s="664"/>
      <c r="AN3" s="665"/>
      <c r="AO3" s="663" t="s">
        <v>161</v>
      </c>
      <c r="AP3" s="664"/>
      <c r="AQ3" s="664"/>
      <c r="AR3" s="664"/>
      <c r="AS3" s="665"/>
      <c r="AT3" s="663" t="s">
        <v>162</v>
      </c>
      <c r="AU3" s="664"/>
      <c r="AV3" s="664"/>
      <c r="AW3" s="664"/>
      <c r="AX3" s="665"/>
    </row>
    <row r="4" spans="1:54" ht="14.25">
      <c r="A4" s="81"/>
      <c r="B4" s="659" t="s">
        <v>460</v>
      </c>
      <c r="C4" s="659" t="s">
        <v>461</v>
      </c>
      <c r="D4" s="659"/>
      <c r="E4" s="659" t="s">
        <v>462</v>
      </c>
      <c r="F4" s="659"/>
      <c r="G4" s="659"/>
      <c r="H4" s="675" t="s">
        <v>463</v>
      </c>
      <c r="I4" s="643" t="s">
        <v>464</v>
      </c>
      <c r="J4" s="643"/>
      <c r="K4" s="643"/>
      <c r="L4" s="644" t="s">
        <v>463</v>
      </c>
      <c r="M4" s="650" t="s">
        <v>465</v>
      </c>
      <c r="N4" s="659"/>
      <c r="O4" s="659" t="s">
        <v>466</v>
      </c>
      <c r="P4" s="656" t="s">
        <v>467</v>
      </c>
      <c r="Q4" s="657"/>
      <c r="R4" s="657"/>
      <c r="S4" s="658"/>
      <c r="T4" s="659" t="s">
        <v>463</v>
      </c>
      <c r="U4" s="656" t="s">
        <v>467</v>
      </c>
      <c r="V4" s="657"/>
      <c r="W4" s="657"/>
      <c r="X4" s="658"/>
      <c r="Y4" s="659" t="s">
        <v>463</v>
      </c>
      <c r="Z4" s="656" t="s">
        <v>467</v>
      </c>
      <c r="AA4" s="657"/>
      <c r="AB4" s="657"/>
      <c r="AC4" s="658"/>
      <c r="AD4" s="659" t="s">
        <v>463</v>
      </c>
      <c r="AE4" s="656" t="s">
        <v>467</v>
      </c>
      <c r="AF4" s="657"/>
      <c r="AG4" s="657"/>
      <c r="AH4" s="658"/>
      <c r="AI4" s="659" t="s">
        <v>463</v>
      </c>
      <c r="AJ4" s="656" t="s">
        <v>467</v>
      </c>
      <c r="AK4" s="657"/>
      <c r="AL4" s="657"/>
      <c r="AM4" s="658"/>
      <c r="AN4" s="659" t="s">
        <v>463</v>
      </c>
      <c r="AO4" s="656" t="s">
        <v>467</v>
      </c>
      <c r="AP4" s="657"/>
      <c r="AQ4" s="657"/>
      <c r="AR4" s="658"/>
      <c r="AS4" s="659" t="s">
        <v>463</v>
      </c>
      <c r="AT4" s="656" t="s">
        <v>467</v>
      </c>
      <c r="AU4" s="657"/>
      <c r="AV4" s="657"/>
      <c r="AW4" s="658"/>
      <c r="AX4" s="659" t="s">
        <v>463</v>
      </c>
    </row>
    <row r="5" spans="1:54" ht="14.25">
      <c r="A5" s="81"/>
      <c r="B5" s="659"/>
      <c r="C5" s="659"/>
      <c r="D5" s="659"/>
      <c r="E5" s="659" t="s">
        <v>468</v>
      </c>
      <c r="F5" s="659"/>
      <c r="G5" s="659"/>
      <c r="H5" s="676"/>
      <c r="I5" s="643" t="s">
        <v>468</v>
      </c>
      <c r="J5" s="643"/>
      <c r="K5" s="643"/>
      <c r="L5" s="645"/>
      <c r="M5" s="651"/>
      <c r="N5" s="659"/>
      <c r="O5" s="659"/>
      <c r="P5" s="656" t="s">
        <v>469</v>
      </c>
      <c r="Q5" s="657"/>
      <c r="R5" s="657"/>
      <c r="S5" s="658"/>
      <c r="T5" s="659"/>
      <c r="U5" s="656" t="s">
        <v>469</v>
      </c>
      <c r="V5" s="657"/>
      <c r="W5" s="657"/>
      <c r="X5" s="658"/>
      <c r="Y5" s="659"/>
      <c r="Z5" s="656" t="s">
        <v>469</v>
      </c>
      <c r="AA5" s="657"/>
      <c r="AB5" s="657"/>
      <c r="AC5" s="658"/>
      <c r="AD5" s="659"/>
      <c r="AE5" s="656" t="s">
        <v>469</v>
      </c>
      <c r="AF5" s="657"/>
      <c r="AG5" s="657"/>
      <c r="AH5" s="658"/>
      <c r="AI5" s="659"/>
      <c r="AJ5" s="656" t="s">
        <v>469</v>
      </c>
      <c r="AK5" s="657"/>
      <c r="AL5" s="657"/>
      <c r="AM5" s="658"/>
      <c r="AN5" s="659"/>
      <c r="AO5" s="656" t="s">
        <v>469</v>
      </c>
      <c r="AP5" s="657"/>
      <c r="AQ5" s="657"/>
      <c r="AR5" s="658"/>
      <c r="AS5" s="659"/>
      <c r="AT5" s="656" t="s">
        <v>469</v>
      </c>
      <c r="AU5" s="657"/>
      <c r="AV5" s="657"/>
      <c r="AW5" s="658"/>
      <c r="AX5" s="659"/>
    </row>
    <row r="6" spans="1:54" ht="14.25">
      <c r="A6" s="79"/>
      <c r="B6" s="659"/>
      <c r="C6" s="659"/>
      <c r="D6" s="659"/>
      <c r="E6" s="450" t="s">
        <v>470</v>
      </c>
      <c r="F6" s="450" t="s">
        <v>471</v>
      </c>
      <c r="G6" s="450" t="s">
        <v>472</v>
      </c>
      <c r="H6" s="677"/>
      <c r="I6" s="451" t="s">
        <v>470</v>
      </c>
      <c r="J6" s="451" t="s">
        <v>471</v>
      </c>
      <c r="K6" s="451" t="s">
        <v>472</v>
      </c>
      <c r="L6" s="646"/>
      <c r="M6" s="652"/>
      <c r="N6" s="659"/>
      <c r="O6" s="659"/>
      <c r="P6" s="450" t="s">
        <v>470</v>
      </c>
      <c r="Q6" s="450" t="s">
        <v>471</v>
      </c>
      <c r="R6" s="450" t="s">
        <v>472</v>
      </c>
      <c r="S6" s="450" t="s">
        <v>465</v>
      </c>
      <c r="T6" s="659"/>
      <c r="U6" s="450" t="s">
        <v>470</v>
      </c>
      <c r="V6" s="450" t="s">
        <v>471</v>
      </c>
      <c r="W6" s="450" t="s">
        <v>472</v>
      </c>
      <c r="X6" s="450" t="s">
        <v>465</v>
      </c>
      <c r="Y6" s="659"/>
      <c r="Z6" s="450" t="s">
        <v>470</v>
      </c>
      <c r="AA6" s="450" t="s">
        <v>471</v>
      </c>
      <c r="AB6" s="450" t="s">
        <v>472</v>
      </c>
      <c r="AC6" s="450" t="s">
        <v>465</v>
      </c>
      <c r="AD6" s="659"/>
      <c r="AE6" s="450" t="s">
        <v>470</v>
      </c>
      <c r="AF6" s="450" t="s">
        <v>471</v>
      </c>
      <c r="AG6" s="450" t="s">
        <v>472</v>
      </c>
      <c r="AH6" s="450" t="s">
        <v>465</v>
      </c>
      <c r="AI6" s="659"/>
      <c r="AJ6" s="450" t="s">
        <v>470</v>
      </c>
      <c r="AK6" s="450" t="s">
        <v>471</v>
      </c>
      <c r="AL6" s="450" t="s">
        <v>472</v>
      </c>
      <c r="AM6" s="450" t="s">
        <v>465</v>
      </c>
      <c r="AN6" s="659"/>
      <c r="AO6" s="450" t="s">
        <v>470</v>
      </c>
      <c r="AP6" s="450" t="s">
        <v>471</v>
      </c>
      <c r="AQ6" s="450" t="s">
        <v>472</v>
      </c>
      <c r="AR6" s="450" t="s">
        <v>465</v>
      </c>
      <c r="AS6" s="659"/>
      <c r="AT6" s="450" t="s">
        <v>470</v>
      </c>
      <c r="AU6" s="450" t="s">
        <v>471</v>
      </c>
      <c r="AV6" s="450" t="s">
        <v>472</v>
      </c>
      <c r="AW6" s="450" t="s">
        <v>465</v>
      </c>
      <c r="AX6" s="659"/>
    </row>
    <row r="7" spans="1:54" ht="14.25">
      <c r="A7" s="81"/>
      <c r="B7" s="659" t="s">
        <v>475</v>
      </c>
      <c r="C7" s="447">
        <v>1</v>
      </c>
      <c r="D7" s="227" t="s">
        <v>876</v>
      </c>
      <c r="E7" s="182">
        <v>13</v>
      </c>
      <c r="F7" s="545">
        <v>1500</v>
      </c>
      <c r="G7" s="546">
        <v>115.38461538461539</v>
      </c>
      <c r="H7" s="708">
        <f>AVERAGE(G7:G21)</f>
        <v>107.69230769230769</v>
      </c>
      <c r="I7" s="547">
        <f t="shared" ref="I7" si="0">AVERAGE(P7,U7,Z7,AE7,AJ7,AO7,AT7)</f>
        <v>13</v>
      </c>
      <c r="J7" s="547">
        <f t="shared" ref="J7" si="1">AVERAGE(Q7,V7,AA7,AF7,AK7,AP7,AU7)</f>
        <v>1426.2285714285699</v>
      </c>
      <c r="K7" s="200">
        <f t="shared" ref="K7" si="2">AVERAGE(R7,W7,AB7,AG7,AL7,AQ7,AV7)</f>
        <v>109.70989010988998</v>
      </c>
      <c r="L7" s="640">
        <f>IFERROR(AVERAGE(K7:K21),"-")</f>
        <v>126.0119667097608</v>
      </c>
      <c r="M7" s="452">
        <f>RANK(K7, $K$7:K$21)</f>
        <v>2</v>
      </c>
      <c r="N7" s="659"/>
      <c r="O7" s="659"/>
      <c r="P7" s="182">
        <v>13</v>
      </c>
      <c r="Q7" s="182">
        <v>1377.6000000000049</v>
      </c>
      <c r="R7" s="448">
        <v>105.96923076923115</v>
      </c>
      <c r="S7" s="447">
        <f>RANK(R7, R$7:R$21)</f>
        <v>2</v>
      </c>
      <c r="T7" s="681">
        <f>AVERAGE(R7:R21)</f>
        <v>125.9971153846156</v>
      </c>
      <c r="U7" s="182">
        <v>13</v>
      </c>
      <c r="V7" s="182">
        <v>1607.9999999999993</v>
      </c>
      <c r="W7" s="570">
        <v>123.69230769230764</v>
      </c>
      <c r="X7" s="475">
        <f t="shared" ref="X7:X21" si="3">RANK(W7, W$7:W$21)</f>
        <v>1</v>
      </c>
      <c r="Y7" s="681">
        <f t="shared" ref="Y7" si="4">AVERAGE(W7:W21)</f>
        <v>118.15384615384616</v>
      </c>
      <c r="Z7" s="182">
        <v>13</v>
      </c>
      <c r="AA7" s="182">
        <v>1499.9999999999995</v>
      </c>
      <c r="AB7" s="570">
        <v>115.38461538461534</v>
      </c>
      <c r="AC7" s="475">
        <f t="shared" ref="AC7:AC21" si="5">RANK(AB7, AB$7:AB$21)</f>
        <v>2</v>
      </c>
      <c r="AD7" s="681">
        <f t="shared" ref="AD7" si="6">AVERAGE(AB7:AB21)</f>
        <v>130.99819004524889</v>
      </c>
      <c r="AE7" s="182">
        <v>13</v>
      </c>
      <c r="AF7" s="182">
        <v>1543.9999999999973</v>
      </c>
      <c r="AG7" s="570">
        <v>118.76923076923056</v>
      </c>
      <c r="AH7" s="475">
        <f t="shared" ref="AH7:AH21" si="7">RANK(AG7, AG$7:AG$21)</f>
        <v>1</v>
      </c>
      <c r="AI7" s="681">
        <f t="shared" ref="AI7" si="8">AVERAGE(AG7:AG21)</f>
        <v>116.80769230769226</v>
      </c>
      <c r="AJ7" s="182">
        <v>13</v>
      </c>
      <c r="AK7" s="182">
        <v>1481.9999999999934</v>
      </c>
      <c r="AL7" s="570">
        <v>113.99999999999949</v>
      </c>
      <c r="AM7" s="475">
        <f t="shared" ref="AM7:AM21" si="9">RANK(AL7, AL$7:AL$21)</f>
        <v>2</v>
      </c>
      <c r="AN7" s="681">
        <f t="shared" ref="AN7" si="10">AVERAGE(AL7:AL21)</f>
        <v>133.34999999999971</v>
      </c>
      <c r="AO7" s="182">
        <v>13</v>
      </c>
      <c r="AP7" s="182">
        <v>1235.9999999999945</v>
      </c>
      <c r="AQ7" s="570">
        <v>95.076923076922654</v>
      </c>
      <c r="AR7" s="475">
        <f t="shared" ref="AR7:AR21" si="11">RANK(AQ7, AQ$7:AQ$21)</f>
        <v>2</v>
      </c>
      <c r="AS7" s="681">
        <f t="shared" ref="AS7" si="12">AVERAGE(AQ7:AQ21)</f>
        <v>121.03846153846141</v>
      </c>
      <c r="AT7" s="182">
        <v>13</v>
      </c>
      <c r="AU7" s="182">
        <v>1235.9999999999995</v>
      </c>
      <c r="AV7" s="570">
        <v>95.076923076923038</v>
      </c>
      <c r="AW7" s="447">
        <f>RANK(AV7, AV$7:AV$21)</f>
        <v>2</v>
      </c>
      <c r="AX7" s="681">
        <f>AVERAGE(AV7:AV21)</f>
        <v>135.73846153846154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67"/>
      <c r="C8" s="447">
        <v>2</v>
      </c>
      <c r="D8" s="227" t="s">
        <v>951</v>
      </c>
      <c r="E8" s="182">
        <v>15</v>
      </c>
      <c r="F8" s="545">
        <v>1500</v>
      </c>
      <c r="G8" s="546">
        <v>100</v>
      </c>
      <c r="H8" s="709"/>
      <c r="I8" s="449">
        <f t="shared" ref="I8" si="13">AVERAGE(P8,U8,Z8,AE8,AJ8,AO8,AT8)</f>
        <v>10.857142857142858</v>
      </c>
      <c r="J8" s="449">
        <f t="shared" ref="J8" si="14">AVERAGE(Q8,V8,AA8,AF8,AK8,AP8,AU8)</f>
        <v>1520.6239495798325</v>
      </c>
      <c r="K8" s="200">
        <f t="shared" ref="K8" si="15">AVERAGE(R8,W8,AB8,AG8,AL8,AQ8,AV8)</f>
        <v>142.31404330963161</v>
      </c>
      <c r="L8" s="641"/>
      <c r="M8" s="452">
        <f>RANK(K8, $K$7:K$21)</f>
        <v>1</v>
      </c>
      <c r="N8" s="659"/>
      <c r="O8" s="659"/>
      <c r="P8" s="447">
        <v>10</v>
      </c>
      <c r="Q8" s="182">
        <v>1460.2500000000007</v>
      </c>
      <c r="R8" s="448">
        <v>146.02500000000006</v>
      </c>
      <c r="S8" s="447">
        <f t="shared" ref="S8:S21" si="16">RANK(R8, R$7:R$21)</f>
        <v>1</v>
      </c>
      <c r="T8" s="681"/>
      <c r="U8" s="569">
        <v>13</v>
      </c>
      <c r="V8" s="182">
        <v>1464.0000000000009</v>
      </c>
      <c r="W8" s="570">
        <v>112.61538461538468</v>
      </c>
      <c r="X8" s="475">
        <f t="shared" si="3"/>
        <v>2</v>
      </c>
      <c r="Y8" s="681"/>
      <c r="Z8" s="569">
        <v>10</v>
      </c>
      <c r="AA8" s="182">
        <v>1466.1176470588246</v>
      </c>
      <c r="AB8" s="570">
        <v>146.61176470588245</v>
      </c>
      <c r="AC8" s="475">
        <f t="shared" si="5"/>
        <v>1</v>
      </c>
      <c r="AD8" s="681"/>
      <c r="AE8" s="569">
        <v>13</v>
      </c>
      <c r="AF8" s="182">
        <v>1493.0000000000014</v>
      </c>
      <c r="AG8" s="570">
        <v>114.84615384615395</v>
      </c>
      <c r="AH8" s="475">
        <f t="shared" si="7"/>
        <v>2</v>
      </c>
      <c r="AI8" s="681"/>
      <c r="AJ8" s="569">
        <v>10</v>
      </c>
      <c r="AK8" s="182">
        <v>1526.9999999999993</v>
      </c>
      <c r="AL8" s="570">
        <v>152.69999999999993</v>
      </c>
      <c r="AM8" s="475">
        <f t="shared" si="9"/>
        <v>1</v>
      </c>
      <c r="AN8" s="681"/>
      <c r="AO8" s="569">
        <v>10</v>
      </c>
      <c r="AP8" s="182">
        <v>1470.0000000000016</v>
      </c>
      <c r="AQ8" s="570">
        <v>147.00000000000017</v>
      </c>
      <c r="AR8" s="475">
        <f t="shared" si="11"/>
        <v>1</v>
      </c>
      <c r="AS8" s="681"/>
      <c r="AT8" s="569">
        <v>10</v>
      </c>
      <c r="AU8" s="182">
        <v>1764.0000000000005</v>
      </c>
      <c r="AV8" s="570">
        <v>176.40000000000003</v>
      </c>
      <c r="AW8" s="447">
        <f t="shared" ref="AW8:AW21" si="17">RANK(AV8, AV$7:AV$21)</f>
        <v>1</v>
      </c>
      <c r="AX8" s="681"/>
      <c r="AZ8" s="362" t="e">
        <f>RANK(AX8, $K$7:AX$21)</f>
        <v>#N/A</v>
      </c>
      <c r="BB8" s="359" t="e">
        <f t="shared" ref="BB8:BB21" si="18">RANK(BA8, BA$7:BA$21)</f>
        <v>#N/A</v>
      </c>
    </row>
    <row r="9" spans="1:54" ht="14.25">
      <c r="A9" s="81"/>
      <c r="B9" s="667"/>
      <c r="C9" s="447">
        <v>3</v>
      </c>
      <c r="D9" s="227"/>
      <c r="E9" s="182"/>
      <c r="F9" s="475"/>
      <c r="G9" s="476"/>
      <c r="H9" s="709"/>
      <c r="I9" s="449"/>
      <c r="J9" s="449"/>
      <c r="K9" s="200"/>
      <c r="L9" s="641"/>
      <c r="M9" s="452" t="e">
        <f>RANK(K9, $K$7:K$21)</f>
        <v>#N/A</v>
      </c>
      <c r="N9" s="659"/>
      <c r="O9" s="659"/>
      <c r="P9" s="447"/>
      <c r="Q9" s="447"/>
      <c r="R9" s="447"/>
      <c r="S9" s="447" t="e">
        <f t="shared" si="16"/>
        <v>#N/A</v>
      </c>
      <c r="T9" s="681"/>
      <c r="U9" s="569"/>
      <c r="V9" s="569"/>
      <c r="W9" s="569"/>
      <c r="X9" s="475" t="e">
        <f t="shared" si="3"/>
        <v>#N/A</v>
      </c>
      <c r="Y9" s="681"/>
      <c r="Z9" s="569"/>
      <c r="AA9" s="569"/>
      <c r="AB9" s="569"/>
      <c r="AC9" s="475" t="e">
        <f t="shared" si="5"/>
        <v>#N/A</v>
      </c>
      <c r="AD9" s="681"/>
      <c r="AE9" s="569"/>
      <c r="AF9" s="569"/>
      <c r="AG9" s="569"/>
      <c r="AH9" s="475" t="e">
        <f t="shared" si="7"/>
        <v>#N/A</v>
      </c>
      <c r="AI9" s="681"/>
      <c r="AJ9" s="569"/>
      <c r="AK9" s="569"/>
      <c r="AL9" s="569"/>
      <c r="AM9" s="475" t="e">
        <f t="shared" si="9"/>
        <v>#N/A</v>
      </c>
      <c r="AN9" s="681"/>
      <c r="AO9" s="569"/>
      <c r="AP9" s="569"/>
      <c r="AQ9" s="569"/>
      <c r="AR9" s="475" t="e">
        <f t="shared" si="11"/>
        <v>#N/A</v>
      </c>
      <c r="AS9" s="681"/>
      <c r="AT9" s="569"/>
      <c r="AU9" s="569"/>
      <c r="AV9" s="569"/>
      <c r="AW9" s="447" t="e">
        <f t="shared" si="17"/>
        <v>#N/A</v>
      </c>
      <c r="AX9" s="681"/>
      <c r="AZ9" s="362" t="e">
        <f>RANK(AX9, $K$7:AX$21)</f>
        <v>#N/A</v>
      </c>
      <c r="BB9" s="359" t="e">
        <f t="shared" si="18"/>
        <v>#N/A</v>
      </c>
    </row>
    <row r="10" spans="1:54" ht="14.25">
      <c r="A10" s="81"/>
      <c r="B10" s="667"/>
      <c r="C10" s="447">
        <v>4</v>
      </c>
      <c r="D10" s="227"/>
      <c r="E10" s="182"/>
      <c r="F10" s="475"/>
      <c r="G10" s="476"/>
      <c r="H10" s="709"/>
      <c r="I10" s="449"/>
      <c r="J10" s="449"/>
      <c r="K10" s="200"/>
      <c r="L10" s="641"/>
      <c r="M10" s="452" t="e">
        <f>RANK(K10, $K$7:K$21)</f>
        <v>#N/A</v>
      </c>
      <c r="N10" s="659"/>
      <c r="O10" s="659"/>
      <c r="P10" s="447"/>
      <c r="Q10" s="447"/>
      <c r="R10" s="447"/>
      <c r="S10" s="447" t="e">
        <f t="shared" si="16"/>
        <v>#N/A</v>
      </c>
      <c r="T10" s="681"/>
      <c r="U10" s="569"/>
      <c r="V10" s="569"/>
      <c r="W10" s="569"/>
      <c r="X10" s="475" t="e">
        <f t="shared" si="3"/>
        <v>#N/A</v>
      </c>
      <c r="Y10" s="681"/>
      <c r="Z10" s="569"/>
      <c r="AA10" s="569"/>
      <c r="AB10" s="569"/>
      <c r="AC10" s="475" t="e">
        <f t="shared" si="5"/>
        <v>#N/A</v>
      </c>
      <c r="AD10" s="681"/>
      <c r="AE10" s="569"/>
      <c r="AF10" s="569"/>
      <c r="AG10" s="569"/>
      <c r="AH10" s="475" t="e">
        <f t="shared" si="7"/>
        <v>#N/A</v>
      </c>
      <c r="AI10" s="681"/>
      <c r="AJ10" s="569"/>
      <c r="AK10" s="569"/>
      <c r="AL10" s="569"/>
      <c r="AM10" s="475" t="e">
        <f t="shared" si="9"/>
        <v>#N/A</v>
      </c>
      <c r="AN10" s="681"/>
      <c r="AO10" s="569"/>
      <c r="AP10" s="569"/>
      <c r="AQ10" s="569"/>
      <c r="AR10" s="475" t="e">
        <f t="shared" si="11"/>
        <v>#N/A</v>
      </c>
      <c r="AS10" s="681"/>
      <c r="AT10" s="569"/>
      <c r="AU10" s="569"/>
      <c r="AV10" s="569"/>
      <c r="AW10" s="447" t="e">
        <f t="shared" si="17"/>
        <v>#N/A</v>
      </c>
      <c r="AX10" s="681"/>
      <c r="AZ10" s="362" t="e">
        <f>RANK(AX10, $K$7:AX$21)</f>
        <v>#N/A</v>
      </c>
      <c r="BB10" s="359" t="e">
        <f t="shared" si="18"/>
        <v>#N/A</v>
      </c>
    </row>
    <row r="11" spans="1:54" ht="14.25">
      <c r="A11" s="81"/>
      <c r="B11" s="667"/>
      <c r="C11" s="447">
        <v>5</v>
      </c>
      <c r="D11" s="227"/>
      <c r="E11" s="182"/>
      <c r="F11" s="475"/>
      <c r="G11" s="476"/>
      <c r="H11" s="709"/>
      <c r="I11" s="449"/>
      <c r="J11" s="449"/>
      <c r="K11" s="200"/>
      <c r="L11" s="641"/>
      <c r="M11" s="452" t="e">
        <f>RANK(K11, $K$7:K$21)</f>
        <v>#N/A</v>
      </c>
      <c r="N11" s="659"/>
      <c r="O11" s="659"/>
      <c r="P11" s="447"/>
      <c r="Q11" s="447"/>
      <c r="R11" s="447"/>
      <c r="S11" s="447" t="e">
        <f t="shared" si="16"/>
        <v>#N/A</v>
      </c>
      <c r="T11" s="681"/>
      <c r="U11" s="569"/>
      <c r="V11" s="569"/>
      <c r="W11" s="569"/>
      <c r="X11" s="475" t="e">
        <f t="shared" si="3"/>
        <v>#N/A</v>
      </c>
      <c r="Y11" s="681"/>
      <c r="Z11" s="569"/>
      <c r="AA11" s="569"/>
      <c r="AB11" s="569"/>
      <c r="AC11" s="475" t="e">
        <f t="shared" si="5"/>
        <v>#N/A</v>
      </c>
      <c r="AD11" s="681"/>
      <c r="AE11" s="569"/>
      <c r="AF11" s="569"/>
      <c r="AG11" s="569"/>
      <c r="AH11" s="475" t="e">
        <f t="shared" si="7"/>
        <v>#N/A</v>
      </c>
      <c r="AI11" s="681"/>
      <c r="AJ11" s="569"/>
      <c r="AK11" s="569"/>
      <c r="AL11" s="569"/>
      <c r="AM11" s="475" t="e">
        <f t="shared" si="9"/>
        <v>#N/A</v>
      </c>
      <c r="AN11" s="681"/>
      <c r="AO11" s="569"/>
      <c r="AP11" s="569"/>
      <c r="AQ11" s="569"/>
      <c r="AR11" s="475" t="e">
        <f t="shared" si="11"/>
        <v>#N/A</v>
      </c>
      <c r="AS11" s="681"/>
      <c r="AT11" s="569"/>
      <c r="AU11" s="569"/>
      <c r="AV11" s="569"/>
      <c r="AW11" s="447" t="e">
        <f t="shared" si="17"/>
        <v>#N/A</v>
      </c>
      <c r="AX11" s="681"/>
      <c r="AZ11" s="362" t="e">
        <f>RANK(AX11, $K$7:AX$21)</f>
        <v>#N/A</v>
      </c>
      <c r="BB11" s="359" t="e">
        <f t="shared" si="18"/>
        <v>#N/A</v>
      </c>
    </row>
    <row r="12" spans="1:54" ht="14.25">
      <c r="A12" s="81"/>
      <c r="B12" s="667"/>
      <c r="C12" s="447">
        <v>6</v>
      </c>
      <c r="D12" s="227"/>
      <c r="E12" s="182"/>
      <c r="F12" s="475"/>
      <c r="G12" s="476"/>
      <c r="H12" s="709"/>
      <c r="I12" s="449"/>
      <c r="J12" s="449"/>
      <c r="K12" s="200"/>
      <c r="L12" s="641"/>
      <c r="M12" s="452" t="e">
        <f>RANK(K12, $K$7:K$21)</f>
        <v>#N/A</v>
      </c>
      <c r="N12" s="659"/>
      <c r="O12" s="659"/>
      <c r="P12" s="447"/>
      <c r="Q12" s="447"/>
      <c r="R12" s="447"/>
      <c r="S12" s="447" t="e">
        <f t="shared" si="16"/>
        <v>#N/A</v>
      </c>
      <c r="T12" s="681"/>
      <c r="U12" s="569"/>
      <c r="V12" s="569"/>
      <c r="W12" s="569"/>
      <c r="X12" s="475" t="e">
        <f t="shared" si="3"/>
        <v>#N/A</v>
      </c>
      <c r="Y12" s="681"/>
      <c r="Z12" s="569"/>
      <c r="AA12" s="569"/>
      <c r="AB12" s="569"/>
      <c r="AC12" s="475" t="e">
        <f t="shared" si="5"/>
        <v>#N/A</v>
      </c>
      <c r="AD12" s="681"/>
      <c r="AE12" s="569"/>
      <c r="AF12" s="569"/>
      <c r="AG12" s="569"/>
      <c r="AH12" s="475" t="e">
        <f t="shared" si="7"/>
        <v>#N/A</v>
      </c>
      <c r="AI12" s="681"/>
      <c r="AJ12" s="569"/>
      <c r="AK12" s="569"/>
      <c r="AL12" s="569"/>
      <c r="AM12" s="475" t="e">
        <f t="shared" si="9"/>
        <v>#N/A</v>
      </c>
      <c r="AN12" s="681"/>
      <c r="AO12" s="569"/>
      <c r="AP12" s="569"/>
      <c r="AQ12" s="569"/>
      <c r="AR12" s="475" t="e">
        <f t="shared" si="11"/>
        <v>#N/A</v>
      </c>
      <c r="AS12" s="681"/>
      <c r="AT12" s="569"/>
      <c r="AU12" s="569"/>
      <c r="AV12" s="569"/>
      <c r="AW12" s="447" t="e">
        <f t="shared" si="17"/>
        <v>#N/A</v>
      </c>
      <c r="AX12" s="681"/>
      <c r="AZ12" s="362" t="e">
        <f>RANK(AX12, $K$7:AX$21)</f>
        <v>#N/A</v>
      </c>
      <c r="BB12" s="359" t="e">
        <f t="shared" si="18"/>
        <v>#N/A</v>
      </c>
    </row>
    <row r="13" spans="1:54" ht="14.25">
      <c r="A13" s="81"/>
      <c r="B13" s="667"/>
      <c r="C13" s="447">
        <v>7</v>
      </c>
      <c r="D13" s="227"/>
      <c r="E13" s="182"/>
      <c r="F13" s="475"/>
      <c r="G13" s="476"/>
      <c r="H13" s="709"/>
      <c r="I13" s="449"/>
      <c r="J13" s="449"/>
      <c r="K13" s="200"/>
      <c r="L13" s="641"/>
      <c r="M13" s="452" t="e">
        <f>RANK(K13, $K$7:K$21)</f>
        <v>#N/A</v>
      </c>
      <c r="N13" s="659"/>
      <c r="O13" s="659"/>
      <c r="P13" s="447"/>
      <c r="Q13" s="447"/>
      <c r="R13" s="447"/>
      <c r="S13" s="447" t="e">
        <f t="shared" si="16"/>
        <v>#N/A</v>
      </c>
      <c r="T13" s="681"/>
      <c r="U13" s="569"/>
      <c r="V13" s="569"/>
      <c r="W13" s="569"/>
      <c r="X13" s="475" t="e">
        <f t="shared" si="3"/>
        <v>#N/A</v>
      </c>
      <c r="Y13" s="681"/>
      <c r="Z13" s="569"/>
      <c r="AA13" s="569"/>
      <c r="AB13" s="569"/>
      <c r="AC13" s="475" t="e">
        <f t="shared" si="5"/>
        <v>#N/A</v>
      </c>
      <c r="AD13" s="681"/>
      <c r="AE13" s="569"/>
      <c r="AF13" s="569"/>
      <c r="AG13" s="569"/>
      <c r="AH13" s="475" t="e">
        <f t="shared" si="7"/>
        <v>#N/A</v>
      </c>
      <c r="AI13" s="681"/>
      <c r="AJ13" s="569"/>
      <c r="AK13" s="569"/>
      <c r="AL13" s="569"/>
      <c r="AM13" s="475" t="e">
        <f t="shared" si="9"/>
        <v>#N/A</v>
      </c>
      <c r="AN13" s="681"/>
      <c r="AO13" s="569"/>
      <c r="AP13" s="569"/>
      <c r="AQ13" s="569"/>
      <c r="AR13" s="475" t="e">
        <f t="shared" si="11"/>
        <v>#N/A</v>
      </c>
      <c r="AS13" s="681"/>
      <c r="AT13" s="569"/>
      <c r="AU13" s="569"/>
      <c r="AV13" s="569"/>
      <c r="AW13" s="447" t="e">
        <f t="shared" si="17"/>
        <v>#N/A</v>
      </c>
      <c r="AX13" s="681"/>
      <c r="AZ13" s="362" t="e">
        <f>RANK(AX13, $K$7:AX$21)</f>
        <v>#N/A</v>
      </c>
      <c r="BB13" s="359" t="e">
        <f t="shared" si="18"/>
        <v>#N/A</v>
      </c>
    </row>
    <row r="14" spans="1:54" ht="14.25">
      <c r="A14" s="81"/>
      <c r="B14" s="667"/>
      <c r="C14" s="447">
        <v>8</v>
      </c>
      <c r="D14" s="227"/>
      <c r="E14" s="182"/>
      <c r="F14" s="475"/>
      <c r="G14" s="476"/>
      <c r="H14" s="709"/>
      <c r="I14" s="449"/>
      <c r="J14" s="449"/>
      <c r="K14" s="200"/>
      <c r="L14" s="641"/>
      <c r="M14" s="452" t="e">
        <f>RANK(K14, $K$7:K$21)</f>
        <v>#N/A</v>
      </c>
      <c r="N14" s="659"/>
      <c r="O14" s="659"/>
      <c r="P14" s="447"/>
      <c r="Q14" s="447"/>
      <c r="R14" s="447"/>
      <c r="S14" s="447" t="e">
        <f t="shared" si="16"/>
        <v>#N/A</v>
      </c>
      <c r="T14" s="681"/>
      <c r="U14" s="569"/>
      <c r="V14" s="569"/>
      <c r="W14" s="569"/>
      <c r="X14" s="475" t="e">
        <f t="shared" si="3"/>
        <v>#N/A</v>
      </c>
      <c r="Y14" s="681"/>
      <c r="Z14" s="569"/>
      <c r="AA14" s="569"/>
      <c r="AB14" s="569"/>
      <c r="AC14" s="475" t="e">
        <f t="shared" si="5"/>
        <v>#N/A</v>
      </c>
      <c r="AD14" s="681"/>
      <c r="AE14" s="569"/>
      <c r="AF14" s="569"/>
      <c r="AG14" s="569"/>
      <c r="AH14" s="475" t="e">
        <f t="shared" si="7"/>
        <v>#N/A</v>
      </c>
      <c r="AI14" s="681"/>
      <c r="AJ14" s="569"/>
      <c r="AK14" s="569"/>
      <c r="AL14" s="569"/>
      <c r="AM14" s="475" t="e">
        <f t="shared" si="9"/>
        <v>#N/A</v>
      </c>
      <c r="AN14" s="681"/>
      <c r="AO14" s="569"/>
      <c r="AP14" s="569"/>
      <c r="AQ14" s="569"/>
      <c r="AR14" s="475" t="e">
        <f t="shared" si="11"/>
        <v>#N/A</v>
      </c>
      <c r="AS14" s="681"/>
      <c r="AT14" s="569"/>
      <c r="AU14" s="569"/>
      <c r="AV14" s="569"/>
      <c r="AW14" s="447" t="e">
        <f t="shared" si="17"/>
        <v>#N/A</v>
      </c>
      <c r="AX14" s="681"/>
      <c r="AZ14" s="362" t="e">
        <f>RANK(AX14, $K$7:AX$21)</f>
        <v>#N/A</v>
      </c>
      <c r="BB14" s="359" t="e">
        <f t="shared" si="18"/>
        <v>#N/A</v>
      </c>
    </row>
    <row r="15" spans="1:54" ht="14.25">
      <c r="A15" s="81"/>
      <c r="B15" s="667"/>
      <c r="C15" s="447">
        <v>9</v>
      </c>
      <c r="D15" s="227"/>
      <c r="E15" s="182"/>
      <c r="F15" s="447"/>
      <c r="G15" s="448"/>
      <c r="H15" s="709"/>
      <c r="I15" s="449"/>
      <c r="J15" s="449"/>
      <c r="K15" s="200"/>
      <c r="L15" s="641"/>
      <c r="M15" s="452" t="e">
        <f>RANK(K15, $K$7:K$21)</f>
        <v>#N/A</v>
      </c>
      <c r="N15" s="659"/>
      <c r="O15" s="659"/>
      <c r="P15" s="447"/>
      <c r="Q15" s="447"/>
      <c r="R15" s="447"/>
      <c r="S15" s="447" t="e">
        <f t="shared" si="16"/>
        <v>#N/A</v>
      </c>
      <c r="T15" s="681"/>
      <c r="U15" s="569"/>
      <c r="V15" s="569"/>
      <c r="W15" s="569"/>
      <c r="X15" s="475" t="e">
        <f t="shared" si="3"/>
        <v>#N/A</v>
      </c>
      <c r="Y15" s="681"/>
      <c r="Z15" s="569"/>
      <c r="AA15" s="569"/>
      <c r="AB15" s="569"/>
      <c r="AC15" s="475" t="e">
        <f t="shared" si="5"/>
        <v>#N/A</v>
      </c>
      <c r="AD15" s="681"/>
      <c r="AE15" s="569"/>
      <c r="AF15" s="569"/>
      <c r="AG15" s="569"/>
      <c r="AH15" s="475" t="e">
        <f t="shared" si="7"/>
        <v>#N/A</v>
      </c>
      <c r="AI15" s="681"/>
      <c r="AJ15" s="569"/>
      <c r="AK15" s="569"/>
      <c r="AL15" s="569"/>
      <c r="AM15" s="475" t="e">
        <f t="shared" si="9"/>
        <v>#N/A</v>
      </c>
      <c r="AN15" s="681"/>
      <c r="AO15" s="569"/>
      <c r="AP15" s="569"/>
      <c r="AQ15" s="569"/>
      <c r="AR15" s="475" t="e">
        <f t="shared" si="11"/>
        <v>#N/A</v>
      </c>
      <c r="AS15" s="681"/>
      <c r="AT15" s="569"/>
      <c r="AU15" s="569"/>
      <c r="AV15" s="569"/>
      <c r="AW15" s="447" t="e">
        <f t="shared" si="17"/>
        <v>#N/A</v>
      </c>
      <c r="AX15" s="681"/>
      <c r="AZ15" s="362" t="e">
        <f>RANK(AX15, $K$7:AX$21)</f>
        <v>#N/A</v>
      </c>
      <c r="BB15" s="359" t="e">
        <f t="shared" si="18"/>
        <v>#N/A</v>
      </c>
    </row>
    <row r="16" spans="1:54" ht="14.25">
      <c r="A16" s="81"/>
      <c r="B16" s="667"/>
      <c r="C16" s="447">
        <v>10</v>
      </c>
      <c r="D16" s="227"/>
      <c r="E16" s="182"/>
      <c r="F16" s="447"/>
      <c r="G16" s="448"/>
      <c r="H16" s="709"/>
      <c r="I16" s="449"/>
      <c r="J16" s="449"/>
      <c r="K16" s="200"/>
      <c r="L16" s="641"/>
      <c r="M16" s="452" t="e">
        <f>RANK(K16, $K$7:K$21)</f>
        <v>#N/A</v>
      </c>
      <c r="N16" s="659"/>
      <c r="O16" s="659"/>
      <c r="P16" s="447"/>
      <c r="Q16" s="447"/>
      <c r="R16" s="447"/>
      <c r="S16" s="447" t="e">
        <f t="shared" si="16"/>
        <v>#N/A</v>
      </c>
      <c r="T16" s="681"/>
      <c r="U16" s="569"/>
      <c r="V16" s="569"/>
      <c r="W16" s="569"/>
      <c r="X16" s="475" t="e">
        <f t="shared" si="3"/>
        <v>#N/A</v>
      </c>
      <c r="Y16" s="681"/>
      <c r="Z16" s="569"/>
      <c r="AA16" s="569"/>
      <c r="AB16" s="569"/>
      <c r="AC16" s="475" t="e">
        <f t="shared" si="5"/>
        <v>#N/A</v>
      </c>
      <c r="AD16" s="681"/>
      <c r="AE16" s="569"/>
      <c r="AF16" s="569"/>
      <c r="AG16" s="569"/>
      <c r="AH16" s="475" t="e">
        <f t="shared" si="7"/>
        <v>#N/A</v>
      </c>
      <c r="AI16" s="681"/>
      <c r="AJ16" s="569"/>
      <c r="AK16" s="569"/>
      <c r="AL16" s="569"/>
      <c r="AM16" s="475" t="e">
        <f t="shared" si="9"/>
        <v>#N/A</v>
      </c>
      <c r="AN16" s="681"/>
      <c r="AO16" s="569"/>
      <c r="AP16" s="569"/>
      <c r="AQ16" s="569"/>
      <c r="AR16" s="475" t="e">
        <f t="shared" si="11"/>
        <v>#N/A</v>
      </c>
      <c r="AS16" s="681"/>
      <c r="AT16" s="569"/>
      <c r="AU16" s="569"/>
      <c r="AV16" s="569"/>
      <c r="AW16" s="447" t="e">
        <f t="shared" si="17"/>
        <v>#N/A</v>
      </c>
      <c r="AX16" s="681"/>
      <c r="AZ16" s="362" t="e">
        <f>RANK(AX16, $K$7:AX$21)</f>
        <v>#N/A</v>
      </c>
      <c r="BB16" s="359" t="e">
        <f t="shared" si="18"/>
        <v>#N/A</v>
      </c>
    </row>
    <row r="17" spans="2:54">
      <c r="B17" s="667"/>
      <c r="C17" s="447">
        <v>11</v>
      </c>
      <c r="D17" s="227"/>
      <c r="E17" s="182"/>
      <c r="F17" s="447"/>
      <c r="G17" s="448"/>
      <c r="H17" s="709"/>
      <c r="I17" s="202"/>
      <c r="J17" s="202"/>
      <c r="K17" s="202"/>
      <c r="L17" s="641"/>
      <c r="M17" s="452" t="e">
        <f>RANK(K17, $K$7:K$21)</f>
        <v>#N/A</v>
      </c>
      <c r="N17" s="659"/>
      <c r="O17" s="659"/>
      <c r="P17" s="447"/>
      <c r="Q17" s="447"/>
      <c r="R17" s="447"/>
      <c r="S17" s="447" t="e">
        <f t="shared" si="16"/>
        <v>#N/A</v>
      </c>
      <c r="T17" s="681"/>
      <c r="U17" s="569"/>
      <c r="V17" s="569"/>
      <c r="W17" s="569"/>
      <c r="X17" s="475" t="e">
        <f t="shared" si="3"/>
        <v>#N/A</v>
      </c>
      <c r="Y17" s="681"/>
      <c r="Z17" s="569"/>
      <c r="AA17" s="569"/>
      <c r="AB17" s="569"/>
      <c r="AC17" s="475" t="e">
        <f t="shared" si="5"/>
        <v>#N/A</v>
      </c>
      <c r="AD17" s="681"/>
      <c r="AE17" s="569"/>
      <c r="AF17" s="569"/>
      <c r="AG17" s="569"/>
      <c r="AH17" s="475" t="e">
        <f t="shared" si="7"/>
        <v>#N/A</v>
      </c>
      <c r="AI17" s="681"/>
      <c r="AJ17" s="569"/>
      <c r="AK17" s="569"/>
      <c r="AL17" s="569"/>
      <c r="AM17" s="475" t="e">
        <f t="shared" si="9"/>
        <v>#N/A</v>
      </c>
      <c r="AN17" s="681"/>
      <c r="AO17" s="569"/>
      <c r="AP17" s="569"/>
      <c r="AQ17" s="569"/>
      <c r="AR17" s="475" t="e">
        <f t="shared" si="11"/>
        <v>#N/A</v>
      </c>
      <c r="AS17" s="681"/>
      <c r="AT17" s="569"/>
      <c r="AU17" s="569"/>
      <c r="AV17" s="569"/>
      <c r="AW17" s="447" t="e">
        <f t="shared" si="17"/>
        <v>#N/A</v>
      </c>
      <c r="AX17" s="681"/>
      <c r="AZ17" s="362" t="e">
        <f>RANK(AX17, $K$7:AX$21)</f>
        <v>#N/A</v>
      </c>
      <c r="BB17" s="359" t="e">
        <f t="shared" si="18"/>
        <v>#N/A</v>
      </c>
    </row>
    <row r="18" spans="2:54">
      <c r="B18" s="667"/>
      <c r="C18" s="447">
        <v>12</v>
      </c>
      <c r="D18" s="227"/>
      <c r="E18" s="182"/>
      <c r="F18" s="447"/>
      <c r="G18" s="448"/>
      <c r="H18" s="709"/>
      <c r="I18" s="202"/>
      <c r="J18" s="202"/>
      <c r="K18" s="202"/>
      <c r="L18" s="641"/>
      <c r="M18" s="452" t="e">
        <f>RANK(K18, $K$7:K$21)</f>
        <v>#N/A</v>
      </c>
      <c r="N18" s="659"/>
      <c r="O18" s="659"/>
      <c r="P18" s="447"/>
      <c r="Q18" s="447"/>
      <c r="R18" s="447"/>
      <c r="S18" s="447" t="e">
        <f t="shared" si="16"/>
        <v>#N/A</v>
      </c>
      <c r="T18" s="681"/>
      <c r="U18" s="569"/>
      <c r="V18" s="569"/>
      <c r="W18" s="569"/>
      <c r="X18" s="475" t="e">
        <f t="shared" si="3"/>
        <v>#N/A</v>
      </c>
      <c r="Y18" s="681"/>
      <c r="Z18" s="569"/>
      <c r="AA18" s="569"/>
      <c r="AB18" s="569"/>
      <c r="AC18" s="475" t="e">
        <f t="shared" si="5"/>
        <v>#N/A</v>
      </c>
      <c r="AD18" s="681"/>
      <c r="AE18" s="569"/>
      <c r="AF18" s="569"/>
      <c r="AG18" s="569"/>
      <c r="AH18" s="475" t="e">
        <f t="shared" si="7"/>
        <v>#N/A</v>
      </c>
      <c r="AI18" s="681"/>
      <c r="AJ18" s="569"/>
      <c r="AK18" s="569"/>
      <c r="AL18" s="569"/>
      <c r="AM18" s="475" t="e">
        <f t="shared" si="9"/>
        <v>#N/A</v>
      </c>
      <c r="AN18" s="681"/>
      <c r="AO18" s="569"/>
      <c r="AP18" s="569"/>
      <c r="AQ18" s="569"/>
      <c r="AR18" s="475" t="e">
        <f t="shared" si="11"/>
        <v>#N/A</v>
      </c>
      <c r="AS18" s="681"/>
      <c r="AT18" s="569"/>
      <c r="AU18" s="569"/>
      <c r="AV18" s="569"/>
      <c r="AW18" s="447" t="e">
        <f t="shared" si="17"/>
        <v>#N/A</v>
      </c>
      <c r="AX18" s="681"/>
      <c r="AZ18" s="362" t="e">
        <f>RANK(AX18, $K$7:AX$21)</f>
        <v>#N/A</v>
      </c>
      <c r="BB18" s="359" t="e">
        <f t="shared" si="18"/>
        <v>#N/A</v>
      </c>
    </row>
    <row r="19" spans="2:54">
      <c r="B19" s="667"/>
      <c r="C19" s="447">
        <v>13</v>
      </c>
      <c r="D19" s="227"/>
      <c r="E19" s="182"/>
      <c r="F19" s="447"/>
      <c r="G19" s="448"/>
      <c r="H19" s="709"/>
      <c r="I19" s="202"/>
      <c r="J19" s="202"/>
      <c r="K19" s="202"/>
      <c r="L19" s="641"/>
      <c r="M19" s="452" t="e">
        <f>RANK(K19, $K$7:K$21)</f>
        <v>#N/A</v>
      </c>
      <c r="N19" s="659"/>
      <c r="O19" s="659"/>
      <c r="P19" s="447"/>
      <c r="Q19" s="447"/>
      <c r="R19" s="447"/>
      <c r="S19" s="447" t="e">
        <f t="shared" si="16"/>
        <v>#N/A</v>
      </c>
      <c r="T19" s="681"/>
      <c r="U19" s="569"/>
      <c r="V19" s="569"/>
      <c r="W19" s="569"/>
      <c r="X19" s="475" t="e">
        <f t="shared" si="3"/>
        <v>#N/A</v>
      </c>
      <c r="Y19" s="681"/>
      <c r="Z19" s="569"/>
      <c r="AA19" s="569"/>
      <c r="AB19" s="569"/>
      <c r="AC19" s="475" t="e">
        <f t="shared" si="5"/>
        <v>#N/A</v>
      </c>
      <c r="AD19" s="681"/>
      <c r="AE19" s="569"/>
      <c r="AF19" s="569"/>
      <c r="AG19" s="569"/>
      <c r="AH19" s="475" t="e">
        <f t="shared" si="7"/>
        <v>#N/A</v>
      </c>
      <c r="AI19" s="681"/>
      <c r="AJ19" s="569"/>
      <c r="AK19" s="569"/>
      <c r="AL19" s="569"/>
      <c r="AM19" s="475" t="e">
        <f t="shared" si="9"/>
        <v>#N/A</v>
      </c>
      <c r="AN19" s="681"/>
      <c r="AO19" s="569"/>
      <c r="AP19" s="569"/>
      <c r="AQ19" s="569"/>
      <c r="AR19" s="475" t="e">
        <f t="shared" si="11"/>
        <v>#N/A</v>
      </c>
      <c r="AS19" s="681"/>
      <c r="AT19" s="569"/>
      <c r="AU19" s="569"/>
      <c r="AV19" s="569"/>
      <c r="AW19" s="447" t="e">
        <f t="shared" si="17"/>
        <v>#N/A</v>
      </c>
      <c r="AX19" s="681"/>
      <c r="AZ19" s="362" t="e">
        <f>RANK(AX19, $K$7:AX$21)</f>
        <v>#N/A</v>
      </c>
      <c r="BB19" s="359" t="e">
        <f t="shared" si="18"/>
        <v>#N/A</v>
      </c>
    </row>
    <row r="20" spans="2:54">
      <c r="B20" s="667"/>
      <c r="C20" s="447">
        <v>14</v>
      </c>
      <c r="D20" s="227"/>
      <c r="E20" s="182"/>
      <c r="F20" s="447"/>
      <c r="G20" s="448"/>
      <c r="H20" s="709"/>
      <c r="I20" s="202"/>
      <c r="J20" s="202"/>
      <c r="K20" s="202"/>
      <c r="L20" s="641"/>
      <c r="M20" s="452" t="e">
        <f>RANK(K20, $K$7:K$21)</f>
        <v>#N/A</v>
      </c>
      <c r="N20" s="659"/>
      <c r="O20" s="659"/>
      <c r="P20" s="447"/>
      <c r="Q20" s="447"/>
      <c r="R20" s="447"/>
      <c r="S20" s="447" t="e">
        <f t="shared" si="16"/>
        <v>#N/A</v>
      </c>
      <c r="T20" s="681"/>
      <c r="U20" s="569"/>
      <c r="V20" s="569"/>
      <c r="W20" s="569"/>
      <c r="X20" s="475" t="e">
        <f t="shared" si="3"/>
        <v>#N/A</v>
      </c>
      <c r="Y20" s="681"/>
      <c r="Z20" s="569"/>
      <c r="AA20" s="569"/>
      <c r="AB20" s="569"/>
      <c r="AC20" s="475" t="e">
        <f t="shared" si="5"/>
        <v>#N/A</v>
      </c>
      <c r="AD20" s="681"/>
      <c r="AE20" s="569"/>
      <c r="AF20" s="569"/>
      <c r="AG20" s="569"/>
      <c r="AH20" s="475" t="e">
        <f t="shared" si="7"/>
        <v>#N/A</v>
      </c>
      <c r="AI20" s="681"/>
      <c r="AJ20" s="569"/>
      <c r="AK20" s="569"/>
      <c r="AL20" s="569"/>
      <c r="AM20" s="475" t="e">
        <f t="shared" si="9"/>
        <v>#N/A</v>
      </c>
      <c r="AN20" s="681"/>
      <c r="AO20" s="569"/>
      <c r="AP20" s="569"/>
      <c r="AQ20" s="569"/>
      <c r="AR20" s="475" t="e">
        <f t="shared" si="11"/>
        <v>#N/A</v>
      </c>
      <c r="AS20" s="681"/>
      <c r="AT20" s="569"/>
      <c r="AU20" s="569"/>
      <c r="AV20" s="569"/>
      <c r="AW20" s="447" t="e">
        <f t="shared" si="17"/>
        <v>#N/A</v>
      </c>
      <c r="AX20" s="681"/>
      <c r="AZ20" s="362" t="e">
        <f>RANK(AX20, $K$7:AX$21)</f>
        <v>#N/A</v>
      </c>
      <c r="BB20" s="359" t="e">
        <f t="shared" si="18"/>
        <v>#N/A</v>
      </c>
    </row>
    <row r="21" spans="2:54">
      <c r="B21" s="667"/>
      <c r="C21" s="447">
        <v>15</v>
      </c>
      <c r="D21" s="227"/>
      <c r="E21" s="182"/>
      <c r="F21" s="447"/>
      <c r="G21" s="448"/>
      <c r="H21" s="710"/>
      <c r="I21" s="202"/>
      <c r="J21" s="202"/>
      <c r="K21" s="202"/>
      <c r="L21" s="642"/>
      <c r="M21" s="449" t="e">
        <f>RANK(K21, $K$7:K$21)</f>
        <v>#N/A</v>
      </c>
      <c r="N21" s="659"/>
      <c r="O21" s="659"/>
      <c r="P21" s="447"/>
      <c r="Q21" s="447"/>
      <c r="R21" s="447"/>
      <c r="S21" s="447" t="e">
        <f t="shared" si="16"/>
        <v>#N/A</v>
      </c>
      <c r="T21" s="681"/>
      <c r="U21" s="569"/>
      <c r="V21" s="569"/>
      <c r="W21" s="569"/>
      <c r="X21" s="475" t="e">
        <f t="shared" si="3"/>
        <v>#N/A</v>
      </c>
      <c r="Y21" s="681"/>
      <c r="Z21" s="569"/>
      <c r="AA21" s="569"/>
      <c r="AB21" s="569"/>
      <c r="AC21" s="475" t="e">
        <f t="shared" si="5"/>
        <v>#N/A</v>
      </c>
      <c r="AD21" s="681"/>
      <c r="AE21" s="569"/>
      <c r="AF21" s="569"/>
      <c r="AG21" s="569"/>
      <c r="AH21" s="475" t="e">
        <f t="shared" si="7"/>
        <v>#N/A</v>
      </c>
      <c r="AI21" s="681"/>
      <c r="AJ21" s="569"/>
      <c r="AK21" s="569"/>
      <c r="AL21" s="569"/>
      <c r="AM21" s="475" t="e">
        <f t="shared" si="9"/>
        <v>#N/A</v>
      </c>
      <c r="AN21" s="681"/>
      <c r="AO21" s="569"/>
      <c r="AP21" s="569"/>
      <c r="AQ21" s="569"/>
      <c r="AR21" s="475" t="e">
        <f t="shared" si="11"/>
        <v>#N/A</v>
      </c>
      <c r="AS21" s="681"/>
      <c r="AT21" s="569"/>
      <c r="AU21" s="569"/>
      <c r="AV21" s="569"/>
      <c r="AW21" s="447" t="e">
        <f t="shared" si="17"/>
        <v>#N/A</v>
      </c>
      <c r="AX21" s="681"/>
      <c r="AZ21" s="361" t="e">
        <f>RANK(AX21, $K$7:AX$21)</f>
        <v>#N/A</v>
      </c>
      <c r="BB21" s="359" t="e">
        <f t="shared" si="18"/>
        <v>#N/A</v>
      </c>
    </row>
    <row r="22" spans="2:54" ht="15.75">
      <c r="B22" s="685" t="s">
        <v>163</v>
      </c>
      <c r="C22" s="686"/>
      <c r="D22" s="686"/>
      <c r="E22" s="686"/>
      <c r="F22" s="686"/>
      <c r="G22" s="686"/>
      <c r="H22" s="686"/>
      <c r="I22" s="203"/>
      <c r="J22" s="203"/>
      <c r="K22" s="203"/>
      <c r="L22" s="203"/>
      <c r="M22" s="204"/>
      <c r="N22" s="660" t="s">
        <v>156</v>
      </c>
      <c r="O22" s="660" t="s">
        <v>105</v>
      </c>
      <c r="P22" s="666">
        <f>P2+7</f>
        <v>46091</v>
      </c>
      <c r="Q22" s="667"/>
      <c r="R22" s="667"/>
      <c r="S22" s="667"/>
      <c r="T22" s="667"/>
      <c r="U22" s="663">
        <f>P22+1</f>
        <v>46092</v>
      </c>
      <c r="V22" s="664"/>
      <c r="W22" s="664"/>
      <c r="X22" s="664"/>
      <c r="Y22" s="665"/>
      <c r="Z22" s="663">
        <f>U22+1</f>
        <v>46093</v>
      </c>
      <c r="AA22" s="664"/>
      <c r="AB22" s="664"/>
      <c r="AC22" s="664"/>
      <c r="AD22" s="665"/>
      <c r="AE22" s="663">
        <f>Z22+1</f>
        <v>46094</v>
      </c>
      <c r="AF22" s="664"/>
      <c r="AG22" s="664"/>
      <c r="AH22" s="664"/>
      <c r="AI22" s="665"/>
      <c r="AJ22" s="663">
        <f>AE22+1</f>
        <v>46095</v>
      </c>
      <c r="AK22" s="664"/>
      <c r="AL22" s="664"/>
      <c r="AM22" s="664"/>
      <c r="AN22" s="665"/>
      <c r="AO22" s="663">
        <f>AJ22+1</f>
        <v>46096</v>
      </c>
      <c r="AP22" s="664"/>
      <c r="AQ22" s="664"/>
      <c r="AR22" s="664"/>
      <c r="AS22" s="665"/>
      <c r="AT22" s="663">
        <f>AO22+1</f>
        <v>46097</v>
      </c>
      <c r="AU22" s="664"/>
      <c r="AV22" s="664"/>
      <c r="AW22" s="664"/>
      <c r="AX22" s="665"/>
    </row>
    <row r="23" spans="2:54" ht="15.75">
      <c r="B23" s="674"/>
      <c r="C23" s="674"/>
      <c r="D23" s="674"/>
      <c r="E23" s="674"/>
      <c r="F23" s="674"/>
      <c r="G23" s="674"/>
      <c r="H23" s="674"/>
      <c r="I23" s="205"/>
      <c r="J23" s="205"/>
      <c r="K23" s="205"/>
      <c r="L23" s="205"/>
      <c r="M23" s="206"/>
      <c r="N23" s="662"/>
      <c r="O23" s="662"/>
      <c r="P23" s="666" t="s">
        <v>336</v>
      </c>
      <c r="Q23" s="667"/>
      <c r="R23" s="667"/>
      <c r="S23" s="667"/>
      <c r="T23" s="667"/>
      <c r="U23" s="666" t="s">
        <v>337</v>
      </c>
      <c r="V23" s="667"/>
      <c r="W23" s="667"/>
      <c r="X23" s="667"/>
      <c r="Y23" s="667"/>
      <c r="Z23" s="666" t="s">
        <v>338</v>
      </c>
      <c r="AA23" s="667"/>
      <c r="AB23" s="667"/>
      <c r="AC23" s="667"/>
      <c r="AD23" s="667"/>
      <c r="AE23" s="666" t="s">
        <v>339</v>
      </c>
      <c r="AF23" s="667"/>
      <c r="AG23" s="667"/>
      <c r="AH23" s="667"/>
      <c r="AI23" s="667"/>
      <c r="AJ23" s="666" t="s">
        <v>340</v>
      </c>
      <c r="AK23" s="667"/>
      <c r="AL23" s="667"/>
      <c r="AM23" s="667"/>
      <c r="AN23" s="667"/>
      <c r="AO23" s="666" t="s">
        <v>341</v>
      </c>
      <c r="AP23" s="667"/>
      <c r="AQ23" s="667"/>
      <c r="AR23" s="667"/>
      <c r="AS23" s="667"/>
      <c r="AT23" s="666" t="s">
        <v>342</v>
      </c>
      <c r="AU23" s="667"/>
      <c r="AV23" s="667"/>
      <c r="AW23" s="667"/>
      <c r="AX23" s="667"/>
    </row>
    <row r="24" spans="2:54">
      <c r="B24" s="659" t="s">
        <v>154</v>
      </c>
      <c r="C24" s="659" t="s">
        <v>429</v>
      </c>
      <c r="D24" s="659"/>
      <c r="E24" s="659" t="s">
        <v>420</v>
      </c>
      <c r="F24" s="659"/>
      <c r="G24" s="659"/>
      <c r="H24" s="675" t="s">
        <v>416</v>
      </c>
      <c r="I24" s="643" t="s">
        <v>421</v>
      </c>
      <c r="J24" s="643"/>
      <c r="K24" s="643"/>
      <c r="L24" s="644" t="s">
        <v>416</v>
      </c>
      <c r="M24" s="650" t="s">
        <v>417</v>
      </c>
      <c r="N24" s="659"/>
      <c r="O24" s="659" t="s">
        <v>422</v>
      </c>
      <c r="P24" s="656" t="s">
        <v>418</v>
      </c>
      <c r="Q24" s="657"/>
      <c r="R24" s="657"/>
      <c r="S24" s="658"/>
      <c r="T24" s="659" t="s">
        <v>416</v>
      </c>
      <c r="U24" s="656" t="s">
        <v>418</v>
      </c>
      <c r="V24" s="657"/>
      <c r="W24" s="657"/>
      <c r="X24" s="658"/>
      <c r="Y24" s="659" t="s">
        <v>416</v>
      </c>
      <c r="Z24" s="656" t="s">
        <v>418</v>
      </c>
      <c r="AA24" s="657"/>
      <c r="AB24" s="657"/>
      <c r="AC24" s="658"/>
      <c r="AD24" s="659" t="s">
        <v>416</v>
      </c>
      <c r="AE24" s="656" t="s">
        <v>418</v>
      </c>
      <c r="AF24" s="657"/>
      <c r="AG24" s="657"/>
      <c r="AH24" s="658"/>
      <c r="AI24" s="659" t="s">
        <v>416</v>
      </c>
      <c r="AJ24" s="656" t="s">
        <v>418</v>
      </c>
      <c r="AK24" s="657"/>
      <c r="AL24" s="657"/>
      <c r="AM24" s="658"/>
      <c r="AN24" s="659" t="s">
        <v>416</v>
      </c>
      <c r="AO24" s="656" t="s">
        <v>418</v>
      </c>
      <c r="AP24" s="657"/>
      <c r="AQ24" s="657"/>
      <c r="AR24" s="658"/>
      <c r="AS24" s="659" t="s">
        <v>416</v>
      </c>
      <c r="AT24" s="656" t="s">
        <v>418</v>
      </c>
      <c r="AU24" s="657"/>
      <c r="AV24" s="657"/>
      <c r="AW24" s="658"/>
      <c r="AX24" s="659" t="s">
        <v>416</v>
      </c>
    </row>
    <row r="25" spans="2:54">
      <c r="B25" s="659"/>
      <c r="C25" s="659"/>
      <c r="D25" s="659"/>
      <c r="E25" s="659" t="s">
        <v>423</v>
      </c>
      <c r="F25" s="659"/>
      <c r="G25" s="659"/>
      <c r="H25" s="676"/>
      <c r="I25" s="643" t="s">
        <v>423</v>
      </c>
      <c r="J25" s="643"/>
      <c r="K25" s="643"/>
      <c r="L25" s="645"/>
      <c r="M25" s="651"/>
      <c r="N25" s="659"/>
      <c r="O25" s="659"/>
      <c r="P25" s="656" t="s">
        <v>424</v>
      </c>
      <c r="Q25" s="657"/>
      <c r="R25" s="657"/>
      <c r="S25" s="658"/>
      <c r="T25" s="659"/>
      <c r="U25" s="656" t="s">
        <v>424</v>
      </c>
      <c r="V25" s="657"/>
      <c r="W25" s="657"/>
      <c r="X25" s="658"/>
      <c r="Y25" s="659"/>
      <c r="Z25" s="656" t="s">
        <v>424</v>
      </c>
      <c r="AA25" s="657"/>
      <c r="AB25" s="657"/>
      <c r="AC25" s="658"/>
      <c r="AD25" s="659"/>
      <c r="AE25" s="656" t="s">
        <v>424</v>
      </c>
      <c r="AF25" s="657"/>
      <c r="AG25" s="657"/>
      <c r="AH25" s="658"/>
      <c r="AI25" s="659"/>
      <c r="AJ25" s="656" t="s">
        <v>424</v>
      </c>
      <c r="AK25" s="657"/>
      <c r="AL25" s="657"/>
      <c r="AM25" s="658"/>
      <c r="AN25" s="659"/>
      <c r="AO25" s="656" t="s">
        <v>424</v>
      </c>
      <c r="AP25" s="657"/>
      <c r="AQ25" s="657"/>
      <c r="AR25" s="658"/>
      <c r="AS25" s="659"/>
      <c r="AT25" s="656" t="s">
        <v>513</v>
      </c>
      <c r="AU25" s="657"/>
      <c r="AV25" s="657"/>
      <c r="AW25" s="658"/>
      <c r="AX25" s="659"/>
    </row>
    <row r="26" spans="2:54">
      <c r="B26" s="659"/>
      <c r="C26" s="659"/>
      <c r="D26" s="659"/>
      <c r="E26" s="320" t="s">
        <v>425</v>
      </c>
      <c r="F26" s="320" t="s">
        <v>426</v>
      </c>
      <c r="G26" s="320" t="s">
        <v>427</v>
      </c>
      <c r="H26" s="677"/>
      <c r="I26" s="319" t="s">
        <v>425</v>
      </c>
      <c r="J26" s="319" t="s">
        <v>426</v>
      </c>
      <c r="K26" s="319" t="s">
        <v>427</v>
      </c>
      <c r="L26" s="646"/>
      <c r="M26" s="652"/>
      <c r="N26" s="659"/>
      <c r="O26" s="659"/>
      <c r="P26" s="320" t="s">
        <v>425</v>
      </c>
      <c r="Q26" s="320" t="s">
        <v>426</v>
      </c>
      <c r="R26" s="320" t="s">
        <v>427</v>
      </c>
      <c r="S26" s="320" t="s">
        <v>417</v>
      </c>
      <c r="T26" s="659"/>
      <c r="U26" s="320" t="s">
        <v>425</v>
      </c>
      <c r="V26" s="320" t="s">
        <v>426</v>
      </c>
      <c r="W26" s="320" t="s">
        <v>427</v>
      </c>
      <c r="X26" s="320" t="s">
        <v>514</v>
      </c>
      <c r="Y26" s="659"/>
      <c r="Z26" s="320" t="s">
        <v>515</v>
      </c>
      <c r="AA26" s="320" t="s">
        <v>426</v>
      </c>
      <c r="AB26" s="320" t="s">
        <v>427</v>
      </c>
      <c r="AC26" s="320" t="s">
        <v>417</v>
      </c>
      <c r="AD26" s="659"/>
      <c r="AE26" s="320" t="s">
        <v>516</v>
      </c>
      <c r="AF26" s="320" t="s">
        <v>517</v>
      </c>
      <c r="AG26" s="320" t="s">
        <v>427</v>
      </c>
      <c r="AH26" s="320" t="s">
        <v>417</v>
      </c>
      <c r="AI26" s="659"/>
      <c r="AJ26" s="320" t="s">
        <v>515</v>
      </c>
      <c r="AK26" s="320" t="s">
        <v>517</v>
      </c>
      <c r="AL26" s="320" t="s">
        <v>427</v>
      </c>
      <c r="AM26" s="320" t="s">
        <v>417</v>
      </c>
      <c r="AN26" s="659"/>
      <c r="AO26" s="320" t="s">
        <v>425</v>
      </c>
      <c r="AP26" s="320" t="s">
        <v>517</v>
      </c>
      <c r="AQ26" s="320" t="s">
        <v>427</v>
      </c>
      <c r="AR26" s="320" t="s">
        <v>417</v>
      </c>
      <c r="AS26" s="659"/>
      <c r="AT26" s="320" t="s">
        <v>515</v>
      </c>
      <c r="AU26" s="320" t="s">
        <v>517</v>
      </c>
      <c r="AV26" s="320" t="s">
        <v>427</v>
      </c>
      <c r="AW26" s="320" t="s">
        <v>417</v>
      </c>
      <c r="AX26" s="659"/>
    </row>
    <row r="27" spans="2:54">
      <c r="B27" s="659" t="s">
        <v>430</v>
      </c>
      <c r="C27" s="321">
        <v>1</v>
      </c>
      <c r="D27" s="227"/>
      <c r="E27" s="182"/>
      <c r="F27" s="569"/>
      <c r="G27" s="570"/>
      <c r="H27" s="708" t="e">
        <f>AVERAGE(G27:G41)</f>
        <v>#DIV/0!</v>
      </c>
      <c r="I27" s="199" t="e">
        <f t="shared" ref="I27:K27" si="19">AVERAGE(P27,U27,Z27,AE27,AJ27,AO27,AT27)</f>
        <v>#DIV/0!</v>
      </c>
      <c r="J27" s="199" t="e">
        <f t="shared" si="19"/>
        <v>#DIV/0!</v>
      </c>
      <c r="K27" s="200" t="e">
        <f t="shared" si="19"/>
        <v>#DIV/0!</v>
      </c>
      <c r="L27" s="640" t="str">
        <f>IFERROR(AVERAGE(K27:K41),"-")</f>
        <v>-</v>
      </c>
      <c r="M27" s="201" t="e">
        <f>RANK(K27, K$27:$K$41)</f>
        <v>#DIV/0!</v>
      </c>
      <c r="N27" s="659"/>
      <c r="O27" s="659"/>
      <c r="P27" s="182"/>
      <c r="Q27" s="182"/>
      <c r="R27" s="570"/>
      <c r="S27" s="321" t="e">
        <f t="shared" ref="S27:S41" si="20">RANK(R27, R$27:R$41)</f>
        <v>#N/A</v>
      </c>
      <c r="T27" s="681" t="e">
        <f>AVERAGE(R27:R41)</f>
        <v>#DIV/0!</v>
      </c>
      <c r="U27" s="182"/>
      <c r="V27" s="182"/>
      <c r="W27" s="570"/>
      <c r="X27" s="475" t="e">
        <f t="shared" ref="X27:X41" si="21">RANK(W27, W$27:W$41)</f>
        <v>#N/A</v>
      </c>
      <c r="Y27" s="681" t="e">
        <f t="shared" ref="Y27" si="22">AVERAGE(W27:W41)</f>
        <v>#DIV/0!</v>
      </c>
      <c r="Z27" s="182"/>
      <c r="AA27" s="182"/>
      <c r="AB27" s="570"/>
      <c r="AC27" s="475" t="e">
        <f t="shared" ref="AC27:AC41" si="23">RANK(AB27, AB$27:AB$41)</f>
        <v>#N/A</v>
      </c>
      <c r="AD27" s="681" t="e">
        <f t="shared" ref="AD27" si="24">AVERAGE(AB27:AB41)</f>
        <v>#DIV/0!</v>
      </c>
      <c r="AE27" s="182"/>
      <c r="AF27" s="182"/>
      <c r="AG27" s="570"/>
      <c r="AH27" s="475" t="e">
        <f t="shared" ref="AH27:AH41" si="25">RANK(AG27, AG$27:AG$41)</f>
        <v>#N/A</v>
      </c>
      <c r="AI27" s="681" t="e">
        <f t="shared" ref="AI27" si="26">AVERAGE(AG27:AG41)</f>
        <v>#DIV/0!</v>
      </c>
      <c r="AJ27" s="182"/>
      <c r="AK27" s="182"/>
      <c r="AL27" s="570"/>
      <c r="AM27" s="475" t="e">
        <f t="shared" ref="AM27:AM41" si="27">RANK(AL27, AL$27:AL$41)</f>
        <v>#N/A</v>
      </c>
      <c r="AN27" s="681" t="e">
        <f t="shared" ref="AN27" si="28">AVERAGE(AL27:AL41)</f>
        <v>#DIV/0!</v>
      </c>
      <c r="AO27" s="182"/>
      <c r="AP27" s="182"/>
      <c r="AQ27" s="570"/>
      <c r="AR27" s="475" t="e">
        <f t="shared" ref="AR27:AR41" si="29">RANK(AQ27, AQ$27:AQ$41)</f>
        <v>#N/A</v>
      </c>
      <c r="AS27" s="681" t="e">
        <f t="shared" ref="AS27" si="30">AVERAGE(AQ27:AQ41)</f>
        <v>#DIV/0!</v>
      </c>
      <c r="AT27" s="182"/>
      <c r="AU27" s="182"/>
      <c r="AV27" s="570"/>
      <c r="AW27" s="475" t="e">
        <f t="shared" ref="AW27:AW41" si="31">RANK(AV27, AV$27:AV$41)</f>
        <v>#N/A</v>
      </c>
      <c r="AX27" s="681" t="e">
        <f t="shared" ref="AX27" si="32">AVERAGE(AV27:AV41)</f>
        <v>#DIV/0!</v>
      </c>
    </row>
    <row r="28" spans="2:54">
      <c r="B28" s="667"/>
      <c r="C28" s="321">
        <v>2</v>
      </c>
      <c r="D28" s="227"/>
      <c r="E28" s="182"/>
      <c r="F28" s="569"/>
      <c r="G28" s="570"/>
      <c r="H28" s="709"/>
      <c r="I28" s="559" t="e">
        <f t="shared" ref="I28" si="33">AVERAGE(P28,U28,Z28,AE28,AJ28,AO28,AT28)</f>
        <v>#DIV/0!</v>
      </c>
      <c r="J28" s="559" t="e">
        <f t="shared" ref="J28" si="34">AVERAGE(Q28,V28,AA28,AF28,AK28,AP28,AU28)</f>
        <v>#DIV/0!</v>
      </c>
      <c r="K28" s="200" t="e">
        <f t="shared" ref="K28" si="35">AVERAGE(R28,W28,AB28,AG28,AL28,AQ28,AV28)</f>
        <v>#DIV/0!</v>
      </c>
      <c r="L28" s="641"/>
      <c r="M28" s="201" t="e">
        <f>RANK(K28, K$27:$K$41)</f>
        <v>#DIV/0!</v>
      </c>
      <c r="N28" s="659"/>
      <c r="O28" s="659"/>
      <c r="P28" s="569"/>
      <c r="Q28" s="182"/>
      <c r="R28" s="570"/>
      <c r="S28" s="321" t="e">
        <f t="shared" si="20"/>
        <v>#N/A</v>
      </c>
      <c r="T28" s="681"/>
      <c r="U28" s="569"/>
      <c r="V28" s="182"/>
      <c r="W28" s="570"/>
      <c r="X28" s="475" t="e">
        <f t="shared" si="21"/>
        <v>#N/A</v>
      </c>
      <c r="Y28" s="681"/>
      <c r="Z28" s="569"/>
      <c r="AA28" s="182"/>
      <c r="AB28" s="570"/>
      <c r="AC28" s="475" t="e">
        <f t="shared" si="23"/>
        <v>#N/A</v>
      </c>
      <c r="AD28" s="681"/>
      <c r="AE28" s="569"/>
      <c r="AF28" s="182"/>
      <c r="AG28" s="570"/>
      <c r="AH28" s="475" t="e">
        <f t="shared" si="25"/>
        <v>#N/A</v>
      </c>
      <c r="AI28" s="681"/>
      <c r="AJ28" s="569"/>
      <c r="AK28" s="182"/>
      <c r="AL28" s="570"/>
      <c r="AM28" s="475" t="e">
        <f t="shared" si="27"/>
        <v>#N/A</v>
      </c>
      <c r="AN28" s="681"/>
      <c r="AO28" s="569"/>
      <c r="AP28" s="182"/>
      <c r="AQ28" s="570"/>
      <c r="AR28" s="475" t="e">
        <f t="shared" si="29"/>
        <v>#N/A</v>
      </c>
      <c r="AS28" s="681"/>
      <c r="AT28" s="569"/>
      <c r="AU28" s="182"/>
      <c r="AV28" s="570"/>
      <c r="AW28" s="475" t="e">
        <f t="shared" si="31"/>
        <v>#N/A</v>
      </c>
      <c r="AX28" s="681"/>
    </row>
    <row r="29" spans="2:54">
      <c r="B29" s="667"/>
      <c r="C29" s="321">
        <v>3</v>
      </c>
      <c r="D29" s="227"/>
      <c r="E29" s="182"/>
      <c r="F29" s="569"/>
      <c r="G29" s="570"/>
      <c r="H29" s="709"/>
      <c r="I29" s="199"/>
      <c r="J29" s="199"/>
      <c r="K29" s="200"/>
      <c r="L29" s="641"/>
      <c r="M29" s="201" t="e">
        <f>RANK(K29, K$27:$K$41)</f>
        <v>#DIV/0!</v>
      </c>
      <c r="N29" s="659"/>
      <c r="O29" s="659"/>
      <c r="P29" s="569"/>
      <c r="Q29" s="569"/>
      <c r="R29" s="569"/>
      <c r="S29" s="321" t="e">
        <f t="shared" si="20"/>
        <v>#N/A</v>
      </c>
      <c r="T29" s="681"/>
      <c r="U29" s="569"/>
      <c r="V29" s="569"/>
      <c r="W29" s="569"/>
      <c r="X29" s="475" t="e">
        <f t="shared" si="21"/>
        <v>#N/A</v>
      </c>
      <c r="Y29" s="681"/>
      <c r="Z29" s="569"/>
      <c r="AA29" s="569"/>
      <c r="AB29" s="569"/>
      <c r="AC29" s="475" t="e">
        <f t="shared" si="23"/>
        <v>#N/A</v>
      </c>
      <c r="AD29" s="681"/>
      <c r="AE29" s="569"/>
      <c r="AF29" s="569"/>
      <c r="AG29" s="569"/>
      <c r="AH29" s="475" t="e">
        <f t="shared" si="25"/>
        <v>#N/A</v>
      </c>
      <c r="AI29" s="681"/>
      <c r="AJ29" s="569"/>
      <c r="AK29" s="569"/>
      <c r="AL29" s="569"/>
      <c r="AM29" s="475" t="e">
        <f t="shared" si="27"/>
        <v>#N/A</v>
      </c>
      <c r="AN29" s="681"/>
      <c r="AO29" s="569"/>
      <c r="AP29" s="569"/>
      <c r="AQ29" s="569"/>
      <c r="AR29" s="475" t="e">
        <f t="shared" si="29"/>
        <v>#N/A</v>
      </c>
      <c r="AS29" s="681"/>
      <c r="AT29" s="569"/>
      <c r="AU29" s="569"/>
      <c r="AV29" s="569"/>
      <c r="AW29" s="475" t="e">
        <f t="shared" si="31"/>
        <v>#N/A</v>
      </c>
      <c r="AX29" s="681"/>
    </row>
    <row r="30" spans="2:54">
      <c r="B30" s="667"/>
      <c r="C30" s="321">
        <v>4</v>
      </c>
      <c r="D30" s="227"/>
      <c r="E30" s="182"/>
      <c r="F30" s="569"/>
      <c r="G30" s="570"/>
      <c r="H30" s="709"/>
      <c r="I30" s="199"/>
      <c r="J30" s="199"/>
      <c r="K30" s="200"/>
      <c r="L30" s="641"/>
      <c r="M30" s="201" t="e">
        <f>RANK(K30, K$27:$K$41)</f>
        <v>#DIV/0!</v>
      </c>
      <c r="N30" s="659"/>
      <c r="O30" s="659"/>
      <c r="P30" s="569"/>
      <c r="Q30" s="569"/>
      <c r="R30" s="569"/>
      <c r="S30" s="321" t="e">
        <f t="shared" si="20"/>
        <v>#N/A</v>
      </c>
      <c r="T30" s="681"/>
      <c r="U30" s="569"/>
      <c r="V30" s="569"/>
      <c r="W30" s="569"/>
      <c r="X30" s="475" t="e">
        <f t="shared" si="21"/>
        <v>#N/A</v>
      </c>
      <c r="Y30" s="681"/>
      <c r="Z30" s="569"/>
      <c r="AA30" s="569"/>
      <c r="AB30" s="569"/>
      <c r="AC30" s="475" t="e">
        <f t="shared" si="23"/>
        <v>#N/A</v>
      </c>
      <c r="AD30" s="681"/>
      <c r="AE30" s="569"/>
      <c r="AF30" s="569"/>
      <c r="AG30" s="569"/>
      <c r="AH30" s="475" t="e">
        <f t="shared" si="25"/>
        <v>#N/A</v>
      </c>
      <c r="AI30" s="681"/>
      <c r="AJ30" s="569"/>
      <c r="AK30" s="569"/>
      <c r="AL30" s="569"/>
      <c r="AM30" s="475" t="e">
        <f t="shared" si="27"/>
        <v>#N/A</v>
      </c>
      <c r="AN30" s="681"/>
      <c r="AO30" s="569"/>
      <c r="AP30" s="569"/>
      <c r="AQ30" s="569"/>
      <c r="AR30" s="475" t="e">
        <f t="shared" si="29"/>
        <v>#N/A</v>
      </c>
      <c r="AS30" s="681"/>
      <c r="AT30" s="569"/>
      <c r="AU30" s="569"/>
      <c r="AV30" s="569"/>
      <c r="AW30" s="475" t="e">
        <f t="shared" si="31"/>
        <v>#N/A</v>
      </c>
      <c r="AX30" s="681"/>
    </row>
    <row r="31" spans="2:54">
      <c r="B31" s="667"/>
      <c r="C31" s="321">
        <v>5</v>
      </c>
      <c r="D31" s="227"/>
      <c r="E31" s="182"/>
      <c r="F31" s="569"/>
      <c r="G31" s="570"/>
      <c r="H31" s="709"/>
      <c r="I31" s="199"/>
      <c r="J31" s="199"/>
      <c r="K31" s="200"/>
      <c r="L31" s="641"/>
      <c r="M31" s="201" t="e">
        <f>RANK(K31, K$27:$K$41)</f>
        <v>#DIV/0!</v>
      </c>
      <c r="N31" s="659"/>
      <c r="O31" s="659"/>
      <c r="P31" s="569"/>
      <c r="Q31" s="569"/>
      <c r="R31" s="569"/>
      <c r="S31" s="321" t="e">
        <f t="shared" si="20"/>
        <v>#N/A</v>
      </c>
      <c r="T31" s="681"/>
      <c r="U31" s="569"/>
      <c r="V31" s="569"/>
      <c r="W31" s="569"/>
      <c r="X31" s="475" t="e">
        <f t="shared" si="21"/>
        <v>#N/A</v>
      </c>
      <c r="Y31" s="681"/>
      <c r="Z31" s="569"/>
      <c r="AA31" s="569"/>
      <c r="AB31" s="569"/>
      <c r="AC31" s="475" t="e">
        <f t="shared" si="23"/>
        <v>#N/A</v>
      </c>
      <c r="AD31" s="681"/>
      <c r="AE31" s="569"/>
      <c r="AF31" s="569"/>
      <c r="AG31" s="569"/>
      <c r="AH31" s="475" t="e">
        <f t="shared" si="25"/>
        <v>#N/A</v>
      </c>
      <c r="AI31" s="681"/>
      <c r="AJ31" s="569"/>
      <c r="AK31" s="569"/>
      <c r="AL31" s="569"/>
      <c r="AM31" s="475" t="e">
        <f t="shared" si="27"/>
        <v>#N/A</v>
      </c>
      <c r="AN31" s="681"/>
      <c r="AO31" s="569"/>
      <c r="AP31" s="569"/>
      <c r="AQ31" s="569"/>
      <c r="AR31" s="475" t="e">
        <f t="shared" si="29"/>
        <v>#N/A</v>
      </c>
      <c r="AS31" s="681"/>
      <c r="AT31" s="569"/>
      <c r="AU31" s="569"/>
      <c r="AV31" s="569"/>
      <c r="AW31" s="475" t="e">
        <f t="shared" si="31"/>
        <v>#N/A</v>
      </c>
      <c r="AX31" s="681"/>
    </row>
    <row r="32" spans="2:54">
      <c r="B32" s="667"/>
      <c r="C32" s="321">
        <v>6</v>
      </c>
      <c r="D32" s="227"/>
      <c r="E32" s="182"/>
      <c r="F32" s="569"/>
      <c r="G32" s="570"/>
      <c r="H32" s="709"/>
      <c r="I32" s="199"/>
      <c r="J32" s="199"/>
      <c r="K32" s="200"/>
      <c r="L32" s="641"/>
      <c r="M32" s="201" t="e">
        <f>RANK(K32, K$27:$K$41)</f>
        <v>#DIV/0!</v>
      </c>
      <c r="N32" s="659"/>
      <c r="O32" s="659"/>
      <c r="P32" s="569"/>
      <c r="Q32" s="569"/>
      <c r="R32" s="569"/>
      <c r="S32" s="321" t="e">
        <f t="shared" si="20"/>
        <v>#N/A</v>
      </c>
      <c r="T32" s="681"/>
      <c r="U32" s="569"/>
      <c r="V32" s="569"/>
      <c r="W32" s="569"/>
      <c r="X32" s="475" t="e">
        <f t="shared" si="21"/>
        <v>#N/A</v>
      </c>
      <c r="Y32" s="681"/>
      <c r="Z32" s="569"/>
      <c r="AA32" s="569"/>
      <c r="AB32" s="569"/>
      <c r="AC32" s="475" t="e">
        <f t="shared" si="23"/>
        <v>#N/A</v>
      </c>
      <c r="AD32" s="681"/>
      <c r="AE32" s="569"/>
      <c r="AF32" s="569"/>
      <c r="AG32" s="569"/>
      <c r="AH32" s="475" t="e">
        <f t="shared" si="25"/>
        <v>#N/A</v>
      </c>
      <c r="AI32" s="681"/>
      <c r="AJ32" s="569"/>
      <c r="AK32" s="569"/>
      <c r="AL32" s="569"/>
      <c r="AM32" s="475" t="e">
        <f t="shared" si="27"/>
        <v>#N/A</v>
      </c>
      <c r="AN32" s="681"/>
      <c r="AO32" s="569"/>
      <c r="AP32" s="569"/>
      <c r="AQ32" s="569"/>
      <c r="AR32" s="475" t="e">
        <f t="shared" si="29"/>
        <v>#N/A</v>
      </c>
      <c r="AS32" s="681"/>
      <c r="AT32" s="569"/>
      <c r="AU32" s="569"/>
      <c r="AV32" s="569"/>
      <c r="AW32" s="475" t="e">
        <f t="shared" si="31"/>
        <v>#N/A</v>
      </c>
      <c r="AX32" s="681"/>
    </row>
    <row r="33" spans="2:50">
      <c r="B33" s="667"/>
      <c r="C33" s="321">
        <v>7</v>
      </c>
      <c r="D33" s="227"/>
      <c r="E33" s="182"/>
      <c r="F33" s="569"/>
      <c r="G33" s="570"/>
      <c r="H33" s="709"/>
      <c r="I33" s="199"/>
      <c r="J33" s="199"/>
      <c r="K33" s="200"/>
      <c r="L33" s="641"/>
      <c r="M33" s="201" t="e">
        <f>RANK(K33, K$27:$K$41)</f>
        <v>#DIV/0!</v>
      </c>
      <c r="N33" s="659"/>
      <c r="O33" s="659"/>
      <c r="P33" s="569"/>
      <c r="Q33" s="569"/>
      <c r="R33" s="569"/>
      <c r="S33" s="321" t="e">
        <f t="shared" si="20"/>
        <v>#N/A</v>
      </c>
      <c r="T33" s="681"/>
      <c r="U33" s="569"/>
      <c r="V33" s="569"/>
      <c r="W33" s="569"/>
      <c r="X33" s="475" t="e">
        <f t="shared" si="21"/>
        <v>#N/A</v>
      </c>
      <c r="Y33" s="681"/>
      <c r="Z33" s="569"/>
      <c r="AA33" s="569"/>
      <c r="AB33" s="569"/>
      <c r="AC33" s="475" t="e">
        <f t="shared" si="23"/>
        <v>#N/A</v>
      </c>
      <c r="AD33" s="681"/>
      <c r="AE33" s="569"/>
      <c r="AF33" s="569"/>
      <c r="AG33" s="569"/>
      <c r="AH33" s="475" t="e">
        <f t="shared" si="25"/>
        <v>#N/A</v>
      </c>
      <c r="AI33" s="681"/>
      <c r="AJ33" s="569"/>
      <c r="AK33" s="569"/>
      <c r="AL33" s="569"/>
      <c r="AM33" s="475" t="e">
        <f t="shared" si="27"/>
        <v>#N/A</v>
      </c>
      <c r="AN33" s="681"/>
      <c r="AO33" s="569"/>
      <c r="AP33" s="569"/>
      <c r="AQ33" s="569"/>
      <c r="AR33" s="475" t="e">
        <f t="shared" si="29"/>
        <v>#N/A</v>
      </c>
      <c r="AS33" s="681"/>
      <c r="AT33" s="569"/>
      <c r="AU33" s="569"/>
      <c r="AV33" s="569"/>
      <c r="AW33" s="475" t="e">
        <f t="shared" si="31"/>
        <v>#N/A</v>
      </c>
      <c r="AX33" s="681"/>
    </row>
    <row r="34" spans="2:50">
      <c r="B34" s="667"/>
      <c r="C34" s="321">
        <v>8</v>
      </c>
      <c r="D34" s="227"/>
      <c r="E34" s="182"/>
      <c r="F34" s="569"/>
      <c r="G34" s="570"/>
      <c r="H34" s="709"/>
      <c r="I34" s="199"/>
      <c r="J34" s="199"/>
      <c r="K34" s="200"/>
      <c r="L34" s="641"/>
      <c r="M34" s="201" t="e">
        <f>RANK(K34, K$27:$K$41)</f>
        <v>#DIV/0!</v>
      </c>
      <c r="N34" s="659"/>
      <c r="O34" s="659"/>
      <c r="P34" s="569"/>
      <c r="Q34" s="569"/>
      <c r="R34" s="569"/>
      <c r="S34" s="321" t="e">
        <f t="shared" si="20"/>
        <v>#N/A</v>
      </c>
      <c r="T34" s="681"/>
      <c r="U34" s="569"/>
      <c r="V34" s="569"/>
      <c r="W34" s="569"/>
      <c r="X34" s="475" t="e">
        <f t="shared" si="21"/>
        <v>#N/A</v>
      </c>
      <c r="Y34" s="681"/>
      <c r="Z34" s="569"/>
      <c r="AA34" s="569"/>
      <c r="AB34" s="569"/>
      <c r="AC34" s="475" t="e">
        <f t="shared" si="23"/>
        <v>#N/A</v>
      </c>
      <c r="AD34" s="681"/>
      <c r="AE34" s="569"/>
      <c r="AF34" s="569"/>
      <c r="AG34" s="569"/>
      <c r="AH34" s="475" t="e">
        <f t="shared" si="25"/>
        <v>#N/A</v>
      </c>
      <c r="AI34" s="681"/>
      <c r="AJ34" s="569"/>
      <c r="AK34" s="569"/>
      <c r="AL34" s="569"/>
      <c r="AM34" s="475" t="e">
        <f t="shared" si="27"/>
        <v>#N/A</v>
      </c>
      <c r="AN34" s="681"/>
      <c r="AO34" s="569"/>
      <c r="AP34" s="569"/>
      <c r="AQ34" s="569"/>
      <c r="AR34" s="475" t="e">
        <f t="shared" si="29"/>
        <v>#N/A</v>
      </c>
      <c r="AS34" s="681"/>
      <c r="AT34" s="569"/>
      <c r="AU34" s="569"/>
      <c r="AV34" s="569"/>
      <c r="AW34" s="475" t="e">
        <f t="shared" si="31"/>
        <v>#N/A</v>
      </c>
      <c r="AX34" s="681"/>
    </row>
    <row r="35" spans="2:50">
      <c r="B35" s="667"/>
      <c r="C35" s="321">
        <v>9</v>
      </c>
      <c r="D35" s="227"/>
      <c r="E35" s="182"/>
      <c r="F35" s="569"/>
      <c r="G35" s="570"/>
      <c r="H35" s="709"/>
      <c r="I35" s="199"/>
      <c r="J35" s="199"/>
      <c r="K35" s="200"/>
      <c r="L35" s="641"/>
      <c r="M35" s="201" t="e">
        <f>RANK(K35, K$27:$K$41)</f>
        <v>#DIV/0!</v>
      </c>
      <c r="N35" s="659"/>
      <c r="O35" s="659"/>
      <c r="P35" s="569"/>
      <c r="Q35" s="569"/>
      <c r="R35" s="569"/>
      <c r="S35" s="321" t="e">
        <f t="shared" si="20"/>
        <v>#N/A</v>
      </c>
      <c r="T35" s="681"/>
      <c r="U35" s="569"/>
      <c r="V35" s="569"/>
      <c r="W35" s="569"/>
      <c r="X35" s="475" t="e">
        <f t="shared" si="21"/>
        <v>#N/A</v>
      </c>
      <c r="Y35" s="681"/>
      <c r="Z35" s="569"/>
      <c r="AA35" s="569"/>
      <c r="AB35" s="569"/>
      <c r="AC35" s="475" t="e">
        <f t="shared" si="23"/>
        <v>#N/A</v>
      </c>
      <c r="AD35" s="681"/>
      <c r="AE35" s="569"/>
      <c r="AF35" s="569"/>
      <c r="AG35" s="569"/>
      <c r="AH35" s="475" t="e">
        <f t="shared" si="25"/>
        <v>#N/A</v>
      </c>
      <c r="AI35" s="681"/>
      <c r="AJ35" s="569"/>
      <c r="AK35" s="569"/>
      <c r="AL35" s="569"/>
      <c r="AM35" s="475" t="e">
        <f t="shared" si="27"/>
        <v>#N/A</v>
      </c>
      <c r="AN35" s="681"/>
      <c r="AO35" s="569"/>
      <c r="AP35" s="569"/>
      <c r="AQ35" s="569"/>
      <c r="AR35" s="475" t="e">
        <f t="shared" si="29"/>
        <v>#N/A</v>
      </c>
      <c r="AS35" s="681"/>
      <c r="AT35" s="569"/>
      <c r="AU35" s="569"/>
      <c r="AV35" s="569"/>
      <c r="AW35" s="475" t="e">
        <f t="shared" si="31"/>
        <v>#N/A</v>
      </c>
      <c r="AX35" s="681"/>
    </row>
    <row r="36" spans="2:50">
      <c r="B36" s="667"/>
      <c r="C36" s="321">
        <v>10</v>
      </c>
      <c r="D36" s="227"/>
      <c r="E36" s="182"/>
      <c r="F36" s="569"/>
      <c r="G36" s="570"/>
      <c r="H36" s="709"/>
      <c r="I36" s="199"/>
      <c r="J36" s="199"/>
      <c r="K36" s="200"/>
      <c r="L36" s="641"/>
      <c r="M36" s="201" t="e">
        <f>RANK(K36, K$27:$K$41)</f>
        <v>#DIV/0!</v>
      </c>
      <c r="N36" s="659"/>
      <c r="O36" s="659"/>
      <c r="P36" s="569"/>
      <c r="Q36" s="569"/>
      <c r="R36" s="569"/>
      <c r="S36" s="321" t="e">
        <f t="shared" si="20"/>
        <v>#N/A</v>
      </c>
      <c r="T36" s="681"/>
      <c r="U36" s="569"/>
      <c r="V36" s="569"/>
      <c r="W36" s="569"/>
      <c r="X36" s="475" t="e">
        <f t="shared" si="21"/>
        <v>#N/A</v>
      </c>
      <c r="Y36" s="681"/>
      <c r="Z36" s="569"/>
      <c r="AA36" s="569"/>
      <c r="AB36" s="569"/>
      <c r="AC36" s="475" t="e">
        <f t="shared" si="23"/>
        <v>#N/A</v>
      </c>
      <c r="AD36" s="681"/>
      <c r="AE36" s="569"/>
      <c r="AF36" s="569"/>
      <c r="AG36" s="569"/>
      <c r="AH36" s="475" t="e">
        <f t="shared" si="25"/>
        <v>#N/A</v>
      </c>
      <c r="AI36" s="681"/>
      <c r="AJ36" s="569"/>
      <c r="AK36" s="569"/>
      <c r="AL36" s="569"/>
      <c r="AM36" s="475" t="e">
        <f t="shared" si="27"/>
        <v>#N/A</v>
      </c>
      <c r="AN36" s="681"/>
      <c r="AO36" s="569"/>
      <c r="AP36" s="569"/>
      <c r="AQ36" s="569"/>
      <c r="AR36" s="475" t="e">
        <f t="shared" si="29"/>
        <v>#N/A</v>
      </c>
      <c r="AS36" s="681"/>
      <c r="AT36" s="569"/>
      <c r="AU36" s="569"/>
      <c r="AV36" s="569"/>
      <c r="AW36" s="475" t="e">
        <f t="shared" si="31"/>
        <v>#N/A</v>
      </c>
      <c r="AX36" s="681"/>
    </row>
    <row r="37" spans="2:50">
      <c r="B37" s="667"/>
      <c r="C37" s="321">
        <v>11</v>
      </c>
      <c r="D37" s="227"/>
      <c r="E37" s="182"/>
      <c r="F37" s="569"/>
      <c r="G37" s="570"/>
      <c r="H37" s="709"/>
      <c r="I37" s="202"/>
      <c r="J37" s="202"/>
      <c r="K37" s="202"/>
      <c r="L37" s="641"/>
      <c r="M37" s="201" t="e">
        <f>RANK(K37, K$27:$K$41)</f>
        <v>#DIV/0!</v>
      </c>
      <c r="N37" s="659"/>
      <c r="O37" s="659"/>
      <c r="P37" s="569"/>
      <c r="Q37" s="569"/>
      <c r="R37" s="569"/>
      <c r="S37" s="321" t="e">
        <f t="shared" si="20"/>
        <v>#N/A</v>
      </c>
      <c r="T37" s="681"/>
      <c r="U37" s="569"/>
      <c r="V37" s="569"/>
      <c r="W37" s="569"/>
      <c r="X37" s="475" t="e">
        <f t="shared" si="21"/>
        <v>#N/A</v>
      </c>
      <c r="Y37" s="681"/>
      <c r="Z37" s="569"/>
      <c r="AA37" s="569"/>
      <c r="AB37" s="569"/>
      <c r="AC37" s="475" t="e">
        <f t="shared" si="23"/>
        <v>#N/A</v>
      </c>
      <c r="AD37" s="681"/>
      <c r="AE37" s="569"/>
      <c r="AF37" s="569"/>
      <c r="AG37" s="569"/>
      <c r="AH37" s="475" t="e">
        <f t="shared" si="25"/>
        <v>#N/A</v>
      </c>
      <c r="AI37" s="681"/>
      <c r="AJ37" s="569"/>
      <c r="AK37" s="569"/>
      <c r="AL37" s="569"/>
      <c r="AM37" s="475" t="e">
        <f t="shared" si="27"/>
        <v>#N/A</v>
      </c>
      <c r="AN37" s="681"/>
      <c r="AO37" s="569"/>
      <c r="AP37" s="569"/>
      <c r="AQ37" s="569"/>
      <c r="AR37" s="475" t="e">
        <f t="shared" si="29"/>
        <v>#N/A</v>
      </c>
      <c r="AS37" s="681"/>
      <c r="AT37" s="569"/>
      <c r="AU37" s="569"/>
      <c r="AV37" s="569"/>
      <c r="AW37" s="475" t="e">
        <f t="shared" si="31"/>
        <v>#N/A</v>
      </c>
      <c r="AX37" s="681"/>
    </row>
    <row r="38" spans="2:50">
      <c r="B38" s="667"/>
      <c r="C38" s="321">
        <v>12</v>
      </c>
      <c r="D38" s="227"/>
      <c r="E38" s="182"/>
      <c r="F38" s="569"/>
      <c r="G38" s="570"/>
      <c r="H38" s="709"/>
      <c r="I38" s="202"/>
      <c r="J38" s="202"/>
      <c r="K38" s="202"/>
      <c r="L38" s="641"/>
      <c r="M38" s="201" t="e">
        <f>RANK(K38, K$27:$K$41)</f>
        <v>#DIV/0!</v>
      </c>
      <c r="N38" s="659"/>
      <c r="O38" s="659"/>
      <c r="P38" s="569"/>
      <c r="Q38" s="569"/>
      <c r="R38" s="569"/>
      <c r="S38" s="321" t="e">
        <f t="shared" si="20"/>
        <v>#N/A</v>
      </c>
      <c r="T38" s="681"/>
      <c r="U38" s="569"/>
      <c r="V38" s="569"/>
      <c r="W38" s="569"/>
      <c r="X38" s="475" t="e">
        <f t="shared" si="21"/>
        <v>#N/A</v>
      </c>
      <c r="Y38" s="681"/>
      <c r="Z38" s="569"/>
      <c r="AA38" s="569"/>
      <c r="AB38" s="569"/>
      <c r="AC38" s="475" t="e">
        <f t="shared" si="23"/>
        <v>#N/A</v>
      </c>
      <c r="AD38" s="681"/>
      <c r="AE38" s="569"/>
      <c r="AF38" s="569"/>
      <c r="AG38" s="569"/>
      <c r="AH38" s="475" t="e">
        <f t="shared" si="25"/>
        <v>#N/A</v>
      </c>
      <c r="AI38" s="681"/>
      <c r="AJ38" s="569"/>
      <c r="AK38" s="569"/>
      <c r="AL38" s="569"/>
      <c r="AM38" s="475" t="e">
        <f t="shared" si="27"/>
        <v>#N/A</v>
      </c>
      <c r="AN38" s="681"/>
      <c r="AO38" s="569"/>
      <c r="AP38" s="569"/>
      <c r="AQ38" s="569"/>
      <c r="AR38" s="475" t="e">
        <f t="shared" si="29"/>
        <v>#N/A</v>
      </c>
      <c r="AS38" s="681"/>
      <c r="AT38" s="569"/>
      <c r="AU38" s="569"/>
      <c r="AV38" s="569"/>
      <c r="AW38" s="475" t="e">
        <f t="shared" si="31"/>
        <v>#N/A</v>
      </c>
      <c r="AX38" s="681"/>
    </row>
    <row r="39" spans="2:50">
      <c r="B39" s="667"/>
      <c r="C39" s="321">
        <v>13</v>
      </c>
      <c r="D39" s="227"/>
      <c r="E39" s="182"/>
      <c r="F39" s="569"/>
      <c r="G39" s="570"/>
      <c r="H39" s="709"/>
      <c r="I39" s="202"/>
      <c r="J39" s="202"/>
      <c r="K39" s="202"/>
      <c r="L39" s="641"/>
      <c r="M39" s="201" t="e">
        <f>RANK(K39, K$27:$K$41)</f>
        <v>#DIV/0!</v>
      </c>
      <c r="N39" s="659"/>
      <c r="O39" s="659"/>
      <c r="P39" s="569"/>
      <c r="Q39" s="569"/>
      <c r="R39" s="569"/>
      <c r="S39" s="321" t="e">
        <f t="shared" si="20"/>
        <v>#N/A</v>
      </c>
      <c r="T39" s="681"/>
      <c r="U39" s="569"/>
      <c r="V39" s="569"/>
      <c r="W39" s="569"/>
      <c r="X39" s="475" t="e">
        <f t="shared" si="21"/>
        <v>#N/A</v>
      </c>
      <c r="Y39" s="681"/>
      <c r="Z39" s="569"/>
      <c r="AA39" s="569"/>
      <c r="AB39" s="569"/>
      <c r="AC39" s="475" t="e">
        <f t="shared" si="23"/>
        <v>#N/A</v>
      </c>
      <c r="AD39" s="681"/>
      <c r="AE39" s="569"/>
      <c r="AF39" s="569"/>
      <c r="AG39" s="569"/>
      <c r="AH39" s="475" t="e">
        <f t="shared" si="25"/>
        <v>#N/A</v>
      </c>
      <c r="AI39" s="681"/>
      <c r="AJ39" s="569"/>
      <c r="AK39" s="569"/>
      <c r="AL39" s="569"/>
      <c r="AM39" s="475" t="e">
        <f t="shared" si="27"/>
        <v>#N/A</v>
      </c>
      <c r="AN39" s="681"/>
      <c r="AO39" s="569"/>
      <c r="AP39" s="569"/>
      <c r="AQ39" s="569"/>
      <c r="AR39" s="475" t="e">
        <f t="shared" si="29"/>
        <v>#N/A</v>
      </c>
      <c r="AS39" s="681"/>
      <c r="AT39" s="569"/>
      <c r="AU39" s="569"/>
      <c r="AV39" s="569"/>
      <c r="AW39" s="475" t="e">
        <f t="shared" si="31"/>
        <v>#N/A</v>
      </c>
      <c r="AX39" s="681"/>
    </row>
    <row r="40" spans="2:50">
      <c r="B40" s="667"/>
      <c r="C40" s="321">
        <v>14</v>
      </c>
      <c r="D40" s="227"/>
      <c r="E40" s="182"/>
      <c r="F40" s="569"/>
      <c r="G40" s="570"/>
      <c r="H40" s="709"/>
      <c r="I40" s="202"/>
      <c r="J40" s="202"/>
      <c r="K40" s="202"/>
      <c r="L40" s="641"/>
      <c r="M40" s="201" t="e">
        <f>RANK(K40, K$27:$K$41)</f>
        <v>#DIV/0!</v>
      </c>
      <c r="N40" s="659"/>
      <c r="O40" s="659"/>
      <c r="P40" s="569"/>
      <c r="Q40" s="569"/>
      <c r="R40" s="569"/>
      <c r="S40" s="321" t="e">
        <f t="shared" si="20"/>
        <v>#N/A</v>
      </c>
      <c r="T40" s="681"/>
      <c r="U40" s="569"/>
      <c r="V40" s="569"/>
      <c r="W40" s="569"/>
      <c r="X40" s="475" t="e">
        <f t="shared" si="21"/>
        <v>#N/A</v>
      </c>
      <c r="Y40" s="681"/>
      <c r="Z40" s="569"/>
      <c r="AA40" s="569"/>
      <c r="AB40" s="569"/>
      <c r="AC40" s="475" t="e">
        <f t="shared" si="23"/>
        <v>#N/A</v>
      </c>
      <c r="AD40" s="681"/>
      <c r="AE40" s="569"/>
      <c r="AF40" s="569"/>
      <c r="AG40" s="569"/>
      <c r="AH40" s="475" t="e">
        <f t="shared" si="25"/>
        <v>#N/A</v>
      </c>
      <c r="AI40" s="681"/>
      <c r="AJ40" s="569"/>
      <c r="AK40" s="569"/>
      <c r="AL40" s="569"/>
      <c r="AM40" s="475" t="e">
        <f t="shared" si="27"/>
        <v>#N/A</v>
      </c>
      <c r="AN40" s="681"/>
      <c r="AO40" s="569"/>
      <c r="AP40" s="569"/>
      <c r="AQ40" s="569"/>
      <c r="AR40" s="475" t="e">
        <f t="shared" si="29"/>
        <v>#N/A</v>
      </c>
      <c r="AS40" s="681"/>
      <c r="AT40" s="569"/>
      <c r="AU40" s="569"/>
      <c r="AV40" s="569"/>
      <c r="AW40" s="475" t="e">
        <f t="shared" si="31"/>
        <v>#N/A</v>
      </c>
      <c r="AX40" s="681"/>
    </row>
    <row r="41" spans="2:50">
      <c r="B41" s="667"/>
      <c r="C41" s="321">
        <v>15</v>
      </c>
      <c r="D41" s="227"/>
      <c r="E41" s="182"/>
      <c r="F41" s="569"/>
      <c r="G41" s="570"/>
      <c r="H41" s="710"/>
      <c r="I41" s="202"/>
      <c r="J41" s="202"/>
      <c r="K41" s="202"/>
      <c r="L41" s="642"/>
      <c r="M41" s="199" t="e">
        <f>RANK(K41, K$27:$K$41)</f>
        <v>#DIV/0!</v>
      </c>
      <c r="N41" s="659"/>
      <c r="O41" s="659"/>
      <c r="P41" s="569"/>
      <c r="Q41" s="569"/>
      <c r="R41" s="569"/>
      <c r="S41" s="321" t="e">
        <f t="shared" si="20"/>
        <v>#N/A</v>
      </c>
      <c r="T41" s="681"/>
      <c r="U41" s="569"/>
      <c r="V41" s="569"/>
      <c r="W41" s="569"/>
      <c r="X41" s="475" t="e">
        <f t="shared" si="21"/>
        <v>#N/A</v>
      </c>
      <c r="Y41" s="681"/>
      <c r="Z41" s="569"/>
      <c r="AA41" s="569"/>
      <c r="AB41" s="569"/>
      <c r="AC41" s="475" t="e">
        <f t="shared" si="23"/>
        <v>#N/A</v>
      </c>
      <c r="AD41" s="681"/>
      <c r="AE41" s="569"/>
      <c r="AF41" s="569"/>
      <c r="AG41" s="569"/>
      <c r="AH41" s="475" t="e">
        <f t="shared" si="25"/>
        <v>#N/A</v>
      </c>
      <c r="AI41" s="681"/>
      <c r="AJ41" s="569"/>
      <c r="AK41" s="569"/>
      <c r="AL41" s="569"/>
      <c r="AM41" s="475" t="e">
        <f t="shared" si="27"/>
        <v>#N/A</v>
      </c>
      <c r="AN41" s="681"/>
      <c r="AO41" s="569"/>
      <c r="AP41" s="569"/>
      <c r="AQ41" s="569"/>
      <c r="AR41" s="475" t="e">
        <f t="shared" si="29"/>
        <v>#N/A</v>
      </c>
      <c r="AS41" s="681"/>
      <c r="AT41" s="569"/>
      <c r="AU41" s="569"/>
      <c r="AV41" s="569"/>
      <c r="AW41" s="475" t="e">
        <f t="shared" si="31"/>
        <v>#N/A</v>
      </c>
      <c r="AX41" s="681"/>
    </row>
    <row r="42" spans="2:50" ht="15.75">
      <c r="B42" s="685" t="s">
        <v>163</v>
      </c>
      <c r="C42" s="686"/>
      <c r="D42" s="686"/>
      <c r="E42" s="686"/>
      <c r="F42" s="686"/>
      <c r="G42" s="686"/>
      <c r="H42" s="686"/>
      <c r="I42" s="208"/>
      <c r="J42" s="203"/>
      <c r="K42" s="208"/>
      <c r="L42" s="208"/>
      <c r="M42" s="204"/>
      <c r="N42" s="660" t="s">
        <v>156</v>
      </c>
      <c r="O42" s="660" t="s">
        <v>105</v>
      </c>
      <c r="P42" s="666">
        <f>P22+7</f>
        <v>46098</v>
      </c>
      <c r="Q42" s="667"/>
      <c r="R42" s="667"/>
      <c r="S42" s="667"/>
      <c r="T42" s="667"/>
      <c r="U42" s="663">
        <f>P42+1</f>
        <v>46099</v>
      </c>
      <c r="V42" s="664"/>
      <c r="W42" s="664"/>
      <c r="X42" s="664"/>
      <c r="Y42" s="665"/>
      <c r="Z42" s="663">
        <f>U42+1</f>
        <v>46100</v>
      </c>
      <c r="AA42" s="664"/>
      <c r="AB42" s="664"/>
      <c r="AC42" s="664"/>
      <c r="AD42" s="665"/>
      <c r="AE42" s="663">
        <f>Z42+1</f>
        <v>46101</v>
      </c>
      <c r="AF42" s="664"/>
      <c r="AG42" s="664"/>
      <c r="AH42" s="664"/>
      <c r="AI42" s="665"/>
      <c r="AJ42" s="663">
        <f>AE42+1</f>
        <v>46102</v>
      </c>
      <c r="AK42" s="664"/>
      <c r="AL42" s="664"/>
      <c r="AM42" s="664"/>
      <c r="AN42" s="665"/>
      <c r="AO42" s="663">
        <f>AJ42+1</f>
        <v>46103</v>
      </c>
      <c r="AP42" s="664"/>
      <c r="AQ42" s="664"/>
      <c r="AR42" s="664"/>
      <c r="AS42" s="665"/>
      <c r="AT42" s="663">
        <f>AO42+1</f>
        <v>46104</v>
      </c>
      <c r="AU42" s="664"/>
      <c r="AV42" s="664"/>
      <c r="AW42" s="664"/>
      <c r="AX42" s="665"/>
    </row>
    <row r="43" spans="2:50" ht="15.75">
      <c r="B43" s="674"/>
      <c r="C43" s="674"/>
      <c r="D43" s="674"/>
      <c r="E43" s="674"/>
      <c r="F43" s="674"/>
      <c r="G43" s="674"/>
      <c r="H43" s="674"/>
      <c r="I43" s="205"/>
      <c r="J43" s="205"/>
      <c r="K43" s="205"/>
      <c r="L43" s="205"/>
      <c r="M43" s="206"/>
      <c r="N43" s="662"/>
      <c r="O43" s="662"/>
      <c r="P43" s="666" t="s">
        <v>336</v>
      </c>
      <c r="Q43" s="667"/>
      <c r="R43" s="667"/>
      <c r="S43" s="667"/>
      <c r="T43" s="667"/>
      <c r="U43" s="666" t="s">
        <v>337</v>
      </c>
      <c r="V43" s="667"/>
      <c r="W43" s="667"/>
      <c r="X43" s="667"/>
      <c r="Y43" s="667"/>
      <c r="Z43" s="666" t="s">
        <v>338</v>
      </c>
      <c r="AA43" s="667"/>
      <c r="AB43" s="667"/>
      <c r="AC43" s="667"/>
      <c r="AD43" s="667"/>
      <c r="AE43" s="666" t="s">
        <v>339</v>
      </c>
      <c r="AF43" s="667"/>
      <c r="AG43" s="667"/>
      <c r="AH43" s="667"/>
      <c r="AI43" s="667"/>
      <c r="AJ43" s="666" t="s">
        <v>340</v>
      </c>
      <c r="AK43" s="667"/>
      <c r="AL43" s="667"/>
      <c r="AM43" s="667"/>
      <c r="AN43" s="667"/>
      <c r="AO43" s="666" t="s">
        <v>341</v>
      </c>
      <c r="AP43" s="667"/>
      <c r="AQ43" s="667"/>
      <c r="AR43" s="667"/>
      <c r="AS43" s="667"/>
      <c r="AT43" s="666" t="s">
        <v>342</v>
      </c>
      <c r="AU43" s="667"/>
      <c r="AV43" s="667"/>
      <c r="AW43" s="667"/>
      <c r="AX43" s="667"/>
    </row>
    <row r="44" spans="2:50">
      <c r="B44" s="659" t="s">
        <v>605</v>
      </c>
      <c r="C44" s="659" t="s">
        <v>606</v>
      </c>
      <c r="D44" s="659"/>
      <c r="E44" s="659" t="s">
        <v>607</v>
      </c>
      <c r="F44" s="659"/>
      <c r="G44" s="659"/>
      <c r="H44" s="675" t="s">
        <v>608</v>
      </c>
      <c r="I44" s="643" t="s">
        <v>609</v>
      </c>
      <c r="J44" s="643"/>
      <c r="K44" s="643"/>
      <c r="L44" s="644" t="s">
        <v>608</v>
      </c>
      <c r="M44" s="650" t="s">
        <v>610</v>
      </c>
      <c r="N44" s="659"/>
      <c r="O44" s="659" t="s">
        <v>611</v>
      </c>
      <c r="P44" s="656" t="s">
        <v>612</v>
      </c>
      <c r="Q44" s="657"/>
      <c r="R44" s="657"/>
      <c r="S44" s="658"/>
      <c r="T44" s="659" t="s">
        <v>608</v>
      </c>
      <c r="U44" s="656" t="s">
        <v>612</v>
      </c>
      <c r="V44" s="657"/>
      <c r="W44" s="657"/>
      <c r="X44" s="658"/>
      <c r="Y44" s="659" t="s">
        <v>608</v>
      </c>
      <c r="Z44" s="656" t="s">
        <v>612</v>
      </c>
      <c r="AA44" s="657"/>
      <c r="AB44" s="657"/>
      <c r="AC44" s="658"/>
      <c r="AD44" s="659" t="s">
        <v>608</v>
      </c>
      <c r="AE44" s="656" t="s">
        <v>612</v>
      </c>
      <c r="AF44" s="657"/>
      <c r="AG44" s="657"/>
      <c r="AH44" s="658"/>
      <c r="AI44" s="659" t="s">
        <v>608</v>
      </c>
      <c r="AJ44" s="656" t="s">
        <v>612</v>
      </c>
      <c r="AK44" s="657"/>
      <c r="AL44" s="657"/>
      <c r="AM44" s="658"/>
      <c r="AN44" s="659" t="s">
        <v>608</v>
      </c>
      <c r="AO44" s="656" t="s">
        <v>612</v>
      </c>
      <c r="AP44" s="657"/>
      <c r="AQ44" s="657"/>
      <c r="AR44" s="658"/>
      <c r="AS44" s="659" t="s">
        <v>608</v>
      </c>
      <c r="AT44" s="656" t="s">
        <v>612</v>
      </c>
      <c r="AU44" s="657"/>
      <c r="AV44" s="657"/>
      <c r="AW44" s="658"/>
      <c r="AX44" s="659" t="s">
        <v>608</v>
      </c>
    </row>
    <row r="45" spans="2:50">
      <c r="B45" s="659"/>
      <c r="C45" s="659"/>
      <c r="D45" s="659"/>
      <c r="E45" s="659" t="s">
        <v>613</v>
      </c>
      <c r="F45" s="659"/>
      <c r="G45" s="659"/>
      <c r="H45" s="676"/>
      <c r="I45" s="643" t="s">
        <v>613</v>
      </c>
      <c r="J45" s="643"/>
      <c r="K45" s="643"/>
      <c r="L45" s="645"/>
      <c r="M45" s="651"/>
      <c r="N45" s="659"/>
      <c r="O45" s="659"/>
      <c r="P45" s="656" t="s">
        <v>614</v>
      </c>
      <c r="Q45" s="657"/>
      <c r="R45" s="657"/>
      <c r="S45" s="658"/>
      <c r="T45" s="659"/>
      <c r="U45" s="656" t="s">
        <v>614</v>
      </c>
      <c r="V45" s="657"/>
      <c r="W45" s="657"/>
      <c r="X45" s="658"/>
      <c r="Y45" s="659"/>
      <c r="Z45" s="656" t="s">
        <v>614</v>
      </c>
      <c r="AA45" s="657"/>
      <c r="AB45" s="657"/>
      <c r="AC45" s="658"/>
      <c r="AD45" s="659"/>
      <c r="AE45" s="656" t="s">
        <v>614</v>
      </c>
      <c r="AF45" s="657"/>
      <c r="AG45" s="657"/>
      <c r="AH45" s="658"/>
      <c r="AI45" s="659"/>
      <c r="AJ45" s="656" t="s">
        <v>614</v>
      </c>
      <c r="AK45" s="657"/>
      <c r="AL45" s="657"/>
      <c r="AM45" s="658"/>
      <c r="AN45" s="659"/>
      <c r="AO45" s="656" t="s">
        <v>614</v>
      </c>
      <c r="AP45" s="657"/>
      <c r="AQ45" s="657"/>
      <c r="AR45" s="658"/>
      <c r="AS45" s="659"/>
      <c r="AT45" s="656" t="s">
        <v>614</v>
      </c>
      <c r="AU45" s="657"/>
      <c r="AV45" s="657"/>
      <c r="AW45" s="658"/>
      <c r="AX45" s="659"/>
    </row>
    <row r="46" spans="2:50">
      <c r="B46" s="659"/>
      <c r="C46" s="659"/>
      <c r="D46" s="659"/>
      <c r="E46" s="326" t="s">
        <v>615</v>
      </c>
      <c r="F46" s="326" t="s">
        <v>616</v>
      </c>
      <c r="G46" s="326" t="s">
        <v>617</v>
      </c>
      <c r="H46" s="677"/>
      <c r="I46" s="325" t="s">
        <v>615</v>
      </c>
      <c r="J46" s="325" t="s">
        <v>616</v>
      </c>
      <c r="K46" s="325" t="s">
        <v>617</v>
      </c>
      <c r="L46" s="646"/>
      <c r="M46" s="652"/>
      <c r="N46" s="659"/>
      <c r="O46" s="659"/>
      <c r="P46" s="326" t="s">
        <v>615</v>
      </c>
      <c r="Q46" s="326" t="s">
        <v>616</v>
      </c>
      <c r="R46" s="326" t="s">
        <v>617</v>
      </c>
      <c r="S46" s="326" t="s">
        <v>610</v>
      </c>
      <c r="T46" s="659"/>
      <c r="U46" s="326" t="s">
        <v>615</v>
      </c>
      <c r="V46" s="326" t="s">
        <v>616</v>
      </c>
      <c r="W46" s="326" t="s">
        <v>617</v>
      </c>
      <c r="X46" s="326" t="s">
        <v>610</v>
      </c>
      <c r="Y46" s="659"/>
      <c r="Z46" s="326" t="s">
        <v>615</v>
      </c>
      <c r="AA46" s="326" t="s">
        <v>616</v>
      </c>
      <c r="AB46" s="326" t="s">
        <v>617</v>
      </c>
      <c r="AC46" s="326" t="s">
        <v>610</v>
      </c>
      <c r="AD46" s="659"/>
      <c r="AE46" s="326" t="s">
        <v>615</v>
      </c>
      <c r="AF46" s="326" t="s">
        <v>616</v>
      </c>
      <c r="AG46" s="326" t="s">
        <v>617</v>
      </c>
      <c r="AH46" s="326" t="s">
        <v>610</v>
      </c>
      <c r="AI46" s="659"/>
      <c r="AJ46" s="326" t="s">
        <v>615</v>
      </c>
      <c r="AK46" s="326" t="s">
        <v>616</v>
      </c>
      <c r="AL46" s="326" t="s">
        <v>617</v>
      </c>
      <c r="AM46" s="326" t="s">
        <v>610</v>
      </c>
      <c r="AN46" s="659"/>
      <c r="AO46" s="326" t="s">
        <v>615</v>
      </c>
      <c r="AP46" s="326" t="s">
        <v>616</v>
      </c>
      <c r="AQ46" s="326" t="s">
        <v>617</v>
      </c>
      <c r="AR46" s="326" t="s">
        <v>610</v>
      </c>
      <c r="AS46" s="659"/>
      <c r="AT46" s="326" t="s">
        <v>615</v>
      </c>
      <c r="AU46" s="326" t="s">
        <v>616</v>
      </c>
      <c r="AV46" s="326" t="s">
        <v>617</v>
      </c>
      <c r="AW46" s="326" t="s">
        <v>610</v>
      </c>
      <c r="AX46" s="659"/>
    </row>
    <row r="47" spans="2:50">
      <c r="B47" s="659" t="s">
        <v>618</v>
      </c>
      <c r="C47" s="327">
        <v>1</v>
      </c>
      <c r="D47" s="227"/>
      <c r="E47" s="182"/>
      <c r="F47" s="569"/>
      <c r="G47" s="570"/>
      <c r="H47" s="708" t="e">
        <f>AVERAGE(G47:G61)</f>
        <v>#DIV/0!</v>
      </c>
      <c r="I47" s="199" t="e">
        <f t="shared" ref="I47:K48" si="36">AVERAGE(P47,U47,Z47,AE47,AJ47,AO47,AT47)</f>
        <v>#DIV/0!</v>
      </c>
      <c r="J47" s="199" t="e">
        <f t="shared" si="36"/>
        <v>#DIV/0!</v>
      </c>
      <c r="K47" s="200" t="e">
        <f t="shared" si="36"/>
        <v>#DIV/0!</v>
      </c>
      <c r="L47" s="640" t="str">
        <f>IFERROR(AVERAGE(K47:K61),"-")</f>
        <v>-</v>
      </c>
      <c r="M47" s="201" t="e">
        <f>RANK(K47, K$47:$K$61)</f>
        <v>#DIV/0!</v>
      </c>
      <c r="N47" s="659"/>
      <c r="O47" s="659"/>
      <c r="P47" s="182"/>
      <c r="Q47" s="182"/>
      <c r="R47" s="570"/>
      <c r="S47" s="327" t="e">
        <f>RANK(R47, R$47:R$61)</f>
        <v>#N/A</v>
      </c>
      <c r="T47" s="681" t="e">
        <f>AVERAGE(R47:R61)</f>
        <v>#DIV/0!</v>
      </c>
      <c r="U47" s="182"/>
      <c r="V47" s="182"/>
      <c r="W47" s="570"/>
      <c r="X47" s="475" t="e">
        <f t="shared" ref="X47:X61" si="37">RANK(W47, W$47:W$61)</f>
        <v>#N/A</v>
      </c>
      <c r="Y47" s="681" t="e">
        <f t="shared" ref="Y47" si="38">AVERAGE(W47:W61)</f>
        <v>#DIV/0!</v>
      </c>
      <c r="Z47" s="182"/>
      <c r="AA47" s="182"/>
      <c r="AB47" s="570"/>
      <c r="AC47" s="475" t="e">
        <f t="shared" ref="AC47:AC61" si="39">RANK(AB47, AB$47:AB$61)</f>
        <v>#N/A</v>
      </c>
      <c r="AD47" s="681" t="e">
        <f t="shared" ref="AD47" si="40">AVERAGE(AB47:AB61)</f>
        <v>#DIV/0!</v>
      </c>
      <c r="AE47" s="182"/>
      <c r="AF47" s="182"/>
      <c r="AG47" s="570"/>
      <c r="AH47" s="475" t="e">
        <f t="shared" ref="AH47:AH61" si="41">RANK(AG47, AG$47:AG$61)</f>
        <v>#N/A</v>
      </c>
      <c r="AI47" s="681" t="e">
        <f t="shared" ref="AI47" si="42">AVERAGE(AG47:AG61)</f>
        <v>#DIV/0!</v>
      </c>
      <c r="AJ47" s="182"/>
      <c r="AK47" s="182"/>
      <c r="AL47" s="570"/>
      <c r="AM47" s="475" t="e">
        <f t="shared" ref="AM47:AM61" si="43">RANK(AL47, AL$47:AL$61)</f>
        <v>#N/A</v>
      </c>
      <c r="AN47" s="681" t="e">
        <f t="shared" ref="AN47" si="44">AVERAGE(AL47:AL61)</f>
        <v>#DIV/0!</v>
      </c>
      <c r="AO47" s="182"/>
      <c r="AP47" s="182"/>
      <c r="AQ47" s="570"/>
      <c r="AR47" s="475" t="e">
        <f t="shared" ref="AR47:AR61" si="45">RANK(AQ47, AQ$47:AQ$61)</f>
        <v>#N/A</v>
      </c>
      <c r="AS47" s="681" t="e">
        <f t="shared" ref="AS47" si="46">AVERAGE(AQ47:AQ61)</f>
        <v>#DIV/0!</v>
      </c>
      <c r="AT47" s="182"/>
      <c r="AU47" s="182"/>
      <c r="AV47" s="570"/>
      <c r="AW47" s="475" t="e">
        <f t="shared" ref="AW47:AW61" si="47">RANK(AV47, AV$47:AV$61)</f>
        <v>#N/A</v>
      </c>
      <c r="AX47" s="681" t="e">
        <f t="shared" ref="AX47" si="48">AVERAGE(AV47:AV61)</f>
        <v>#DIV/0!</v>
      </c>
    </row>
    <row r="48" spans="2:50">
      <c r="B48" s="667"/>
      <c r="C48" s="327">
        <v>2</v>
      </c>
      <c r="D48" s="227"/>
      <c r="E48" s="182"/>
      <c r="F48" s="569"/>
      <c r="G48" s="570"/>
      <c r="H48" s="709"/>
      <c r="I48" s="561" t="e">
        <f t="shared" si="36"/>
        <v>#DIV/0!</v>
      </c>
      <c r="J48" s="561" t="e">
        <f t="shared" si="36"/>
        <v>#DIV/0!</v>
      </c>
      <c r="K48" s="200" t="e">
        <f t="shared" si="36"/>
        <v>#DIV/0!</v>
      </c>
      <c r="L48" s="641"/>
      <c r="M48" s="201" t="e">
        <f>RANK(K48, K$47:$K$61)</f>
        <v>#DIV/0!</v>
      </c>
      <c r="N48" s="659"/>
      <c r="O48" s="659"/>
      <c r="P48" s="569"/>
      <c r="Q48" s="182"/>
      <c r="R48" s="570"/>
      <c r="S48" s="334" t="e">
        <f t="shared" ref="S48:S61" si="49">RANK(R48, R$47:R$61)</f>
        <v>#N/A</v>
      </c>
      <c r="T48" s="681"/>
      <c r="U48" s="569"/>
      <c r="V48" s="182"/>
      <c r="W48" s="570"/>
      <c r="X48" s="475" t="e">
        <f t="shared" si="37"/>
        <v>#N/A</v>
      </c>
      <c r="Y48" s="681"/>
      <c r="Z48" s="569"/>
      <c r="AA48" s="182"/>
      <c r="AB48" s="570"/>
      <c r="AC48" s="475" t="e">
        <f t="shared" si="39"/>
        <v>#N/A</v>
      </c>
      <c r="AD48" s="681"/>
      <c r="AE48" s="569"/>
      <c r="AF48" s="182"/>
      <c r="AG48" s="570"/>
      <c r="AH48" s="475" t="e">
        <f t="shared" si="41"/>
        <v>#N/A</v>
      </c>
      <c r="AI48" s="681"/>
      <c r="AJ48" s="569"/>
      <c r="AK48" s="182"/>
      <c r="AL48" s="570"/>
      <c r="AM48" s="475" t="e">
        <f t="shared" si="43"/>
        <v>#N/A</v>
      </c>
      <c r="AN48" s="681"/>
      <c r="AO48" s="569"/>
      <c r="AP48" s="182"/>
      <c r="AQ48" s="570"/>
      <c r="AR48" s="475" t="e">
        <f t="shared" si="45"/>
        <v>#N/A</v>
      </c>
      <c r="AS48" s="681"/>
      <c r="AT48" s="569"/>
      <c r="AU48" s="182"/>
      <c r="AV48" s="570"/>
      <c r="AW48" s="475" t="e">
        <f t="shared" si="47"/>
        <v>#N/A</v>
      </c>
      <c r="AX48" s="681"/>
    </row>
    <row r="49" spans="2:50">
      <c r="B49" s="667"/>
      <c r="C49" s="327">
        <v>3</v>
      </c>
      <c r="D49" s="227"/>
      <c r="E49" s="182"/>
      <c r="F49" s="569"/>
      <c r="G49" s="570"/>
      <c r="H49" s="709"/>
      <c r="I49" s="463"/>
      <c r="J49" s="463"/>
      <c r="K49" s="200"/>
      <c r="L49" s="641"/>
      <c r="M49" s="201" t="e">
        <f>RANK(K49, K$47:$K$61)</f>
        <v>#DIV/0!</v>
      </c>
      <c r="N49" s="659"/>
      <c r="O49" s="659"/>
      <c r="P49" s="569"/>
      <c r="Q49" s="569"/>
      <c r="R49" s="569"/>
      <c r="S49" s="334" t="e">
        <f t="shared" si="49"/>
        <v>#N/A</v>
      </c>
      <c r="T49" s="681"/>
      <c r="U49" s="569"/>
      <c r="V49" s="569"/>
      <c r="W49" s="569"/>
      <c r="X49" s="475" t="e">
        <f t="shared" si="37"/>
        <v>#N/A</v>
      </c>
      <c r="Y49" s="681"/>
      <c r="Z49" s="569"/>
      <c r="AA49" s="569"/>
      <c r="AB49" s="569"/>
      <c r="AC49" s="475" t="e">
        <f t="shared" si="39"/>
        <v>#N/A</v>
      </c>
      <c r="AD49" s="681"/>
      <c r="AE49" s="569"/>
      <c r="AF49" s="569"/>
      <c r="AG49" s="569"/>
      <c r="AH49" s="475" t="e">
        <f t="shared" si="41"/>
        <v>#N/A</v>
      </c>
      <c r="AI49" s="681"/>
      <c r="AJ49" s="569"/>
      <c r="AK49" s="569"/>
      <c r="AL49" s="569"/>
      <c r="AM49" s="475" t="e">
        <f t="shared" si="43"/>
        <v>#N/A</v>
      </c>
      <c r="AN49" s="681"/>
      <c r="AO49" s="569"/>
      <c r="AP49" s="569"/>
      <c r="AQ49" s="569"/>
      <c r="AR49" s="475" t="e">
        <f t="shared" si="45"/>
        <v>#N/A</v>
      </c>
      <c r="AS49" s="681"/>
      <c r="AT49" s="569"/>
      <c r="AU49" s="569"/>
      <c r="AV49" s="569"/>
      <c r="AW49" s="475" t="e">
        <f t="shared" si="47"/>
        <v>#N/A</v>
      </c>
      <c r="AX49" s="681"/>
    </row>
    <row r="50" spans="2:50">
      <c r="B50" s="667"/>
      <c r="C50" s="327">
        <v>4</v>
      </c>
      <c r="D50" s="227"/>
      <c r="E50" s="182"/>
      <c r="F50" s="569"/>
      <c r="G50" s="570"/>
      <c r="H50" s="709"/>
      <c r="I50" s="199"/>
      <c r="J50" s="199"/>
      <c r="K50" s="200"/>
      <c r="L50" s="641"/>
      <c r="M50" s="201" t="e">
        <f>RANK(K50, K$47:$K$61)</f>
        <v>#DIV/0!</v>
      </c>
      <c r="N50" s="659"/>
      <c r="O50" s="659"/>
      <c r="P50" s="569"/>
      <c r="Q50" s="569"/>
      <c r="R50" s="569"/>
      <c r="S50" s="334" t="e">
        <f t="shared" si="49"/>
        <v>#N/A</v>
      </c>
      <c r="T50" s="681"/>
      <c r="U50" s="569"/>
      <c r="V50" s="569"/>
      <c r="W50" s="569"/>
      <c r="X50" s="475" t="e">
        <f t="shared" si="37"/>
        <v>#N/A</v>
      </c>
      <c r="Y50" s="681"/>
      <c r="Z50" s="569"/>
      <c r="AA50" s="569"/>
      <c r="AB50" s="569"/>
      <c r="AC50" s="475" t="e">
        <f t="shared" si="39"/>
        <v>#N/A</v>
      </c>
      <c r="AD50" s="681"/>
      <c r="AE50" s="569"/>
      <c r="AF50" s="569"/>
      <c r="AG50" s="569"/>
      <c r="AH50" s="475" t="e">
        <f t="shared" si="41"/>
        <v>#N/A</v>
      </c>
      <c r="AI50" s="681"/>
      <c r="AJ50" s="569"/>
      <c r="AK50" s="569"/>
      <c r="AL50" s="569"/>
      <c r="AM50" s="475" t="e">
        <f t="shared" si="43"/>
        <v>#N/A</v>
      </c>
      <c r="AN50" s="681"/>
      <c r="AO50" s="569"/>
      <c r="AP50" s="569"/>
      <c r="AQ50" s="569"/>
      <c r="AR50" s="475" t="e">
        <f t="shared" si="45"/>
        <v>#N/A</v>
      </c>
      <c r="AS50" s="681"/>
      <c r="AT50" s="569"/>
      <c r="AU50" s="569"/>
      <c r="AV50" s="569"/>
      <c r="AW50" s="475" t="e">
        <f t="shared" si="47"/>
        <v>#N/A</v>
      </c>
      <c r="AX50" s="681"/>
    </row>
    <row r="51" spans="2:50">
      <c r="B51" s="667"/>
      <c r="C51" s="327">
        <v>5</v>
      </c>
      <c r="D51" s="227"/>
      <c r="E51" s="182"/>
      <c r="F51" s="569"/>
      <c r="G51" s="570"/>
      <c r="H51" s="709"/>
      <c r="I51" s="199"/>
      <c r="J51" s="199"/>
      <c r="K51" s="200"/>
      <c r="L51" s="641"/>
      <c r="M51" s="201" t="e">
        <f>RANK(K51, K$47:$K$61)</f>
        <v>#DIV/0!</v>
      </c>
      <c r="N51" s="659"/>
      <c r="O51" s="659"/>
      <c r="P51" s="569"/>
      <c r="Q51" s="569"/>
      <c r="R51" s="569"/>
      <c r="S51" s="334" t="e">
        <f t="shared" si="49"/>
        <v>#N/A</v>
      </c>
      <c r="T51" s="681"/>
      <c r="U51" s="569"/>
      <c r="V51" s="569"/>
      <c r="W51" s="569"/>
      <c r="X51" s="475" t="e">
        <f t="shared" si="37"/>
        <v>#N/A</v>
      </c>
      <c r="Y51" s="681"/>
      <c r="Z51" s="569"/>
      <c r="AA51" s="569"/>
      <c r="AB51" s="569"/>
      <c r="AC51" s="475" t="e">
        <f t="shared" si="39"/>
        <v>#N/A</v>
      </c>
      <c r="AD51" s="681"/>
      <c r="AE51" s="569"/>
      <c r="AF51" s="569"/>
      <c r="AG51" s="569"/>
      <c r="AH51" s="475" t="e">
        <f t="shared" si="41"/>
        <v>#N/A</v>
      </c>
      <c r="AI51" s="681"/>
      <c r="AJ51" s="569"/>
      <c r="AK51" s="569"/>
      <c r="AL51" s="569"/>
      <c r="AM51" s="475" t="e">
        <f t="shared" si="43"/>
        <v>#N/A</v>
      </c>
      <c r="AN51" s="681"/>
      <c r="AO51" s="569"/>
      <c r="AP51" s="569"/>
      <c r="AQ51" s="569"/>
      <c r="AR51" s="475" t="e">
        <f t="shared" si="45"/>
        <v>#N/A</v>
      </c>
      <c r="AS51" s="681"/>
      <c r="AT51" s="569"/>
      <c r="AU51" s="569"/>
      <c r="AV51" s="569"/>
      <c r="AW51" s="475" t="e">
        <f t="shared" si="47"/>
        <v>#N/A</v>
      </c>
      <c r="AX51" s="681"/>
    </row>
    <row r="52" spans="2:50">
      <c r="B52" s="667"/>
      <c r="C52" s="327">
        <v>6</v>
      </c>
      <c r="D52" s="227"/>
      <c r="E52" s="182"/>
      <c r="F52" s="569"/>
      <c r="G52" s="570"/>
      <c r="H52" s="709"/>
      <c r="I52" s="199"/>
      <c r="J52" s="199"/>
      <c r="K52" s="200"/>
      <c r="L52" s="641"/>
      <c r="M52" s="201" t="e">
        <f>RANK(K52, K$47:$K$61)</f>
        <v>#DIV/0!</v>
      </c>
      <c r="N52" s="659"/>
      <c r="O52" s="659"/>
      <c r="P52" s="569"/>
      <c r="Q52" s="569"/>
      <c r="R52" s="569"/>
      <c r="S52" s="334" t="e">
        <f t="shared" si="49"/>
        <v>#N/A</v>
      </c>
      <c r="T52" s="681"/>
      <c r="U52" s="569"/>
      <c r="V52" s="569"/>
      <c r="W52" s="569"/>
      <c r="X52" s="475" t="e">
        <f t="shared" si="37"/>
        <v>#N/A</v>
      </c>
      <c r="Y52" s="681"/>
      <c r="Z52" s="569"/>
      <c r="AA52" s="569"/>
      <c r="AB52" s="569"/>
      <c r="AC52" s="475" t="e">
        <f t="shared" si="39"/>
        <v>#N/A</v>
      </c>
      <c r="AD52" s="681"/>
      <c r="AE52" s="569"/>
      <c r="AF52" s="569"/>
      <c r="AG52" s="569"/>
      <c r="AH52" s="475" t="e">
        <f t="shared" si="41"/>
        <v>#N/A</v>
      </c>
      <c r="AI52" s="681"/>
      <c r="AJ52" s="569"/>
      <c r="AK52" s="569"/>
      <c r="AL52" s="569"/>
      <c r="AM52" s="475" t="e">
        <f t="shared" si="43"/>
        <v>#N/A</v>
      </c>
      <c r="AN52" s="681"/>
      <c r="AO52" s="569"/>
      <c r="AP52" s="569"/>
      <c r="AQ52" s="569"/>
      <c r="AR52" s="475" t="e">
        <f t="shared" si="45"/>
        <v>#N/A</v>
      </c>
      <c r="AS52" s="681"/>
      <c r="AT52" s="569"/>
      <c r="AU52" s="569"/>
      <c r="AV52" s="569"/>
      <c r="AW52" s="475" t="e">
        <f t="shared" si="47"/>
        <v>#N/A</v>
      </c>
      <c r="AX52" s="681"/>
    </row>
    <row r="53" spans="2:50">
      <c r="B53" s="667"/>
      <c r="C53" s="327">
        <v>7</v>
      </c>
      <c r="D53" s="227"/>
      <c r="E53" s="182"/>
      <c r="F53" s="569"/>
      <c r="G53" s="570"/>
      <c r="H53" s="709"/>
      <c r="I53" s="199"/>
      <c r="J53" s="199"/>
      <c r="K53" s="200"/>
      <c r="L53" s="641"/>
      <c r="M53" s="201" t="e">
        <f>RANK(K53, K$47:$K$61)</f>
        <v>#DIV/0!</v>
      </c>
      <c r="N53" s="659"/>
      <c r="O53" s="659"/>
      <c r="P53" s="569"/>
      <c r="Q53" s="569"/>
      <c r="R53" s="569"/>
      <c r="S53" s="334" t="e">
        <f t="shared" si="49"/>
        <v>#N/A</v>
      </c>
      <c r="T53" s="681"/>
      <c r="U53" s="569"/>
      <c r="V53" s="569"/>
      <c r="W53" s="569"/>
      <c r="X53" s="475" t="e">
        <f t="shared" si="37"/>
        <v>#N/A</v>
      </c>
      <c r="Y53" s="681"/>
      <c r="Z53" s="569"/>
      <c r="AA53" s="569"/>
      <c r="AB53" s="569"/>
      <c r="AC53" s="475" t="e">
        <f t="shared" si="39"/>
        <v>#N/A</v>
      </c>
      <c r="AD53" s="681"/>
      <c r="AE53" s="569"/>
      <c r="AF53" s="569"/>
      <c r="AG53" s="569"/>
      <c r="AH53" s="475" t="e">
        <f t="shared" si="41"/>
        <v>#N/A</v>
      </c>
      <c r="AI53" s="681"/>
      <c r="AJ53" s="569"/>
      <c r="AK53" s="569"/>
      <c r="AL53" s="569"/>
      <c r="AM53" s="475" t="e">
        <f t="shared" si="43"/>
        <v>#N/A</v>
      </c>
      <c r="AN53" s="681"/>
      <c r="AO53" s="569"/>
      <c r="AP53" s="569"/>
      <c r="AQ53" s="569"/>
      <c r="AR53" s="475" t="e">
        <f t="shared" si="45"/>
        <v>#N/A</v>
      </c>
      <c r="AS53" s="681"/>
      <c r="AT53" s="569"/>
      <c r="AU53" s="569"/>
      <c r="AV53" s="569"/>
      <c r="AW53" s="475" t="e">
        <f t="shared" si="47"/>
        <v>#N/A</v>
      </c>
      <c r="AX53" s="681"/>
    </row>
    <row r="54" spans="2:50">
      <c r="B54" s="667"/>
      <c r="C54" s="327">
        <v>8</v>
      </c>
      <c r="D54" s="227"/>
      <c r="E54" s="182"/>
      <c r="F54" s="569"/>
      <c r="G54" s="570"/>
      <c r="H54" s="709"/>
      <c r="I54" s="199"/>
      <c r="J54" s="199"/>
      <c r="K54" s="200"/>
      <c r="L54" s="641"/>
      <c r="M54" s="201" t="e">
        <f>RANK(K54, K$47:$K$61)</f>
        <v>#DIV/0!</v>
      </c>
      <c r="N54" s="659"/>
      <c r="O54" s="659"/>
      <c r="P54" s="569"/>
      <c r="Q54" s="569"/>
      <c r="R54" s="569"/>
      <c r="S54" s="334" t="e">
        <f t="shared" si="49"/>
        <v>#N/A</v>
      </c>
      <c r="T54" s="681"/>
      <c r="U54" s="569"/>
      <c r="V54" s="569"/>
      <c r="W54" s="569"/>
      <c r="X54" s="475" t="e">
        <f t="shared" si="37"/>
        <v>#N/A</v>
      </c>
      <c r="Y54" s="681"/>
      <c r="Z54" s="569"/>
      <c r="AA54" s="569"/>
      <c r="AB54" s="569"/>
      <c r="AC54" s="475" t="e">
        <f t="shared" si="39"/>
        <v>#N/A</v>
      </c>
      <c r="AD54" s="681"/>
      <c r="AE54" s="569"/>
      <c r="AF54" s="569"/>
      <c r="AG54" s="569"/>
      <c r="AH54" s="475" t="e">
        <f t="shared" si="41"/>
        <v>#N/A</v>
      </c>
      <c r="AI54" s="681"/>
      <c r="AJ54" s="569"/>
      <c r="AK54" s="569"/>
      <c r="AL54" s="569"/>
      <c r="AM54" s="475" t="e">
        <f t="shared" si="43"/>
        <v>#N/A</v>
      </c>
      <c r="AN54" s="681"/>
      <c r="AO54" s="569"/>
      <c r="AP54" s="569"/>
      <c r="AQ54" s="569"/>
      <c r="AR54" s="475" t="e">
        <f t="shared" si="45"/>
        <v>#N/A</v>
      </c>
      <c r="AS54" s="681"/>
      <c r="AT54" s="569"/>
      <c r="AU54" s="569"/>
      <c r="AV54" s="569"/>
      <c r="AW54" s="475" t="e">
        <f t="shared" si="47"/>
        <v>#N/A</v>
      </c>
      <c r="AX54" s="681"/>
    </row>
    <row r="55" spans="2:50">
      <c r="B55" s="667"/>
      <c r="C55" s="327">
        <v>9</v>
      </c>
      <c r="D55" s="227"/>
      <c r="E55" s="182"/>
      <c r="F55" s="569"/>
      <c r="G55" s="570"/>
      <c r="H55" s="709"/>
      <c r="I55" s="199"/>
      <c r="J55" s="199"/>
      <c r="K55" s="200"/>
      <c r="L55" s="641"/>
      <c r="M55" s="201" t="e">
        <f>RANK(K55, K$47:$K$61)</f>
        <v>#DIV/0!</v>
      </c>
      <c r="N55" s="659"/>
      <c r="O55" s="659"/>
      <c r="P55" s="569"/>
      <c r="Q55" s="569"/>
      <c r="R55" s="569"/>
      <c r="S55" s="334" t="e">
        <f t="shared" si="49"/>
        <v>#N/A</v>
      </c>
      <c r="T55" s="681"/>
      <c r="U55" s="569"/>
      <c r="V55" s="569"/>
      <c r="W55" s="569"/>
      <c r="X55" s="475" t="e">
        <f t="shared" si="37"/>
        <v>#N/A</v>
      </c>
      <c r="Y55" s="681"/>
      <c r="Z55" s="569"/>
      <c r="AA55" s="569"/>
      <c r="AB55" s="569"/>
      <c r="AC55" s="475" t="e">
        <f t="shared" si="39"/>
        <v>#N/A</v>
      </c>
      <c r="AD55" s="681"/>
      <c r="AE55" s="569"/>
      <c r="AF55" s="569"/>
      <c r="AG55" s="569"/>
      <c r="AH55" s="475" t="e">
        <f t="shared" si="41"/>
        <v>#N/A</v>
      </c>
      <c r="AI55" s="681"/>
      <c r="AJ55" s="569"/>
      <c r="AK55" s="569"/>
      <c r="AL55" s="569"/>
      <c r="AM55" s="475" t="e">
        <f t="shared" si="43"/>
        <v>#N/A</v>
      </c>
      <c r="AN55" s="681"/>
      <c r="AO55" s="569"/>
      <c r="AP55" s="569"/>
      <c r="AQ55" s="569"/>
      <c r="AR55" s="475" t="e">
        <f t="shared" si="45"/>
        <v>#N/A</v>
      </c>
      <c r="AS55" s="681"/>
      <c r="AT55" s="569"/>
      <c r="AU55" s="569"/>
      <c r="AV55" s="569"/>
      <c r="AW55" s="475" t="e">
        <f t="shared" si="47"/>
        <v>#N/A</v>
      </c>
      <c r="AX55" s="681"/>
    </row>
    <row r="56" spans="2:50">
      <c r="B56" s="667"/>
      <c r="C56" s="327">
        <v>10</v>
      </c>
      <c r="D56" s="227"/>
      <c r="E56" s="182"/>
      <c r="F56" s="569"/>
      <c r="G56" s="570"/>
      <c r="H56" s="709"/>
      <c r="I56" s="199"/>
      <c r="J56" s="199"/>
      <c r="K56" s="200"/>
      <c r="L56" s="641"/>
      <c r="M56" s="201" t="e">
        <f>RANK(K56, K$47:$K$61)</f>
        <v>#DIV/0!</v>
      </c>
      <c r="N56" s="659"/>
      <c r="O56" s="659"/>
      <c r="P56" s="569"/>
      <c r="Q56" s="569"/>
      <c r="R56" s="569"/>
      <c r="S56" s="334" t="e">
        <f t="shared" si="49"/>
        <v>#N/A</v>
      </c>
      <c r="T56" s="681"/>
      <c r="U56" s="569"/>
      <c r="V56" s="569"/>
      <c r="W56" s="569"/>
      <c r="X56" s="475" t="e">
        <f t="shared" si="37"/>
        <v>#N/A</v>
      </c>
      <c r="Y56" s="681"/>
      <c r="Z56" s="569"/>
      <c r="AA56" s="569"/>
      <c r="AB56" s="569"/>
      <c r="AC56" s="475" t="e">
        <f t="shared" si="39"/>
        <v>#N/A</v>
      </c>
      <c r="AD56" s="681"/>
      <c r="AE56" s="569"/>
      <c r="AF56" s="569"/>
      <c r="AG56" s="569"/>
      <c r="AH56" s="475" t="e">
        <f t="shared" si="41"/>
        <v>#N/A</v>
      </c>
      <c r="AI56" s="681"/>
      <c r="AJ56" s="569"/>
      <c r="AK56" s="569"/>
      <c r="AL56" s="569"/>
      <c r="AM56" s="475" t="e">
        <f t="shared" si="43"/>
        <v>#N/A</v>
      </c>
      <c r="AN56" s="681"/>
      <c r="AO56" s="569"/>
      <c r="AP56" s="569"/>
      <c r="AQ56" s="569"/>
      <c r="AR56" s="475" t="e">
        <f t="shared" si="45"/>
        <v>#N/A</v>
      </c>
      <c r="AS56" s="681"/>
      <c r="AT56" s="569"/>
      <c r="AU56" s="569"/>
      <c r="AV56" s="569"/>
      <c r="AW56" s="475" t="e">
        <f t="shared" si="47"/>
        <v>#N/A</v>
      </c>
      <c r="AX56" s="681"/>
    </row>
    <row r="57" spans="2:50">
      <c r="B57" s="667"/>
      <c r="C57" s="327">
        <v>11</v>
      </c>
      <c r="D57" s="227"/>
      <c r="E57" s="182"/>
      <c r="F57" s="569"/>
      <c r="G57" s="570"/>
      <c r="H57" s="709"/>
      <c r="I57" s="202"/>
      <c r="J57" s="202"/>
      <c r="K57" s="202"/>
      <c r="L57" s="641"/>
      <c r="M57" s="201" t="e">
        <f>RANK(K57, K$47:$K$61)</f>
        <v>#DIV/0!</v>
      </c>
      <c r="N57" s="659"/>
      <c r="O57" s="659"/>
      <c r="P57" s="569"/>
      <c r="Q57" s="569"/>
      <c r="R57" s="569"/>
      <c r="S57" s="334" t="e">
        <f t="shared" si="49"/>
        <v>#N/A</v>
      </c>
      <c r="T57" s="681"/>
      <c r="U57" s="569"/>
      <c r="V57" s="569"/>
      <c r="W57" s="569"/>
      <c r="X57" s="475" t="e">
        <f t="shared" si="37"/>
        <v>#N/A</v>
      </c>
      <c r="Y57" s="681"/>
      <c r="Z57" s="569"/>
      <c r="AA57" s="569"/>
      <c r="AB57" s="569"/>
      <c r="AC57" s="475" t="e">
        <f t="shared" si="39"/>
        <v>#N/A</v>
      </c>
      <c r="AD57" s="681"/>
      <c r="AE57" s="569"/>
      <c r="AF57" s="569"/>
      <c r="AG57" s="569"/>
      <c r="AH57" s="475" t="e">
        <f t="shared" si="41"/>
        <v>#N/A</v>
      </c>
      <c r="AI57" s="681"/>
      <c r="AJ57" s="569"/>
      <c r="AK57" s="569"/>
      <c r="AL57" s="569"/>
      <c r="AM57" s="475" t="e">
        <f t="shared" si="43"/>
        <v>#N/A</v>
      </c>
      <c r="AN57" s="681"/>
      <c r="AO57" s="569"/>
      <c r="AP57" s="569"/>
      <c r="AQ57" s="569"/>
      <c r="AR57" s="475" t="e">
        <f t="shared" si="45"/>
        <v>#N/A</v>
      </c>
      <c r="AS57" s="681"/>
      <c r="AT57" s="569"/>
      <c r="AU57" s="569"/>
      <c r="AV57" s="569"/>
      <c r="AW57" s="475" t="e">
        <f t="shared" si="47"/>
        <v>#N/A</v>
      </c>
      <c r="AX57" s="681"/>
    </row>
    <row r="58" spans="2:50">
      <c r="B58" s="667"/>
      <c r="C58" s="327">
        <v>12</v>
      </c>
      <c r="D58" s="227"/>
      <c r="E58" s="182"/>
      <c r="F58" s="569"/>
      <c r="G58" s="570"/>
      <c r="H58" s="709"/>
      <c r="I58" s="202"/>
      <c r="J58" s="202"/>
      <c r="K58" s="202"/>
      <c r="L58" s="641"/>
      <c r="M58" s="201" t="e">
        <f>RANK(K58, K$47:$K$61)</f>
        <v>#DIV/0!</v>
      </c>
      <c r="N58" s="659"/>
      <c r="O58" s="659"/>
      <c r="P58" s="569"/>
      <c r="Q58" s="569"/>
      <c r="R58" s="569"/>
      <c r="S58" s="334" t="e">
        <f t="shared" si="49"/>
        <v>#N/A</v>
      </c>
      <c r="T58" s="681"/>
      <c r="U58" s="569"/>
      <c r="V58" s="569"/>
      <c r="W58" s="569"/>
      <c r="X58" s="475" t="e">
        <f t="shared" si="37"/>
        <v>#N/A</v>
      </c>
      <c r="Y58" s="681"/>
      <c r="Z58" s="569"/>
      <c r="AA58" s="569"/>
      <c r="AB58" s="569"/>
      <c r="AC58" s="475" t="e">
        <f t="shared" si="39"/>
        <v>#N/A</v>
      </c>
      <c r="AD58" s="681"/>
      <c r="AE58" s="569"/>
      <c r="AF58" s="569"/>
      <c r="AG58" s="569"/>
      <c r="AH58" s="475" t="e">
        <f t="shared" si="41"/>
        <v>#N/A</v>
      </c>
      <c r="AI58" s="681"/>
      <c r="AJ58" s="569"/>
      <c r="AK58" s="569"/>
      <c r="AL58" s="569"/>
      <c r="AM58" s="475" t="e">
        <f t="shared" si="43"/>
        <v>#N/A</v>
      </c>
      <c r="AN58" s="681"/>
      <c r="AO58" s="569"/>
      <c r="AP58" s="569"/>
      <c r="AQ58" s="569"/>
      <c r="AR58" s="475" t="e">
        <f t="shared" si="45"/>
        <v>#N/A</v>
      </c>
      <c r="AS58" s="681"/>
      <c r="AT58" s="569"/>
      <c r="AU58" s="569"/>
      <c r="AV58" s="569"/>
      <c r="AW58" s="475" t="e">
        <f t="shared" si="47"/>
        <v>#N/A</v>
      </c>
      <c r="AX58" s="681"/>
    </row>
    <row r="59" spans="2:50">
      <c r="B59" s="667"/>
      <c r="C59" s="327">
        <v>13</v>
      </c>
      <c r="D59" s="227"/>
      <c r="E59" s="182"/>
      <c r="F59" s="569"/>
      <c r="G59" s="570"/>
      <c r="H59" s="709"/>
      <c r="I59" s="202"/>
      <c r="J59" s="202"/>
      <c r="K59" s="202"/>
      <c r="L59" s="641"/>
      <c r="M59" s="201" t="e">
        <f>RANK(K59, K$47:$K$61)</f>
        <v>#DIV/0!</v>
      </c>
      <c r="N59" s="659"/>
      <c r="O59" s="659"/>
      <c r="P59" s="569"/>
      <c r="Q59" s="569"/>
      <c r="R59" s="569"/>
      <c r="S59" s="334" t="e">
        <f t="shared" si="49"/>
        <v>#N/A</v>
      </c>
      <c r="T59" s="681"/>
      <c r="U59" s="569"/>
      <c r="V59" s="569"/>
      <c r="W59" s="569"/>
      <c r="X59" s="475" t="e">
        <f t="shared" si="37"/>
        <v>#N/A</v>
      </c>
      <c r="Y59" s="681"/>
      <c r="Z59" s="569"/>
      <c r="AA59" s="569"/>
      <c r="AB59" s="569"/>
      <c r="AC59" s="475" t="e">
        <f t="shared" si="39"/>
        <v>#N/A</v>
      </c>
      <c r="AD59" s="681"/>
      <c r="AE59" s="569"/>
      <c r="AF59" s="569"/>
      <c r="AG59" s="569"/>
      <c r="AH59" s="475" t="e">
        <f t="shared" si="41"/>
        <v>#N/A</v>
      </c>
      <c r="AI59" s="681"/>
      <c r="AJ59" s="569"/>
      <c r="AK59" s="569"/>
      <c r="AL59" s="569"/>
      <c r="AM59" s="475" t="e">
        <f t="shared" si="43"/>
        <v>#N/A</v>
      </c>
      <c r="AN59" s="681"/>
      <c r="AO59" s="569"/>
      <c r="AP59" s="569"/>
      <c r="AQ59" s="569"/>
      <c r="AR59" s="475" t="e">
        <f t="shared" si="45"/>
        <v>#N/A</v>
      </c>
      <c r="AS59" s="681"/>
      <c r="AT59" s="569"/>
      <c r="AU59" s="569"/>
      <c r="AV59" s="569"/>
      <c r="AW59" s="475" t="e">
        <f t="shared" si="47"/>
        <v>#N/A</v>
      </c>
      <c r="AX59" s="681"/>
    </row>
    <row r="60" spans="2:50">
      <c r="B60" s="667"/>
      <c r="C60" s="327">
        <v>14</v>
      </c>
      <c r="D60" s="227"/>
      <c r="E60" s="182"/>
      <c r="F60" s="569"/>
      <c r="G60" s="570"/>
      <c r="H60" s="709"/>
      <c r="I60" s="202"/>
      <c r="J60" s="202"/>
      <c r="K60" s="202"/>
      <c r="L60" s="641"/>
      <c r="M60" s="201" t="e">
        <f>RANK(K60, K$47:$K$61)</f>
        <v>#DIV/0!</v>
      </c>
      <c r="N60" s="659"/>
      <c r="O60" s="659"/>
      <c r="P60" s="569"/>
      <c r="Q60" s="569"/>
      <c r="R60" s="569"/>
      <c r="S60" s="334" t="e">
        <f t="shared" si="49"/>
        <v>#N/A</v>
      </c>
      <c r="T60" s="681"/>
      <c r="U60" s="569"/>
      <c r="V60" s="569"/>
      <c r="W60" s="569"/>
      <c r="X60" s="475" t="e">
        <f t="shared" si="37"/>
        <v>#N/A</v>
      </c>
      <c r="Y60" s="681"/>
      <c r="Z60" s="569"/>
      <c r="AA60" s="569"/>
      <c r="AB60" s="569"/>
      <c r="AC60" s="475" t="e">
        <f t="shared" si="39"/>
        <v>#N/A</v>
      </c>
      <c r="AD60" s="681"/>
      <c r="AE60" s="569"/>
      <c r="AF60" s="569"/>
      <c r="AG60" s="569"/>
      <c r="AH60" s="475" t="e">
        <f t="shared" si="41"/>
        <v>#N/A</v>
      </c>
      <c r="AI60" s="681"/>
      <c r="AJ60" s="569"/>
      <c r="AK60" s="569"/>
      <c r="AL60" s="569"/>
      <c r="AM60" s="475" t="e">
        <f t="shared" si="43"/>
        <v>#N/A</v>
      </c>
      <c r="AN60" s="681"/>
      <c r="AO60" s="569"/>
      <c r="AP60" s="569"/>
      <c r="AQ60" s="569"/>
      <c r="AR60" s="475" t="e">
        <f t="shared" si="45"/>
        <v>#N/A</v>
      </c>
      <c r="AS60" s="681"/>
      <c r="AT60" s="569"/>
      <c r="AU60" s="569"/>
      <c r="AV60" s="569"/>
      <c r="AW60" s="475" t="e">
        <f t="shared" si="47"/>
        <v>#N/A</v>
      </c>
      <c r="AX60" s="681"/>
    </row>
    <row r="61" spans="2:50">
      <c r="B61" s="667"/>
      <c r="C61" s="327">
        <v>15</v>
      </c>
      <c r="D61" s="227"/>
      <c r="E61" s="182"/>
      <c r="F61" s="569"/>
      <c r="G61" s="570"/>
      <c r="H61" s="710"/>
      <c r="I61" s="202"/>
      <c r="J61" s="202"/>
      <c r="K61" s="202"/>
      <c r="L61" s="642"/>
      <c r="M61" s="201" t="e">
        <f>RANK(K61, K$47:$K$61)</f>
        <v>#DIV/0!</v>
      </c>
      <c r="N61" s="659"/>
      <c r="O61" s="659"/>
      <c r="P61" s="569"/>
      <c r="Q61" s="569"/>
      <c r="R61" s="569"/>
      <c r="S61" s="334" t="e">
        <f t="shared" si="49"/>
        <v>#N/A</v>
      </c>
      <c r="T61" s="681"/>
      <c r="U61" s="569"/>
      <c r="V61" s="569"/>
      <c r="W61" s="569"/>
      <c r="X61" s="475" t="e">
        <f t="shared" si="37"/>
        <v>#N/A</v>
      </c>
      <c r="Y61" s="681"/>
      <c r="Z61" s="569"/>
      <c r="AA61" s="569"/>
      <c r="AB61" s="569"/>
      <c r="AC61" s="475" t="e">
        <f t="shared" si="39"/>
        <v>#N/A</v>
      </c>
      <c r="AD61" s="681"/>
      <c r="AE61" s="569"/>
      <c r="AF61" s="569"/>
      <c r="AG61" s="569"/>
      <c r="AH61" s="475" t="e">
        <f t="shared" si="41"/>
        <v>#N/A</v>
      </c>
      <c r="AI61" s="681"/>
      <c r="AJ61" s="569"/>
      <c r="AK61" s="569"/>
      <c r="AL61" s="569"/>
      <c r="AM61" s="475" t="e">
        <f t="shared" si="43"/>
        <v>#N/A</v>
      </c>
      <c r="AN61" s="681"/>
      <c r="AO61" s="569"/>
      <c r="AP61" s="569"/>
      <c r="AQ61" s="569"/>
      <c r="AR61" s="475" t="e">
        <f t="shared" si="45"/>
        <v>#N/A</v>
      </c>
      <c r="AS61" s="681"/>
      <c r="AT61" s="569"/>
      <c r="AU61" s="569"/>
      <c r="AV61" s="569"/>
      <c r="AW61" s="475" t="e">
        <f t="shared" si="47"/>
        <v>#N/A</v>
      </c>
      <c r="AX61" s="681"/>
    </row>
    <row r="62" spans="2:50" ht="15.75">
      <c r="B62" s="671" t="s">
        <v>163</v>
      </c>
      <c r="C62" s="672"/>
      <c r="D62" s="672"/>
      <c r="E62" s="672"/>
      <c r="F62" s="672"/>
      <c r="G62" s="672"/>
      <c r="H62" s="673"/>
      <c r="I62" s="208"/>
      <c r="J62" s="208"/>
      <c r="K62" s="208"/>
      <c r="L62" s="208"/>
      <c r="M62" s="207"/>
      <c r="N62" s="660" t="s">
        <v>156</v>
      </c>
      <c r="O62" s="660" t="s">
        <v>105</v>
      </c>
      <c r="P62" s="666">
        <f>P42+7</f>
        <v>46105</v>
      </c>
      <c r="Q62" s="667"/>
      <c r="R62" s="667"/>
      <c r="S62" s="667"/>
      <c r="T62" s="667"/>
      <c r="U62" s="663">
        <f>P62+1</f>
        <v>46106</v>
      </c>
      <c r="V62" s="664"/>
      <c r="W62" s="664"/>
      <c r="X62" s="664"/>
      <c r="Y62" s="665"/>
      <c r="Z62" s="663">
        <f>U62+1</f>
        <v>46107</v>
      </c>
      <c r="AA62" s="664"/>
      <c r="AB62" s="664"/>
      <c r="AC62" s="664"/>
      <c r="AD62" s="665"/>
      <c r="AE62" s="663">
        <f>Z62+1</f>
        <v>46108</v>
      </c>
      <c r="AF62" s="664"/>
      <c r="AG62" s="664"/>
      <c r="AH62" s="664"/>
      <c r="AI62" s="665"/>
      <c r="AJ62" s="663">
        <f>AE62+1</f>
        <v>46109</v>
      </c>
      <c r="AK62" s="664"/>
      <c r="AL62" s="664"/>
      <c r="AM62" s="664"/>
      <c r="AN62" s="665"/>
      <c r="AO62" s="663">
        <f>AJ62+1</f>
        <v>46110</v>
      </c>
      <c r="AP62" s="664"/>
      <c r="AQ62" s="664"/>
      <c r="AR62" s="664"/>
      <c r="AS62" s="665"/>
      <c r="AT62" s="663">
        <f>AO62+1</f>
        <v>46111</v>
      </c>
      <c r="AU62" s="664"/>
      <c r="AV62" s="664"/>
      <c r="AW62" s="664"/>
      <c r="AX62" s="665"/>
    </row>
    <row r="63" spans="2:50" ht="15.75">
      <c r="B63" s="674"/>
      <c r="C63" s="674"/>
      <c r="D63" s="674"/>
      <c r="E63" s="674"/>
      <c r="F63" s="674"/>
      <c r="G63" s="674"/>
      <c r="H63" s="674"/>
      <c r="I63" s="205"/>
      <c r="J63" s="205"/>
      <c r="K63" s="205"/>
      <c r="L63" s="205"/>
      <c r="M63" s="206"/>
      <c r="N63" s="662"/>
      <c r="O63" s="662"/>
      <c r="P63" s="666" t="s">
        <v>336</v>
      </c>
      <c r="Q63" s="667"/>
      <c r="R63" s="667"/>
      <c r="S63" s="667"/>
      <c r="T63" s="667"/>
      <c r="U63" s="666" t="s">
        <v>337</v>
      </c>
      <c r="V63" s="667"/>
      <c r="W63" s="667"/>
      <c r="X63" s="667"/>
      <c r="Y63" s="667"/>
      <c r="Z63" s="666" t="s">
        <v>338</v>
      </c>
      <c r="AA63" s="667"/>
      <c r="AB63" s="667"/>
      <c r="AC63" s="667"/>
      <c r="AD63" s="667"/>
      <c r="AE63" s="666" t="s">
        <v>339</v>
      </c>
      <c r="AF63" s="667"/>
      <c r="AG63" s="667"/>
      <c r="AH63" s="667"/>
      <c r="AI63" s="667"/>
      <c r="AJ63" s="666" t="s">
        <v>340</v>
      </c>
      <c r="AK63" s="667"/>
      <c r="AL63" s="667"/>
      <c r="AM63" s="667"/>
      <c r="AN63" s="667"/>
      <c r="AO63" s="666" t="s">
        <v>341</v>
      </c>
      <c r="AP63" s="667"/>
      <c r="AQ63" s="667"/>
      <c r="AR63" s="667"/>
      <c r="AS63" s="667"/>
      <c r="AT63" s="666" t="s">
        <v>342</v>
      </c>
      <c r="AU63" s="667"/>
      <c r="AV63" s="667"/>
      <c r="AW63" s="667"/>
      <c r="AX63" s="667"/>
    </row>
    <row r="64" spans="2:50">
      <c r="B64" s="659" t="s">
        <v>419</v>
      </c>
      <c r="C64" s="659" t="s">
        <v>429</v>
      </c>
      <c r="D64" s="659"/>
      <c r="E64" s="659" t="s">
        <v>420</v>
      </c>
      <c r="F64" s="659"/>
      <c r="G64" s="659"/>
      <c r="H64" s="675" t="s">
        <v>416</v>
      </c>
      <c r="I64" s="643" t="s">
        <v>421</v>
      </c>
      <c r="J64" s="643"/>
      <c r="K64" s="643"/>
      <c r="L64" s="644" t="s">
        <v>416</v>
      </c>
      <c r="M64" s="650" t="s">
        <v>417</v>
      </c>
      <c r="N64" s="659"/>
      <c r="O64" s="659" t="s">
        <v>422</v>
      </c>
      <c r="P64" s="656" t="s">
        <v>418</v>
      </c>
      <c r="Q64" s="657"/>
      <c r="R64" s="657"/>
      <c r="S64" s="658"/>
      <c r="T64" s="659" t="s">
        <v>416</v>
      </c>
      <c r="U64" s="656" t="s">
        <v>418</v>
      </c>
      <c r="V64" s="657"/>
      <c r="W64" s="657"/>
      <c r="X64" s="658"/>
      <c r="Y64" s="659" t="s">
        <v>416</v>
      </c>
      <c r="Z64" s="656" t="s">
        <v>418</v>
      </c>
      <c r="AA64" s="657"/>
      <c r="AB64" s="657"/>
      <c r="AC64" s="658"/>
      <c r="AD64" s="659" t="s">
        <v>416</v>
      </c>
      <c r="AE64" s="656" t="s">
        <v>418</v>
      </c>
      <c r="AF64" s="657"/>
      <c r="AG64" s="657"/>
      <c r="AH64" s="658"/>
      <c r="AI64" s="659" t="s">
        <v>416</v>
      </c>
      <c r="AJ64" s="656" t="s">
        <v>418</v>
      </c>
      <c r="AK64" s="657"/>
      <c r="AL64" s="657"/>
      <c r="AM64" s="658"/>
      <c r="AN64" s="659" t="s">
        <v>416</v>
      </c>
      <c r="AO64" s="656" t="s">
        <v>418</v>
      </c>
      <c r="AP64" s="657"/>
      <c r="AQ64" s="657"/>
      <c r="AR64" s="658"/>
      <c r="AS64" s="659" t="s">
        <v>416</v>
      </c>
      <c r="AT64" s="656" t="s">
        <v>418</v>
      </c>
      <c r="AU64" s="657"/>
      <c r="AV64" s="657"/>
      <c r="AW64" s="658"/>
      <c r="AX64" s="659" t="s">
        <v>416</v>
      </c>
    </row>
    <row r="65" spans="2:50">
      <c r="B65" s="659"/>
      <c r="C65" s="659"/>
      <c r="D65" s="659"/>
      <c r="E65" s="659" t="s">
        <v>423</v>
      </c>
      <c r="F65" s="659"/>
      <c r="G65" s="659"/>
      <c r="H65" s="676"/>
      <c r="I65" s="643" t="s">
        <v>423</v>
      </c>
      <c r="J65" s="643"/>
      <c r="K65" s="643"/>
      <c r="L65" s="645"/>
      <c r="M65" s="651"/>
      <c r="N65" s="659"/>
      <c r="O65" s="659"/>
      <c r="P65" s="656" t="s">
        <v>424</v>
      </c>
      <c r="Q65" s="657"/>
      <c r="R65" s="657"/>
      <c r="S65" s="658"/>
      <c r="T65" s="659"/>
      <c r="U65" s="656" t="s">
        <v>424</v>
      </c>
      <c r="V65" s="657"/>
      <c r="W65" s="657"/>
      <c r="X65" s="658"/>
      <c r="Y65" s="659"/>
      <c r="Z65" s="656" t="s">
        <v>424</v>
      </c>
      <c r="AA65" s="657"/>
      <c r="AB65" s="657"/>
      <c r="AC65" s="658"/>
      <c r="AD65" s="659"/>
      <c r="AE65" s="656" t="s">
        <v>424</v>
      </c>
      <c r="AF65" s="657"/>
      <c r="AG65" s="657"/>
      <c r="AH65" s="658"/>
      <c r="AI65" s="659"/>
      <c r="AJ65" s="656" t="s">
        <v>424</v>
      </c>
      <c r="AK65" s="657"/>
      <c r="AL65" s="657"/>
      <c r="AM65" s="658"/>
      <c r="AN65" s="659"/>
      <c r="AO65" s="656" t="s">
        <v>424</v>
      </c>
      <c r="AP65" s="657"/>
      <c r="AQ65" s="657"/>
      <c r="AR65" s="658"/>
      <c r="AS65" s="659"/>
      <c r="AT65" s="656" t="s">
        <v>424</v>
      </c>
      <c r="AU65" s="657"/>
      <c r="AV65" s="657"/>
      <c r="AW65" s="658"/>
      <c r="AX65" s="659"/>
    </row>
    <row r="66" spans="2:50">
      <c r="B66" s="659"/>
      <c r="C66" s="659"/>
      <c r="D66" s="659"/>
      <c r="E66" s="308" t="s">
        <v>425</v>
      </c>
      <c r="F66" s="308" t="s">
        <v>426</v>
      </c>
      <c r="G66" s="308" t="s">
        <v>427</v>
      </c>
      <c r="H66" s="677"/>
      <c r="I66" s="307" t="s">
        <v>425</v>
      </c>
      <c r="J66" s="307" t="s">
        <v>426</v>
      </c>
      <c r="K66" s="307" t="s">
        <v>427</v>
      </c>
      <c r="L66" s="646"/>
      <c r="M66" s="652"/>
      <c r="N66" s="659"/>
      <c r="O66" s="659"/>
      <c r="P66" s="308" t="s">
        <v>425</v>
      </c>
      <c r="Q66" s="308" t="s">
        <v>426</v>
      </c>
      <c r="R66" s="308" t="s">
        <v>427</v>
      </c>
      <c r="S66" s="308" t="s">
        <v>417</v>
      </c>
      <c r="T66" s="659"/>
      <c r="U66" s="308" t="s">
        <v>425</v>
      </c>
      <c r="V66" s="308" t="s">
        <v>426</v>
      </c>
      <c r="W66" s="308" t="s">
        <v>427</v>
      </c>
      <c r="X66" s="308" t="s">
        <v>417</v>
      </c>
      <c r="Y66" s="659"/>
      <c r="Z66" s="308" t="s">
        <v>425</v>
      </c>
      <c r="AA66" s="308" t="s">
        <v>426</v>
      </c>
      <c r="AB66" s="308" t="s">
        <v>427</v>
      </c>
      <c r="AC66" s="308" t="s">
        <v>417</v>
      </c>
      <c r="AD66" s="659"/>
      <c r="AE66" s="308" t="s">
        <v>425</v>
      </c>
      <c r="AF66" s="308" t="s">
        <v>426</v>
      </c>
      <c r="AG66" s="308" t="s">
        <v>427</v>
      </c>
      <c r="AH66" s="308" t="s">
        <v>417</v>
      </c>
      <c r="AI66" s="659"/>
      <c r="AJ66" s="308" t="s">
        <v>425</v>
      </c>
      <c r="AK66" s="308" t="s">
        <v>426</v>
      </c>
      <c r="AL66" s="308" t="s">
        <v>427</v>
      </c>
      <c r="AM66" s="308" t="s">
        <v>417</v>
      </c>
      <c r="AN66" s="659"/>
      <c r="AO66" s="308" t="s">
        <v>425</v>
      </c>
      <c r="AP66" s="308" t="s">
        <v>426</v>
      </c>
      <c r="AQ66" s="308" t="s">
        <v>427</v>
      </c>
      <c r="AR66" s="308" t="s">
        <v>417</v>
      </c>
      <c r="AS66" s="659"/>
      <c r="AT66" s="308" t="s">
        <v>425</v>
      </c>
      <c r="AU66" s="308" t="s">
        <v>426</v>
      </c>
      <c r="AV66" s="308" t="s">
        <v>427</v>
      </c>
      <c r="AW66" s="308" t="s">
        <v>417</v>
      </c>
      <c r="AX66" s="659"/>
    </row>
    <row r="67" spans="2:50">
      <c r="B67" s="659" t="s">
        <v>430</v>
      </c>
      <c r="C67" s="309">
        <v>1</v>
      </c>
      <c r="D67" s="227"/>
      <c r="E67" s="182"/>
      <c r="F67" s="569"/>
      <c r="G67" s="570"/>
      <c r="H67" s="708" t="e">
        <f>AVERAGE(G67:G81)</f>
        <v>#DIV/0!</v>
      </c>
      <c r="I67" s="199" t="e">
        <f t="shared" ref="I67:K67" si="50">AVERAGE(P67,U67,Z67,AE67,AJ67,AO67,AT67)</f>
        <v>#DIV/0!</v>
      </c>
      <c r="J67" s="199" t="e">
        <f t="shared" si="50"/>
        <v>#DIV/0!</v>
      </c>
      <c r="K67" s="200" t="e">
        <f t="shared" si="50"/>
        <v>#DIV/0!</v>
      </c>
      <c r="L67" s="640" t="str">
        <f>IFERROR(AVERAGE(K67:K81),"-")</f>
        <v>-</v>
      </c>
      <c r="M67" s="201" t="e">
        <f>RANK(K67, K$67:$K$81)</f>
        <v>#DIV/0!</v>
      </c>
      <c r="N67" s="659"/>
      <c r="O67" s="659"/>
      <c r="P67" s="182"/>
      <c r="Q67" s="182"/>
      <c r="R67" s="570"/>
      <c r="S67" s="309" t="e">
        <f>RANK(R67, R$67:R$81)</f>
        <v>#N/A</v>
      </c>
      <c r="T67" s="681" t="e">
        <f>AVERAGE(R67:R81)</f>
        <v>#DIV/0!</v>
      </c>
      <c r="U67" s="182"/>
      <c r="V67" s="182"/>
      <c r="W67" s="570"/>
      <c r="X67" s="475" t="e">
        <f t="shared" ref="X67:X81" si="51">RANK(W67, W$67:W$81)</f>
        <v>#N/A</v>
      </c>
      <c r="Y67" s="681" t="e">
        <f t="shared" ref="Y67" si="52">AVERAGE(W67:W81)</f>
        <v>#DIV/0!</v>
      </c>
      <c r="Z67" s="182"/>
      <c r="AA67" s="182"/>
      <c r="AB67" s="570"/>
      <c r="AC67" s="475" t="e">
        <f t="shared" ref="AC67:AC81" si="53">RANK(AB67, AB$67:AB$81)</f>
        <v>#N/A</v>
      </c>
      <c r="AD67" s="681" t="e">
        <f t="shared" ref="AD67" si="54">AVERAGE(AB67:AB81)</f>
        <v>#DIV/0!</v>
      </c>
      <c r="AE67" s="182"/>
      <c r="AF67" s="182"/>
      <c r="AG67" s="570"/>
      <c r="AH67" s="475" t="e">
        <f t="shared" ref="AH67:AH81" si="55">RANK(AG67, AG$67:AG$81)</f>
        <v>#N/A</v>
      </c>
      <c r="AI67" s="681" t="e">
        <f t="shared" ref="AI67" si="56">AVERAGE(AG67:AG81)</f>
        <v>#DIV/0!</v>
      </c>
      <c r="AJ67" s="182"/>
      <c r="AK67" s="182"/>
      <c r="AL67" s="570"/>
      <c r="AM67" s="475" t="e">
        <f t="shared" ref="AM67:AM81" si="57">RANK(AL67, AL$67:AL$81)</f>
        <v>#N/A</v>
      </c>
      <c r="AN67" s="681" t="e">
        <f t="shared" ref="AN67" si="58">AVERAGE(AL67:AL81)</f>
        <v>#DIV/0!</v>
      </c>
      <c r="AO67" s="182"/>
      <c r="AP67" s="182"/>
      <c r="AQ67" s="570"/>
      <c r="AR67" s="475" t="e">
        <f t="shared" ref="AR67:AR81" si="59">RANK(AQ67, AQ$67:AQ$81)</f>
        <v>#N/A</v>
      </c>
      <c r="AS67" s="681" t="e">
        <f t="shared" ref="AS67" si="60">AVERAGE(AQ67:AQ81)</f>
        <v>#DIV/0!</v>
      </c>
      <c r="AT67" s="182"/>
      <c r="AU67" s="182"/>
      <c r="AV67" s="570"/>
      <c r="AW67" s="475" t="e">
        <f t="shared" ref="AW67:AW81" si="61">RANK(AV67, AV$67:AV$81)</f>
        <v>#N/A</v>
      </c>
      <c r="AX67" s="681" t="e">
        <f t="shared" ref="AX67" si="62">AVERAGE(AV67:AV81)</f>
        <v>#DIV/0!</v>
      </c>
    </row>
    <row r="68" spans="2:50">
      <c r="B68" s="667"/>
      <c r="C68" s="309">
        <v>2</v>
      </c>
      <c r="D68" s="227"/>
      <c r="E68" s="182"/>
      <c r="F68" s="569"/>
      <c r="G68" s="570"/>
      <c r="H68" s="709"/>
      <c r="I68" s="563" t="e">
        <f t="shared" ref="I68" si="63">AVERAGE(P68,U68,Z68,AE68,AJ68,AO68,AT68)</f>
        <v>#DIV/0!</v>
      </c>
      <c r="J68" s="563" t="e">
        <f t="shared" ref="J68" si="64">AVERAGE(Q68,V68,AA68,AF68,AK68,AP68,AU68)</f>
        <v>#DIV/0!</v>
      </c>
      <c r="K68" s="200" t="e">
        <f t="shared" ref="K68" si="65">AVERAGE(R68,W68,AB68,AG68,AL68,AQ68,AV68)</f>
        <v>#DIV/0!</v>
      </c>
      <c r="L68" s="641"/>
      <c r="M68" s="201" t="e">
        <f>RANK(K68, K$67:$K$81)</f>
        <v>#DIV/0!</v>
      </c>
      <c r="N68" s="659"/>
      <c r="O68" s="659"/>
      <c r="P68" s="569"/>
      <c r="Q68" s="182"/>
      <c r="R68" s="570"/>
      <c r="S68" s="339" t="e">
        <f t="shared" ref="S68:S81" si="66">RANK(R68, R$67:R$81)</f>
        <v>#N/A</v>
      </c>
      <c r="T68" s="681"/>
      <c r="U68" s="569"/>
      <c r="V68" s="182"/>
      <c r="W68" s="570"/>
      <c r="X68" s="475" t="e">
        <f t="shared" si="51"/>
        <v>#N/A</v>
      </c>
      <c r="Y68" s="681"/>
      <c r="Z68" s="569"/>
      <c r="AA68" s="182"/>
      <c r="AB68" s="570"/>
      <c r="AC68" s="475" t="e">
        <f t="shared" si="53"/>
        <v>#N/A</v>
      </c>
      <c r="AD68" s="681"/>
      <c r="AE68" s="569"/>
      <c r="AF68" s="182"/>
      <c r="AG68" s="570"/>
      <c r="AH68" s="475" t="e">
        <f t="shared" si="55"/>
        <v>#N/A</v>
      </c>
      <c r="AI68" s="681"/>
      <c r="AJ68" s="569"/>
      <c r="AK68" s="182"/>
      <c r="AL68" s="570"/>
      <c r="AM68" s="475" t="e">
        <f t="shared" si="57"/>
        <v>#N/A</v>
      </c>
      <c r="AN68" s="681"/>
      <c r="AO68" s="569"/>
      <c r="AP68" s="182"/>
      <c r="AQ68" s="570"/>
      <c r="AR68" s="475" t="e">
        <f t="shared" si="59"/>
        <v>#N/A</v>
      </c>
      <c r="AS68" s="681"/>
      <c r="AT68" s="569"/>
      <c r="AU68" s="182"/>
      <c r="AV68" s="570"/>
      <c r="AW68" s="475" t="e">
        <f t="shared" si="61"/>
        <v>#N/A</v>
      </c>
      <c r="AX68" s="681"/>
    </row>
    <row r="69" spans="2:50">
      <c r="B69" s="667"/>
      <c r="C69" s="309">
        <v>3</v>
      </c>
      <c r="D69" s="227"/>
      <c r="E69" s="182"/>
      <c r="F69" s="569"/>
      <c r="G69" s="570"/>
      <c r="H69" s="709"/>
      <c r="I69" s="199"/>
      <c r="J69" s="199"/>
      <c r="K69" s="200"/>
      <c r="L69" s="641"/>
      <c r="M69" s="201" t="e">
        <f>RANK(K69, K$67:$K$81)</f>
        <v>#DIV/0!</v>
      </c>
      <c r="N69" s="659"/>
      <c r="O69" s="659"/>
      <c r="P69" s="569"/>
      <c r="Q69" s="569"/>
      <c r="R69" s="569"/>
      <c r="S69" s="339" t="e">
        <f t="shared" si="66"/>
        <v>#N/A</v>
      </c>
      <c r="T69" s="681"/>
      <c r="U69" s="569"/>
      <c r="V69" s="569"/>
      <c r="W69" s="569"/>
      <c r="X69" s="475" t="e">
        <f t="shared" si="51"/>
        <v>#N/A</v>
      </c>
      <c r="Y69" s="681"/>
      <c r="Z69" s="569"/>
      <c r="AA69" s="569"/>
      <c r="AB69" s="569"/>
      <c r="AC69" s="475" t="e">
        <f t="shared" si="53"/>
        <v>#N/A</v>
      </c>
      <c r="AD69" s="681"/>
      <c r="AE69" s="569"/>
      <c r="AF69" s="569"/>
      <c r="AG69" s="569"/>
      <c r="AH69" s="475" t="e">
        <f t="shared" si="55"/>
        <v>#N/A</v>
      </c>
      <c r="AI69" s="681"/>
      <c r="AJ69" s="569"/>
      <c r="AK69" s="569"/>
      <c r="AL69" s="569"/>
      <c r="AM69" s="475" t="e">
        <f t="shared" si="57"/>
        <v>#N/A</v>
      </c>
      <c r="AN69" s="681"/>
      <c r="AO69" s="569"/>
      <c r="AP69" s="569"/>
      <c r="AQ69" s="569"/>
      <c r="AR69" s="475" t="e">
        <f t="shared" si="59"/>
        <v>#N/A</v>
      </c>
      <c r="AS69" s="681"/>
      <c r="AT69" s="569"/>
      <c r="AU69" s="569"/>
      <c r="AV69" s="569"/>
      <c r="AW69" s="475" t="e">
        <f t="shared" si="61"/>
        <v>#N/A</v>
      </c>
      <c r="AX69" s="681"/>
    </row>
    <row r="70" spans="2:50">
      <c r="B70" s="667"/>
      <c r="C70" s="309">
        <v>4</v>
      </c>
      <c r="D70" s="227"/>
      <c r="E70" s="182"/>
      <c r="F70" s="569"/>
      <c r="G70" s="570"/>
      <c r="H70" s="709"/>
      <c r="I70" s="199"/>
      <c r="J70" s="199"/>
      <c r="K70" s="200"/>
      <c r="L70" s="641"/>
      <c r="M70" s="201" t="e">
        <f>RANK(K70, K$67:$K$81)</f>
        <v>#DIV/0!</v>
      </c>
      <c r="N70" s="659"/>
      <c r="O70" s="659"/>
      <c r="P70" s="569"/>
      <c r="Q70" s="569"/>
      <c r="R70" s="569"/>
      <c r="S70" s="339" t="e">
        <f t="shared" si="66"/>
        <v>#N/A</v>
      </c>
      <c r="T70" s="681"/>
      <c r="U70" s="569"/>
      <c r="V70" s="569"/>
      <c r="W70" s="569"/>
      <c r="X70" s="475" t="e">
        <f t="shared" si="51"/>
        <v>#N/A</v>
      </c>
      <c r="Y70" s="681"/>
      <c r="Z70" s="569"/>
      <c r="AA70" s="569"/>
      <c r="AB70" s="569"/>
      <c r="AC70" s="475" t="e">
        <f t="shared" si="53"/>
        <v>#N/A</v>
      </c>
      <c r="AD70" s="681"/>
      <c r="AE70" s="569"/>
      <c r="AF70" s="569"/>
      <c r="AG70" s="569"/>
      <c r="AH70" s="475" t="e">
        <f t="shared" si="55"/>
        <v>#N/A</v>
      </c>
      <c r="AI70" s="681"/>
      <c r="AJ70" s="569"/>
      <c r="AK70" s="569"/>
      <c r="AL70" s="569"/>
      <c r="AM70" s="475" t="e">
        <f t="shared" si="57"/>
        <v>#N/A</v>
      </c>
      <c r="AN70" s="681"/>
      <c r="AO70" s="569"/>
      <c r="AP70" s="569"/>
      <c r="AQ70" s="569"/>
      <c r="AR70" s="475" t="e">
        <f t="shared" si="59"/>
        <v>#N/A</v>
      </c>
      <c r="AS70" s="681"/>
      <c r="AT70" s="569"/>
      <c r="AU70" s="569"/>
      <c r="AV70" s="569"/>
      <c r="AW70" s="475" t="e">
        <f t="shared" si="61"/>
        <v>#N/A</v>
      </c>
      <c r="AX70" s="681"/>
    </row>
    <row r="71" spans="2:50">
      <c r="B71" s="667"/>
      <c r="C71" s="309">
        <v>5</v>
      </c>
      <c r="D71" s="227"/>
      <c r="E71" s="182"/>
      <c r="F71" s="569"/>
      <c r="G71" s="570"/>
      <c r="H71" s="709"/>
      <c r="I71" s="199"/>
      <c r="J71" s="199"/>
      <c r="K71" s="200"/>
      <c r="L71" s="641"/>
      <c r="M71" s="201" t="e">
        <f>RANK(K71, K$67:$K$81)</f>
        <v>#DIV/0!</v>
      </c>
      <c r="N71" s="659"/>
      <c r="O71" s="659"/>
      <c r="P71" s="569"/>
      <c r="Q71" s="569"/>
      <c r="R71" s="569"/>
      <c r="S71" s="339" t="e">
        <f t="shared" si="66"/>
        <v>#N/A</v>
      </c>
      <c r="T71" s="681"/>
      <c r="U71" s="569"/>
      <c r="V71" s="569"/>
      <c r="W71" s="569"/>
      <c r="X71" s="475" t="e">
        <f t="shared" si="51"/>
        <v>#N/A</v>
      </c>
      <c r="Y71" s="681"/>
      <c r="Z71" s="569"/>
      <c r="AA71" s="569"/>
      <c r="AB71" s="569"/>
      <c r="AC71" s="475" t="e">
        <f t="shared" si="53"/>
        <v>#N/A</v>
      </c>
      <c r="AD71" s="681"/>
      <c r="AE71" s="569"/>
      <c r="AF71" s="569"/>
      <c r="AG71" s="569"/>
      <c r="AH71" s="475" t="e">
        <f t="shared" si="55"/>
        <v>#N/A</v>
      </c>
      <c r="AI71" s="681"/>
      <c r="AJ71" s="569"/>
      <c r="AK71" s="569"/>
      <c r="AL71" s="569"/>
      <c r="AM71" s="475" t="e">
        <f t="shared" si="57"/>
        <v>#N/A</v>
      </c>
      <c r="AN71" s="681"/>
      <c r="AO71" s="569"/>
      <c r="AP71" s="569"/>
      <c r="AQ71" s="569"/>
      <c r="AR71" s="475" t="e">
        <f t="shared" si="59"/>
        <v>#N/A</v>
      </c>
      <c r="AS71" s="681"/>
      <c r="AT71" s="569"/>
      <c r="AU71" s="569"/>
      <c r="AV71" s="569"/>
      <c r="AW71" s="475" t="e">
        <f t="shared" si="61"/>
        <v>#N/A</v>
      </c>
      <c r="AX71" s="681"/>
    </row>
    <row r="72" spans="2:50">
      <c r="B72" s="667"/>
      <c r="C72" s="309">
        <v>6</v>
      </c>
      <c r="D72" s="227"/>
      <c r="E72" s="182"/>
      <c r="F72" s="569"/>
      <c r="G72" s="570"/>
      <c r="H72" s="709"/>
      <c r="I72" s="199"/>
      <c r="J72" s="199"/>
      <c r="K72" s="200"/>
      <c r="L72" s="641"/>
      <c r="M72" s="201" t="e">
        <f>RANK(K72, K$67:$K$81)</f>
        <v>#DIV/0!</v>
      </c>
      <c r="N72" s="659"/>
      <c r="O72" s="659"/>
      <c r="P72" s="569"/>
      <c r="Q72" s="569"/>
      <c r="R72" s="569"/>
      <c r="S72" s="339" t="e">
        <f t="shared" si="66"/>
        <v>#N/A</v>
      </c>
      <c r="T72" s="681"/>
      <c r="U72" s="569"/>
      <c r="V72" s="569"/>
      <c r="W72" s="569"/>
      <c r="X72" s="475" t="e">
        <f t="shared" si="51"/>
        <v>#N/A</v>
      </c>
      <c r="Y72" s="681"/>
      <c r="Z72" s="569"/>
      <c r="AA72" s="569"/>
      <c r="AB72" s="569"/>
      <c r="AC72" s="475" t="e">
        <f t="shared" si="53"/>
        <v>#N/A</v>
      </c>
      <c r="AD72" s="681"/>
      <c r="AE72" s="569"/>
      <c r="AF72" s="569"/>
      <c r="AG72" s="569"/>
      <c r="AH72" s="475" t="e">
        <f t="shared" si="55"/>
        <v>#N/A</v>
      </c>
      <c r="AI72" s="681"/>
      <c r="AJ72" s="569"/>
      <c r="AK72" s="569"/>
      <c r="AL72" s="569"/>
      <c r="AM72" s="475" t="e">
        <f t="shared" si="57"/>
        <v>#N/A</v>
      </c>
      <c r="AN72" s="681"/>
      <c r="AO72" s="569"/>
      <c r="AP72" s="569"/>
      <c r="AQ72" s="569"/>
      <c r="AR72" s="475" t="e">
        <f t="shared" si="59"/>
        <v>#N/A</v>
      </c>
      <c r="AS72" s="681"/>
      <c r="AT72" s="569"/>
      <c r="AU72" s="569"/>
      <c r="AV72" s="569"/>
      <c r="AW72" s="475" t="e">
        <f t="shared" si="61"/>
        <v>#N/A</v>
      </c>
      <c r="AX72" s="681"/>
    </row>
    <row r="73" spans="2:50">
      <c r="B73" s="667"/>
      <c r="C73" s="309">
        <v>7</v>
      </c>
      <c r="D73" s="227"/>
      <c r="E73" s="182"/>
      <c r="F73" s="569"/>
      <c r="G73" s="570"/>
      <c r="H73" s="709"/>
      <c r="I73" s="199"/>
      <c r="J73" s="199"/>
      <c r="K73" s="200"/>
      <c r="L73" s="641"/>
      <c r="M73" s="201" t="e">
        <f>RANK(K73, K$67:$K$81)</f>
        <v>#DIV/0!</v>
      </c>
      <c r="N73" s="659"/>
      <c r="O73" s="659"/>
      <c r="P73" s="569"/>
      <c r="Q73" s="569"/>
      <c r="R73" s="569"/>
      <c r="S73" s="339" t="e">
        <f t="shared" si="66"/>
        <v>#N/A</v>
      </c>
      <c r="T73" s="681"/>
      <c r="U73" s="569"/>
      <c r="V73" s="569"/>
      <c r="W73" s="569"/>
      <c r="X73" s="475" t="e">
        <f t="shared" si="51"/>
        <v>#N/A</v>
      </c>
      <c r="Y73" s="681"/>
      <c r="Z73" s="569"/>
      <c r="AA73" s="569"/>
      <c r="AB73" s="569"/>
      <c r="AC73" s="475" t="e">
        <f t="shared" si="53"/>
        <v>#N/A</v>
      </c>
      <c r="AD73" s="681"/>
      <c r="AE73" s="569"/>
      <c r="AF73" s="569"/>
      <c r="AG73" s="569"/>
      <c r="AH73" s="475" t="e">
        <f t="shared" si="55"/>
        <v>#N/A</v>
      </c>
      <c r="AI73" s="681"/>
      <c r="AJ73" s="569"/>
      <c r="AK73" s="569"/>
      <c r="AL73" s="569"/>
      <c r="AM73" s="475" t="e">
        <f t="shared" si="57"/>
        <v>#N/A</v>
      </c>
      <c r="AN73" s="681"/>
      <c r="AO73" s="569"/>
      <c r="AP73" s="569"/>
      <c r="AQ73" s="569"/>
      <c r="AR73" s="475" t="e">
        <f t="shared" si="59"/>
        <v>#N/A</v>
      </c>
      <c r="AS73" s="681"/>
      <c r="AT73" s="569"/>
      <c r="AU73" s="569"/>
      <c r="AV73" s="569"/>
      <c r="AW73" s="475" t="e">
        <f t="shared" si="61"/>
        <v>#N/A</v>
      </c>
      <c r="AX73" s="681"/>
    </row>
    <row r="74" spans="2:50">
      <c r="B74" s="667"/>
      <c r="C74" s="309">
        <v>8</v>
      </c>
      <c r="D74" s="227"/>
      <c r="E74" s="182"/>
      <c r="F74" s="569"/>
      <c r="G74" s="570"/>
      <c r="H74" s="709"/>
      <c r="I74" s="199"/>
      <c r="J74" s="199"/>
      <c r="K74" s="200"/>
      <c r="L74" s="641"/>
      <c r="M74" s="201" t="e">
        <f>RANK(K74, K$67:$K$81)</f>
        <v>#DIV/0!</v>
      </c>
      <c r="N74" s="659"/>
      <c r="O74" s="659"/>
      <c r="P74" s="569"/>
      <c r="Q74" s="569"/>
      <c r="R74" s="569"/>
      <c r="S74" s="339" t="e">
        <f t="shared" si="66"/>
        <v>#N/A</v>
      </c>
      <c r="T74" s="681"/>
      <c r="U74" s="569"/>
      <c r="V74" s="569"/>
      <c r="W74" s="569"/>
      <c r="X74" s="475" t="e">
        <f t="shared" si="51"/>
        <v>#N/A</v>
      </c>
      <c r="Y74" s="681"/>
      <c r="Z74" s="569"/>
      <c r="AA74" s="569"/>
      <c r="AB74" s="569"/>
      <c r="AC74" s="475" t="e">
        <f t="shared" si="53"/>
        <v>#N/A</v>
      </c>
      <c r="AD74" s="681"/>
      <c r="AE74" s="569"/>
      <c r="AF74" s="569"/>
      <c r="AG74" s="569"/>
      <c r="AH74" s="475" t="e">
        <f t="shared" si="55"/>
        <v>#N/A</v>
      </c>
      <c r="AI74" s="681"/>
      <c r="AJ74" s="569"/>
      <c r="AK74" s="569"/>
      <c r="AL74" s="569"/>
      <c r="AM74" s="475" t="e">
        <f t="shared" si="57"/>
        <v>#N/A</v>
      </c>
      <c r="AN74" s="681"/>
      <c r="AO74" s="569"/>
      <c r="AP74" s="569"/>
      <c r="AQ74" s="569"/>
      <c r="AR74" s="475" t="e">
        <f t="shared" si="59"/>
        <v>#N/A</v>
      </c>
      <c r="AS74" s="681"/>
      <c r="AT74" s="569"/>
      <c r="AU74" s="569"/>
      <c r="AV74" s="569"/>
      <c r="AW74" s="475" t="e">
        <f t="shared" si="61"/>
        <v>#N/A</v>
      </c>
      <c r="AX74" s="681"/>
    </row>
    <row r="75" spans="2:50">
      <c r="B75" s="667"/>
      <c r="C75" s="309">
        <v>9</v>
      </c>
      <c r="D75" s="227"/>
      <c r="E75" s="182"/>
      <c r="F75" s="569"/>
      <c r="G75" s="570"/>
      <c r="H75" s="709"/>
      <c r="I75" s="199"/>
      <c r="J75" s="199"/>
      <c r="K75" s="200"/>
      <c r="L75" s="641"/>
      <c r="M75" s="201" t="e">
        <f>RANK(K75, K$67:$K$81)</f>
        <v>#DIV/0!</v>
      </c>
      <c r="N75" s="659"/>
      <c r="O75" s="659"/>
      <c r="P75" s="569"/>
      <c r="Q75" s="569"/>
      <c r="R75" s="569"/>
      <c r="S75" s="339" t="e">
        <f t="shared" si="66"/>
        <v>#N/A</v>
      </c>
      <c r="T75" s="681"/>
      <c r="U75" s="569"/>
      <c r="V75" s="569"/>
      <c r="W75" s="569"/>
      <c r="X75" s="475" t="e">
        <f t="shared" si="51"/>
        <v>#N/A</v>
      </c>
      <c r="Y75" s="681"/>
      <c r="Z75" s="569"/>
      <c r="AA75" s="569"/>
      <c r="AB75" s="569"/>
      <c r="AC75" s="475" t="e">
        <f t="shared" si="53"/>
        <v>#N/A</v>
      </c>
      <c r="AD75" s="681"/>
      <c r="AE75" s="569"/>
      <c r="AF75" s="569"/>
      <c r="AG75" s="569"/>
      <c r="AH75" s="475" t="e">
        <f t="shared" si="55"/>
        <v>#N/A</v>
      </c>
      <c r="AI75" s="681"/>
      <c r="AJ75" s="569"/>
      <c r="AK75" s="569"/>
      <c r="AL75" s="569"/>
      <c r="AM75" s="475" t="e">
        <f t="shared" si="57"/>
        <v>#N/A</v>
      </c>
      <c r="AN75" s="681"/>
      <c r="AO75" s="569"/>
      <c r="AP75" s="569"/>
      <c r="AQ75" s="569"/>
      <c r="AR75" s="475" t="e">
        <f t="shared" si="59"/>
        <v>#N/A</v>
      </c>
      <c r="AS75" s="681"/>
      <c r="AT75" s="569"/>
      <c r="AU75" s="569"/>
      <c r="AV75" s="569"/>
      <c r="AW75" s="475" t="e">
        <f t="shared" si="61"/>
        <v>#N/A</v>
      </c>
      <c r="AX75" s="681"/>
    </row>
    <row r="76" spans="2:50">
      <c r="B76" s="667"/>
      <c r="C76" s="309">
        <v>10</v>
      </c>
      <c r="D76" s="227"/>
      <c r="E76" s="182"/>
      <c r="F76" s="569"/>
      <c r="G76" s="570"/>
      <c r="H76" s="709"/>
      <c r="I76" s="199"/>
      <c r="J76" s="199"/>
      <c r="K76" s="200"/>
      <c r="L76" s="641"/>
      <c r="M76" s="201" t="e">
        <f>RANK(K76, K$67:$K$81)</f>
        <v>#DIV/0!</v>
      </c>
      <c r="N76" s="659"/>
      <c r="O76" s="659"/>
      <c r="P76" s="569"/>
      <c r="Q76" s="569"/>
      <c r="R76" s="569"/>
      <c r="S76" s="339" t="e">
        <f t="shared" si="66"/>
        <v>#N/A</v>
      </c>
      <c r="T76" s="681"/>
      <c r="U76" s="569"/>
      <c r="V76" s="569"/>
      <c r="W76" s="569"/>
      <c r="X76" s="475" t="e">
        <f t="shared" si="51"/>
        <v>#N/A</v>
      </c>
      <c r="Y76" s="681"/>
      <c r="Z76" s="569"/>
      <c r="AA76" s="569"/>
      <c r="AB76" s="569"/>
      <c r="AC76" s="475" t="e">
        <f t="shared" si="53"/>
        <v>#N/A</v>
      </c>
      <c r="AD76" s="681"/>
      <c r="AE76" s="569"/>
      <c r="AF76" s="569"/>
      <c r="AG76" s="569"/>
      <c r="AH76" s="475" t="e">
        <f t="shared" si="55"/>
        <v>#N/A</v>
      </c>
      <c r="AI76" s="681"/>
      <c r="AJ76" s="569"/>
      <c r="AK76" s="569"/>
      <c r="AL76" s="569"/>
      <c r="AM76" s="475" t="e">
        <f t="shared" si="57"/>
        <v>#N/A</v>
      </c>
      <c r="AN76" s="681"/>
      <c r="AO76" s="569"/>
      <c r="AP76" s="569"/>
      <c r="AQ76" s="569"/>
      <c r="AR76" s="475" t="e">
        <f t="shared" si="59"/>
        <v>#N/A</v>
      </c>
      <c r="AS76" s="681"/>
      <c r="AT76" s="569"/>
      <c r="AU76" s="569"/>
      <c r="AV76" s="569"/>
      <c r="AW76" s="475" t="e">
        <f t="shared" si="61"/>
        <v>#N/A</v>
      </c>
      <c r="AX76" s="681"/>
    </row>
    <row r="77" spans="2:50">
      <c r="B77" s="667"/>
      <c r="C77" s="309">
        <v>11</v>
      </c>
      <c r="D77" s="227"/>
      <c r="E77" s="182"/>
      <c r="F77" s="569"/>
      <c r="G77" s="570"/>
      <c r="H77" s="709"/>
      <c r="I77" s="202"/>
      <c r="J77" s="202"/>
      <c r="K77" s="202"/>
      <c r="L77" s="641"/>
      <c r="M77" s="201" t="e">
        <f>RANK(K77, K$67:$K$81)</f>
        <v>#DIV/0!</v>
      </c>
      <c r="N77" s="659"/>
      <c r="O77" s="659"/>
      <c r="P77" s="569"/>
      <c r="Q77" s="569"/>
      <c r="R77" s="569"/>
      <c r="S77" s="339" t="e">
        <f t="shared" si="66"/>
        <v>#N/A</v>
      </c>
      <c r="T77" s="681"/>
      <c r="U77" s="569"/>
      <c r="V77" s="569"/>
      <c r="W77" s="569"/>
      <c r="X77" s="475" t="e">
        <f t="shared" si="51"/>
        <v>#N/A</v>
      </c>
      <c r="Y77" s="681"/>
      <c r="Z77" s="569"/>
      <c r="AA77" s="569"/>
      <c r="AB77" s="569"/>
      <c r="AC77" s="475" t="e">
        <f t="shared" si="53"/>
        <v>#N/A</v>
      </c>
      <c r="AD77" s="681"/>
      <c r="AE77" s="569"/>
      <c r="AF77" s="569"/>
      <c r="AG77" s="569"/>
      <c r="AH77" s="475" t="e">
        <f t="shared" si="55"/>
        <v>#N/A</v>
      </c>
      <c r="AI77" s="681"/>
      <c r="AJ77" s="569"/>
      <c r="AK77" s="569"/>
      <c r="AL77" s="569"/>
      <c r="AM77" s="475" t="e">
        <f t="shared" si="57"/>
        <v>#N/A</v>
      </c>
      <c r="AN77" s="681"/>
      <c r="AO77" s="569"/>
      <c r="AP77" s="569"/>
      <c r="AQ77" s="569"/>
      <c r="AR77" s="475" t="e">
        <f t="shared" si="59"/>
        <v>#N/A</v>
      </c>
      <c r="AS77" s="681"/>
      <c r="AT77" s="569"/>
      <c r="AU77" s="569"/>
      <c r="AV77" s="569"/>
      <c r="AW77" s="475" t="e">
        <f t="shared" si="61"/>
        <v>#N/A</v>
      </c>
      <c r="AX77" s="681"/>
    </row>
    <row r="78" spans="2:50">
      <c r="B78" s="667"/>
      <c r="C78" s="309">
        <v>12</v>
      </c>
      <c r="D78" s="227"/>
      <c r="E78" s="182"/>
      <c r="F78" s="569"/>
      <c r="G78" s="570"/>
      <c r="H78" s="709"/>
      <c r="I78" s="202"/>
      <c r="J78" s="202"/>
      <c r="K78" s="202"/>
      <c r="L78" s="641"/>
      <c r="M78" s="201" t="e">
        <f>RANK(K78, K$67:$K$81)</f>
        <v>#DIV/0!</v>
      </c>
      <c r="N78" s="659"/>
      <c r="O78" s="659"/>
      <c r="P78" s="569"/>
      <c r="Q78" s="569"/>
      <c r="R78" s="569"/>
      <c r="S78" s="339" t="e">
        <f t="shared" si="66"/>
        <v>#N/A</v>
      </c>
      <c r="T78" s="681"/>
      <c r="U78" s="569"/>
      <c r="V78" s="569"/>
      <c r="W78" s="569"/>
      <c r="X78" s="475" t="e">
        <f t="shared" si="51"/>
        <v>#N/A</v>
      </c>
      <c r="Y78" s="681"/>
      <c r="Z78" s="569"/>
      <c r="AA78" s="569"/>
      <c r="AB78" s="569"/>
      <c r="AC78" s="475" t="e">
        <f t="shared" si="53"/>
        <v>#N/A</v>
      </c>
      <c r="AD78" s="681"/>
      <c r="AE78" s="569"/>
      <c r="AF78" s="569"/>
      <c r="AG78" s="569"/>
      <c r="AH78" s="475" t="e">
        <f t="shared" si="55"/>
        <v>#N/A</v>
      </c>
      <c r="AI78" s="681"/>
      <c r="AJ78" s="569"/>
      <c r="AK78" s="569"/>
      <c r="AL78" s="569"/>
      <c r="AM78" s="475" t="e">
        <f t="shared" si="57"/>
        <v>#N/A</v>
      </c>
      <c r="AN78" s="681"/>
      <c r="AO78" s="569"/>
      <c r="AP78" s="569"/>
      <c r="AQ78" s="569"/>
      <c r="AR78" s="475" t="e">
        <f t="shared" si="59"/>
        <v>#N/A</v>
      </c>
      <c r="AS78" s="681"/>
      <c r="AT78" s="569"/>
      <c r="AU78" s="569"/>
      <c r="AV78" s="569"/>
      <c r="AW78" s="475" t="e">
        <f t="shared" si="61"/>
        <v>#N/A</v>
      </c>
      <c r="AX78" s="681"/>
    </row>
    <row r="79" spans="2:50">
      <c r="B79" s="667"/>
      <c r="C79" s="309">
        <v>13</v>
      </c>
      <c r="D79" s="227"/>
      <c r="E79" s="182"/>
      <c r="F79" s="569"/>
      <c r="G79" s="570"/>
      <c r="H79" s="709"/>
      <c r="I79" s="202"/>
      <c r="J79" s="202"/>
      <c r="K79" s="202"/>
      <c r="L79" s="641"/>
      <c r="M79" s="201" t="e">
        <f>RANK(K79, K$67:$K$81)</f>
        <v>#DIV/0!</v>
      </c>
      <c r="N79" s="659"/>
      <c r="O79" s="659"/>
      <c r="P79" s="569"/>
      <c r="Q79" s="569"/>
      <c r="R79" s="569"/>
      <c r="S79" s="339" t="e">
        <f t="shared" si="66"/>
        <v>#N/A</v>
      </c>
      <c r="T79" s="681"/>
      <c r="U79" s="569"/>
      <c r="V79" s="569"/>
      <c r="W79" s="569"/>
      <c r="X79" s="475" t="e">
        <f t="shared" si="51"/>
        <v>#N/A</v>
      </c>
      <c r="Y79" s="681"/>
      <c r="Z79" s="569"/>
      <c r="AA79" s="569"/>
      <c r="AB79" s="569"/>
      <c r="AC79" s="475" t="e">
        <f t="shared" si="53"/>
        <v>#N/A</v>
      </c>
      <c r="AD79" s="681"/>
      <c r="AE79" s="569"/>
      <c r="AF79" s="569"/>
      <c r="AG79" s="569"/>
      <c r="AH79" s="475" t="e">
        <f t="shared" si="55"/>
        <v>#N/A</v>
      </c>
      <c r="AI79" s="681"/>
      <c r="AJ79" s="569"/>
      <c r="AK79" s="569"/>
      <c r="AL79" s="569"/>
      <c r="AM79" s="475" t="e">
        <f t="shared" si="57"/>
        <v>#N/A</v>
      </c>
      <c r="AN79" s="681"/>
      <c r="AO79" s="569"/>
      <c r="AP79" s="569"/>
      <c r="AQ79" s="569"/>
      <c r="AR79" s="475" t="e">
        <f t="shared" si="59"/>
        <v>#N/A</v>
      </c>
      <c r="AS79" s="681"/>
      <c r="AT79" s="569"/>
      <c r="AU79" s="569"/>
      <c r="AV79" s="569"/>
      <c r="AW79" s="475" t="e">
        <f t="shared" si="61"/>
        <v>#N/A</v>
      </c>
      <c r="AX79" s="681"/>
    </row>
    <row r="80" spans="2:50">
      <c r="B80" s="667"/>
      <c r="C80" s="309">
        <v>14</v>
      </c>
      <c r="D80" s="227"/>
      <c r="E80" s="182"/>
      <c r="F80" s="569"/>
      <c r="G80" s="570"/>
      <c r="H80" s="709"/>
      <c r="I80" s="202"/>
      <c r="J80" s="202"/>
      <c r="K80" s="202"/>
      <c r="L80" s="641"/>
      <c r="M80" s="201" t="e">
        <f>RANK(K80, K$67:$K$81)</f>
        <v>#DIV/0!</v>
      </c>
      <c r="N80" s="659"/>
      <c r="O80" s="659"/>
      <c r="P80" s="569"/>
      <c r="Q80" s="569"/>
      <c r="R80" s="569"/>
      <c r="S80" s="339" t="e">
        <f t="shared" si="66"/>
        <v>#N/A</v>
      </c>
      <c r="T80" s="681"/>
      <c r="U80" s="569"/>
      <c r="V80" s="569"/>
      <c r="W80" s="569"/>
      <c r="X80" s="475" t="e">
        <f t="shared" si="51"/>
        <v>#N/A</v>
      </c>
      <c r="Y80" s="681"/>
      <c r="Z80" s="569"/>
      <c r="AA80" s="569"/>
      <c r="AB80" s="569"/>
      <c r="AC80" s="475" t="e">
        <f t="shared" si="53"/>
        <v>#N/A</v>
      </c>
      <c r="AD80" s="681"/>
      <c r="AE80" s="569"/>
      <c r="AF80" s="569"/>
      <c r="AG80" s="569"/>
      <c r="AH80" s="475" t="e">
        <f t="shared" si="55"/>
        <v>#N/A</v>
      </c>
      <c r="AI80" s="681"/>
      <c r="AJ80" s="569"/>
      <c r="AK80" s="569"/>
      <c r="AL80" s="569"/>
      <c r="AM80" s="475" t="e">
        <f t="shared" si="57"/>
        <v>#N/A</v>
      </c>
      <c r="AN80" s="681"/>
      <c r="AO80" s="569"/>
      <c r="AP80" s="569"/>
      <c r="AQ80" s="569"/>
      <c r="AR80" s="475" t="e">
        <f t="shared" si="59"/>
        <v>#N/A</v>
      </c>
      <c r="AS80" s="681"/>
      <c r="AT80" s="569"/>
      <c r="AU80" s="569"/>
      <c r="AV80" s="569"/>
      <c r="AW80" s="475" t="e">
        <f t="shared" si="61"/>
        <v>#N/A</v>
      </c>
      <c r="AX80" s="681"/>
    </row>
    <row r="81" spans="2:50">
      <c r="B81" s="667"/>
      <c r="C81" s="309">
        <v>15</v>
      </c>
      <c r="D81" s="227"/>
      <c r="E81" s="182"/>
      <c r="F81" s="569"/>
      <c r="G81" s="570"/>
      <c r="H81" s="710"/>
      <c r="I81" s="202"/>
      <c r="J81" s="202"/>
      <c r="K81" s="202"/>
      <c r="L81" s="642"/>
      <c r="M81" s="201" t="e">
        <f>RANK(K81, K$67:$K$81)</f>
        <v>#DIV/0!</v>
      </c>
      <c r="N81" s="659"/>
      <c r="O81" s="659"/>
      <c r="P81" s="569"/>
      <c r="Q81" s="569"/>
      <c r="R81" s="569"/>
      <c r="S81" s="339" t="e">
        <f t="shared" si="66"/>
        <v>#N/A</v>
      </c>
      <c r="T81" s="681"/>
      <c r="U81" s="569"/>
      <c r="V81" s="569"/>
      <c r="W81" s="569"/>
      <c r="X81" s="475" t="e">
        <f t="shared" si="51"/>
        <v>#N/A</v>
      </c>
      <c r="Y81" s="681"/>
      <c r="Z81" s="569"/>
      <c r="AA81" s="569"/>
      <c r="AB81" s="569"/>
      <c r="AC81" s="475" t="e">
        <f t="shared" si="53"/>
        <v>#N/A</v>
      </c>
      <c r="AD81" s="681"/>
      <c r="AE81" s="569"/>
      <c r="AF81" s="569"/>
      <c r="AG81" s="569"/>
      <c r="AH81" s="475" t="e">
        <f t="shared" si="55"/>
        <v>#N/A</v>
      </c>
      <c r="AI81" s="681"/>
      <c r="AJ81" s="569"/>
      <c r="AK81" s="569"/>
      <c r="AL81" s="569"/>
      <c r="AM81" s="475" t="e">
        <f t="shared" si="57"/>
        <v>#N/A</v>
      </c>
      <c r="AN81" s="681"/>
      <c r="AO81" s="569"/>
      <c r="AP81" s="569"/>
      <c r="AQ81" s="569"/>
      <c r="AR81" s="475" t="e">
        <f t="shared" si="59"/>
        <v>#N/A</v>
      </c>
      <c r="AS81" s="681"/>
      <c r="AT81" s="569"/>
      <c r="AU81" s="569"/>
      <c r="AV81" s="569"/>
      <c r="AW81" s="475" t="e">
        <f t="shared" si="61"/>
        <v>#N/A</v>
      </c>
      <c r="AX81" s="681"/>
    </row>
    <row r="82" spans="2:50" ht="15.75">
      <c r="B82" s="671" t="s">
        <v>163</v>
      </c>
      <c r="C82" s="672"/>
      <c r="D82" s="672"/>
      <c r="E82" s="672"/>
      <c r="F82" s="672"/>
      <c r="G82" s="672"/>
      <c r="H82" s="673"/>
      <c r="I82" s="208"/>
      <c r="J82" s="208"/>
      <c r="K82" s="208"/>
      <c r="L82" s="208"/>
      <c r="M82" s="207"/>
      <c r="N82" s="660" t="s">
        <v>156</v>
      </c>
      <c r="O82" s="660" t="s">
        <v>105</v>
      </c>
      <c r="P82" s="666">
        <f>P62+7</f>
        <v>46112</v>
      </c>
      <c r="Q82" s="667"/>
      <c r="R82" s="667"/>
      <c r="S82" s="667"/>
      <c r="T82" s="667"/>
      <c r="U82" s="663">
        <f>P82+1</f>
        <v>46113</v>
      </c>
      <c r="V82" s="664"/>
      <c r="W82" s="664"/>
      <c r="X82" s="664"/>
      <c r="Y82" s="665"/>
      <c r="Z82" s="663">
        <f>U82+1</f>
        <v>46114</v>
      </c>
      <c r="AA82" s="664"/>
      <c r="AB82" s="664"/>
      <c r="AC82" s="664"/>
      <c r="AD82" s="665"/>
      <c r="AE82" s="663">
        <f>Z82+1</f>
        <v>46115</v>
      </c>
      <c r="AF82" s="664"/>
      <c r="AG82" s="664"/>
      <c r="AH82" s="664"/>
      <c r="AI82" s="665"/>
      <c r="AJ82" s="663">
        <f>AE82+1</f>
        <v>46116</v>
      </c>
      <c r="AK82" s="664"/>
      <c r="AL82" s="664"/>
      <c r="AM82" s="664"/>
      <c r="AN82" s="665"/>
      <c r="AO82" s="663">
        <f>AJ82+1</f>
        <v>46117</v>
      </c>
      <c r="AP82" s="664"/>
      <c r="AQ82" s="664"/>
      <c r="AR82" s="664"/>
      <c r="AS82" s="665"/>
      <c r="AT82" s="663">
        <f>AO82+1</f>
        <v>46118</v>
      </c>
      <c r="AU82" s="664"/>
      <c r="AV82" s="664"/>
      <c r="AW82" s="664"/>
      <c r="AX82" s="665"/>
    </row>
    <row r="83" spans="2:50" ht="15.75">
      <c r="B83" s="674"/>
      <c r="C83" s="674"/>
      <c r="D83" s="674"/>
      <c r="E83" s="674"/>
      <c r="F83" s="674"/>
      <c r="G83" s="674"/>
      <c r="H83" s="674"/>
      <c r="I83" s="205"/>
      <c r="J83" s="205"/>
      <c r="K83" s="205"/>
      <c r="L83" s="205"/>
      <c r="M83" s="206"/>
      <c r="N83" s="662"/>
      <c r="O83" s="662"/>
      <c r="P83" s="666" t="s">
        <v>336</v>
      </c>
      <c r="Q83" s="667"/>
      <c r="R83" s="667"/>
      <c r="S83" s="667"/>
      <c r="T83" s="667"/>
      <c r="U83" s="666" t="s">
        <v>337</v>
      </c>
      <c r="V83" s="667"/>
      <c r="W83" s="667"/>
      <c r="X83" s="667"/>
      <c r="Y83" s="667"/>
      <c r="Z83" s="666" t="s">
        <v>338</v>
      </c>
      <c r="AA83" s="667"/>
      <c r="AB83" s="667"/>
      <c r="AC83" s="667"/>
      <c r="AD83" s="667"/>
      <c r="AE83" s="666" t="s">
        <v>339</v>
      </c>
      <c r="AF83" s="667"/>
      <c r="AG83" s="667"/>
      <c r="AH83" s="667"/>
      <c r="AI83" s="667"/>
      <c r="AJ83" s="666" t="s">
        <v>340</v>
      </c>
      <c r="AK83" s="667"/>
      <c r="AL83" s="667"/>
      <c r="AM83" s="667"/>
      <c r="AN83" s="667"/>
      <c r="AO83" s="666" t="s">
        <v>341</v>
      </c>
      <c r="AP83" s="667"/>
      <c r="AQ83" s="667"/>
      <c r="AR83" s="667"/>
      <c r="AS83" s="667"/>
      <c r="AT83" s="666" t="s">
        <v>342</v>
      </c>
      <c r="AU83" s="667"/>
      <c r="AV83" s="667"/>
      <c r="AW83" s="667"/>
      <c r="AX83" s="667"/>
    </row>
    <row r="84" spans="2:50">
      <c r="B84" s="659" t="s">
        <v>460</v>
      </c>
      <c r="C84" s="659" t="s">
        <v>461</v>
      </c>
      <c r="D84" s="659"/>
      <c r="E84" s="659" t="s">
        <v>462</v>
      </c>
      <c r="F84" s="659"/>
      <c r="G84" s="659"/>
      <c r="H84" s="675" t="s">
        <v>463</v>
      </c>
      <c r="I84" s="643" t="s">
        <v>464</v>
      </c>
      <c r="J84" s="643"/>
      <c r="K84" s="643"/>
      <c r="L84" s="644" t="s">
        <v>463</v>
      </c>
      <c r="M84" s="650" t="s">
        <v>465</v>
      </c>
      <c r="N84" s="659"/>
      <c r="O84" s="659" t="s">
        <v>466</v>
      </c>
      <c r="P84" s="656" t="s">
        <v>467</v>
      </c>
      <c r="Q84" s="657"/>
      <c r="R84" s="657"/>
      <c r="S84" s="658"/>
      <c r="T84" s="659" t="s">
        <v>463</v>
      </c>
      <c r="U84" s="656" t="s">
        <v>467</v>
      </c>
      <c r="V84" s="657"/>
      <c r="W84" s="657"/>
      <c r="X84" s="658"/>
      <c r="Y84" s="659" t="s">
        <v>463</v>
      </c>
      <c r="Z84" s="656" t="s">
        <v>467</v>
      </c>
      <c r="AA84" s="657"/>
      <c r="AB84" s="657"/>
      <c r="AC84" s="658"/>
      <c r="AD84" s="659" t="s">
        <v>463</v>
      </c>
      <c r="AE84" s="656" t="s">
        <v>467</v>
      </c>
      <c r="AF84" s="657"/>
      <c r="AG84" s="657"/>
      <c r="AH84" s="658"/>
      <c r="AI84" s="659" t="s">
        <v>463</v>
      </c>
      <c r="AJ84" s="656" t="s">
        <v>467</v>
      </c>
      <c r="AK84" s="657"/>
      <c r="AL84" s="657"/>
      <c r="AM84" s="658"/>
      <c r="AN84" s="659" t="s">
        <v>463</v>
      </c>
      <c r="AO84" s="656" t="s">
        <v>467</v>
      </c>
      <c r="AP84" s="657"/>
      <c r="AQ84" s="657"/>
      <c r="AR84" s="658"/>
      <c r="AS84" s="659" t="s">
        <v>463</v>
      </c>
      <c r="AT84" s="656" t="s">
        <v>467</v>
      </c>
      <c r="AU84" s="657"/>
      <c r="AV84" s="657"/>
      <c r="AW84" s="658"/>
      <c r="AX84" s="659" t="s">
        <v>463</v>
      </c>
    </row>
    <row r="85" spans="2:50">
      <c r="B85" s="659"/>
      <c r="C85" s="659"/>
      <c r="D85" s="659"/>
      <c r="E85" s="659" t="s">
        <v>468</v>
      </c>
      <c r="F85" s="659"/>
      <c r="G85" s="659"/>
      <c r="H85" s="676"/>
      <c r="I85" s="643" t="s">
        <v>468</v>
      </c>
      <c r="J85" s="643"/>
      <c r="K85" s="643"/>
      <c r="L85" s="645"/>
      <c r="M85" s="651"/>
      <c r="N85" s="659"/>
      <c r="O85" s="659"/>
      <c r="P85" s="656" t="s">
        <v>469</v>
      </c>
      <c r="Q85" s="657"/>
      <c r="R85" s="657"/>
      <c r="S85" s="658"/>
      <c r="T85" s="659"/>
      <c r="U85" s="656" t="s">
        <v>469</v>
      </c>
      <c r="V85" s="657"/>
      <c r="W85" s="657"/>
      <c r="X85" s="658"/>
      <c r="Y85" s="659"/>
      <c r="Z85" s="656" t="s">
        <v>469</v>
      </c>
      <c r="AA85" s="657"/>
      <c r="AB85" s="657"/>
      <c r="AC85" s="658"/>
      <c r="AD85" s="659"/>
      <c r="AE85" s="656" t="s">
        <v>469</v>
      </c>
      <c r="AF85" s="657"/>
      <c r="AG85" s="657"/>
      <c r="AH85" s="658"/>
      <c r="AI85" s="659"/>
      <c r="AJ85" s="656" t="s">
        <v>469</v>
      </c>
      <c r="AK85" s="657"/>
      <c r="AL85" s="657"/>
      <c r="AM85" s="658"/>
      <c r="AN85" s="659"/>
      <c r="AO85" s="656" t="s">
        <v>469</v>
      </c>
      <c r="AP85" s="657"/>
      <c r="AQ85" s="657"/>
      <c r="AR85" s="658"/>
      <c r="AS85" s="659"/>
      <c r="AT85" s="656" t="s">
        <v>469</v>
      </c>
      <c r="AU85" s="657"/>
      <c r="AV85" s="657"/>
      <c r="AW85" s="658"/>
      <c r="AX85" s="659"/>
    </row>
    <row r="86" spans="2:50">
      <c r="B86" s="659"/>
      <c r="C86" s="659"/>
      <c r="D86" s="659"/>
      <c r="E86" s="302" t="s">
        <v>470</v>
      </c>
      <c r="F86" s="302" t="s">
        <v>471</v>
      </c>
      <c r="G86" s="302" t="s">
        <v>472</v>
      </c>
      <c r="H86" s="677"/>
      <c r="I86" s="303" t="s">
        <v>470</v>
      </c>
      <c r="J86" s="303" t="s">
        <v>471</v>
      </c>
      <c r="K86" s="303" t="s">
        <v>472</v>
      </c>
      <c r="L86" s="646"/>
      <c r="M86" s="652"/>
      <c r="N86" s="659"/>
      <c r="O86" s="659"/>
      <c r="P86" s="302" t="s">
        <v>470</v>
      </c>
      <c r="Q86" s="302" t="s">
        <v>471</v>
      </c>
      <c r="R86" s="302" t="s">
        <v>472</v>
      </c>
      <c r="S86" s="302" t="s">
        <v>465</v>
      </c>
      <c r="T86" s="659"/>
      <c r="U86" s="302" t="s">
        <v>470</v>
      </c>
      <c r="V86" s="302" t="s">
        <v>471</v>
      </c>
      <c r="W86" s="302" t="s">
        <v>472</v>
      </c>
      <c r="X86" s="302" t="s">
        <v>465</v>
      </c>
      <c r="Y86" s="659"/>
      <c r="Z86" s="302" t="s">
        <v>470</v>
      </c>
      <c r="AA86" s="302" t="s">
        <v>471</v>
      </c>
      <c r="AB86" s="302" t="s">
        <v>472</v>
      </c>
      <c r="AC86" s="302" t="s">
        <v>465</v>
      </c>
      <c r="AD86" s="659"/>
      <c r="AE86" s="302" t="s">
        <v>470</v>
      </c>
      <c r="AF86" s="302" t="s">
        <v>471</v>
      </c>
      <c r="AG86" s="302" t="s">
        <v>472</v>
      </c>
      <c r="AH86" s="302" t="s">
        <v>465</v>
      </c>
      <c r="AI86" s="659"/>
      <c r="AJ86" s="302" t="s">
        <v>470</v>
      </c>
      <c r="AK86" s="302" t="s">
        <v>471</v>
      </c>
      <c r="AL86" s="302" t="s">
        <v>472</v>
      </c>
      <c r="AM86" s="302" t="s">
        <v>465</v>
      </c>
      <c r="AN86" s="659"/>
      <c r="AO86" s="302" t="s">
        <v>470</v>
      </c>
      <c r="AP86" s="302" t="s">
        <v>471</v>
      </c>
      <c r="AQ86" s="302" t="s">
        <v>472</v>
      </c>
      <c r="AR86" s="302" t="s">
        <v>465</v>
      </c>
      <c r="AS86" s="659"/>
      <c r="AT86" s="302" t="s">
        <v>470</v>
      </c>
      <c r="AU86" s="302" t="s">
        <v>471</v>
      </c>
      <c r="AV86" s="302" t="s">
        <v>472</v>
      </c>
      <c r="AW86" s="302" t="s">
        <v>465</v>
      </c>
      <c r="AX86" s="659"/>
    </row>
    <row r="87" spans="2:50">
      <c r="B87" s="659" t="s">
        <v>475</v>
      </c>
      <c r="C87" s="301">
        <v>1</v>
      </c>
      <c r="D87" s="227"/>
      <c r="E87" s="182"/>
      <c r="F87" s="447"/>
      <c r="G87" s="448"/>
      <c r="H87" s="708" t="e">
        <f>AVERAGE(G87:G101)</f>
        <v>#DIV/0!</v>
      </c>
      <c r="I87" s="199" t="e">
        <f t="shared" ref="I87:K88" si="67">AVERAGE(P87,U87,Z87,AE87,AJ87,AO87,AT87)</f>
        <v>#DIV/0!</v>
      </c>
      <c r="J87" s="199" t="e">
        <f t="shared" si="67"/>
        <v>#DIV/0!</v>
      </c>
      <c r="K87" s="200" t="e">
        <f t="shared" si="67"/>
        <v>#DIV/0!</v>
      </c>
      <c r="L87" s="640" t="str">
        <f>IFERROR(AVERAGE(K87:K101),"-")</f>
        <v>-</v>
      </c>
      <c r="M87" s="201" t="e">
        <f>RANK(K87, K$87:$K$101)</f>
        <v>#DIV/0!</v>
      </c>
      <c r="N87" s="659"/>
      <c r="O87" s="659"/>
      <c r="P87" s="182"/>
      <c r="Q87" s="182"/>
      <c r="R87" s="570"/>
      <c r="S87" s="301" t="e">
        <f>RANK(R87, R$87:R$101)</f>
        <v>#N/A</v>
      </c>
      <c r="T87" s="681" t="e">
        <f>AVERAGE(R87:R101)</f>
        <v>#DIV/0!</v>
      </c>
      <c r="U87" s="182"/>
      <c r="V87" s="182"/>
      <c r="W87" s="570"/>
      <c r="X87" s="541">
        <v>1</v>
      </c>
      <c r="Y87" s="681" t="e">
        <f t="shared" ref="Y87" si="68">AVERAGE(W87:W101)</f>
        <v>#DIV/0!</v>
      </c>
      <c r="Z87" s="182"/>
      <c r="AA87" s="182"/>
      <c r="AB87" s="570"/>
      <c r="AC87" s="475" t="e">
        <f t="shared" ref="AC87:AC101" si="69">RANK(AB87, AB$87:AB$101)</f>
        <v>#N/A</v>
      </c>
      <c r="AD87" s="681" t="e">
        <f t="shared" ref="AD87" si="70">AVERAGE(AB87:AB101)</f>
        <v>#DIV/0!</v>
      </c>
      <c r="AE87" s="182"/>
      <c r="AF87" s="182"/>
      <c r="AG87" s="570"/>
      <c r="AH87" s="475" t="e">
        <f t="shared" ref="AH87:AH101" si="71">RANK(AG87, AG$87:AG$101)</f>
        <v>#N/A</v>
      </c>
      <c r="AI87" s="681" t="e">
        <f t="shared" ref="AI87" si="72">AVERAGE(AG87:AG101)</f>
        <v>#DIV/0!</v>
      </c>
      <c r="AJ87" s="182"/>
      <c r="AK87" s="182"/>
      <c r="AL87" s="570"/>
      <c r="AM87" s="475" t="e">
        <f t="shared" ref="AM87:AM101" si="73">RANK(AL87, AL$87:AL$101)</f>
        <v>#N/A</v>
      </c>
      <c r="AN87" s="681" t="e">
        <f t="shared" ref="AN87" si="74">AVERAGE(AL87:AL101)</f>
        <v>#DIV/0!</v>
      </c>
      <c r="AO87" s="182"/>
      <c r="AP87" s="182"/>
      <c r="AQ87" s="570"/>
      <c r="AR87" s="475" t="e">
        <f t="shared" ref="AR87:AR101" si="75">RANK(AQ87, AQ$87:AQ$101)</f>
        <v>#N/A</v>
      </c>
      <c r="AS87" s="681" t="e">
        <f t="shared" ref="AS87" si="76">AVERAGE(AQ87:AQ101)</f>
        <v>#DIV/0!</v>
      </c>
      <c r="AT87" s="182"/>
      <c r="AU87" s="182"/>
      <c r="AV87" s="570"/>
      <c r="AW87" s="475" t="e">
        <f t="shared" ref="AW87:AW101" si="77">RANK(AV87, AV$87:AV$101)</f>
        <v>#N/A</v>
      </c>
      <c r="AX87" s="681" t="e">
        <f t="shared" ref="AX87" si="78">AVERAGE(AV87:AV101)</f>
        <v>#DIV/0!</v>
      </c>
    </row>
    <row r="88" spans="2:50">
      <c r="B88" s="667"/>
      <c r="C88" s="301">
        <v>2</v>
      </c>
      <c r="D88" s="227"/>
      <c r="E88" s="182"/>
      <c r="F88" s="447"/>
      <c r="G88" s="448"/>
      <c r="H88" s="709"/>
      <c r="I88" s="446" t="e">
        <f t="shared" si="67"/>
        <v>#DIV/0!</v>
      </c>
      <c r="J88" s="446" t="e">
        <f t="shared" si="67"/>
        <v>#DIV/0!</v>
      </c>
      <c r="K88" s="200" t="e">
        <f t="shared" si="67"/>
        <v>#DIV/0!</v>
      </c>
      <c r="L88" s="641"/>
      <c r="M88" s="201" t="e">
        <f>RANK(K88, K$87:$K$101)</f>
        <v>#DIV/0!</v>
      </c>
      <c r="N88" s="659"/>
      <c r="O88" s="659"/>
      <c r="P88" s="569"/>
      <c r="Q88" s="182"/>
      <c r="R88" s="570"/>
      <c r="S88" s="301" t="e">
        <f t="shared" ref="S88:S101" si="79">RANK(R88, R$87:R$101)</f>
        <v>#N/A</v>
      </c>
      <c r="T88" s="681"/>
      <c r="U88" s="569"/>
      <c r="V88" s="182"/>
      <c r="W88" s="570"/>
      <c r="X88" s="541">
        <v>2</v>
      </c>
      <c r="Y88" s="681"/>
      <c r="Z88" s="569"/>
      <c r="AA88" s="182"/>
      <c r="AB88" s="570"/>
      <c r="AC88" s="475" t="e">
        <f t="shared" si="69"/>
        <v>#N/A</v>
      </c>
      <c r="AD88" s="681"/>
      <c r="AE88" s="569"/>
      <c r="AF88" s="182"/>
      <c r="AG88" s="570"/>
      <c r="AH88" s="475" t="e">
        <f t="shared" si="71"/>
        <v>#N/A</v>
      </c>
      <c r="AI88" s="681"/>
      <c r="AJ88" s="569"/>
      <c r="AK88" s="182"/>
      <c r="AL88" s="570"/>
      <c r="AM88" s="475" t="e">
        <f t="shared" si="73"/>
        <v>#N/A</v>
      </c>
      <c r="AN88" s="681"/>
      <c r="AO88" s="569"/>
      <c r="AP88" s="182"/>
      <c r="AQ88" s="570"/>
      <c r="AR88" s="475" t="e">
        <f t="shared" si="75"/>
        <v>#N/A</v>
      </c>
      <c r="AS88" s="681"/>
      <c r="AT88" s="569"/>
      <c r="AU88" s="182"/>
      <c r="AV88" s="570"/>
      <c r="AW88" s="475" t="e">
        <f t="shared" si="77"/>
        <v>#N/A</v>
      </c>
      <c r="AX88" s="681"/>
    </row>
    <row r="89" spans="2:50">
      <c r="B89" s="667"/>
      <c r="C89" s="301">
        <v>3</v>
      </c>
      <c r="D89" s="227"/>
      <c r="E89" s="182"/>
      <c r="F89" s="447"/>
      <c r="G89" s="448"/>
      <c r="H89" s="709"/>
      <c r="I89" s="199"/>
      <c r="J89" s="199"/>
      <c r="K89" s="200"/>
      <c r="L89" s="641"/>
      <c r="M89" s="201" t="e">
        <f>RANK(K89, K$87:$K$101)</f>
        <v>#DIV/0!</v>
      </c>
      <c r="N89" s="659"/>
      <c r="O89" s="659"/>
      <c r="P89" s="569"/>
      <c r="Q89" s="569"/>
      <c r="R89" s="569"/>
      <c r="S89" s="301" t="e">
        <f t="shared" si="79"/>
        <v>#N/A</v>
      </c>
      <c r="T89" s="681"/>
      <c r="U89" s="569"/>
      <c r="V89" s="569"/>
      <c r="W89" s="569"/>
      <c r="X89" s="475" t="e">
        <f t="shared" ref="X89:X101" si="80">RANK(W89, W$87:W$101)</f>
        <v>#N/A</v>
      </c>
      <c r="Y89" s="681"/>
      <c r="Z89" s="569"/>
      <c r="AA89" s="569"/>
      <c r="AB89" s="569"/>
      <c r="AC89" s="475" t="e">
        <f t="shared" si="69"/>
        <v>#N/A</v>
      </c>
      <c r="AD89" s="681"/>
      <c r="AE89" s="569"/>
      <c r="AF89" s="569"/>
      <c r="AG89" s="569"/>
      <c r="AH89" s="475" t="e">
        <f t="shared" si="71"/>
        <v>#N/A</v>
      </c>
      <c r="AI89" s="681"/>
      <c r="AJ89" s="569"/>
      <c r="AK89" s="569"/>
      <c r="AL89" s="569"/>
      <c r="AM89" s="475" t="e">
        <f t="shared" si="73"/>
        <v>#N/A</v>
      </c>
      <c r="AN89" s="681"/>
      <c r="AO89" s="569"/>
      <c r="AP89" s="569"/>
      <c r="AQ89" s="569"/>
      <c r="AR89" s="475" t="e">
        <f t="shared" si="75"/>
        <v>#N/A</v>
      </c>
      <c r="AS89" s="681"/>
      <c r="AT89" s="569"/>
      <c r="AU89" s="569"/>
      <c r="AV89" s="569"/>
      <c r="AW89" s="475" t="e">
        <f t="shared" si="77"/>
        <v>#N/A</v>
      </c>
      <c r="AX89" s="681"/>
    </row>
    <row r="90" spans="2:50">
      <c r="B90" s="667"/>
      <c r="C90" s="301">
        <v>4</v>
      </c>
      <c r="D90" s="227"/>
      <c r="E90" s="182"/>
      <c r="F90" s="447"/>
      <c r="G90" s="448"/>
      <c r="H90" s="709"/>
      <c r="I90" s="199"/>
      <c r="J90" s="199"/>
      <c r="K90" s="200"/>
      <c r="L90" s="641"/>
      <c r="M90" s="201" t="e">
        <f>RANK(K90, K$87:$K$101)</f>
        <v>#DIV/0!</v>
      </c>
      <c r="N90" s="659"/>
      <c r="O90" s="659"/>
      <c r="P90" s="569"/>
      <c r="Q90" s="569"/>
      <c r="R90" s="569"/>
      <c r="S90" s="301" t="e">
        <f t="shared" si="79"/>
        <v>#N/A</v>
      </c>
      <c r="T90" s="681"/>
      <c r="U90" s="569"/>
      <c r="V90" s="569"/>
      <c r="W90" s="569"/>
      <c r="X90" s="475" t="e">
        <f t="shared" si="80"/>
        <v>#N/A</v>
      </c>
      <c r="Y90" s="681"/>
      <c r="Z90" s="569"/>
      <c r="AA90" s="569"/>
      <c r="AB90" s="569"/>
      <c r="AC90" s="475" t="e">
        <f t="shared" si="69"/>
        <v>#N/A</v>
      </c>
      <c r="AD90" s="681"/>
      <c r="AE90" s="569"/>
      <c r="AF90" s="569"/>
      <c r="AG90" s="569"/>
      <c r="AH90" s="475" t="e">
        <f t="shared" si="71"/>
        <v>#N/A</v>
      </c>
      <c r="AI90" s="681"/>
      <c r="AJ90" s="569"/>
      <c r="AK90" s="569"/>
      <c r="AL90" s="569"/>
      <c r="AM90" s="475" t="e">
        <f t="shared" si="73"/>
        <v>#N/A</v>
      </c>
      <c r="AN90" s="681"/>
      <c r="AO90" s="569"/>
      <c r="AP90" s="569"/>
      <c r="AQ90" s="569"/>
      <c r="AR90" s="475" t="e">
        <f t="shared" si="75"/>
        <v>#N/A</v>
      </c>
      <c r="AS90" s="681"/>
      <c r="AT90" s="569"/>
      <c r="AU90" s="569"/>
      <c r="AV90" s="569"/>
      <c r="AW90" s="475" t="e">
        <f t="shared" si="77"/>
        <v>#N/A</v>
      </c>
      <c r="AX90" s="681"/>
    </row>
    <row r="91" spans="2:50">
      <c r="B91" s="667"/>
      <c r="C91" s="301">
        <v>5</v>
      </c>
      <c r="D91" s="227"/>
      <c r="E91" s="182"/>
      <c r="F91" s="447"/>
      <c r="G91" s="448"/>
      <c r="H91" s="709"/>
      <c r="I91" s="199"/>
      <c r="J91" s="199"/>
      <c r="K91" s="200"/>
      <c r="L91" s="641"/>
      <c r="M91" s="201" t="e">
        <f>RANK(K91, K$87:$K$101)</f>
        <v>#DIV/0!</v>
      </c>
      <c r="N91" s="659"/>
      <c r="O91" s="659"/>
      <c r="P91" s="569"/>
      <c r="Q91" s="569"/>
      <c r="R91" s="569"/>
      <c r="S91" s="301" t="e">
        <f t="shared" si="79"/>
        <v>#N/A</v>
      </c>
      <c r="T91" s="681"/>
      <c r="U91" s="569"/>
      <c r="V91" s="569"/>
      <c r="W91" s="569"/>
      <c r="X91" s="475" t="e">
        <f t="shared" si="80"/>
        <v>#N/A</v>
      </c>
      <c r="Y91" s="681"/>
      <c r="Z91" s="569"/>
      <c r="AA91" s="569"/>
      <c r="AB91" s="569"/>
      <c r="AC91" s="475" t="e">
        <f t="shared" si="69"/>
        <v>#N/A</v>
      </c>
      <c r="AD91" s="681"/>
      <c r="AE91" s="569"/>
      <c r="AF91" s="569"/>
      <c r="AG91" s="569"/>
      <c r="AH91" s="475" t="e">
        <f t="shared" si="71"/>
        <v>#N/A</v>
      </c>
      <c r="AI91" s="681"/>
      <c r="AJ91" s="569"/>
      <c r="AK91" s="569"/>
      <c r="AL91" s="569"/>
      <c r="AM91" s="475" t="e">
        <f t="shared" si="73"/>
        <v>#N/A</v>
      </c>
      <c r="AN91" s="681"/>
      <c r="AO91" s="569"/>
      <c r="AP91" s="569"/>
      <c r="AQ91" s="569"/>
      <c r="AR91" s="475" t="e">
        <f t="shared" si="75"/>
        <v>#N/A</v>
      </c>
      <c r="AS91" s="681"/>
      <c r="AT91" s="569"/>
      <c r="AU91" s="569"/>
      <c r="AV91" s="569"/>
      <c r="AW91" s="475" t="e">
        <f t="shared" si="77"/>
        <v>#N/A</v>
      </c>
      <c r="AX91" s="681"/>
    </row>
    <row r="92" spans="2:50">
      <c r="B92" s="667"/>
      <c r="C92" s="301">
        <v>6</v>
      </c>
      <c r="D92" s="227"/>
      <c r="E92" s="182"/>
      <c r="F92" s="447"/>
      <c r="G92" s="448"/>
      <c r="H92" s="709"/>
      <c r="I92" s="199"/>
      <c r="J92" s="199"/>
      <c r="K92" s="200"/>
      <c r="L92" s="641"/>
      <c r="M92" s="201" t="e">
        <f>RANK(K92, K$87:$K$101)</f>
        <v>#DIV/0!</v>
      </c>
      <c r="N92" s="659"/>
      <c r="O92" s="659"/>
      <c r="P92" s="569"/>
      <c r="Q92" s="569"/>
      <c r="R92" s="569"/>
      <c r="S92" s="301" t="e">
        <f t="shared" si="79"/>
        <v>#N/A</v>
      </c>
      <c r="T92" s="681"/>
      <c r="U92" s="569"/>
      <c r="V92" s="569"/>
      <c r="W92" s="569"/>
      <c r="X92" s="475" t="e">
        <f t="shared" si="80"/>
        <v>#N/A</v>
      </c>
      <c r="Y92" s="681"/>
      <c r="Z92" s="569"/>
      <c r="AA92" s="569"/>
      <c r="AB92" s="569"/>
      <c r="AC92" s="475" t="e">
        <f t="shared" si="69"/>
        <v>#N/A</v>
      </c>
      <c r="AD92" s="681"/>
      <c r="AE92" s="569"/>
      <c r="AF92" s="569"/>
      <c r="AG92" s="569"/>
      <c r="AH92" s="475" t="e">
        <f t="shared" si="71"/>
        <v>#N/A</v>
      </c>
      <c r="AI92" s="681"/>
      <c r="AJ92" s="569"/>
      <c r="AK92" s="569"/>
      <c r="AL92" s="569"/>
      <c r="AM92" s="475" t="e">
        <f t="shared" si="73"/>
        <v>#N/A</v>
      </c>
      <c r="AN92" s="681"/>
      <c r="AO92" s="569"/>
      <c r="AP92" s="569"/>
      <c r="AQ92" s="569"/>
      <c r="AR92" s="475" t="e">
        <f t="shared" si="75"/>
        <v>#N/A</v>
      </c>
      <c r="AS92" s="681"/>
      <c r="AT92" s="569"/>
      <c r="AU92" s="569"/>
      <c r="AV92" s="569"/>
      <c r="AW92" s="475" t="e">
        <f t="shared" si="77"/>
        <v>#N/A</v>
      </c>
      <c r="AX92" s="681"/>
    </row>
    <row r="93" spans="2:50">
      <c r="B93" s="667"/>
      <c r="C93" s="301">
        <v>7</v>
      </c>
      <c r="D93" s="227"/>
      <c r="E93" s="182"/>
      <c r="F93" s="447"/>
      <c r="G93" s="448"/>
      <c r="H93" s="709"/>
      <c r="I93" s="199"/>
      <c r="J93" s="199"/>
      <c r="K93" s="200"/>
      <c r="L93" s="641"/>
      <c r="M93" s="201" t="e">
        <f>RANK(K93, K$87:$K$101)</f>
        <v>#DIV/0!</v>
      </c>
      <c r="N93" s="659"/>
      <c r="O93" s="659"/>
      <c r="P93" s="569"/>
      <c r="Q93" s="569"/>
      <c r="R93" s="569"/>
      <c r="S93" s="301" t="e">
        <f t="shared" si="79"/>
        <v>#N/A</v>
      </c>
      <c r="T93" s="681"/>
      <c r="U93" s="569"/>
      <c r="V93" s="569"/>
      <c r="W93" s="569"/>
      <c r="X93" s="475" t="e">
        <f t="shared" si="80"/>
        <v>#N/A</v>
      </c>
      <c r="Y93" s="681"/>
      <c r="Z93" s="569"/>
      <c r="AA93" s="569"/>
      <c r="AB93" s="569"/>
      <c r="AC93" s="475" t="e">
        <f t="shared" si="69"/>
        <v>#N/A</v>
      </c>
      <c r="AD93" s="681"/>
      <c r="AE93" s="569"/>
      <c r="AF93" s="569"/>
      <c r="AG93" s="569"/>
      <c r="AH93" s="475" t="e">
        <f t="shared" si="71"/>
        <v>#N/A</v>
      </c>
      <c r="AI93" s="681"/>
      <c r="AJ93" s="569"/>
      <c r="AK93" s="569"/>
      <c r="AL93" s="569"/>
      <c r="AM93" s="475" t="e">
        <f t="shared" si="73"/>
        <v>#N/A</v>
      </c>
      <c r="AN93" s="681"/>
      <c r="AO93" s="569"/>
      <c r="AP93" s="569"/>
      <c r="AQ93" s="569"/>
      <c r="AR93" s="475" t="e">
        <f t="shared" si="75"/>
        <v>#N/A</v>
      </c>
      <c r="AS93" s="681"/>
      <c r="AT93" s="569"/>
      <c r="AU93" s="569"/>
      <c r="AV93" s="569"/>
      <c r="AW93" s="475" t="e">
        <f t="shared" si="77"/>
        <v>#N/A</v>
      </c>
      <c r="AX93" s="681"/>
    </row>
    <row r="94" spans="2:50">
      <c r="B94" s="667"/>
      <c r="C94" s="301">
        <v>8</v>
      </c>
      <c r="D94" s="227"/>
      <c r="E94" s="182"/>
      <c r="F94" s="447"/>
      <c r="G94" s="448"/>
      <c r="H94" s="709"/>
      <c r="I94" s="199"/>
      <c r="J94" s="199"/>
      <c r="K94" s="200"/>
      <c r="L94" s="641"/>
      <c r="M94" s="201" t="e">
        <f>RANK(K94, K$87:$K$101)</f>
        <v>#DIV/0!</v>
      </c>
      <c r="N94" s="659"/>
      <c r="O94" s="659"/>
      <c r="P94" s="569"/>
      <c r="Q94" s="569"/>
      <c r="R94" s="569"/>
      <c r="S94" s="301" t="e">
        <f t="shared" si="79"/>
        <v>#N/A</v>
      </c>
      <c r="T94" s="681"/>
      <c r="U94" s="569"/>
      <c r="V94" s="569"/>
      <c r="W94" s="569"/>
      <c r="X94" s="475" t="e">
        <f t="shared" si="80"/>
        <v>#N/A</v>
      </c>
      <c r="Y94" s="681"/>
      <c r="Z94" s="569"/>
      <c r="AA94" s="569"/>
      <c r="AB94" s="569"/>
      <c r="AC94" s="475" t="e">
        <f t="shared" si="69"/>
        <v>#N/A</v>
      </c>
      <c r="AD94" s="681"/>
      <c r="AE94" s="569"/>
      <c r="AF94" s="569"/>
      <c r="AG94" s="569"/>
      <c r="AH94" s="475" t="e">
        <f t="shared" si="71"/>
        <v>#N/A</v>
      </c>
      <c r="AI94" s="681"/>
      <c r="AJ94" s="569"/>
      <c r="AK94" s="569"/>
      <c r="AL94" s="569"/>
      <c r="AM94" s="475" t="e">
        <f t="shared" si="73"/>
        <v>#N/A</v>
      </c>
      <c r="AN94" s="681"/>
      <c r="AO94" s="569"/>
      <c r="AP94" s="569"/>
      <c r="AQ94" s="569"/>
      <c r="AR94" s="475" t="e">
        <f t="shared" si="75"/>
        <v>#N/A</v>
      </c>
      <c r="AS94" s="681"/>
      <c r="AT94" s="569"/>
      <c r="AU94" s="569"/>
      <c r="AV94" s="569"/>
      <c r="AW94" s="475" t="e">
        <f t="shared" si="77"/>
        <v>#N/A</v>
      </c>
      <c r="AX94" s="681"/>
    </row>
    <row r="95" spans="2:50">
      <c r="B95" s="667"/>
      <c r="C95" s="301">
        <v>9</v>
      </c>
      <c r="D95" s="227"/>
      <c r="E95" s="182"/>
      <c r="F95" s="447"/>
      <c r="G95" s="448"/>
      <c r="H95" s="709"/>
      <c r="I95" s="199"/>
      <c r="J95" s="199"/>
      <c r="K95" s="200"/>
      <c r="L95" s="641"/>
      <c r="M95" s="201" t="e">
        <f>RANK(K95, K$87:$K$101)</f>
        <v>#DIV/0!</v>
      </c>
      <c r="N95" s="659"/>
      <c r="O95" s="659"/>
      <c r="P95" s="569"/>
      <c r="Q95" s="569"/>
      <c r="R95" s="569"/>
      <c r="S95" s="301" t="e">
        <f t="shared" si="79"/>
        <v>#N/A</v>
      </c>
      <c r="T95" s="681"/>
      <c r="U95" s="569"/>
      <c r="V95" s="569"/>
      <c r="W95" s="569"/>
      <c r="X95" s="475" t="e">
        <f t="shared" si="80"/>
        <v>#N/A</v>
      </c>
      <c r="Y95" s="681"/>
      <c r="Z95" s="569"/>
      <c r="AA95" s="569"/>
      <c r="AB95" s="569"/>
      <c r="AC95" s="475" t="e">
        <f t="shared" si="69"/>
        <v>#N/A</v>
      </c>
      <c r="AD95" s="681"/>
      <c r="AE95" s="569"/>
      <c r="AF95" s="569"/>
      <c r="AG95" s="569"/>
      <c r="AH95" s="475" t="e">
        <f t="shared" si="71"/>
        <v>#N/A</v>
      </c>
      <c r="AI95" s="681"/>
      <c r="AJ95" s="569"/>
      <c r="AK95" s="569"/>
      <c r="AL95" s="569"/>
      <c r="AM95" s="475" t="e">
        <f t="shared" si="73"/>
        <v>#N/A</v>
      </c>
      <c r="AN95" s="681"/>
      <c r="AO95" s="569"/>
      <c r="AP95" s="569"/>
      <c r="AQ95" s="569"/>
      <c r="AR95" s="475" t="e">
        <f t="shared" si="75"/>
        <v>#N/A</v>
      </c>
      <c r="AS95" s="681"/>
      <c r="AT95" s="569"/>
      <c r="AU95" s="569"/>
      <c r="AV95" s="569"/>
      <c r="AW95" s="475" t="e">
        <f t="shared" si="77"/>
        <v>#N/A</v>
      </c>
      <c r="AX95" s="681"/>
    </row>
    <row r="96" spans="2:50">
      <c r="B96" s="667"/>
      <c r="C96" s="301">
        <v>10</v>
      </c>
      <c r="D96" s="227"/>
      <c r="E96" s="182"/>
      <c r="F96" s="447"/>
      <c r="G96" s="448"/>
      <c r="H96" s="709"/>
      <c r="I96" s="199"/>
      <c r="J96" s="199"/>
      <c r="K96" s="200"/>
      <c r="L96" s="641"/>
      <c r="M96" s="201" t="e">
        <f>RANK(K96, K$87:$K$101)</f>
        <v>#DIV/0!</v>
      </c>
      <c r="N96" s="659"/>
      <c r="O96" s="659"/>
      <c r="P96" s="569"/>
      <c r="Q96" s="569"/>
      <c r="R96" s="569"/>
      <c r="S96" s="301" t="e">
        <f t="shared" si="79"/>
        <v>#N/A</v>
      </c>
      <c r="T96" s="681"/>
      <c r="U96" s="569"/>
      <c r="V96" s="569"/>
      <c r="W96" s="569"/>
      <c r="X96" s="475" t="e">
        <f t="shared" si="80"/>
        <v>#N/A</v>
      </c>
      <c r="Y96" s="681"/>
      <c r="Z96" s="569"/>
      <c r="AA96" s="569"/>
      <c r="AB96" s="569"/>
      <c r="AC96" s="475" t="e">
        <f t="shared" si="69"/>
        <v>#N/A</v>
      </c>
      <c r="AD96" s="681"/>
      <c r="AE96" s="569"/>
      <c r="AF96" s="569"/>
      <c r="AG96" s="569"/>
      <c r="AH96" s="475" t="e">
        <f t="shared" si="71"/>
        <v>#N/A</v>
      </c>
      <c r="AI96" s="681"/>
      <c r="AJ96" s="569"/>
      <c r="AK96" s="569"/>
      <c r="AL96" s="569"/>
      <c r="AM96" s="475" t="e">
        <f t="shared" si="73"/>
        <v>#N/A</v>
      </c>
      <c r="AN96" s="681"/>
      <c r="AO96" s="569"/>
      <c r="AP96" s="569"/>
      <c r="AQ96" s="569"/>
      <c r="AR96" s="475" t="e">
        <f t="shared" si="75"/>
        <v>#N/A</v>
      </c>
      <c r="AS96" s="681"/>
      <c r="AT96" s="569"/>
      <c r="AU96" s="569"/>
      <c r="AV96" s="569"/>
      <c r="AW96" s="475" t="e">
        <f t="shared" si="77"/>
        <v>#N/A</v>
      </c>
      <c r="AX96" s="681"/>
    </row>
    <row r="97" spans="2:50">
      <c r="B97" s="667"/>
      <c r="C97" s="301">
        <v>11</v>
      </c>
      <c r="D97" s="227"/>
      <c r="E97" s="182"/>
      <c r="F97" s="447"/>
      <c r="G97" s="448"/>
      <c r="H97" s="709"/>
      <c r="I97" s="202"/>
      <c r="J97" s="202"/>
      <c r="K97" s="202"/>
      <c r="L97" s="641"/>
      <c r="M97" s="201" t="e">
        <f>RANK(K97, K$87:$K$101)</f>
        <v>#DIV/0!</v>
      </c>
      <c r="N97" s="659"/>
      <c r="O97" s="659"/>
      <c r="P97" s="569"/>
      <c r="Q97" s="569"/>
      <c r="R97" s="569"/>
      <c r="S97" s="301" t="e">
        <f t="shared" si="79"/>
        <v>#N/A</v>
      </c>
      <c r="T97" s="681"/>
      <c r="U97" s="569"/>
      <c r="V97" s="569"/>
      <c r="W97" s="569"/>
      <c r="X97" s="475" t="e">
        <f t="shared" si="80"/>
        <v>#N/A</v>
      </c>
      <c r="Y97" s="681"/>
      <c r="Z97" s="569"/>
      <c r="AA97" s="569"/>
      <c r="AB97" s="569"/>
      <c r="AC97" s="475" t="e">
        <f t="shared" si="69"/>
        <v>#N/A</v>
      </c>
      <c r="AD97" s="681"/>
      <c r="AE97" s="569"/>
      <c r="AF97" s="569"/>
      <c r="AG97" s="569"/>
      <c r="AH97" s="475" t="e">
        <f t="shared" si="71"/>
        <v>#N/A</v>
      </c>
      <c r="AI97" s="681"/>
      <c r="AJ97" s="569"/>
      <c r="AK97" s="569"/>
      <c r="AL97" s="569"/>
      <c r="AM97" s="475" t="e">
        <f t="shared" si="73"/>
        <v>#N/A</v>
      </c>
      <c r="AN97" s="681"/>
      <c r="AO97" s="569"/>
      <c r="AP97" s="569"/>
      <c r="AQ97" s="569"/>
      <c r="AR97" s="475" t="e">
        <f t="shared" si="75"/>
        <v>#N/A</v>
      </c>
      <c r="AS97" s="681"/>
      <c r="AT97" s="569"/>
      <c r="AU97" s="569"/>
      <c r="AV97" s="569"/>
      <c r="AW97" s="475" t="e">
        <f t="shared" si="77"/>
        <v>#N/A</v>
      </c>
      <c r="AX97" s="681"/>
    </row>
    <row r="98" spans="2:50">
      <c r="B98" s="667"/>
      <c r="C98" s="301">
        <v>12</v>
      </c>
      <c r="D98" s="227"/>
      <c r="E98" s="182"/>
      <c r="F98" s="447"/>
      <c r="G98" s="448"/>
      <c r="H98" s="709"/>
      <c r="I98" s="202"/>
      <c r="J98" s="202"/>
      <c r="K98" s="202"/>
      <c r="L98" s="641"/>
      <c r="M98" s="201" t="e">
        <f>RANK(K98, K$87:$K$101)</f>
        <v>#DIV/0!</v>
      </c>
      <c r="N98" s="659"/>
      <c r="O98" s="659"/>
      <c r="P98" s="569"/>
      <c r="Q98" s="569"/>
      <c r="R98" s="569"/>
      <c r="S98" s="301" t="e">
        <f t="shared" si="79"/>
        <v>#N/A</v>
      </c>
      <c r="T98" s="681"/>
      <c r="U98" s="569"/>
      <c r="V98" s="569"/>
      <c r="W98" s="569"/>
      <c r="X98" s="475" t="e">
        <f t="shared" si="80"/>
        <v>#N/A</v>
      </c>
      <c r="Y98" s="681"/>
      <c r="Z98" s="569"/>
      <c r="AA98" s="569"/>
      <c r="AB98" s="569"/>
      <c r="AC98" s="475" t="e">
        <f t="shared" si="69"/>
        <v>#N/A</v>
      </c>
      <c r="AD98" s="681"/>
      <c r="AE98" s="569"/>
      <c r="AF98" s="569"/>
      <c r="AG98" s="569"/>
      <c r="AH98" s="475" t="e">
        <f t="shared" si="71"/>
        <v>#N/A</v>
      </c>
      <c r="AI98" s="681"/>
      <c r="AJ98" s="569"/>
      <c r="AK98" s="569"/>
      <c r="AL98" s="569"/>
      <c r="AM98" s="475" t="e">
        <f t="shared" si="73"/>
        <v>#N/A</v>
      </c>
      <c r="AN98" s="681"/>
      <c r="AO98" s="569"/>
      <c r="AP98" s="569"/>
      <c r="AQ98" s="569"/>
      <c r="AR98" s="475" t="e">
        <f t="shared" si="75"/>
        <v>#N/A</v>
      </c>
      <c r="AS98" s="681"/>
      <c r="AT98" s="569"/>
      <c r="AU98" s="569"/>
      <c r="AV98" s="569"/>
      <c r="AW98" s="475" t="e">
        <f t="shared" si="77"/>
        <v>#N/A</v>
      </c>
      <c r="AX98" s="681"/>
    </row>
    <row r="99" spans="2:50">
      <c r="B99" s="667"/>
      <c r="C99" s="301">
        <v>13</v>
      </c>
      <c r="D99" s="227"/>
      <c r="E99" s="182"/>
      <c r="F99" s="447"/>
      <c r="G99" s="448"/>
      <c r="H99" s="709"/>
      <c r="I99" s="202"/>
      <c r="J99" s="202"/>
      <c r="K99" s="202"/>
      <c r="L99" s="641"/>
      <c r="M99" s="201" t="e">
        <f>RANK(K99, K$87:$K$101)</f>
        <v>#DIV/0!</v>
      </c>
      <c r="N99" s="659"/>
      <c r="O99" s="659"/>
      <c r="P99" s="569"/>
      <c r="Q99" s="569"/>
      <c r="R99" s="569"/>
      <c r="S99" s="301" t="e">
        <f t="shared" si="79"/>
        <v>#N/A</v>
      </c>
      <c r="T99" s="681"/>
      <c r="U99" s="569"/>
      <c r="V99" s="569"/>
      <c r="W99" s="569"/>
      <c r="X99" s="475" t="e">
        <f t="shared" si="80"/>
        <v>#N/A</v>
      </c>
      <c r="Y99" s="681"/>
      <c r="Z99" s="569"/>
      <c r="AA99" s="569"/>
      <c r="AB99" s="569"/>
      <c r="AC99" s="475" t="e">
        <f t="shared" si="69"/>
        <v>#N/A</v>
      </c>
      <c r="AD99" s="681"/>
      <c r="AE99" s="569"/>
      <c r="AF99" s="569"/>
      <c r="AG99" s="569"/>
      <c r="AH99" s="475" t="e">
        <f t="shared" si="71"/>
        <v>#N/A</v>
      </c>
      <c r="AI99" s="681"/>
      <c r="AJ99" s="569"/>
      <c r="AK99" s="569"/>
      <c r="AL99" s="569"/>
      <c r="AM99" s="475" t="e">
        <f t="shared" si="73"/>
        <v>#N/A</v>
      </c>
      <c r="AN99" s="681"/>
      <c r="AO99" s="569"/>
      <c r="AP99" s="569"/>
      <c r="AQ99" s="569"/>
      <c r="AR99" s="475" t="e">
        <f t="shared" si="75"/>
        <v>#N/A</v>
      </c>
      <c r="AS99" s="681"/>
      <c r="AT99" s="569"/>
      <c r="AU99" s="569"/>
      <c r="AV99" s="569"/>
      <c r="AW99" s="475" t="e">
        <f t="shared" si="77"/>
        <v>#N/A</v>
      </c>
      <c r="AX99" s="681"/>
    </row>
    <row r="100" spans="2:50">
      <c r="B100" s="667"/>
      <c r="C100" s="301">
        <v>14</v>
      </c>
      <c r="D100" s="227"/>
      <c r="E100" s="182"/>
      <c r="F100" s="447"/>
      <c r="G100" s="448"/>
      <c r="H100" s="709"/>
      <c r="I100" s="202"/>
      <c r="J100" s="202"/>
      <c r="K100" s="202"/>
      <c r="L100" s="641"/>
      <c r="M100" s="201" t="e">
        <f>RANK(K100, K$87:$K$101)</f>
        <v>#DIV/0!</v>
      </c>
      <c r="N100" s="659"/>
      <c r="O100" s="659"/>
      <c r="P100" s="569"/>
      <c r="Q100" s="569"/>
      <c r="R100" s="569"/>
      <c r="S100" s="301" t="e">
        <f t="shared" si="79"/>
        <v>#N/A</v>
      </c>
      <c r="T100" s="681"/>
      <c r="U100" s="569"/>
      <c r="V100" s="569"/>
      <c r="W100" s="569"/>
      <c r="X100" s="475" t="e">
        <f t="shared" si="80"/>
        <v>#N/A</v>
      </c>
      <c r="Y100" s="681"/>
      <c r="Z100" s="569"/>
      <c r="AA100" s="569"/>
      <c r="AB100" s="569"/>
      <c r="AC100" s="475" t="e">
        <f t="shared" si="69"/>
        <v>#N/A</v>
      </c>
      <c r="AD100" s="681"/>
      <c r="AE100" s="569"/>
      <c r="AF100" s="569"/>
      <c r="AG100" s="569"/>
      <c r="AH100" s="475" t="e">
        <f t="shared" si="71"/>
        <v>#N/A</v>
      </c>
      <c r="AI100" s="681"/>
      <c r="AJ100" s="569"/>
      <c r="AK100" s="569"/>
      <c r="AL100" s="569"/>
      <c r="AM100" s="475" t="e">
        <f t="shared" si="73"/>
        <v>#N/A</v>
      </c>
      <c r="AN100" s="681"/>
      <c r="AO100" s="569"/>
      <c r="AP100" s="569"/>
      <c r="AQ100" s="569"/>
      <c r="AR100" s="475" t="e">
        <f t="shared" si="75"/>
        <v>#N/A</v>
      </c>
      <c r="AS100" s="681"/>
      <c r="AT100" s="569"/>
      <c r="AU100" s="569"/>
      <c r="AV100" s="569"/>
      <c r="AW100" s="475" t="e">
        <f t="shared" si="77"/>
        <v>#N/A</v>
      </c>
      <c r="AX100" s="681"/>
    </row>
    <row r="101" spans="2:50">
      <c r="B101" s="667"/>
      <c r="C101" s="301">
        <v>15</v>
      </c>
      <c r="D101" s="227"/>
      <c r="E101" s="182"/>
      <c r="F101" s="447"/>
      <c r="G101" s="448"/>
      <c r="H101" s="710"/>
      <c r="I101" s="202"/>
      <c r="J101" s="202"/>
      <c r="K101" s="202"/>
      <c r="L101" s="642"/>
      <c r="M101" s="199" t="e">
        <f>RANK(K101, K$87:$K$101)</f>
        <v>#DIV/0!</v>
      </c>
      <c r="N101" s="659"/>
      <c r="O101" s="659"/>
      <c r="P101" s="569"/>
      <c r="Q101" s="569"/>
      <c r="R101" s="569"/>
      <c r="S101" s="301" t="e">
        <f t="shared" si="79"/>
        <v>#N/A</v>
      </c>
      <c r="T101" s="681"/>
      <c r="U101" s="569"/>
      <c r="V101" s="569"/>
      <c r="W101" s="569"/>
      <c r="X101" s="475" t="e">
        <f t="shared" si="80"/>
        <v>#N/A</v>
      </c>
      <c r="Y101" s="681"/>
      <c r="Z101" s="569"/>
      <c r="AA101" s="569"/>
      <c r="AB101" s="569"/>
      <c r="AC101" s="475" t="e">
        <f t="shared" si="69"/>
        <v>#N/A</v>
      </c>
      <c r="AD101" s="681"/>
      <c r="AE101" s="569"/>
      <c r="AF101" s="569"/>
      <c r="AG101" s="569"/>
      <c r="AH101" s="475" t="e">
        <f t="shared" si="71"/>
        <v>#N/A</v>
      </c>
      <c r="AI101" s="681"/>
      <c r="AJ101" s="569"/>
      <c r="AK101" s="569"/>
      <c r="AL101" s="569"/>
      <c r="AM101" s="475" t="e">
        <f t="shared" si="73"/>
        <v>#N/A</v>
      </c>
      <c r="AN101" s="681"/>
      <c r="AO101" s="569"/>
      <c r="AP101" s="569"/>
      <c r="AQ101" s="569"/>
      <c r="AR101" s="475" t="e">
        <f t="shared" si="75"/>
        <v>#N/A</v>
      </c>
      <c r="AS101" s="681"/>
      <c r="AT101" s="569"/>
      <c r="AU101" s="569"/>
      <c r="AV101" s="569"/>
      <c r="AW101" s="475" t="e">
        <f t="shared" si="77"/>
        <v>#N/A</v>
      </c>
      <c r="AX101" s="681"/>
    </row>
    <row r="102" spans="2:50" ht="15.75">
      <c r="B102" s="671" t="s">
        <v>163</v>
      </c>
      <c r="C102" s="672"/>
      <c r="D102" s="672"/>
      <c r="E102" s="672"/>
      <c r="F102" s="672"/>
      <c r="G102" s="672"/>
      <c r="H102" s="673"/>
      <c r="I102" s="208"/>
      <c r="J102" s="208"/>
      <c r="K102" s="208"/>
      <c r="L102" s="208"/>
      <c r="M102" s="207"/>
      <c r="N102" s="660" t="s">
        <v>156</v>
      </c>
      <c r="O102" s="660" t="s">
        <v>105</v>
      </c>
      <c r="P102" s="666">
        <f>P82+7</f>
        <v>46119</v>
      </c>
      <c r="Q102" s="667"/>
      <c r="R102" s="667"/>
      <c r="S102" s="667"/>
      <c r="T102" s="667"/>
      <c r="U102" s="663">
        <f>P102+1</f>
        <v>46120</v>
      </c>
      <c r="V102" s="664"/>
      <c r="W102" s="664"/>
      <c r="X102" s="664"/>
      <c r="Y102" s="665"/>
      <c r="Z102" s="663">
        <f>U102+1</f>
        <v>46121</v>
      </c>
      <c r="AA102" s="664"/>
      <c r="AB102" s="664"/>
      <c r="AC102" s="664"/>
      <c r="AD102" s="665"/>
      <c r="AE102" s="663">
        <f>Z102+1</f>
        <v>46122</v>
      </c>
      <c r="AF102" s="664"/>
      <c r="AG102" s="664"/>
      <c r="AH102" s="664"/>
      <c r="AI102" s="665"/>
      <c r="AJ102" s="663">
        <f>AE102+1</f>
        <v>46123</v>
      </c>
      <c r="AK102" s="664"/>
      <c r="AL102" s="664"/>
      <c r="AM102" s="664"/>
      <c r="AN102" s="665"/>
      <c r="AO102" s="663">
        <f>AJ102+1</f>
        <v>46124</v>
      </c>
      <c r="AP102" s="664"/>
      <c r="AQ102" s="664"/>
      <c r="AR102" s="664"/>
      <c r="AS102" s="665"/>
      <c r="AT102" s="663">
        <f>AO102+1</f>
        <v>46125</v>
      </c>
      <c r="AU102" s="664"/>
      <c r="AV102" s="664"/>
      <c r="AW102" s="664"/>
      <c r="AX102" s="665"/>
    </row>
    <row r="103" spans="2:50" ht="15.75">
      <c r="B103" s="674"/>
      <c r="C103" s="674"/>
      <c r="D103" s="674"/>
      <c r="E103" s="674"/>
      <c r="F103" s="674"/>
      <c r="G103" s="674"/>
      <c r="H103" s="674"/>
      <c r="I103" s="205"/>
      <c r="J103" s="205"/>
      <c r="K103" s="205"/>
      <c r="L103" s="205"/>
      <c r="M103" s="206"/>
      <c r="N103" s="662"/>
      <c r="O103" s="662"/>
      <c r="P103" s="666" t="s">
        <v>158</v>
      </c>
      <c r="Q103" s="667"/>
      <c r="R103" s="667"/>
      <c r="S103" s="667"/>
      <c r="T103" s="667"/>
      <c r="U103" s="666" t="s">
        <v>114</v>
      </c>
      <c r="V103" s="667"/>
      <c r="W103" s="667"/>
      <c r="X103" s="667"/>
      <c r="Y103" s="667"/>
      <c r="Z103" s="666" t="s">
        <v>159</v>
      </c>
      <c r="AA103" s="667"/>
      <c r="AB103" s="667"/>
      <c r="AC103" s="667"/>
      <c r="AD103" s="667"/>
      <c r="AE103" s="666" t="s">
        <v>157</v>
      </c>
      <c r="AF103" s="667"/>
      <c r="AG103" s="667"/>
      <c r="AH103" s="667"/>
      <c r="AI103" s="667"/>
      <c r="AJ103" s="666" t="s">
        <v>160</v>
      </c>
      <c r="AK103" s="667"/>
      <c r="AL103" s="667"/>
      <c r="AM103" s="667"/>
      <c r="AN103" s="667"/>
      <c r="AO103" s="666" t="s">
        <v>115</v>
      </c>
      <c r="AP103" s="667"/>
      <c r="AQ103" s="667"/>
      <c r="AR103" s="667"/>
      <c r="AS103" s="667"/>
      <c r="AT103" s="666" t="s">
        <v>162</v>
      </c>
      <c r="AU103" s="667"/>
      <c r="AV103" s="667"/>
      <c r="AW103" s="667"/>
      <c r="AX103" s="667"/>
    </row>
    <row r="104" spans="2:50">
      <c r="B104" s="659" t="s">
        <v>154</v>
      </c>
      <c r="C104" s="659" t="s">
        <v>429</v>
      </c>
      <c r="D104" s="659"/>
      <c r="E104" s="659" t="s">
        <v>420</v>
      </c>
      <c r="F104" s="659"/>
      <c r="G104" s="659"/>
      <c r="H104" s="675" t="s">
        <v>416</v>
      </c>
      <c r="I104" s="643" t="s">
        <v>421</v>
      </c>
      <c r="J104" s="643"/>
      <c r="K104" s="643"/>
      <c r="L104" s="644" t="s">
        <v>416</v>
      </c>
      <c r="M104" s="650" t="s">
        <v>417</v>
      </c>
      <c r="N104" s="659"/>
      <c r="O104" s="659" t="s">
        <v>422</v>
      </c>
      <c r="P104" s="656" t="s">
        <v>418</v>
      </c>
      <c r="Q104" s="657"/>
      <c r="R104" s="657"/>
      <c r="S104" s="658"/>
      <c r="T104" s="659" t="s">
        <v>416</v>
      </c>
      <c r="U104" s="656" t="s">
        <v>418</v>
      </c>
      <c r="V104" s="657"/>
      <c r="W104" s="657"/>
      <c r="X104" s="658"/>
      <c r="Y104" s="659" t="s">
        <v>416</v>
      </c>
      <c r="Z104" s="656" t="s">
        <v>418</v>
      </c>
      <c r="AA104" s="657"/>
      <c r="AB104" s="657"/>
      <c r="AC104" s="658"/>
      <c r="AD104" s="659" t="s">
        <v>416</v>
      </c>
      <c r="AE104" s="656" t="s">
        <v>418</v>
      </c>
      <c r="AF104" s="657"/>
      <c r="AG104" s="657"/>
      <c r="AH104" s="658"/>
      <c r="AI104" s="659" t="s">
        <v>416</v>
      </c>
      <c r="AJ104" s="656" t="s">
        <v>418</v>
      </c>
      <c r="AK104" s="657"/>
      <c r="AL104" s="657"/>
      <c r="AM104" s="658"/>
      <c r="AN104" s="659" t="s">
        <v>416</v>
      </c>
      <c r="AO104" s="656" t="s">
        <v>418</v>
      </c>
      <c r="AP104" s="657"/>
      <c r="AQ104" s="657"/>
      <c r="AR104" s="658"/>
      <c r="AS104" s="659" t="s">
        <v>416</v>
      </c>
      <c r="AT104" s="656" t="s">
        <v>418</v>
      </c>
      <c r="AU104" s="657"/>
      <c r="AV104" s="657"/>
      <c r="AW104" s="658"/>
      <c r="AX104" s="659" t="s">
        <v>416</v>
      </c>
    </row>
    <row r="105" spans="2:50">
      <c r="B105" s="659"/>
      <c r="C105" s="659"/>
      <c r="D105" s="659"/>
      <c r="E105" s="659" t="s">
        <v>423</v>
      </c>
      <c r="F105" s="659"/>
      <c r="G105" s="659"/>
      <c r="H105" s="676"/>
      <c r="I105" s="643" t="s">
        <v>423</v>
      </c>
      <c r="J105" s="643"/>
      <c r="K105" s="643"/>
      <c r="L105" s="645"/>
      <c r="M105" s="651"/>
      <c r="N105" s="659"/>
      <c r="O105" s="659"/>
      <c r="P105" s="656" t="s">
        <v>424</v>
      </c>
      <c r="Q105" s="657"/>
      <c r="R105" s="657"/>
      <c r="S105" s="658"/>
      <c r="T105" s="659"/>
      <c r="U105" s="656" t="s">
        <v>424</v>
      </c>
      <c r="V105" s="657"/>
      <c r="W105" s="657"/>
      <c r="X105" s="658"/>
      <c r="Y105" s="659"/>
      <c r="Z105" s="656" t="s">
        <v>424</v>
      </c>
      <c r="AA105" s="657"/>
      <c r="AB105" s="657"/>
      <c r="AC105" s="658"/>
      <c r="AD105" s="659"/>
      <c r="AE105" s="656" t="s">
        <v>424</v>
      </c>
      <c r="AF105" s="657"/>
      <c r="AG105" s="657"/>
      <c r="AH105" s="658"/>
      <c r="AI105" s="659"/>
      <c r="AJ105" s="656" t="s">
        <v>424</v>
      </c>
      <c r="AK105" s="657"/>
      <c r="AL105" s="657"/>
      <c r="AM105" s="658"/>
      <c r="AN105" s="659"/>
      <c r="AO105" s="656" t="s">
        <v>424</v>
      </c>
      <c r="AP105" s="657"/>
      <c r="AQ105" s="657"/>
      <c r="AR105" s="658"/>
      <c r="AS105" s="659"/>
      <c r="AT105" s="656" t="s">
        <v>424</v>
      </c>
      <c r="AU105" s="657"/>
      <c r="AV105" s="657"/>
      <c r="AW105" s="658"/>
      <c r="AX105" s="659"/>
    </row>
    <row r="106" spans="2:50">
      <c r="B106" s="659"/>
      <c r="C106" s="659"/>
      <c r="D106" s="659"/>
      <c r="E106" s="344" t="s">
        <v>425</v>
      </c>
      <c r="F106" s="344" t="s">
        <v>426</v>
      </c>
      <c r="G106" s="344" t="s">
        <v>427</v>
      </c>
      <c r="H106" s="677"/>
      <c r="I106" s="345" t="s">
        <v>425</v>
      </c>
      <c r="J106" s="345" t="s">
        <v>426</v>
      </c>
      <c r="K106" s="345" t="s">
        <v>427</v>
      </c>
      <c r="L106" s="646"/>
      <c r="M106" s="652"/>
      <c r="N106" s="659"/>
      <c r="O106" s="659"/>
      <c r="P106" s="344" t="s">
        <v>425</v>
      </c>
      <c r="Q106" s="344" t="s">
        <v>426</v>
      </c>
      <c r="R106" s="344" t="s">
        <v>427</v>
      </c>
      <c r="S106" s="344" t="s">
        <v>417</v>
      </c>
      <c r="T106" s="659"/>
      <c r="U106" s="344" t="s">
        <v>425</v>
      </c>
      <c r="V106" s="344" t="s">
        <v>426</v>
      </c>
      <c r="W106" s="344" t="s">
        <v>427</v>
      </c>
      <c r="X106" s="344" t="s">
        <v>417</v>
      </c>
      <c r="Y106" s="659"/>
      <c r="Z106" s="344" t="s">
        <v>425</v>
      </c>
      <c r="AA106" s="344" t="s">
        <v>426</v>
      </c>
      <c r="AB106" s="344" t="s">
        <v>427</v>
      </c>
      <c r="AC106" s="344" t="s">
        <v>417</v>
      </c>
      <c r="AD106" s="659"/>
      <c r="AE106" s="344" t="s">
        <v>425</v>
      </c>
      <c r="AF106" s="344" t="s">
        <v>426</v>
      </c>
      <c r="AG106" s="344" t="s">
        <v>427</v>
      </c>
      <c r="AH106" s="344" t="s">
        <v>417</v>
      </c>
      <c r="AI106" s="659"/>
      <c r="AJ106" s="344" t="s">
        <v>425</v>
      </c>
      <c r="AK106" s="344" t="s">
        <v>426</v>
      </c>
      <c r="AL106" s="344" t="s">
        <v>427</v>
      </c>
      <c r="AM106" s="344" t="s">
        <v>417</v>
      </c>
      <c r="AN106" s="659"/>
      <c r="AO106" s="344" t="s">
        <v>425</v>
      </c>
      <c r="AP106" s="344" t="s">
        <v>426</v>
      </c>
      <c r="AQ106" s="344" t="s">
        <v>427</v>
      </c>
      <c r="AR106" s="344" t="s">
        <v>417</v>
      </c>
      <c r="AS106" s="659"/>
      <c r="AT106" s="344" t="s">
        <v>425</v>
      </c>
      <c r="AU106" s="344" t="s">
        <v>426</v>
      </c>
      <c r="AV106" s="344" t="s">
        <v>427</v>
      </c>
      <c r="AW106" s="344" t="s">
        <v>417</v>
      </c>
      <c r="AX106" s="659"/>
    </row>
    <row r="107" spans="2:50">
      <c r="B107" s="659" t="s">
        <v>430</v>
      </c>
      <c r="C107" s="343">
        <v>1</v>
      </c>
      <c r="D107" s="227"/>
      <c r="E107" s="182"/>
      <c r="F107" s="343"/>
      <c r="G107" s="346"/>
      <c r="H107" s="708" t="e">
        <f>AVERAGE(G107:G121)</f>
        <v>#DIV/0!</v>
      </c>
      <c r="I107" s="199" t="e">
        <f t="shared" ref="I107:K108" si="81">AVERAGE(P107,U107,Z107,AE107,AJ107,AO107,AT107)</f>
        <v>#DIV/0!</v>
      </c>
      <c r="J107" s="199" t="e">
        <f t="shared" si="81"/>
        <v>#DIV/0!</v>
      </c>
      <c r="K107" s="200" t="e">
        <f t="shared" si="81"/>
        <v>#DIV/0!</v>
      </c>
      <c r="L107" s="640" t="str">
        <f>IFERROR(AVERAGE(K107:K121),"-")</f>
        <v>-</v>
      </c>
      <c r="M107" s="201" t="e">
        <f>RANK(K107, K$87:$K$101)</f>
        <v>#DIV/0!</v>
      </c>
      <c r="N107" s="659"/>
      <c r="O107" s="659"/>
      <c r="P107" s="182"/>
      <c r="Q107" s="182"/>
      <c r="R107" s="346"/>
      <c r="S107" s="343" t="e">
        <f>RANK(R107, R$107:R$121)</f>
        <v>#N/A</v>
      </c>
      <c r="T107" s="681" t="e">
        <f>AVERAGE(R107:R121)</f>
        <v>#DIV/0!</v>
      </c>
      <c r="U107" s="182"/>
      <c r="V107" s="182"/>
      <c r="W107" s="360"/>
      <c r="X107" s="355" t="e">
        <f>RANK(W107, W$107:W$121)</f>
        <v>#N/A</v>
      </c>
      <c r="Y107" s="681" t="e">
        <f>AVERAGE(W107:W121)</f>
        <v>#DIV/0!</v>
      </c>
      <c r="Z107" s="182"/>
      <c r="AA107" s="182"/>
      <c r="AB107" s="360"/>
      <c r="AC107" s="355" t="e">
        <f>RANK(AB107, AB$107:AB$121)</f>
        <v>#N/A</v>
      </c>
      <c r="AD107" s="681" t="e">
        <f>AVERAGE(AB107:AB121)</f>
        <v>#DIV/0!</v>
      </c>
      <c r="AE107" s="182"/>
      <c r="AF107" s="182"/>
      <c r="AG107" s="360"/>
      <c r="AH107" s="355" t="e">
        <f>RANK(AG107, AG$107:AG$121)</f>
        <v>#N/A</v>
      </c>
      <c r="AI107" s="681" t="e">
        <f>AVERAGE(AG107:AG121)</f>
        <v>#DIV/0!</v>
      </c>
      <c r="AJ107" s="182"/>
      <c r="AK107" s="182"/>
      <c r="AL107" s="360"/>
      <c r="AM107" s="355" t="e">
        <f>RANK(AL107, AL$107:AL$121)</f>
        <v>#N/A</v>
      </c>
      <c r="AN107" s="681" t="e">
        <f>AVERAGE(AL107:AL121)</f>
        <v>#DIV/0!</v>
      </c>
      <c r="AO107" s="182"/>
      <c r="AP107" s="182"/>
      <c r="AQ107" s="360"/>
      <c r="AR107" s="355" t="e">
        <f>RANK(AQ107, AQ$107:AQ$121)</f>
        <v>#N/A</v>
      </c>
      <c r="AS107" s="681" t="e">
        <f>AVERAGE(AQ107:AQ121)</f>
        <v>#DIV/0!</v>
      </c>
      <c r="AT107" s="182"/>
      <c r="AU107" s="182"/>
      <c r="AV107" s="360"/>
      <c r="AW107" s="355" t="e">
        <f>RANK(AV107, AV$107:AV$121)</f>
        <v>#N/A</v>
      </c>
      <c r="AX107" s="681" t="e">
        <f>AVERAGE(AV107:AV121)</f>
        <v>#DIV/0!</v>
      </c>
    </row>
    <row r="108" spans="2:50">
      <c r="B108" s="667"/>
      <c r="C108" s="343">
        <v>2</v>
      </c>
      <c r="D108" s="227"/>
      <c r="E108" s="182"/>
      <c r="F108" s="343"/>
      <c r="G108" s="346"/>
      <c r="H108" s="709"/>
      <c r="I108" s="357" t="e">
        <f t="shared" si="81"/>
        <v>#DIV/0!</v>
      </c>
      <c r="J108" s="357" t="e">
        <f t="shared" si="81"/>
        <v>#DIV/0!</v>
      </c>
      <c r="K108" s="200" t="e">
        <f t="shared" si="81"/>
        <v>#DIV/0!</v>
      </c>
      <c r="L108" s="641"/>
      <c r="M108" s="201" t="e">
        <f>RANK(K108, K$87:$K$101)</f>
        <v>#DIV/0!</v>
      </c>
      <c r="N108" s="659"/>
      <c r="O108" s="659"/>
      <c r="P108" s="343"/>
      <c r="Q108" s="182"/>
      <c r="R108" s="356"/>
      <c r="S108" s="355" t="e">
        <f t="shared" ref="S108:S121" si="82">RANK(R108, R$107:R$121)</f>
        <v>#N/A</v>
      </c>
      <c r="T108" s="681"/>
      <c r="U108" s="359"/>
      <c r="V108" s="182"/>
      <c r="W108" s="360"/>
      <c r="X108" s="355" t="e">
        <f t="shared" ref="X108:X121" si="83">RANK(W108, W$107:W$121)</f>
        <v>#N/A</v>
      </c>
      <c r="Y108" s="681"/>
      <c r="Z108" s="359"/>
      <c r="AA108" s="182"/>
      <c r="AB108" s="360"/>
      <c r="AC108" s="355" t="e">
        <f t="shared" ref="AC108:AC121" si="84">RANK(AB108, AB$107:AB$121)</f>
        <v>#N/A</v>
      </c>
      <c r="AD108" s="681"/>
      <c r="AE108" s="359"/>
      <c r="AF108" s="182"/>
      <c r="AG108" s="360"/>
      <c r="AH108" s="355" t="e">
        <f t="shared" ref="AH108:AH121" si="85">RANK(AG108, AG$107:AG$121)</f>
        <v>#N/A</v>
      </c>
      <c r="AI108" s="681"/>
      <c r="AJ108" s="359"/>
      <c r="AK108" s="182"/>
      <c r="AL108" s="360"/>
      <c r="AM108" s="355" t="e">
        <f t="shared" ref="AM108:AM121" si="86">RANK(AL108, AL$107:AL$121)</f>
        <v>#N/A</v>
      </c>
      <c r="AN108" s="681"/>
      <c r="AO108" s="359"/>
      <c r="AP108" s="182"/>
      <c r="AQ108" s="360"/>
      <c r="AR108" s="355" t="e">
        <f t="shared" ref="AR108:AR121" si="87">RANK(AQ108, AQ$107:AQ$121)</f>
        <v>#N/A</v>
      </c>
      <c r="AS108" s="681"/>
      <c r="AT108" s="359"/>
      <c r="AU108" s="182"/>
      <c r="AV108" s="360"/>
      <c r="AW108" s="355" t="e">
        <f t="shared" ref="AW108:AW121" si="88">RANK(AV108, AV$107:AV$121)</f>
        <v>#N/A</v>
      </c>
      <c r="AX108" s="681"/>
    </row>
    <row r="109" spans="2:50">
      <c r="B109" s="667"/>
      <c r="C109" s="343">
        <v>3</v>
      </c>
      <c r="D109" s="227"/>
      <c r="E109" s="182"/>
      <c r="F109" s="343"/>
      <c r="G109" s="346"/>
      <c r="H109" s="709"/>
      <c r="I109" s="199"/>
      <c r="J109" s="199"/>
      <c r="K109" s="200"/>
      <c r="L109" s="641"/>
      <c r="M109" s="201" t="e">
        <f>RANK(K109, K$87:$K$101)</f>
        <v>#DIV/0!</v>
      </c>
      <c r="N109" s="659"/>
      <c r="O109" s="659"/>
      <c r="P109" s="343"/>
      <c r="Q109" s="343"/>
      <c r="R109" s="343"/>
      <c r="S109" s="355" t="e">
        <f t="shared" si="82"/>
        <v>#N/A</v>
      </c>
      <c r="T109" s="681"/>
      <c r="U109" s="359"/>
      <c r="V109" s="359"/>
      <c r="W109" s="359"/>
      <c r="X109" s="355" t="e">
        <f t="shared" si="83"/>
        <v>#N/A</v>
      </c>
      <c r="Y109" s="681"/>
      <c r="Z109" s="359"/>
      <c r="AA109" s="359"/>
      <c r="AB109" s="359"/>
      <c r="AC109" s="355" t="e">
        <f t="shared" si="84"/>
        <v>#N/A</v>
      </c>
      <c r="AD109" s="681"/>
      <c r="AE109" s="359"/>
      <c r="AF109" s="359"/>
      <c r="AG109" s="359"/>
      <c r="AH109" s="355" t="e">
        <f t="shared" si="85"/>
        <v>#N/A</v>
      </c>
      <c r="AI109" s="681"/>
      <c r="AJ109" s="359"/>
      <c r="AK109" s="359"/>
      <c r="AL109" s="359"/>
      <c r="AM109" s="355" t="e">
        <f t="shared" si="86"/>
        <v>#N/A</v>
      </c>
      <c r="AN109" s="681"/>
      <c r="AO109" s="359"/>
      <c r="AP109" s="359"/>
      <c r="AQ109" s="359"/>
      <c r="AR109" s="355" t="e">
        <f t="shared" si="87"/>
        <v>#N/A</v>
      </c>
      <c r="AS109" s="681"/>
      <c r="AT109" s="359"/>
      <c r="AU109" s="359"/>
      <c r="AV109" s="359"/>
      <c r="AW109" s="355" t="e">
        <f t="shared" si="88"/>
        <v>#N/A</v>
      </c>
      <c r="AX109" s="681"/>
    </row>
    <row r="110" spans="2:50">
      <c r="B110" s="667"/>
      <c r="C110" s="343">
        <v>4</v>
      </c>
      <c r="D110" s="227"/>
      <c r="E110" s="182"/>
      <c r="F110" s="343"/>
      <c r="G110" s="346"/>
      <c r="H110" s="709"/>
      <c r="I110" s="199"/>
      <c r="J110" s="199"/>
      <c r="K110" s="200"/>
      <c r="L110" s="641"/>
      <c r="M110" s="201" t="e">
        <f>RANK(K110, K$87:$K$101)</f>
        <v>#DIV/0!</v>
      </c>
      <c r="N110" s="659"/>
      <c r="O110" s="659"/>
      <c r="P110" s="343"/>
      <c r="Q110" s="343"/>
      <c r="R110" s="343"/>
      <c r="S110" s="355" t="e">
        <f t="shared" si="82"/>
        <v>#N/A</v>
      </c>
      <c r="T110" s="681"/>
      <c r="U110" s="359"/>
      <c r="V110" s="359"/>
      <c r="W110" s="359"/>
      <c r="X110" s="355" t="e">
        <f t="shared" si="83"/>
        <v>#N/A</v>
      </c>
      <c r="Y110" s="681"/>
      <c r="Z110" s="359"/>
      <c r="AA110" s="359"/>
      <c r="AB110" s="359"/>
      <c r="AC110" s="355" t="e">
        <f t="shared" si="84"/>
        <v>#N/A</v>
      </c>
      <c r="AD110" s="681"/>
      <c r="AE110" s="359"/>
      <c r="AF110" s="359"/>
      <c r="AG110" s="359"/>
      <c r="AH110" s="355" t="e">
        <f t="shared" si="85"/>
        <v>#N/A</v>
      </c>
      <c r="AI110" s="681"/>
      <c r="AJ110" s="359"/>
      <c r="AK110" s="359"/>
      <c r="AL110" s="359"/>
      <c r="AM110" s="355" t="e">
        <f t="shared" si="86"/>
        <v>#N/A</v>
      </c>
      <c r="AN110" s="681"/>
      <c r="AO110" s="359"/>
      <c r="AP110" s="359"/>
      <c r="AQ110" s="359"/>
      <c r="AR110" s="355" t="e">
        <f t="shared" si="87"/>
        <v>#N/A</v>
      </c>
      <c r="AS110" s="681"/>
      <c r="AT110" s="359"/>
      <c r="AU110" s="359"/>
      <c r="AV110" s="359"/>
      <c r="AW110" s="355" t="e">
        <f t="shared" si="88"/>
        <v>#N/A</v>
      </c>
      <c r="AX110" s="681"/>
    </row>
    <row r="111" spans="2:50">
      <c r="B111" s="667"/>
      <c r="C111" s="343">
        <v>5</v>
      </c>
      <c r="D111" s="227"/>
      <c r="E111" s="182"/>
      <c r="F111" s="343"/>
      <c r="G111" s="346"/>
      <c r="H111" s="709"/>
      <c r="I111" s="199"/>
      <c r="J111" s="199"/>
      <c r="K111" s="200"/>
      <c r="L111" s="641"/>
      <c r="M111" s="201" t="e">
        <f>RANK(K111, K$87:$K$101)</f>
        <v>#DIV/0!</v>
      </c>
      <c r="N111" s="659"/>
      <c r="O111" s="659"/>
      <c r="P111" s="343"/>
      <c r="Q111" s="343"/>
      <c r="R111" s="343"/>
      <c r="S111" s="355" t="e">
        <f t="shared" si="82"/>
        <v>#N/A</v>
      </c>
      <c r="T111" s="681"/>
      <c r="U111" s="359"/>
      <c r="V111" s="359"/>
      <c r="W111" s="359"/>
      <c r="X111" s="355" t="e">
        <f t="shared" si="83"/>
        <v>#N/A</v>
      </c>
      <c r="Y111" s="681"/>
      <c r="Z111" s="359"/>
      <c r="AA111" s="359"/>
      <c r="AB111" s="359"/>
      <c r="AC111" s="355" t="e">
        <f t="shared" si="84"/>
        <v>#N/A</v>
      </c>
      <c r="AD111" s="681"/>
      <c r="AE111" s="359"/>
      <c r="AF111" s="359"/>
      <c r="AG111" s="359"/>
      <c r="AH111" s="355" t="e">
        <f t="shared" si="85"/>
        <v>#N/A</v>
      </c>
      <c r="AI111" s="681"/>
      <c r="AJ111" s="359"/>
      <c r="AK111" s="359"/>
      <c r="AL111" s="359"/>
      <c r="AM111" s="355" t="e">
        <f t="shared" si="86"/>
        <v>#N/A</v>
      </c>
      <c r="AN111" s="681"/>
      <c r="AO111" s="359"/>
      <c r="AP111" s="359"/>
      <c r="AQ111" s="359"/>
      <c r="AR111" s="355" t="e">
        <f t="shared" si="87"/>
        <v>#N/A</v>
      </c>
      <c r="AS111" s="681"/>
      <c r="AT111" s="359"/>
      <c r="AU111" s="359"/>
      <c r="AV111" s="359"/>
      <c r="AW111" s="355" t="e">
        <f t="shared" si="88"/>
        <v>#N/A</v>
      </c>
      <c r="AX111" s="681"/>
    </row>
    <row r="112" spans="2:50">
      <c r="B112" s="667"/>
      <c r="C112" s="343">
        <v>6</v>
      </c>
      <c r="D112" s="227"/>
      <c r="E112" s="182"/>
      <c r="F112" s="343"/>
      <c r="G112" s="346"/>
      <c r="H112" s="709"/>
      <c r="I112" s="199"/>
      <c r="J112" s="199"/>
      <c r="K112" s="200"/>
      <c r="L112" s="641"/>
      <c r="M112" s="201" t="e">
        <f>RANK(K112, K$87:$K$101)</f>
        <v>#DIV/0!</v>
      </c>
      <c r="N112" s="659"/>
      <c r="O112" s="659"/>
      <c r="P112" s="343"/>
      <c r="Q112" s="343"/>
      <c r="R112" s="343"/>
      <c r="S112" s="355" t="e">
        <f t="shared" si="82"/>
        <v>#N/A</v>
      </c>
      <c r="T112" s="681"/>
      <c r="U112" s="359"/>
      <c r="V112" s="359"/>
      <c r="W112" s="359"/>
      <c r="X112" s="355" t="e">
        <f t="shared" si="83"/>
        <v>#N/A</v>
      </c>
      <c r="Y112" s="681"/>
      <c r="Z112" s="359"/>
      <c r="AA112" s="359"/>
      <c r="AB112" s="359"/>
      <c r="AC112" s="355" t="e">
        <f t="shared" si="84"/>
        <v>#N/A</v>
      </c>
      <c r="AD112" s="681"/>
      <c r="AE112" s="359"/>
      <c r="AF112" s="359"/>
      <c r="AG112" s="359"/>
      <c r="AH112" s="355" t="e">
        <f t="shared" si="85"/>
        <v>#N/A</v>
      </c>
      <c r="AI112" s="681"/>
      <c r="AJ112" s="359"/>
      <c r="AK112" s="359"/>
      <c r="AL112" s="359"/>
      <c r="AM112" s="355" t="e">
        <f t="shared" si="86"/>
        <v>#N/A</v>
      </c>
      <c r="AN112" s="681"/>
      <c r="AO112" s="359"/>
      <c r="AP112" s="359"/>
      <c r="AQ112" s="359"/>
      <c r="AR112" s="355" t="e">
        <f t="shared" si="87"/>
        <v>#N/A</v>
      </c>
      <c r="AS112" s="681"/>
      <c r="AT112" s="359"/>
      <c r="AU112" s="359"/>
      <c r="AV112" s="359"/>
      <c r="AW112" s="355" t="e">
        <f t="shared" si="88"/>
        <v>#N/A</v>
      </c>
      <c r="AX112" s="681"/>
    </row>
    <row r="113" spans="2:50">
      <c r="B113" s="667"/>
      <c r="C113" s="343">
        <v>7</v>
      </c>
      <c r="D113" s="227"/>
      <c r="E113" s="182"/>
      <c r="F113" s="343"/>
      <c r="G113" s="346"/>
      <c r="H113" s="709"/>
      <c r="I113" s="199"/>
      <c r="J113" s="199"/>
      <c r="K113" s="200"/>
      <c r="L113" s="641"/>
      <c r="M113" s="201" t="e">
        <f>RANK(K113, K$87:$K$101)</f>
        <v>#DIV/0!</v>
      </c>
      <c r="N113" s="659"/>
      <c r="O113" s="659"/>
      <c r="P113" s="343"/>
      <c r="Q113" s="343"/>
      <c r="R113" s="343"/>
      <c r="S113" s="355" t="e">
        <f t="shared" si="82"/>
        <v>#N/A</v>
      </c>
      <c r="T113" s="681"/>
      <c r="U113" s="359"/>
      <c r="V113" s="359"/>
      <c r="W113" s="359"/>
      <c r="X113" s="355" t="e">
        <f t="shared" si="83"/>
        <v>#N/A</v>
      </c>
      <c r="Y113" s="681"/>
      <c r="Z113" s="359"/>
      <c r="AA113" s="359"/>
      <c r="AB113" s="359"/>
      <c r="AC113" s="355" t="e">
        <f t="shared" si="84"/>
        <v>#N/A</v>
      </c>
      <c r="AD113" s="681"/>
      <c r="AE113" s="359"/>
      <c r="AF113" s="359"/>
      <c r="AG113" s="359"/>
      <c r="AH113" s="355" t="e">
        <f t="shared" si="85"/>
        <v>#N/A</v>
      </c>
      <c r="AI113" s="681"/>
      <c r="AJ113" s="359"/>
      <c r="AK113" s="359"/>
      <c r="AL113" s="359"/>
      <c r="AM113" s="355" t="e">
        <f t="shared" si="86"/>
        <v>#N/A</v>
      </c>
      <c r="AN113" s="681"/>
      <c r="AO113" s="359"/>
      <c r="AP113" s="359"/>
      <c r="AQ113" s="359"/>
      <c r="AR113" s="355" t="e">
        <f t="shared" si="87"/>
        <v>#N/A</v>
      </c>
      <c r="AS113" s="681"/>
      <c r="AT113" s="359"/>
      <c r="AU113" s="359"/>
      <c r="AV113" s="359"/>
      <c r="AW113" s="355" t="e">
        <f t="shared" si="88"/>
        <v>#N/A</v>
      </c>
      <c r="AX113" s="681"/>
    </row>
    <row r="114" spans="2:50">
      <c r="B114" s="667"/>
      <c r="C114" s="343">
        <v>8</v>
      </c>
      <c r="D114" s="227"/>
      <c r="E114" s="182"/>
      <c r="F114" s="343"/>
      <c r="G114" s="346"/>
      <c r="H114" s="709"/>
      <c r="I114" s="199"/>
      <c r="J114" s="199"/>
      <c r="K114" s="200"/>
      <c r="L114" s="641"/>
      <c r="M114" s="201" t="e">
        <f>RANK(K114, K$87:$K$101)</f>
        <v>#DIV/0!</v>
      </c>
      <c r="N114" s="659"/>
      <c r="O114" s="659"/>
      <c r="P114" s="343"/>
      <c r="Q114" s="343"/>
      <c r="R114" s="343"/>
      <c r="S114" s="355" t="e">
        <f t="shared" si="82"/>
        <v>#N/A</v>
      </c>
      <c r="T114" s="681"/>
      <c r="U114" s="359"/>
      <c r="V114" s="359"/>
      <c r="W114" s="359"/>
      <c r="X114" s="355" t="e">
        <f t="shared" si="83"/>
        <v>#N/A</v>
      </c>
      <c r="Y114" s="681"/>
      <c r="Z114" s="359"/>
      <c r="AA114" s="359"/>
      <c r="AB114" s="359"/>
      <c r="AC114" s="355" t="e">
        <f t="shared" si="84"/>
        <v>#N/A</v>
      </c>
      <c r="AD114" s="681"/>
      <c r="AE114" s="359"/>
      <c r="AF114" s="359"/>
      <c r="AG114" s="359"/>
      <c r="AH114" s="355" t="e">
        <f t="shared" si="85"/>
        <v>#N/A</v>
      </c>
      <c r="AI114" s="681"/>
      <c r="AJ114" s="359"/>
      <c r="AK114" s="359"/>
      <c r="AL114" s="359"/>
      <c r="AM114" s="355" t="e">
        <f t="shared" si="86"/>
        <v>#N/A</v>
      </c>
      <c r="AN114" s="681"/>
      <c r="AO114" s="359"/>
      <c r="AP114" s="359"/>
      <c r="AQ114" s="359"/>
      <c r="AR114" s="355" t="e">
        <f t="shared" si="87"/>
        <v>#N/A</v>
      </c>
      <c r="AS114" s="681"/>
      <c r="AT114" s="359"/>
      <c r="AU114" s="359"/>
      <c r="AV114" s="359"/>
      <c r="AW114" s="355" t="e">
        <f t="shared" si="88"/>
        <v>#N/A</v>
      </c>
      <c r="AX114" s="681"/>
    </row>
    <row r="115" spans="2:50">
      <c r="B115" s="667"/>
      <c r="C115" s="343">
        <v>9</v>
      </c>
      <c r="D115" s="227"/>
      <c r="E115" s="182"/>
      <c r="F115" s="343"/>
      <c r="G115" s="346"/>
      <c r="H115" s="709"/>
      <c r="I115" s="199"/>
      <c r="J115" s="199"/>
      <c r="K115" s="200"/>
      <c r="L115" s="641"/>
      <c r="M115" s="201" t="e">
        <f>RANK(K115, K$87:$K$101)</f>
        <v>#DIV/0!</v>
      </c>
      <c r="N115" s="659"/>
      <c r="O115" s="659"/>
      <c r="P115" s="343"/>
      <c r="Q115" s="343"/>
      <c r="R115" s="343"/>
      <c r="S115" s="355" t="e">
        <f t="shared" si="82"/>
        <v>#N/A</v>
      </c>
      <c r="T115" s="681"/>
      <c r="U115" s="359"/>
      <c r="V115" s="359"/>
      <c r="W115" s="359"/>
      <c r="X115" s="355" t="e">
        <f t="shared" si="83"/>
        <v>#N/A</v>
      </c>
      <c r="Y115" s="681"/>
      <c r="Z115" s="359"/>
      <c r="AA115" s="359"/>
      <c r="AB115" s="359"/>
      <c r="AC115" s="355" t="e">
        <f t="shared" si="84"/>
        <v>#N/A</v>
      </c>
      <c r="AD115" s="681"/>
      <c r="AE115" s="359"/>
      <c r="AF115" s="359"/>
      <c r="AG115" s="359"/>
      <c r="AH115" s="355" t="e">
        <f t="shared" si="85"/>
        <v>#N/A</v>
      </c>
      <c r="AI115" s="681"/>
      <c r="AJ115" s="359"/>
      <c r="AK115" s="359"/>
      <c r="AL115" s="359"/>
      <c r="AM115" s="355" t="e">
        <f t="shared" si="86"/>
        <v>#N/A</v>
      </c>
      <c r="AN115" s="681"/>
      <c r="AO115" s="359"/>
      <c r="AP115" s="359"/>
      <c r="AQ115" s="359"/>
      <c r="AR115" s="355" t="e">
        <f t="shared" si="87"/>
        <v>#N/A</v>
      </c>
      <c r="AS115" s="681"/>
      <c r="AT115" s="359"/>
      <c r="AU115" s="359"/>
      <c r="AV115" s="359"/>
      <c r="AW115" s="355" t="e">
        <f t="shared" si="88"/>
        <v>#N/A</v>
      </c>
      <c r="AX115" s="681"/>
    </row>
    <row r="116" spans="2:50">
      <c r="B116" s="667"/>
      <c r="C116" s="343">
        <v>10</v>
      </c>
      <c r="D116" s="227"/>
      <c r="E116" s="182"/>
      <c r="F116" s="343"/>
      <c r="G116" s="346"/>
      <c r="H116" s="709"/>
      <c r="I116" s="199"/>
      <c r="J116" s="199"/>
      <c r="K116" s="200"/>
      <c r="L116" s="641"/>
      <c r="M116" s="201" t="e">
        <f>RANK(K116, K$87:$K$101)</f>
        <v>#DIV/0!</v>
      </c>
      <c r="N116" s="659"/>
      <c r="O116" s="659"/>
      <c r="P116" s="343"/>
      <c r="Q116" s="343"/>
      <c r="R116" s="343"/>
      <c r="S116" s="355" t="e">
        <f t="shared" si="82"/>
        <v>#N/A</v>
      </c>
      <c r="T116" s="681"/>
      <c r="U116" s="359"/>
      <c r="V116" s="359"/>
      <c r="W116" s="359"/>
      <c r="X116" s="355" t="e">
        <f t="shared" si="83"/>
        <v>#N/A</v>
      </c>
      <c r="Y116" s="681"/>
      <c r="Z116" s="359"/>
      <c r="AA116" s="359"/>
      <c r="AB116" s="359"/>
      <c r="AC116" s="355" t="e">
        <f t="shared" si="84"/>
        <v>#N/A</v>
      </c>
      <c r="AD116" s="681"/>
      <c r="AE116" s="359"/>
      <c r="AF116" s="359"/>
      <c r="AG116" s="359"/>
      <c r="AH116" s="355" t="e">
        <f t="shared" si="85"/>
        <v>#N/A</v>
      </c>
      <c r="AI116" s="681"/>
      <c r="AJ116" s="359"/>
      <c r="AK116" s="359"/>
      <c r="AL116" s="359"/>
      <c r="AM116" s="355" t="e">
        <f t="shared" si="86"/>
        <v>#N/A</v>
      </c>
      <c r="AN116" s="681"/>
      <c r="AO116" s="359"/>
      <c r="AP116" s="359"/>
      <c r="AQ116" s="359"/>
      <c r="AR116" s="355" t="e">
        <f t="shared" si="87"/>
        <v>#N/A</v>
      </c>
      <c r="AS116" s="681"/>
      <c r="AT116" s="359"/>
      <c r="AU116" s="359"/>
      <c r="AV116" s="359"/>
      <c r="AW116" s="355" t="e">
        <f t="shared" si="88"/>
        <v>#N/A</v>
      </c>
      <c r="AX116" s="681"/>
    </row>
    <row r="117" spans="2:50">
      <c r="B117" s="667"/>
      <c r="C117" s="343">
        <v>11</v>
      </c>
      <c r="D117" s="227"/>
      <c r="E117" s="182"/>
      <c r="F117" s="343"/>
      <c r="G117" s="346"/>
      <c r="H117" s="709"/>
      <c r="I117" s="202"/>
      <c r="J117" s="202"/>
      <c r="K117" s="202"/>
      <c r="L117" s="641"/>
      <c r="M117" s="201" t="e">
        <f>RANK(K117, K$87:$K$101)</f>
        <v>#DIV/0!</v>
      </c>
      <c r="N117" s="659"/>
      <c r="O117" s="659"/>
      <c r="P117" s="343"/>
      <c r="Q117" s="343"/>
      <c r="R117" s="343"/>
      <c r="S117" s="355" t="e">
        <f t="shared" si="82"/>
        <v>#N/A</v>
      </c>
      <c r="T117" s="681"/>
      <c r="U117" s="359"/>
      <c r="V117" s="359"/>
      <c r="W117" s="359"/>
      <c r="X117" s="355" t="e">
        <f t="shared" si="83"/>
        <v>#N/A</v>
      </c>
      <c r="Y117" s="681"/>
      <c r="Z117" s="359"/>
      <c r="AA117" s="359"/>
      <c r="AB117" s="359"/>
      <c r="AC117" s="355" t="e">
        <f t="shared" si="84"/>
        <v>#N/A</v>
      </c>
      <c r="AD117" s="681"/>
      <c r="AE117" s="359"/>
      <c r="AF117" s="359"/>
      <c r="AG117" s="359"/>
      <c r="AH117" s="355" t="e">
        <f t="shared" si="85"/>
        <v>#N/A</v>
      </c>
      <c r="AI117" s="681"/>
      <c r="AJ117" s="359"/>
      <c r="AK117" s="359"/>
      <c r="AL117" s="359"/>
      <c r="AM117" s="355" t="e">
        <f t="shared" si="86"/>
        <v>#N/A</v>
      </c>
      <c r="AN117" s="681"/>
      <c r="AO117" s="359"/>
      <c r="AP117" s="359"/>
      <c r="AQ117" s="359"/>
      <c r="AR117" s="355" t="e">
        <f t="shared" si="87"/>
        <v>#N/A</v>
      </c>
      <c r="AS117" s="681"/>
      <c r="AT117" s="359"/>
      <c r="AU117" s="359"/>
      <c r="AV117" s="359"/>
      <c r="AW117" s="355" t="e">
        <f t="shared" si="88"/>
        <v>#N/A</v>
      </c>
      <c r="AX117" s="681"/>
    </row>
    <row r="118" spans="2:50">
      <c r="B118" s="667"/>
      <c r="C118" s="343">
        <v>12</v>
      </c>
      <c r="D118" s="227"/>
      <c r="E118" s="182"/>
      <c r="F118" s="343"/>
      <c r="G118" s="346"/>
      <c r="H118" s="709"/>
      <c r="I118" s="202"/>
      <c r="J118" s="202"/>
      <c r="K118" s="202"/>
      <c r="L118" s="641"/>
      <c r="M118" s="201" t="e">
        <f>RANK(K118, K$87:$K$101)</f>
        <v>#DIV/0!</v>
      </c>
      <c r="N118" s="659"/>
      <c r="O118" s="659"/>
      <c r="P118" s="343"/>
      <c r="Q118" s="343"/>
      <c r="R118" s="343"/>
      <c r="S118" s="355" t="e">
        <f t="shared" si="82"/>
        <v>#N/A</v>
      </c>
      <c r="T118" s="681"/>
      <c r="U118" s="359"/>
      <c r="V118" s="359"/>
      <c r="W118" s="359"/>
      <c r="X118" s="355" t="e">
        <f t="shared" si="83"/>
        <v>#N/A</v>
      </c>
      <c r="Y118" s="681"/>
      <c r="Z118" s="359"/>
      <c r="AA118" s="359"/>
      <c r="AB118" s="359"/>
      <c r="AC118" s="355" t="e">
        <f t="shared" si="84"/>
        <v>#N/A</v>
      </c>
      <c r="AD118" s="681"/>
      <c r="AE118" s="359"/>
      <c r="AF118" s="359"/>
      <c r="AG118" s="359"/>
      <c r="AH118" s="355" t="e">
        <f t="shared" si="85"/>
        <v>#N/A</v>
      </c>
      <c r="AI118" s="681"/>
      <c r="AJ118" s="359"/>
      <c r="AK118" s="359"/>
      <c r="AL118" s="359"/>
      <c r="AM118" s="355" t="e">
        <f t="shared" si="86"/>
        <v>#N/A</v>
      </c>
      <c r="AN118" s="681"/>
      <c r="AO118" s="359"/>
      <c r="AP118" s="359"/>
      <c r="AQ118" s="359"/>
      <c r="AR118" s="355" t="e">
        <f t="shared" si="87"/>
        <v>#N/A</v>
      </c>
      <c r="AS118" s="681"/>
      <c r="AT118" s="359"/>
      <c r="AU118" s="359"/>
      <c r="AV118" s="359"/>
      <c r="AW118" s="355" t="e">
        <f t="shared" si="88"/>
        <v>#N/A</v>
      </c>
      <c r="AX118" s="681"/>
    </row>
    <row r="119" spans="2:50">
      <c r="B119" s="667"/>
      <c r="C119" s="343">
        <v>13</v>
      </c>
      <c r="D119" s="227"/>
      <c r="E119" s="182"/>
      <c r="F119" s="343"/>
      <c r="G119" s="346"/>
      <c r="H119" s="709"/>
      <c r="I119" s="202"/>
      <c r="J119" s="202"/>
      <c r="K119" s="202"/>
      <c r="L119" s="641"/>
      <c r="M119" s="201" t="e">
        <f>RANK(K119, K$87:$K$101)</f>
        <v>#DIV/0!</v>
      </c>
      <c r="N119" s="659"/>
      <c r="O119" s="659"/>
      <c r="P119" s="343"/>
      <c r="Q119" s="343"/>
      <c r="R119" s="343"/>
      <c r="S119" s="355" t="e">
        <f t="shared" si="82"/>
        <v>#N/A</v>
      </c>
      <c r="T119" s="681"/>
      <c r="U119" s="359"/>
      <c r="V119" s="359"/>
      <c r="W119" s="359"/>
      <c r="X119" s="355" t="e">
        <f t="shared" si="83"/>
        <v>#N/A</v>
      </c>
      <c r="Y119" s="681"/>
      <c r="Z119" s="359"/>
      <c r="AA119" s="359"/>
      <c r="AB119" s="359"/>
      <c r="AC119" s="355" t="e">
        <f t="shared" si="84"/>
        <v>#N/A</v>
      </c>
      <c r="AD119" s="681"/>
      <c r="AE119" s="359"/>
      <c r="AF119" s="359"/>
      <c r="AG119" s="359"/>
      <c r="AH119" s="355" t="e">
        <f t="shared" si="85"/>
        <v>#N/A</v>
      </c>
      <c r="AI119" s="681"/>
      <c r="AJ119" s="359"/>
      <c r="AK119" s="359"/>
      <c r="AL119" s="359"/>
      <c r="AM119" s="355" t="e">
        <f t="shared" si="86"/>
        <v>#N/A</v>
      </c>
      <c r="AN119" s="681"/>
      <c r="AO119" s="359"/>
      <c r="AP119" s="359"/>
      <c r="AQ119" s="359"/>
      <c r="AR119" s="355" t="e">
        <f t="shared" si="87"/>
        <v>#N/A</v>
      </c>
      <c r="AS119" s="681"/>
      <c r="AT119" s="359"/>
      <c r="AU119" s="359"/>
      <c r="AV119" s="359"/>
      <c r="AW119" s="355" t="e">
        <f t="shared" si="88"/>
        <v>#N/A</v>
      </c>
      <c r="AX119" s="681"/>
    </row>
    <row r="120" spans="2:50">
      <c r="B120" s="667"/>
      <c r="C120" s="343">
        <v>14</v>
      </c>
      <c r="D120" s="227"/>
      <c r="E120" s="182"/>
      <c r="F120" s="343"/>
      <c r="G120" s="346"/>
      <c r="H120" s="709"/>
      <c r="I120" s="202"/>
      <c r="J120" s="202"/>
      <c r="K120" s="202"/>
      <c r="L120" s="641"/>
      <c r="M120" s="201" t="e">
        <f>RANK(K120, K$87:$K$101)</f>
        <v>#DIV/0!</v>
      </c>
      <c r="N120" s="659"/>
      <c r="O120" s="659"/>
      <c r="P120" s="343"/>
      <c r="Q120" s="343"/>
      <c r="R120" s="343"/>
      <c r="S120" s="355" t="e">
        <f t="shared" si="82"/>
        <v>#N/A</v>
      </c>
      <c r="T120" s="681"/>
      <c r="U120" s="359"/>
      <c r="V120" s="359"/>
      <c r="W120" s="359"/>
      <c r="X120" s="355" t="e">
        <f t="shared" si="83"/>
        <v>#N/A</v>
      </c>
      <c r="Y120" s="681"/>
      <c r="Z120" s="359"/>
      <c r="AA120" s="359"/>
      <c r="AB120" s="359"/>
      <c r="AC120" s="355" t="e">
        <f t="shared" si="84"/>
        <v>#N/A</v>
      </c>
      <c r="AD120" s="681"/>
      <c r="AE120" s="359"/>
      <c r="AF120" s="359"/>
      <c r="AG120" s="359"/>
      <c r="AH120" s="355" t="e">
        <f t="shared" si="85"/>
        <v>#N/A</v>
      </c>
      <c r="AI120" s="681"/>
      <c r="AJ120" s="359"/>
      <c r="AK120" s="359"/>
      <c r="AL120" s="359"/>
      <c r="AM120" s="355" t="e">
        <f t="shared" si="86"/>
        <v>#N/A</v>
      </c>
      <c r="AN120" s="681"/>
      <c r="AO120" s="359"/>
      <c r="AP120" s="359"/>
      <c r="AQ120" s="359"/>
      <c r="AR120" s="355" t="e">
        <f t="shared" si="87"/>
        <v>#N/A</v>
      </c>
      <c r="AS120" s="681"/>
      <c r="AT120" s="359"/>
      <c r="AU120" s="359"/>
      <c r="AV120" s="359"/>
      <c r="AW120" s="355" t="e">
        <f t="shared" si="88"/>
        <v>#N/A</v>
      </c>
      <c r="AX120" s="681"/>
    </row>
    <row r="121" spans="2:50">
      <c r="B121" s="667"/>
      <c r="C121" s="343">
        <v>15</v>
      </c>
      <c r="D121" s="227"/>
      <c r="E121" s="182"/>
      <c r="F121" s="343"/>
      <c r="G121" s="346"/>
      <c r="H121" s="710"/>
      <c r="I121" s="202"/>
      <c r="J121" s="202"/>
      <c r="K121" s="202"/>
      <c r="L121" s="642"/>
      <c r="M121" s="199" t="e">
        <f>RANK(K121, K$87:$K$101)</f>
        <v>#DIV/0!</v>
      </c>
      <c r="N121" s="659"/>
      <c r="O121" s="659"/>
      <c r="P121" s="343"/>
      <c r="Q121" s="343"/>
      <c r="R121" s="343"/>
      <c r="S121" s="355" t="e">
        <f t="shared" si="82"/>
        <v>#N/A</v>
      </c>
      <c r="T121" s="681"/>
      <c r="U121" s="359"/>
      <c r="V121" s="359"/>
      <c r="W121" s="359"/>
      <c r="X121" s="355" t="e">
        <f t="shared" si="83"/>
        <v>#N/A</v>
      </c>
      <c r="Y121" s="681"/>
      <c r="Z121" s="359"/>
      <c r="AA121" s="359"/>
      <c r="AB121" s="359"/>
      <c r="AC121" s="355" t="e">
        <f t="shared" si="84"/>
        <v>#N/A</v>
      </c>
      <c r="AD121" s="681"/>
      <c r="AE121" s="359"/>
      <c r="AF121" s="359"/>
      <c r="AG121" s="359"/>
      <c r="AH121" s="355" t="e">
        <f t="shared" si="85"/>
        <v>#N/A</v>
      </c>
      <c r="AI121" s="681"/>
      <c r="AJ121" s="359"/>
      <c r="AK121" s="359"/>
      <c r="AL121" s="359"/>
      <c r="AM121" s="355" t="e">
        <f t="shared" si="86"/>
        <v>#N/A</v>
      </c>
      <c r="AN121" s="681"/>
      <c r="AO121" s="359"/>
      <c r="AP121" s="359"/>
      <c r="AQ121" s="359"/>
      <c r="AR121" s="355" t="e">
        <f t="shared" si="87"/>
        <v>#N/A</v>
      </c>
      <c r="AS121" s="681"/>
      <c r="AT121" s="359"/>
      <c r="AU121" s="359"/>
      <c r="AV121" s="359"/>
      <c r="AW121" s="355" t="e">
        <f t="shared" si="88"/>
        <v>#N/A</v>
      </c>
      <c r="AX121" s="681"/>
    </row>
    <row r="123" spans="2:50" ht="15.75">
      <c r="B123" s="698" t="s">
        <v>661</v>
      </c>
      <c r="C123" s="699"/>
      <c r="D123" s="699"/>
      <c r="E123" s="699"/>
      <c r="F123" s="699"/>
      <c r="G123" s="699"/>
      <c r="H123" s="700"/>
      <c r="I123" s="347"/>
      <c r="J123" s="347"/>
      <c r="K123" s="347"/>
      <c r="L123" s="347"/>
      <c r="M123" s="348"/>
    </row>
    <row r="124" spans="2:50" ht="15.75">
      <c r="B124" s="701"/>
      <c r="C124" s="701"/>
      <c r="D124" s="701"/>
      <c r="E124" s="701"/>
      <c r="F124" s="701"/>
      <c r="G124" s="701"/>
      <c r="H124" s="701"/>
      <c r="I124" s="349"/>
      <c r="J124" s="349"/>
      <c r="K124" s="349"/>
      <c r="L124" s="349"/>
      <c r="M124" s="350"/>
    </row>
    <row r="125" spans="2:50">
      <c r="B125" s="659" t="s">
        <v>662</v>
      </c>
      <c r="C125" s="659" t="s">
        <v>663</v>
      </c>
      <c r="D125" s="659"/>
      <c r="E125" s="659" t="s">
        <v>664</v>
      </c>
      <c r="F125" s="659"/>
      <c r="G125" s="659"/>
      <c r="H125" s="675" t="s">
        <v>665</v>
      </c>
      <c r="I125" s="702" t="s">
        <v>666</v>
      </c>
      <c r="J125" s="702"/>
      <c r="K125" s="702"/>
      <c r="L125" s="718" t="s">
        <v>665</v>
      </c>
      <c r="M125" s="721" t="s">
        <v>667</v>
      </c>
    </row>
    <row r="126" spans="2:50">
      <c r="B126" s="659"/>
      <c r="C126" s="659"/>
      <c r="D126" s="659"/>
      <c r="E126" s="659" t="s">
        <v>668</v>
      </c>
      <c r="F126" s="659"/>
      <c r="G126" s="659"/>
      <c r="H126" s="676"/>
      <c r="I126" s="702" t="s">
        <v>668</v>
      </c>
      <c r="J126" s="702"/>
      <c r="K126" s="702"/>
      <c r="L126" s="719"/>
      <c r="M126" s="722"/>
    </row>
    <row r="127" spans="2:50">
      <c r="B127" s="659"/>
      <c r="C127" s="659"/>
      <c r="D127" s="659"/>
      <c r="E127" s="344" t="s">
        <v>669</v>
      </c>
      <c r="F127" s="344" t="s">
        <v>670</v>
      </c>
      <c r="G127" s="344" t="s">
        <v>671</v>
      </c>
      <c r="H127" s="677"/>
      <c r="I127" s="351" t="s">
        <v>669</v>
      </c>
      <c r="J127" s="351" t="s">
        <v>670</v>
      </c>
      <c r="K127" s="351" t="s">
        <v>671</v>
      </c>
      <c r="L127" s="720"/>
      <c r="M127" s="723"/>
    </row>
    <row r="128" spans="2:50">
      <c r="B128" s="659" t="s">
        <v>675</v>
      </c>
      <c r="C128" s="343">
        <v>1</v>
      </c>
      <c r="D128" s="227"/>
      <c r="E128" s="182"/>
      <c r="F128" s="343"/>
      <c r="G128" s="346"/>
      <c r="H128" s="708" t="e">
        <f>AVERAGE(G128:G142)</f>
        <v>#DIV/0!</v>
      </c>
      <c r="I128" s="199" t="e">
        <f t="shared" ref="I128:J128" si="89">AVERAGEIF($D$7:$D$121,$D128,I$7:I$121)</f>
        <v>#DIV/0!</v>
      </c>
      <c r="J128" s="199" t="e">
        <f t="shared" si="89"/>
        <v>#DIV/0!</v>
      </c>
      <c r="K128" s="199" t="e">
        <f>AVERAGEIF($D$7:$D$121,$D128,K$7:K$121)</f>
        <v>#DIV/0!</v>
      </c>
      <c r="L128" s="715" t="e">
        <f>AVERAGE(K128:K142)</f>
        <v>#DIV/0!</v>
      </c>
      <c r="M128" s="199" t="e">
        <f>RANK(K128, K$128:$K$142)</f>
        <v>#DIV/0!</v>
      </c>
    </row>
    <row r="129" spans="2:13" s="108" customFormat="1">
      <c r="B129" s="667"/>
      <c r="C129" s="343">
        <v>2</v>
      </c>
      <c r="D129" s="227"/>
      <c r="E129" s="182"/>
      <c r="F129" s="343"/>
      <c r="G129" s="346"/>
      <c r="H129" s="709"/>
      <c r="I129" s="199"/>
      <c r="J129" s="199"/>
      <c r="K129" s="199"/>
      <c r="L129" s="716"/>
      <c r="M129" s="199" t="e">
        <f>RANK(K129, K$128:$K$142)</f>
        <v>#DIV/0!</v>
      </c>
    </row>
    <row r="130" spans="2:13" s="108" customFormat="1">
      <c r="B130" s="667"/>
      <c r="C130" s="343">
        <v>3</v>
      </c>
      <c r="D130" s="227"/>
      <c r="E130" s="182"/>
      <c r="F130" s="343"/>
      <c r="G130" s="346"/>
      <c r="H130" s="709"/>
      <c r="I130" s="199"/>
      <c r="J130" s="199"/>
      <c r="K130" s="199"/>
      <c r="L130" s="716"/>
      <c r="M130" s="199" t="e">
        <f>RANK(K130, K$128:$K$142)</f>
        <v>#DIV/0!</v>
      </c>
    </row>
    <row r="131" spans="2:13" s="108" customFormat="1">
      <c r="B131" s="667"/>
      <c r="C131" s="343">
        <v>4</v>
      </c>
      <c r="D131" s="227"/>
      <c r="E131" s="182"/>
      <c r="F131" s="343"/>
      <c r="G131" s="346"/>
      <c r="H131" s="709"/>
      <c r="I131" s="199"/>
      <c r="J131" s="199"/>
      <c r="K131" s="199"/>
      <c r="L131" s="716"/>
      <c r="M131" s="199" t="e">
        <f>RANK(K131, K$128:$K$142)</f>
        <v>#DIV/0!</v>
      </c>
    </row>
    <row r="132" spans="2:13" s="108" customFormat="1">
      <c r="B132" s="667"/>
      <c r="C132" s="343">
        <v>5</v>
      </c>
      <c r="D132" s="227"/>
      <c r="E132" s="182"/>
      <c r="F132" s="343"/>
      <c r="G132" s="346"/>
      <c r="H132" s="709"/>
      <c r="I132" s="199"/>
      <c r="J132" s="199"/>
      <c r="K132" s="199"/>
      <c r="L132" s="716"/>
      <c r="M132" s="199" t="e">
        <f>RANK(K132, K$128:$K$142)</f>
        <v>#DIV/0!</v>
      </c>
    </row>
    <row r="133" spans="2:13" s="108" customFormat="1">
      <c r="B133" s="667"/>
      <c r="C133" s="343">
        <v>6</v>
      </c>
      <c r="D133" s="352"/>
      <c r="E133" s="182"/>
      <c r="F133" s="343"/>
      <c r="G133" s="346"/>
      <c r="H133" s="709"/>
      <c r="I133" s="199"/>
      <c r="J133" s="199"/>
      <c r="K133" s="199"/>
      <c r="L133" s="716"/>
      <c r="M133" s="199" t="e">
        <f>RANK(K133, K$128:$K$142)</f>
        <v>#DIV/0!</v>
      </c>
    </row>
    <row r="134" spans="2:13" s="108" customFormat="1">
      <c r="B134" s="667"/>
      <c r="C134" s="343">
        <v>7</v>
      </c>
      <c r="D134" s="227"/>
      <c r="E134" s="182"/>
      <c r="F134" s="343"/>
      <c r="G134" s="346"/>
      <c r="H134" s="709"/>
      <c r="I134" s="199"/>
      <c r="J134" s="199"/>
      <c r="K134" s="199"/>
      <c r="L134" s="716"/>
      <c r="M134" s="199" t="e">
        <f>RANK(K134, K$128:$K$142)</f>
        <v>#DIV/0!</v>
      </c>
    </row>
    <row r="135" spans="2:13" s="108" customFormat="1">
      <c r="B135" s="667"/>
      <c r="C135" s="343">
        <v>8</v>
      </c>
      <c r="D135" s="227"/>
      <c r="E135" s="182"/>
      <c r="F135" s="343"/>
      <c r="G135" s="346"/>
      <c r="H135" s="709"/>
      <c r="I135" s="199"/>
      <c r="J135" s="199"/>
      <c r="K135" s="199"/>
      <c r="L135" s="716"/>
      <c r="M135" s="199" t="e">
        <f>RANK(K135, K$128:$K$142)</f>
        <v>#DIV/0!</v>
      </c>
    </row>
    <row r="136" spans="2:13" s="108" customFormat="1">
      <c r="B136" s="667"/>
      <c r="C136" s="343">
        <v>9</v>
      </c>
      <c r="D136" s="227"/>
      <c r="E136" s="343"/>
      <c r="F136" s="343"/>
      <c r="G136" s="343"/>
      <c r="H136" s="709"/>
      <c r="I136" s="199"/>
      <c r="J136" s="199"/>
      <c r="K136" s="199"/>
      <c r="L136" s="716"/>
      <c r="M136" s="199" t="e">
        <f>RANK(K136, K$128:$K$142)</f>
        <v>#DIV/0!</v>
      </c>
    </row>
    <row r="137" spans="2:13" s="108" customFormat="1">
      <c r="B137" s="667"/>
      <c r="C137" s="343">
        <v>10</v>
      </c>
      <c r="D137" s="227"/>
      <c r="E137" s="343"/>
      <c r="F137" s="343"/>
      <c r="G137" s="343"/>
      <c r="H137" s="709"/>
      <c r="I137" s="199"/>
      <c r="J137" s="199"/>
      <c r="K137" s="199"/>
      <c r="L137" s="716"/>
      <c r="M137" s="199" t="e">
        <f>RANK(K137, K$128:$K$142)</f>
        <v>#DIV/0!</v>
      </c>
    </row>
    <row r="138" spans="2:13" s="108" customFormat="1">
      <c r="B138" s="667"/>
      <c r="C138" s="343">
        <v>11</v>
      </c>
      <c r="D138" s="227"/>
      <c r="E138" s="343"/>
      <c r="F138" s="343"/>
      <c r="G138" s="343"/>
      <c r="H138" s="709"/>
      <c r="I138" s="199"/>
      <c r="J138" s="199"/>
      <c r="K138" s="199"/>
      <c r="L138" s="716"/>
      <c r="M138" s="199" t="e">
        <f>RANK(K138, K$128:$K$142)</f>
        <v>#DIV/0!</v>
      </c>
    </row>
    <row r="139" spans="2:13" s="108" customFormat="1">
      <c r="B139" s="667"/>
      <c r="C139" s="343">
        <v>12</v>
      </c>
      <c r="D139" s="227"/>
      <c r="E139" s="343"/>
      <c r="F139" s="343"/>
      <c r="G139" s="343"/>
      <c r="H139" s="709"/>
      <c r="I139" s="199"/>
      <c r="J139" s="199"/>
      <c r="K139" s="199"/>
      <c r="L139" s="716"/>
      <c r="M139" s="199" t="e">
        <f>RANK(K139, K$128:$K$142)</f>
        <v>#DIV/0!</v>
      </c>
    </row>
    <row r="140" spans="2:13" s="108" customFormat="1">
      <c r="B140" s="667"/>
      <c r="C140" s="343">
        <v>13</v>
      </c>
      <c r="D140" s="227"/>
      <c r="E140" s="343"/>
      <c r="F140" s="343"/>
      <c r="G140" s="343"/>
      <c r="H140" s="709"/>
      <c r="I140" s="199"/>
      <c r="J140" s="199"/>
      <c r="K140" s="199"/>
      <c r="L140" s="716"/>
      <c r="M140" s="199" t="e">
        <f>RANK(K140, K$128:$K$142)</f>
        <v>#DIV/0!</v>
      </c>
    </row>
    <row r="141" spans="2:13" s="108" customFormat="1">
      <c r="B141" s="667"/>
      <c r="C141" s="343">
        <v>14</v>
      </c>
      <c r="D141" s="227"/>
      <c r="E141" s="343"/>
      <c r="F141" s="343"/>
      <c r="G141" s="343"/>
      <c r="H141" s="709"/>
      <c r="I141" s="199"/>
      <c r="J141" s="199"/>
      <c r="K141" s="199"/>
      <c r="L141" s="716"/>
      <c r="M141" s="199" t="e">
        <f>RANK(K141, K$128:$K$142)</f>
        <v>#DIV/0!</v>
      </c>
    </row>
    <row r="142" spans="2:13" s="108" customFormat="1">
      <c r="B142" s="667"/>
      <c r="C142" s="343">
        <v>15</v>
      </c>
      <c r="D142" s="227"/>
      <c r="E142" s="343"/>
      <c r="F142" s="343"/>
      <c r="G142" s="343"/>
      <c r="H142" s="710"/>
      <c r="I142" s="199"/>
      <c r="J142" s="199"/>
      <c r="K142" s="199"/>
      <c r="L142" s="717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zoomScale="40" zoomScaleNormal="40" workbookViewId="0">
      <pane xSplit="15" topLeftCell="P1" activePane="topRight" state="frozen"/>
      <selection activeCell="D18" sqref="D18"/>
      <selection pane="topRight" activeCell="AT7" sqref="AT7:AV3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AVERAGE(L7,L42,L77,L112,L147,L182)</f>
        <v>84.814846048052473</v>
      </c>
    </row>
    <row r="2" spans="1:54" ht="15.75">
      <c r="A2" s="81"/>
      <c r="B2" s="671" t="s">
        <v>163</v>
      </c>
      <c r="C2" s="671"/>
      <c r="D2" s="671"/>
      <c r="E2" s="671"/>
      <c r="F2" s="671"/>
      <c r="G2" s="671"/>
      <c r="H2" s="671"/>
      <c r="I2" s="310"/>
      <c r="J2" s="310"/>
      <c r="K2" s="310"/>
      <c r="L2" s="310"/>
      <c r="M2" s="197"/>
      <c r="N2" s="660" t="s">
        <v>156</v>
      </c>
      <c r="O2" s="660" t="s">
        <v>155</v>
      </c>
      <c r="P2" s="687">
        <v>46084</v>
      </c>
      <c r="Q2" s="688"/>
      <c r="R2" s="688"/>
      <c r="S2" s="688"/>
      <c r="T2" s="689"/>
      <c r="U2" s="666">
        <f>P2+1</f>
        <v>46085</v>
      </c>
      <c r="V2" s="667"/>
      <c r="W2" s="667"/>
      <c r="X2" s="667"/>
      <c r="Y2" s="667"/>
      <c r="Z2" s="666">
        <f>U2+1</f>
        <v>46086</v>
      </c>
      <c r="AA2" s="667"/>
      <c r="AB2" s="667"/>
      <c r="AC2" s="667"/>
      <c r="AD2" s="667"/>
      <c r="AE2" s="666">
        <f>Z2+1</f>
        <v>46087</v>
      </c>
      <c r="AF2" s="667"/>
      <c r="AG2" s="667"/>
      <c r="AH2" s="667"/>
      <c r="AI2" s="667"/>
      <c r="AJ2" s="666">
        <f>AE2+1</f>
        <v>46088</v>
      </c>
      <c r="AK2" s="667"/>
      <c r="AL2" s="667"/>
      <c r="AM2" s="667"/>
      <c r="AN2" s="667"/>
      <c r="AO2" s="666">
        <f>AJ2+1</f>
        <v>46089</v>
      </c>
      <c r="AP2" s="667"/>
      <c r="AQ2" s="667"/>
      <c r="AR2" s="667"/>
      <c r="AS2" s="667"/>
      <c r="AT2" s="663">
        <f>AO2+1</f>
        <v>46090</v>
      </c>
      <c r="AU2" s="664"/>
      <c r="AV2" s="664"/>
      <c r="AW2" s="664"/>
      <c r="AX2" s="665"/>
    </row>
    <row r="3" spans="1:54" ht="15.75">
      <c r="A3" s="81"/>
      <c r="B3" s="690"/>
      <c r="C3" s="690"/>
      <c r="D3" s="690"/>
      <c r="E3" s="690"/>
      <c r="F3" s="690"/>
      <c r="G3" s="690"/>
      <c r="H3" s="690"/>
      <c r="I3" s="311"/>
      <c r="J3" s="311"/>
      <c r="K3" s="311"/>
      <c r="L3" s="311"/>
      <c r="M3" s="198"/>
      <c r="N3" s="662"/>
      <c r="O3" s="662"/>
      <c r="P3" s="663" t="s">
        <v>158</v>
      </c>
      <c r="Q3" s="664"/>
      <c r="R3" s="664"/>
      <c r="S3" s="664"/>
      <c r="T3" s="665"/>
      <c r="U3" s="663" t="s">
        <v>114</v>
      </c>
      <c r="V3" s="664"/>
      <c r="W3" s="664"/>
      <c r="X3" s="664"/>
      <c r="Y3" s="665"/>
      <c r="Z3" s="663" t="s">
        <v>159</v>
      </c>
      <c r="AA3" s="664"/>
      <c r="AB3" s="664"/>
      <c r="AC3" s="664"/>
      <c r="AD3" s="665"/>
      <c r="AE3" s="663" t="s">
        <v>157</v>
      </c>
      <c r="AF3" s="664"/>
      <c r="AG3" s="664"/>
      <c r="AH3" s="664"/>
      <c r="AI3" s="665"/>
      <c r="AJ3" s="663" t="s">
        <v>160</v>
      </c>
      <c r="AK3" s="664"/>
      <c r="AL3" s="664"/>
      <c r="AM3" s="664"/>
      <c r="AN3" s="665"/>
      <c r="AO3" s="663" t="s">
        <v>161</v>
      </c>
      <c r="AP3" s="664"/>
      <c r="AQ3" s="664"/>
      <c r="AR3" s="664"/>
      <c r="AS3" s="665"/>
      <c r="AT3" s="663" t="s">
        <v>162</v>
      </c>
      <c r="AU3" s="664"/>
      <c r="AV3" s="664"/>
      <c r="AW3" s="664"/>
      <c r="AX3" s="665"/>
    </row>
    <row r="4" spans="1:54" ht="14.25">
      <c r="A4" s="81"/>
      <c r="B4" s="659" t="s">
        <v>154</v>
      </c>
      <c r="C4" s="659" t="s">
        <v>429</v>
      </c>
      <c r="D4" s="659"/>
      <c r="E4" s="659" t="s">
        <v>420</v>
      </c>
      <c r="F4" s="659"/>
      <c r="G4" s="659"/>
      <c r="H4" s="675" t="s">
        <v>416</v>
      </c>
      <c r="I4" s="643" t="s">
        <v>421</v>
      </c>
      <c r="J4" s="643"/>
      <c r="K4" s="643"/>
      <c r="L4" s="644" t="s">
        <v>416</v>
      </c>
      <c r="M4" s="650" t="s">
        <v>417</v>
      </c>
      <c r="N4" s="659"/>
      <c r="O4" s="659" t="s">
        <v>422</v>
      </c>
      <c r="P4" s="656" t="s">
        <v>418</v>
      </c>
      <c r="Q4" s="657"/>
      <c r="R4" s="657"/>
      <c r="S4" s="658"/>
      <c r="T4" s="659" t="s">
        <v>416</v>
      </c>
      <c r="U4" s="656" t="s">
        <v>418</v>
      </c>
      <c r="V4" s="657"/>
      <c r="W4" s="657"/>
      <c r="X4" s="658"/>
      <c r="Y4" s="659" t="s">
        <v>416</v>
      </c>
      <c r="Z4" s="656" t="s">
        <v>418</v>
      </c>
      <c r="AA4" s="657"/>
      <c r="AB4" s="657"/>
      <c r="AC4" s="658"/>
      <c r="AD4" s="659" t="s">
        <v>416</v>
      </c>
      <c r="AE4" s="656" t="s">
        <v>418</v>
      </c>
      <c r="AF4" s="657"/>
      <c r="AG4" s="657"/>
      <c r="AH4" s="658"/>
      <c r="AI4" s="659" t="s">
        <v>416</v>
      </c>
      <c r="AJ4" s="656" t="s">
        <v>418</v>
      </c>
      <c r="AK4" s="657"/>
      <c r="AL4" s="657"/>
      <c r="AM4" s="658"/>
      <c r="AN4" s="659" t="s">
        <v>416</v>
      </c>
      <c r="AO4" s="656" t="s">
        <v>418</v>
      </c>
      <c r="AP4" s="657"/>
      <c r="AQ4" s="657"/>
      <c r="AR4" s="658"/>
      <c r="AS4" s="659" t="s">
        <v>416</v>
      </c>
      <c r="AT4" s="656" t="s">
        <v>418</v>
      </c>
      <c r="AU4" s="657"/>
      <c r="AV4" s="657"/>
      <c r="AW4" s="658"/>
      <c r="AX4" s="659" t="s">
        <v>416</v>
      </c>
    </row>
    <row r="5" spans="1:54" ht="14.25">
      <c r="A5" s="81"/>
      <c r="B5" s="659"/>
      <c r="C5" s="659"/>
      <c r="D5" s="659"/>
      <c r="E5" s="659" t="s">
        <v>423</v>
      </c>
      <c r="F5" s="659"/>
      <c r="G5" s="659"/>
      <c r="H5" s="676"/>
      <c r="I5" s="643" t="s">
        <v>423</v>
      </c>
      <c r="J5" s="643"/>
      <c r="K5" s="643"/>
      <c r="L5" s="645"/>
      <c r="M5" s="651"/>
      <c r="N5" s="659"/>
      <c r="O5" s="659"/>
      <c r="P5" s="656" t="s">
        <v>424</v>
      </c>
      <c r="Q5" s="657"/>
      <c r="R5" s="657"/>
      <c r="S5" s="658"/>
      <c r="T5" s="659"/>
      <c r="U5" s="656" t="s">
        <v>424</v>
      </c>
      <c r="V5" s="657"/>
      <c r="W5" s="657"/>
      <c r="X5" s="658"/>
      <c r="Y5" s="659"/>
      <c r="Z5" s="656" t="s">
        <v>424</v>
      </c>
      <c r="AA5" s="657"/>
      <c r="AB5" s="657"/>
      <c r="AC5" s="658"/>
      <c r="AD5" s="659"/>
      <c r="AE5" s="656" t="s">
        <v>424</v>
      </c>
      <c r="AF5" s="657"/>
      <c r="AG5" s="657"/>
      <c r="AH5" s="658"/>
      <c r="AI5" s="659"/>
      <c r="AJ5" s="656" t="s">
        <v>424</v>
      </c>
      <c r="AK5" s="657"/>
      <c r="AL5" s="657"/>
      <c r="AM5" s="658"/>
      <c r="AN5" s="659"/>
      <c r="AO5" s="656" t="s">
        <v>424</v>
      </c>
      <c r="AP5" s="657"/>
      <c r="AQ5" s="657"/>
      <c r="AR5" s="658"/>
      <c r="AS5" s="659"/>
      <c r="AT5" s="656" t="s">
        <v>424</v>
      </c>
      <c r="AU5" s="657"/>
      <c r="AV5" s="657"/>
      <c r="AW5" s="658"/>
      <c r="AX5" s="659"/>
    </row>
    <row r="6" spans="1:54" ht="14.25">
      <c r="A6" s="79"/>
      <c r="B6" s="659"/>
      <c r="C6" s="659"/>
      <c r="D6" s="659"/>
      <c r="E6" s="514" t="s">
        <v>425</v>
      </c>
      <c r="F6" s="514" t="s">
        <v>426</v>
      </c>
      <c r="G6" s="514" t="s">
        <v>427</v>
      </c>
      <c r="H6" s="677"/>
      <c r="I6" s="516" t="s">
        <v>425</v>
      </c>
      <c r="J6" s="516" t="s">
        <v>426</v>
      </c>
      <c r="K6" s="516" t="s">
        <v>427</v>
      </c>
      <c r="L6" s="646"/>
      <c r="M6" s="652"/>
      <c r="N6" s="659"/>
      <c r="O6" s="659"/>
      <c r="P6" s="514" t="s">
        <v>425</v>
      </c>
      <c r="Q6" s="514" t="s">
        <v>426</v>
      </c>
      <c r="R6" s="514" t="s">
        <v>427</v>
      </c>
      <c r="S6" s="514" t="s">
        <v>417</v>
      </c>
      <c r="T6" s="659"/>
      <c r="U6" s="514" t="s">
        <v>425</v>
      </c>
      <c r="V6" s="514" t="s">
        <v>426</v>
      </c>
      <c r="W6" s="514" t="s">
        <v>427</v>
      </c>
      <c r="X6" s="514" t="s">
        <v>417</v>
      </c>
      <c r="Y6" s="659"/>
      <c r="Z6" s="514" t="s">
        <v>425</v>
      </c>
      <c r="AA6" s="514" t="s">
        <v>426</v>
      </c>
      <c r="AB6" s="514" t="s">
        <v>427</v>
      </c>
      <c r="AC6" s="514" t="s">
        <v>417</v>
      </c>
      <c r="AD6" s="659"/>
      <c r="AE6" s="514" t="s">
        <v>425</v>
      </c>
      <c r="AF6" s="514" t="s">
        <v>426</v>
      </c>
      <c r="AG6" s="514" t="s">
        <v>427</v>
      </c>
      <c r="AH6" s="514" t="s">
        <v>417</v>
      </c>
      <c r="AI6" s="659"/>
      <c r="AJ6" s="514" t="s">
        <v>425</v>
      </c>
      <c r="AK6" s="514" t="s">
        <v>426</v>
      </c>
      <c r="AL6" s="514" t="s">
        <v>427</v>
      </c>
      <c r="AM6" s="514" t="s">
        <v>417</v>
      </c>
      <c r="AN6" s="659"/>
      <c r="AO6" s="514" t="s">
        <v>425</v>
      </c>
      <c r="AP6" s="514" t="s">
        <v>426</v>
      </c>
      <c r="AQ6" s="514" t="s">
        <v>427</v>
      </c>
      <c r="AR6" s="514" t="s">
        <v>417</v>
      </c>
      <c r="AS6" s="659"/>
      <c r="AT6" s="514" t="s">
        <v>425</v>
      </c>
      <c r="AU6" s="514" t="s">
        <v>426</v>
      </c>
      <c r="AV6" s="514" t="s">
        <v>427</v>
      </c>
      <c r="AW6" s="514" t="s">
        <v>417</v>
      </c>
      <c r="AX6" s="659"/>
    </row>
    <row r="7" spans="1:54" ht="14.25">
      <c r="A7" s="81"/>
      <c r="B7" s="659" t="s">
        <v>134</v>
      </c>
      <c r="C7" s="510">
        <v>1</v>
      </c>
      <c r="D7" s="227" t="s">
        <v>367</v>
      </c>
      <c r="E7" s="182">
        <v>6</v>
      </c>
      <c r="F7" s="569">
        <v>1500</v>
      </c>
      <c r="G7" s="570">
        <v>250</v>
      </c>
      <c r="H7" s="708">
        <f>AVERAGE(G7:G36)</f>
        <v>95.946666666666687</v>
      </c>
      <c r="I7" s="512">
        <f>AVERAGE(P7,U7,Z7,AE7,AJ7,AO7,AT7)</f>
        <v>6</v>
      </c>
      <c r="J7" s="512">
        <f>AVERAGE(Q7,V7,AA7,AF7,AK7,AP7,AU7)</f>
        <v>1450.1697223730735</v>
      </c>
      <c r="K7" s="200">
        <f>AVERAGE(R7,W7,AB7,AG7,AL7,AQ7,AV7)</f>
        <v>241.69495372884555</v>
      </c>
      <c r="L7" s="640">
        <f>IFERROR(AVERAGE(K7:K36),"-")</f>
        <v>84.814846048052473</v>
      </c>
      <c r="M7" s="517">
        <f>RANK(K7, K$7:$K$36)</f>
        <v>1</v>
      </c>
      <c r="N7" s="659"/>
      <c r="O7" s="659"/>
      <c r="P7" s="182">
        <v>6</v>
      </c>
      <c r="Q7" s="182">
        <v>1435.7647058823525</v>
      </c>
      <c r="R7" s="182">
        <v>239.29411764705875</v>
      </c>
      <c r="S7" s="510">
        <f>RANK(R7, R$7:R$36)</f>
        <v>1</v>
      </c>
      <c r="T7" s="681">
        <f>AVERAGE(R7:R36)</f>
        <v>84.802658106200184</v>
      </c>
      <c r="U7" s="182">
        <v>6</v>
      </c>
      <c r="V7" s="182">
        <v>1461.9801980198026</v>
      </c>
      <c r="W7" s="182">
        <v>243.66336633663377</v>
      </c>
      <c r="X7" s="510">
        <f>RANK(W7, W$7:W$36)</f>
        <v>1</v>
      </c>
      <c r="Y7" s="681">
        <f>AVERAGE(W7:W36)</f>
        <v>84.976246741981697</v>
      </c>
      <c r="Z7" s="182">
        <v>6</v>
      </c>
      <c r="AA7" s="182">
        <v>1455.0857142857139</v>
      </c>
      <c r="AB7" s="182">
        <v>242.51428571428565</v>
      </c>
      <c r="AC7" s="510">
        <f>RANK(AB7, AB$7:AB$36)</f>
        <v>1</v>
      </c>
      <c r="AD7" s="681">
        <f>AVERAGE(AB7:AB36)</f>
        <v>84.811703015501763</v>
      </c>
      <c r="AE7" s="182">
        <v>6</v>
      </c>
      <c r="AF7" s="182">
        <v>1449.1199999999997</v>
      </c>
      <c r="AG7" s="182">
        <v>241.51999999999995</v>
      </c>
      <c r="AH7" s="510">
        <f>RANK(AG7, AG$7:AG$36)</f>
        <v>1</v>
      </c>
      <c r="AI7" s="681">
        <f>AVERAGE(AG7:AG36)</f>
        <v>85.208695782018339</v>
      </c>
      <c r="AJ7" s="182">
        <v>6</v>
      </c>
      <c r="AK7" s="182">
        <v>1445.3999999999994</v>
      </c>
      <c r="AL7" s="182">
        <v>240.89999999999989</v>
      </c>
      <c r="AM7" s="510">
        <f>RANK(AL7, AL$7:AL$36)</f>
        <v>1</v>
      </c>
      <c r="AN7" s="681">
        <f>AVERAGE(AL7:AL36)</f>
        <v>85.171562269680422</v>
      </c>
      <c r="AO7" s="182">
        <v>6</v>
      </c>
      <c r="AP7" s="182">
        <v>1459.5517241379312</v>
      </c>
      <c r="AQ7" s="182">
        <v>243.2586206896552</v>
      </c>
      <c r="AR7" s="510">
        <f>RANK(AQ7, AQ$7:AQ$36)</f>
        <v>1</v>
      </c>
      <c r="AS7" s="681">
        <f>AVERAGE(AQ7:AQ36)</f>
        <v>84.343149180909876</v>
      </c>
      <c r="AT7" s="182">
        <v>6</v>
      </c>
      <c r="AU7" s="182">
        <v>1444.2857142857131</v>
      </c>
      <c r="AV7" s="182">
        <v>240.71428571428552</v>
      </c>
      <c r="AW7" s="510">
        <f>RANK(AV7, AV$7:AV$36)</f>
        <v>1</v>
      </c>
      <c r="AX7" s="681">
        <f>AVERAGE(AV7:AV36)</f>
        <v>85.468496024278721</v>
      </c>
      <c r="AZ7" s="362" t="e">
        <f>RANK(AX7, $K$7:AX$36)</f>
        <v>#VALUE!</v>
      </c>
      <c r="BB7" s="359" t="e">
        <f t="shared" ref="BB7:BB36" si="0">RANK(BA7, BA$7:BA$36)</f>
        <v>#N/A</v>
      </c>
    </row>
    <row r="8" spans="1:54" ht="15" customHeight="1">
      <c r="A8" s="81"/>
      <c r="B8" s="667"/>
      <c r="C8" s="510">
        <v>2</v>
      </c>
      <c r="D8" s="227" t="s">
        <v>382</v>
      </c>
      <c r="E8" s="182">
        <v>7</v>
      </c>
      <c r="F8" s="569">
        <v>1636</v>
      </c>
      <c r="G8" s="570">
        <v>233.8</v>
      </c>
      <c r="H8" s="709"/>
      <c r="I8" s="547">
        <f t="shared" ref="I8:I36" si="1">AVERAGE(P8,U8,Z8,AE8,AJ8,AO8,AT8)</f>
        <v>7</v>
      </c>
      <c r="J8" s="547">
        <f t="shared" ref="J8:J36" si="2">AVERAGE(Q8,V8,AA8,AF8,AK8,AP8,AU8)</f>
        <v>1463.4435287914241</v>
      </c>
      <c r="K8" s="200">
        <f t="shared" ref="K8:K36" si="3">AVERAGE(R8,W8,AB8,AG8,AL8,AQ8,AV8)</f>
        <v>209.06336125591775</v>
      </c>
      <c r="L8" s="641"/>
      <c r="M8" s="517">
        <f>RANK(K8, K$7:$K$36)</f>
        <v>2</v>
      </c>
      <c r="N8" s="659"/>
      <c r="O8" s="659"/>
      <c r="P8" s="182">
        <v>7</v>
      </c>
      <c r="Q8" s="182">
        <v>1446.666666666667</v>
      </c>
      <c r="R8" s="182">
        <v>206.66666666666671</v>
      </c>
      <c r="S8" s="510">
        <f t="shared" ref="S8:S36" si="4">RANK(R8, R$7:R$36)</f>
        <v>2</v>
      </c>
      <c r="T8" s="681"/>
      <c r="U8" s="182">
        <v>7</v>
      </c>
      <c r="V8" s="182">
        <v>1462.8865979381446</v>
      </c>
      <c r="W8" s="182">
        <v>208.98379970544923</v>
      </c>
      <c r="X8" s="510">
        <f t="shared" ref="X8:X36" si="5">RANK(W8, W$7:W$36)</f>
        <v>2</v>
      </c>
      <c r="Y8" s="681"/>
      <c r="Z8" s="182">
        <v>7</v>
      </c>
      <c r="AA8" s="182">
        <v>1482.5000000000005</v>
      </c>
      <c r="AB8" s="182">
        <v>211.78571428571436</v>
      </c>
      <c r="AC8" s="510">
        <f t="shared" ref="AC8:AC36" si="6">RANK(AB8, AB$7:AB$36)</f>
        <v>2</v>
      </c>
      <c r="AD8" s="681"/>
      <c r="AE8" s="182">
        <v>7</v>
      </c>
      <c r="AF8" s="182">
        <v>1472.7906976744184</v>
      </c>
      <c r="AG8" s="182">
        <v>210.39867109634548</v>
      </c>
      <c r="AH8" s="510">
        <f t="shared" ref="AH8:AH36" si="7">RANK(AG8, AG$7:AG$36)</f>
        <v>2</v>
      </c>
      <c r="AI8" s="681"/>
      <c r="AJ8" s="182">
        <v>7</v>
      </c>
      <c r="AK8" s="182">
        <v>1460.4395604395604</v>
      </c>
      <c r="AL8" s="182">
        <v>208.6342229199372</v>
      </c>
      <c r="AM8" s="510">
        <f t="shared" ref="AM8:AM36" si="8">RANK(AL8, AL$7:AL$36)</f>
        <v>2</v>
      </c>
      <c r="AN8" s="681"/>
      <c r="AO8" s="182">
        <v>7</v>
      </c>
      <c r="AP8" s="182">
        <v>1447.9120879120878</v>
      </c>
      <c r="AQ8" s="182">
        <v>206.84458398744113</v>
      </c>
      <c r="AR8" s="510">
        <f t="shared" ref="AR8:AR36" si="9">RANK(AQ8, AQ$7:AQ$36)</f>
        <v>2</v>
      </c>
      <c r="AS8" s="681"/>
      <c r="AT8" s="182">
        <v>7</v>
      </c>
      <c r="AU8" s="182">
        <v>1470.9090909090903</v>
      </c>
      <c r="AV8" s="182">
        <v>210.12987012987006</v>
      </c>
      <c r="AW8" s="510">
        <f t="shared" ref="AW8:AW36" si="10">RANK(AV8, AV$7:AV$36)</f>
        <v>2</v>
      </c>
      <c r="AX8" s="681"/>
      <c r="AZ8" s="362" t="e">
        <f>RANK(AX8, $K$7:AX$36)</f>
        <v>#VALUE!</v>
      </c>
      <c r="BB8" s="359" t="e">
        <f t="shared" si="0"/>
        <v>#N/A</v>
      </c>
    </row>
    <row r="9" spans="1:54" ht="14.25">
      <c r="A9" s="81"/>
      <c r="B9" s="667"/>
      <c r="C9" s="510">
        <v>3</v>
      </c>
      <c r="D9" s="227" t="s">
        <v>368</v>
      </c>
      <c r="E9" s="182">
        <v>18</v>
      </c>
      <c r="F9" s="569">
        <v>1500</v>
      </c>
      <c r="G9" s="570">
        <v>83.3</v>
      </c>
      <c r="H9" s="709"/>
      <c r="I9" s="547">
        <f t="shared" si="1"/>
        <v>18</v>
      </c>
      <c r="J9" s="547">
        <f t="shared" si="2"/>
        <v>1323.4333773529327</v>
      </c>
      <c r="K9" s="200">
        <f t="shared" si="3"/>
        <v>73.524076519607362</v>
      </c>
      <c r="L9" s="641"/>
      <c r="M9" s="517">
        <f>RANK(K9, K$7:$K$36)</f>
        <v>19</v>
      </c>
      <c r="N9" s="659"/>
      <c r="O9" s="659"/>
      <c r="P9" s="182">
        <v>18</v>
      </c>
      <c r="Q9" s="182">
        <v>1331.9999999999998</v>
      </c>
      <c r="R9" s="182">
        <v>73.999999999999986</v>
      </c>
      <c r="S9" s="510">
        <f t="shared" si="4"/>
        <v>19</v>
      </c>
      <c r="T9" s="681"/>
      <c r="U9" s="182">
        <v>18</v>
      </c>
      <c r="V9" s="182">
        <v>1326.3157894736833</v>
      </c>
      <c r="W9" s="182">
        <v>73.684210526315738</v>
      </c>
      <c r="X9" s="510">
        <f t="shared" si="5"/>
        <v>20</v>
      </c>
      <c r="Y9" s="681"/>
      <c r="Z9" s="182">
        <v>18</v>
      </c>
      <c r="AA9" s="182">
        <v>1311.1111111111118</v>
      </c>
      <c r="AB9" s="182">
        <v>72.839506172839549</v>
      </c>
      <c r="AC9" s="510">
        <f t="shared" si="6"/>
        <v>19</v>
      </c>
      <c r="AD9" s="681"/>
      <c r="AE9" s="182">
        <v>18</v>
      </c>
      <c r="AF9" s="182">
        <v>1331.2500000000005</v>
      </c>
      <c r="AG9" s="182">
        <v>73.958333333333357</v>
      </c>
      <c r="AH9" s="510">
        <f t="shared" si="7"/>
        <v>18</v>
      </c>
      <c r="AI9" s="681"/>
      <c r="AJ9" s="182">
        <v>18</v>
      </c>
      <c r="AK9" s="182">
        <v>1316.9999999999993</v>
      </c>
      <c r="AL9" s="182">
        <v>73.166666666666629</v>
      </c>
      <c r="AM9" s="510">
        <f t="shared" si="8"/>
        <v>19</v>
      </c>
      <c r="AN9" s="681"/>
      <c r="AO9" s="182">
        <v>18</v>
      </c>
      <c r="AP9" s="182">
        <v>1320.9836065573766</v>
      </c>
      <c r="AQ9" s="182">
        <v>73.387978142076477</v>
      </c>
      <c r="AR9" s="510">
        <f t="shared" si="9"/>
        <v>17</v>
      </c>
      <c r="AS9" s="681"/>
      <c r="AT9" s="182">
        <v>18</v>
      </c>
      <c r="AU9" s="182">
        <v>1325.3731343283582</v>
      </c>
      <c r="AV9" s="182">
        <v>73.631840796019901</v>
      </c>
      <c r="AW9" s="510">
        <f t="shared" si="10"/>
        <v>16</v>
      </c>
      <c r="AX9" s="681"/>
      <c r="AZ9" s="362" t="e">
        <f>RANK(AX9, $K$7:AX$36)</f>
        <v>#VALUE!</v>
      </c>
      <c r="BB9" s="359" t="e">
        <f t="shared" si="0"/>
        <v>#N/A</v>
      </c>
    </row>
    <row r="10" spans="1:54" ht="14.25">
      <c r="A10" s="81"/>
      <c r="B10" s="667"/>
      <c r="C10" s="510">
        <v>4</v>
      </c>
      <c r="D10" s="227" t="s">
        <v>877</v>
      </c>
      <c r="E10" s="182">
        <v>18</v>
      </c>
      <c r="F10" s="569">
        <v>1500</v>
      </c>
      <c r="G10" s="570">
        <v>83.3</v>
      </c>
      <c r="H10" s="709"/>
      <c r="I10" s="547">
        <f t="shared" si="1"/>
        <v>18</v>
      </c>
      <c r="J10" s="547">
        <f t="shared" si="2"/>
        <v>1342.8038899909573</v>
      </c>
      <c r="K10" s="200">
        <f t="shared" si="3"/>
        <v>74.600216110608741</v>
      </c>
      <c r="L10" s="641"/>
      <c r="M10" s="517">
        <f>RANK(K10, K$7:$K$36)</f>
        <v>17</v>
      </c>
      <c r="N10" s="659"/>
      <c r="O10" s="659"/>
      <c r="P10" s="182">
        <v>18</v>
      </c>
      <c r="Q10" s="182">
        <v>1391.2500000000005</v>
      </c>
      <c r="R10" s="182">
        <v>77.291666666666686</v>
      </c>
      <c r="S10" s="510">
        <f t="shared" si="4"/>
        <v>12</v>
      </c>
      <c r="T10" s="681"/>
      <c r="U10" s="182">
        <v>18</v>
      </c>
      <c r="V10" s="182">
        <v>1366.8292682926826</v>
      </c>
      <c r="W10" s="182">
        <v>75.934959349593484</v>
      </c>
      <c r="X10" s="510">
        <f t="shared" si="5"/>
        <v>17</v>
      </c>
      <c r="Y10" s="681"/>
      <c r="Z10" s="182">
        <v>18</v>
      </c>
      <c r="AA10" s="182">
        <v>1381.4285714285709</v>
      </c>
      <c r="AB10" s="182">
        <v>76.746031746031719</v>
      </c>
      <c r="AC10" s="510">
        <f t="shared" si="6"/>
        <v>13</v>
      </c>
      <c r="AD10" s="681"/>
      <c r="AE10" s="182">
        <v>18</v>
      </c>
      <c r="AF10" s="182">
        <v>1364.6511627906975</v>
      </c>
      <c r="AG10" s="182">
        <v>75.813953488372078</v>
      </c>
      <c r="AH10" s="510">
        <f t="shared" si="7"/>
        <v>15</v>
      </c>
      <c r="AI10" s="681"/>
      <c r="AJ10" s="182">
        <v>18</v>
      </c>
      <c r="AK10" s="182">
        <v>1377.391304347826</v>
      </c>
      <c r="AL10" s="182">
        <v>76.521739130434781</v>
      </c>
      <c r="AM10" s="510">
        <f t="shared" si="8"/>
        <v>16</v>
      </c>
      <c r="AN10" s="681"/>
      <c r="AO10" s="182">
        <v>18</v>
      </c>
      <c r="AP10" s="182">
        <v>1265.0000000000005</v>
      </c>
      <c r="AQ10" s="182">
        <v>70.2777777777778</v>
      </c>
      <c r="AR10" s="510">
        <f t="shared" si="9"/>
        <v>21</v>
      </c>
      <c r="AS10" s="681"/>
      <c r="AT10" s="182">
        <v>18</v>
      </c>
      <c r="AU10" s="182">
        <v>1253.0769230769238</v>
      </c>
      <c r="AV10" s="182">
        <v>69.615384615384656</v>
      </c>
      <c r="AW10" s="510">
        <f t="shared" si="10"/>
        <v>22</v>
      </c>
      <c r="AX10" s="681"/>
      <c r="AZ10" s="362" t="e">
        <f>RANK(AX10, $K$7:AX$36)</f>
        <v>#VALUE!</v>
      </c>
      <c r="BB10" s="359" t="e">
        <f t="shared" si="0"/>
        <v>#N/A</v>
      </c>
    </row>
    <row r="11" spans="1:54" ht="14.25">
      <c r="A11" s="81"/>
      <c r="B11" s="667"/>
      <c r="C11" s="510">
        <v>5</v>
      </c>
      <c r="D11" s="227" t="s">
        <v>353</v>
      </c>
      <c r="E11" s="182">
        <v>16</v>
      </c>
      <c r="F11" s="569">
        <v>1500</v>
      </c>
      <c r="G11" s="570">
        <v>93.8</v>
      </c>
      <c r="H11" s="709"/>
      <c r="I11" s="547">
        <f t="shared" si="1"/>
        <v>16</v>
      </c>
      <c r="J11" s="547">
        <f t="shared" si="2"/>
        <v>1381.1379655422206</v>
      </c>
      <c r="K11" s="200">
        <f t="shared" si="3"/>
        <v>86.321122846388789</v>
      </c>
      <c r="L11" s="641"/>
      <c r="M11" s="517">
        <f>RANK(K11, K$7:$K$36)</f>
        <v>5</v>
      </c>
      <c r="N11" s="659"/>
      <c r="O11" s="659"/>
      <c r="P11" s="182">
        <v>16</v>
      </c>
      <c r="Q11" s="182">
        <v>1384</v>
      </c>
      <c r="R11" s="182">
        <v>86.5</v>
      </c>
      <c r="S11" s="510">
        <f t="shared" si="4"/>
        <v>5</v>
      </c>
      <c r="T11" s="681"/>
      <c r="U11" s="182">
        <v>16</v>
      </c>
      <c r="V11" s="182">
        <v>1402.7027027027016</v>
      </c>
      <c r="W11" s="182">
        <v>87.668918918918848</v>
      </c>
      <c r="X11" s="510">
        <f t="shared" si="5"/>
        <v>5</v>
      </c>
      <c r="Y11" s="681"/>
      <c r="Z11" s="182">
        <v>16</v>
      </c>
      <c r="AA11" s="182">
        <v>1375.4999999999995</v>
      </c>
      <c r="AB11" s="182">
        <v>85.968749999999972</v>
      </c>
      <c r="AC11" s="510">
        <f t="shared" si="6"/>
        <v>5</v>
      </c>
      <c r="AD11" s="681"/>
      <c r="AE11" s="182">
        <v>16</v>
      </c>
      <c r="AF11" s="182">
        <v>1393.4999999999995</v>
      </c>
      <c r="AG11" s="182">
        <v>87.093749999999972</v>
      </c>
      <c r="AH11" s="510">
        <f t="shared" si="7"/>
        <v>5</v>
      </c>
      <c r="AI11" s="681"/>
      <c r="AJ11" s="182">
        <v>16</v>
      </c>
      <c r="AK11" s="182">
        <v>1362.1276595744685</v>
      </c>
      <c r="AL11" s="182">
        <v>85.132978723404278</v>
      </c>
      <c r="AM11" s="510">
        <f t="shared" si="8"/>
        <v>6</v>
      </c>
      <c r="AN11" s="681"/>
      <c r="AO11" s="182">
        <v>16</v>
      </c>
      <c r="AP11" s="182">
        <v>1385.4545454545455</v>
      </c>
      <c r="AQ11" s="182">
        <v>86.590909090909093</v>
      </c>
      <c r="AR11" s="510">
        <f t="shared" si="9"/>
        <v>5</v>
      </c>
      <c r="AS11" s="681"/>
      <c r="AT11" s="182">
        <v>16</v>
      </c>
      <c r="AU11" s="182">
        <v>1364.68085106383</v>
      </c>
      <c r="AV11" s="182">
        <v>85.292553191489375</v>
      </c>
      <c r="AW11" s="510">
        <f t="shared" si="10"/>
        <v>7</v>
      </c>
      <c r="AX11" s="681"/>
      <c r="AZ11" s="362" t="e">
        <f>RANK(AX11, $K$7:AX$36)</f>
        <v>#VALUE!</v>
      </c>
      <c r="BB11" s="359" t="e">
        <f t="shared" si="0"/>
        <v>#N/A</v>
      </c>
    </row>
    <row r="12" spans="1:54" ht="14.25">
      <c r="A12" s="81"/>
      <c r="B12" s="667"/>
      <c r="C12" s="510">
        <v>6</v>
      </c>
      <c r="D12" s="227" t="s">
        <v>370</v>
      </c>
      <c r="E12" s="182">
        <v>16</v>
      </c>
      <c r="F12" s="569">
        <v>1565</v>
      </c>
      <c r="G12" s="570">
        <v>97.8</v>
      </c>
      <c r="H12" s="709"/>
      <c r="I12" s="547">
        <f t="shared" si="1"/>
        <v>16</v>
      </c>
      <c r="J12" s="547">
        <f t="shared" si="2"/>
        <v>1369.2171423537707</v>
      </c>
      <c r="K12" s="200">
        <f t="shared" si="3"/>
        <v>85.576071397110667</v>
      </c>
      <c r="L12" s="641"/>
      <c r="M12" s="517">
        <f>RANK(K12, K$7:$K$36)</f>
        <v>6</v>
      </c>
      <c r="N12" s="659"/>
      <c r="O12" s="659"/>
      <c r="P12" s="182">
        <v>16</v>
      </c>
      <c r="Q12" s="182">
        <v>1361.0624999999995</v>
      </c>
      <c r="R12" s="182">
        <v>85.066406249999972</v>
      </c>
      <c r="S12" s="510">
        <f t="shared" si="4"/>
        <v>6</v>
      </c>
      <c r="T12" s="681"/>
      <c r="U12" s="182">
        <v>16</v>
      </c>
      <c r="V12" s="182">
        <v>1386.5625000000005</v>
      </c>
      <c r="W12" s="182">
        <v>86.660156250000028</v>
      </c>
      <c r="X12" s="510">
        <f t="shared" si="5"/>
        <v>6</v>
      </c>
      <c r="Y12" s="681"/>
      <c r="Z12" s="182">
        <v>16</v>
      </c>
      <c r="AA12" s="182">
        <v>1355.1428571428582</v>
      </c>
      <c r="AB12" s="182">
        <v>84.69642857142864</v>
      </c>
      <c r="AC12" s="510">
        <f t="shared" si="6"/>
        <v>6</v>
      </c>
      <c r="AD12" s="681"/>
      <c r="AE12" s="182">
        <v>16</v>
      </c>
      <c r="AF12" s="182">
        <v>1366.8571428571443</v>
      </c>
      <c r="AG12" s="182">
        <v>85.428571428571516</v>
      </c>
      <c r="AH12" s="510">
        <f t="shared" si="7"/>
        <v>6</v>
      </c>
      <c r="AI12" s="681"/>
      <c r="AJ12" s="182">
        <v>16</v>
      </c>
      <c r="AK12" s="182">
        <v>1378.1818181818196</v>
      </c>
      <c r="AL12" s="182">
        <v>86.136363636363726</v>
      </c>
      <c r="AM12" s="510">
        <f t="shared" si="8"/>
        <v>5</v>
      </c>
      <c r="AN12" s="681"/>
      <c r="AO12" s="182">
        <v>16</v>
      </c>
      <c r="AP12" s="182">
        <v>1370.6666666666656</v>
      </c>
      <c r="AQ12" s="182">
        <v>85.6666666666666</v>
      </c>
      <c r="AR12" s="510">
        <f t="shared" si="9"/>
        <v>6</v>
      </c>
      <c r="AS12" s="681"/>
      <c r="AT12" s="182">
        <v>16</v>
      </c>
      <c r="AU12" s="182">
        <v>1366.0465116279067</v>
      </c>
      <c r="AV12" s="182">
        <v>85.377906976744171</v>
      </c>
      <c r="AW12" s="510">
        <f t="shared" si="10"/>
        <v>6</v>
      </c>
      <c r="AX12" s="681"/>
      <c r="AZ12" s="362" t="e">
        <f>RANK(AX12, $K$7:AX$36)</f>
        <v>#VALUE!</v>
      </c>
      <c r="BB12" s="359" t="e">
        <f t="shared" si="0"/>
        <v>#N/A</v>
      </c>
    </row>
    <row r="13" spans="1:54" ht="14.25">
      <c r="A13" s="81"/>
      <c r="B13" s="667"/>
      <c r="C13" s="510">
        <v>7</v>
      </c>
      <c r="D13" s="227" t="s">
        <v>345</v>
      </c>
      <c r="E13" s="182">
        <v>14</v>
      </c>
      <c r="F13" s="569">
        <v>1440</v>
      </c>
      <c r="G13" s="570">
        <v>102.9</v>
      </c>
      <c r="H13" s="709"/>
      <c r="I13" s="547">
        <f t="shared" si="1"/>
        <v>15.571428571428571</v>
      </c>
      <c r="J13" s="547">
        <f t="shared" si="2"/>
        <v>1204.6465111243408</v>
      </c>
      <c r="K13" s="200">
        <f t="shared" si="3"/>
        <v>77.56791277169792</v>
      </c>
      <c r="L13" s="641"/>
      <c r="M13" s="517">
        <f>RANK(K13, K$7:$K$36)</f>
        <v>12</v>
      </c>
      <c r="N13" s="659"/>
      <c r="O13" s="659"/>
      <c r="P13" s="182">
        <v>15</v>
      </c>
      <c r="Q13" s="182">
        <v>1146.2068965517219</v>
      </c>
      <c r="R13" s="182">
        <v>76.413793103448128</v>
      </c>
      <c r="S13" s="510">
        <f t="shared" si="4"/>
        <v>17</v>
      </c>
      <c r="T13" s="681"/>
      <c r="U13" s="182">
        <v>15</v>
      </c>
      <c r="V13" s="182">
        <v>1154.9999999999975</v>
      </c>
      <c r="W13" s="182">
        <v>76.999999999999829</v>
      </c>
      <c r="X13" s="510">
        <f t="shared" si="5"/>
        <v>15</v>
      </c>
      <c r="Y13" s="681"/>
      <c r="Z13" s="182">
        <v>15</v>
      </c>
      <c r="AA13" s="182">
        <v>1135.3846153846125</v>
      </c>
      <c r="AB13" s="182">
        <v>75.692307692307494</v>
      </c>
      <c r="AC13" s="510">
        <f t="shared" si="6"/>
        <v>17</v>
      </c>
      <c r="AD13" s="681"/>
      <c r="AE13" s="182">
        <v>15</v>
      </c>
      <c r="AF13" s="182">
        <v>1137.8571428571404</v>
      </c>
      <c r="AG13" s="182">
        <v>75.857142857142691</v>
      </c>
      <c r="AH13" s="510">
        <f t="shared" si="7"/>
        <v>14</v>
      </c>
      <c r="AI13" s="681"/>
      <c r="AJ13" s="182">
        <v>15</v>
      </c>
      <c r="AK13" s="182">
        <v>1133.0769230769201</v>
      </c>
      <c r="AL13" s="182">
        <v>75.538461538461348</v>
      </c>
      <c r="AM13" s="510">
        <f t="shared" si="8"/>
        <v>17</v>
      </c>
      <c r="AN13" s="681"/>
      <c r="AO13" s="182">
        <v>19</v>
      </c>
      <c r="AP13" s="182">
        <v>1367.4999999999959</v>
      </c>
      <c r="AQ13" s="182">
        <v>71.973684210526102</v>
      </c>
      <c r="AR13" s="510">
        <f t="shared" si="9"/>
        <v>18</v>
      </c>
      <c r="AS13" s="681"/>
      <c r="AT13" s="182">
        <v>15</v>
      </c>
      <c r="AU13" s="182">
        <v>1357.4999999999957</v>
      </c>
      <c r="AV13" s="182">
        <v>90.499999999999716</v>
      </c>
      <c r="AW13" s="510">
        <f t="shared" si="10"/>
        <v>3</v>
      </c>
      <c r="AX13" s="681"/>
      <c r="AZ13" s="362" t="e">
        <f>RANK(AX13, $K$7:AX$36)</f>
        <v>#VALUE!</v>
      </c>
      <c r="BB13" s="359" t="e">
        <f t="shared" si="0"/>
        <v>#N/A</v>
      </c>
    </row>
    <row r="14" spans="1:54" ht="14.25">
      <c r="A14" s="81"/>
      <c r="B14" s="667"/>
      <c r="C14" s="510">
        <v>8</v>
      </c>
      <c r="D14" s="227" t="s">
        <v>952</v>
      </c>
      <c r="E14" s="182">
        <v>16</v>
      </c>
      <c r="F14" s="569">
        <v>1440</v>
      </c>
      <c r="G14" s="570">
        <v>90</v>
      </c>
      <c r="H14" s="709"/>
      <c r="I14" s="547">
        <f t="shared" si="1"/>
        <v>16</v>
      </c>
      <c r="J14" s="547">
        <f t="shared" si="2"/>
        <v>1323.3033992398555</v>
      </c>
      <c r="K14" s="200">
        <f t="shared" si="3"/>
        <v>82.706462452490968</v>
      </c>
      <c r="L14" s="641"/>
      <c r="M14" s="517">
        <f>RANK(K14, K$7:$K$36)</f>
        <v>9</v>
      </c>
      <c r="N14" s="659"/>
      <c r="O14" s="659"/>
      <c r="P14" s="182">
        <v>16</v>
      </c>
      <c r="Q14" s="182">
        <v>1308.2926829268288</v>
      </c>
      <c r="R14" s="182">
        <v>81.768292682926798</v>
      </c>
      <c r="S14" s="510">
        <f t="shared" si="4"/>
        <v>9</v>
      </c>
      <c r="T14" s="681"/>
      <c r="U14" s="182">
        <v>16</v>
      </c>
      <c r="V14" s="182">
        <v>1316.9230769230762</v>
      </c>
      <c r="W14" s="182">
        <v>82.307692307692264</v>
      </c>
      <c r="X14" s="510">
        <f t="shared" si="5"/>
        <v>9</v>
      </c>
      <c r="Y14" s="681"/>
      <c r="Z14" s="182">
        <v>16</v>
      </c>
      <c r="AA14" s="182">
        <v>1321.8181818181802</v>
      </c>
      <c r="AB14" s="182">
        <v>82.61363636363626</v>
      </c>
      <c r="AC14" s="510">
        <f t="shared" si="6"/>
        <v>8</v>
      </c>
      <c r="AD14" s="681"/>
      <c r="AE14" s="182">
        <v>16</v>
      </c>
      <c r="AF14" s="182">
        <v>1341.0810810810799</v>
      </c>
      <c r="AG14" s="182">
        <v>83.817567567567494</v>
      </c>
      <c r="AH14" s="510">
        <f t="shared" si="7"/>
        <v>8</v>
      </c>
      <c r="AI14" s="681"/>
      <c r="AJ14" s="182">
        <v>16</v>
      </c>
      <c r="AK14" s="182">
        <v>1336.6666666666656</v>
      </c>
      <c r="AL14" s="182">
        <v>83.5416666666666</v>
      </c>
      <c r="AM14" s="510">
        <f t="shared" si="8"/>
        <v>9</v>
      </c>
      <c r="AN14" s="681"/>
      <c r="AO14" s="182">
        <v>16</v>
      </c>
      <c r="AP14" s="182">
        <v>1321.4999999999995</v>
      </c>
      <c r="AQ14" s="182">
        <v>82.593749999999972</v>
      </c>
      <c r="AR14" s="510">
        <f t="shared" si="9"/>
        <v>9</v>
      </c>
      <c r="AS14" s="681"/>
      <c r="AT14" s="182">
        <v>16</v>
      </c>
      <c r="AU14" s="182">
        <v>1316.842105263157</v>
      </c>
      <c r="AV14" s="182">
        <v>82.302631578947313</v>
      </c>
      <c r="AW14" s="510">
        <f t="shared" si="10"/>
        <v>11</v>
      </c>
      <c r="AX14" s="681"/>
      <c r="AZ14" s="362" t="e">
        <f>RANK(AX14, $K$7:AX$36)</f>
        <v>#VALUE!</v>
      </c>
      <c r="BB14" s="359" t="e">
        <f t="shared" si="0"/>
        <v>#N/A</v>
      </c>
    </row>
    <row r="15" spans="1:54" ht="14.25">
      <c r="A15" s="81"/>
      <c r="B15" s="667"/>
      <c r="C15" s="510">
        <v>9</v>
      </c>
      <c r="D15" s="227" t="s">
        <v>953</v>
      </c>
      <c r="E15" s="182">
        <v>16</v>
      </c>
      <c r="F15" s="569">
        <v>1440</v>
      </c>
      <c r="G15" s="570">
        <v>90</v>
      </c>
      <c r="H15" s="709"/>
      <c r="I15" s="547">
        <f t="shared" si="1"/>
        <v>17</v>
      </c>
      <c r="J15" s="547">
        <f t="shared" si="2"/>
        <v>1193.0316790209483</v>
      </c>
      <c r="K15" s="200">
        <f t="shared" si="3"/>
        <v>70.178334060055789</v>
      </c>
      <c r="L15" s="641"/>
      <c r="M15" s="517">
        <f>RANK(K15, K$7:$K$36)</f>
        <v>23</v>
      </c>
      <c r="N15" s="659"/>
      <c r="O15" s="659"/>
      <c r="P15" s="182">
        <v>17</v>
      </c>
      <c r="Q15" s="182">
        <v>1189.2000000000005</v>
      </c>
      <c r="R15" s="182">
        <v>69.952941176470617</v>
      </c>
      <c r="S15" s="510">
        <f t="shared" si="4"/>
        <v>23</v>
      </c>
      <c r="T15" s="681"/>
      <c r="U15" s="182">
        <v>17</v>
      </c>
      <c r="V15" s="182">
        <v>1192.3404255319151</v>
      </c>
      <c r="W15" s="182">
        <v>70.137672090112659</v>
      </c>
      <c r="X15" s="510">
        <f t="shared" si="5"/>
        <v>22</v>
      </c>
      <c r="Y15" s="681"/>
      <c r="Z15" s="182">
        <v>17</v>
      </c>
      <c r="AA15" s="182">
        <v>1183.3333333333323</v>
      </c>
      <c r="AB15" s="182">
        <v>69.607843137254847</v>
      </c>
      <c r="AC15" s="510">
        <f t="shared" si="6"/>
        <v>23</v>
      </c>
      <c r="AD15" s="681"/>
      <c r="AE15" s="182">
        <v>17</v>
      </c>
      <c r="AF15" s="182">
        <v>1208.9999999999995</v>
      </c>
      <c r="AG15" s="182">
        <v>71.117647058823508</v>
      </c>
      <c r="AH15" s="510">
        <f t="shared" si="7"/>
        <v>20</v>
      </c>
      <c r="AI15" s="681"/>
      <c r="AJ15" s="182">
        <v>17</v>
      </c>
      <c r="AK15" s="182">
        <v>1187.7272727272727</v>
      </c>
      <c r="AL15" s="182">
        <v>69.866310160427815</v>
      </c>
      <c r="AM15" s="510">
        <f t="shared" si="8"/>
        <v>22</v>
      </c>
      <c r="AN15" s="681"/>
      <c r="AO15" s="182">
        <v>17</v>
      </c>
      <c r="AP15" s="182">
        <v>1197.4468085106384</v>
      </c>
      <c r="AQ15" s="182">
        <v>70.438047559449316</v>
      </c>
      <c r="AR15" s="510">
        <f t="shared" si="9"/>
        <v>19</v>
      </c>
      <c r="AS15" s="681"/>
      <c r="AT15" s="182">
        <v>17</v>
      </c>
      <c r="AU15" s="182">
        <v>1192.1739130434783</v>
      </c>
      <c r="AV15" s="182">
        <v>70.127877237851663</v>
      </c>
      <c r="AW15" s="510">
        <f t="shared" si="10"/>
        <v>21</v>
      </c>
      <c r="AX15" s="681"/>
      <c r="AZ15" s="362" t="e">
        <f>RANK(AX15, $K$7:AX$36)</f>
        <v>#VALUE!</v>
      </c>
      <c r="BB15" s="359" t="e">
        <f t="shared" si="0"/>
        <v>#N/A</v>
      </c>
    </row>
    <row r="16" spans="1:54" ht="14.25">
      <c r="A16" s="81"/>
      <c r="B16" s="667"/>
      <c r="C16" s="510">
        <v>10</v>
      </c>
      <c r="D16" s="227" t="s">
        <v>954</v>
      </c>
      <c r="E16" s="182">
        <v>18</v>
      </c>
      <c r="F16" s="569">
        <v>1636</v>
      </c>
      <c r="G16" s="570">
        <v>90.9</v>
      </c>
      <c r="H16" s="709"/>
      <c r="I16" s="547">
        <f t="shared" si="1"/>
        <v>18</v>
      </c>
      <c r="J16" s="547">
        <f t="shared" si="2"/>
        <v>1514.6433962862543</v>
      </c>
      <c r="K16" s="200">
        <f t="shared" si="3"/>
        <v>84.146855349236333</v>
      </c>
      <c r="L16" s="641"/>
      <c r="M16" s="517">
        <f>RANK(K16, K$7:$K$36)</f>
        <v>7</v>
      </c>
      <c r="N16" s="659"/>
      <c r="O16" s="659"/>
      <c r="P16" s="182">
        <v>18</v>
      </c>
      <c r="Q16" s="182">
        <v>1505.357142857144</v>
      </c>
      <c r="R16" s="182">
        <v>83.630952380952451</v>
      </c>
      <c r="S16" s="510">
        <f t="shared" si="4"/>
        <v>8</v>
      </c>
      <c r="T16" s="681"/>
      <c r="U16" s="182">
        <v>18</v>
      </c>
      <c r="V16" s="182">
        <v>1505.5555555555563</v>
      </c>
      <c r="W16" s="182">
        <v>83.641975308642017</v>
      </c>
      <c r="X16" s="510">
        <f t="shared" si="5"/>
        <v>8</v>
      </c>
      <c r="Y16" s="681"/>
      <c r="Z16" s="182">
        <v>18</v>
      </c>
      <c r="AA16" s="182">
        <v>1521.3333333333333</v>
      </c>
      <c r="AB16" s="182">
        <v>84.518518518518519</v>
      </c>
      <c r="AC16" s="510">
        <f t="shared" si="6"/>
        <v>7</v>
      </c>
      <c r="AD16" s="681"/>
      <c r="AE16" s="182">
        <v>18</v>
      </c>
      <c r="AF16" s="182">
        <v>1528</v>
      </c>
      <c r="AG16" s="182">
        <v>84.888888888888886</v>
      </c>
      <c r="AH16" s="510">
        <f t="shared" si="7"/>
        <v>7</v>
      </c>
      <c r="AI16" s="681"/>
      <c r="AJ16" s="182">
        <v>18</v>
      </c>
      <c r="AK16" s="182">
        <v>1516.1538461538471</v>
      </c>
      <c r="AL16" s="182">
        <v>84.230769230769283</v>
      </c>
      <c r="AM16" s="510">
        <f t="shared" si="8"/>
        <v>8</v>
      </c>
      <c r="AN16" s="681"/>
      <c r="AO16" s="182">
        <v>18</v>
      </c>
      <c r="AP16" s="182">
        <v>1504.2857142857154</v>
      </c>
      <c r="AQ16" s="182">
        <v>83.571428571428626</v>
      </c>
      <c r="AR16" s="510">
        <f t="shared" si="9"/>
        <v>8</v>
      </c>
      <c r="AS16" s="681"/>
      <c r="AT16" s="182">
        <v>18</v>
      </c>
      <c r="AU16" s="182">
        <v>1521.8181818181829</v>
      </c>
      <c r="AV16" s="182">
        <v>84.545454545454604</v>
      </c>
      <c r="AW16" s="510">
        <f t="shared" si="10"/>
        <v>8</v>
      </c>
      <c r="AX16" s="681"/>
      <c r="AZ16" s="362" t="e">
        <f>RANK(AX16, $K$7:AX$36)</f>
        <v>#VALUE!</v>
      </c>
      <c r="BB16" s="359" t="e">
        <f t="shared" si="0"/>
        <v>#N/A</v>
      </c>
    </row>
    <row r="17" spans="2:54">
      <c r="B17" s="667"/>
      <c r="C17" s="510">
        <v>11</v>
      </c>
      <c r="D17" s="227" t="s">
        <v>955</v>
      </c>
      <c r="E17" s="182">
        <v>18</v>
      </c>
      <c r="F17" s="569">
        <v>1636</v>
      </c>
      <c r="G17" s="570">
        <v>90.9</v>
      </c>
      <c r="H17" s="709"/>
      <c r="I17" s="547">
        <f t="shared" si="1"/>
        <v>18</v>
      </c>
      <c r="J17" s="547">
        <f t="shared" si="2"/>
        <v>1508.6187736580728</v>
      </c>
      <c r="K17" s="200">
        <f t="shared" si="3"/>
        <v>83.812154092115165</v>
      </c>
      <c r="L17" s="641"/>
      <c r="M17" s="517">
        <f>RANK(K17, K$7:$K$36)</f>
        <v>8</v>
      </c>
      <c r="N17" s="659"/>
      <c r="O17" s="659"/>
      <c r="P17" s="182">
        <v>18</v>
      </c>
      <c r="Q17" s="182">
        <v>1515.348837209302</v>
      </c>
      <c r="R17" s="182">
        <v>84.186046511627893</v>
      </c>
      <c r="S17" s="510">
        <f t="shared" si="4"/>
        <v>7</v>
      </c>
      <c r="T17" s="681"/>
      <c r="U17" s="182">
        <v>18</v>
      </c>
      <c r="V17" s="182">
        <v>1529.2682926829261</v>
      </c>
      <c r="W17" s="182">
        <v>84.959349593495901</v>
      </c>
      <c r="X17" s="510">
        <f t="shared" si="5"/>
        <v>7</v>
      </c>
      <c r="Y17" s="681"/>
      <c r="Z17" s="182">
        <v>18</v>
      </c>
      <c r="AA17" s="182">
        <v>1481.1428571428557</v>
      </c>
      <c r="AB17" s="182">
        <v>82.285714285714207</v>
      </c>
      <c r="AC17" s="510">
        <f t="shared" si="6"/>
        <v>9</v>
      </c>
      <c r="AD17" s="681"/>
      <c r="AE17" s="182">
        <v>18</v>
      </c>
      <c r="AF17" s="182">
        <v>1494.9999999999989</v>
      </c>
      <c r="AG17" s="182">
        <v>83.055555555555486</v>
      </c>
      <c r="AH17" s="510">
        <f t="shared" si="7"/>
        <v>9</v>
      </c>
      <c r="AI17" s="681"/>
      <c r="AJ17" s="182">
        <v>18</v>
      </c>
      <c r="AK17" s="182">
        <v>1520.9999999999995</v>
      </c>
      <c r="AL17" s="182">
        <v>84.499999999999972</v>
      </c>
      <c r="AM17" s="510">
        <f t="shared" si="8"/>
        <v>7</v>
      </c>
      <c r="AN17" s="681"/>
      <c r="AO17" s="182">
        <v>18</v>
      </c>
      <c r="AP17" s="182">
        <v>1508.5714285714282</v>
      </c>
      <c r="AQ17" s="182">
        <v>83.809523809523796</v>
      </c>
      <c r="AR17" s="510">
        <f t="shared" si="9"/>
        <v>7</v>
      </c>
      <c r="AS17" s="681"/>
      <c r="AT17" s="182">
        <v>18</v>
      </c>
      <c r="AU17" s="182">
        <v>1509.9999999999995</v>
      </c>
      <c r="AV17" s="182">
        <v>83.888888888888857</v>
      </c>
      <c r="AW17" s="510">
        <f t="shared" si="10"/>
        <v>9</v>
      </c>
      <c r="AX17" s="681"/>
      <c r="AZ17" s="362" t="e">
        <f>RANK(AX17, $K$7:AX$36)</f>
        <v>#VALUE!</v>
      </c>
      <c r="BB17" s="359" t="e">
        <f t="shared" si="0"/>
        <v>#N/A</v>
      </c>
    </row>
    <row r="18" spans="2:54">
      <c r="B18" s="667"/>
      <c r="C18" s="510">
        <v>12</v>
      </c>
      <c r="D18" s="227" t="s">
        <v>355</v>
      </c>
      <c r="E18" s="182">
        <v>17</v>
      </c>
      <c r="F18" s="569">
        <v>1500</v>
      </c>
      <c r="G18" s="570">
        <v>88.2</v>
      </c>
      <c r="H18" s="709"/>
      <c r="I18" s="547">
        <f t="shared" si="1"/>
        <v>17</v>
      </c>
      <c r="J18" s="547">
        <f t="shared" si="2"/>
        <v>1381.3708572282412</v>
      </c>
      <c r="K18" s="200">
        <f t="shared" si="3"/>
        <v>81.257109248720099</v>
      </c>
      <c r="L18" s="641"/>
      <c r="M18" s="517">
        <f>RANK(K18, K$7:$K$36)</f>
        <v>10</v>
      </c>
      <c r="N18" s="659"/>
      <c r="O18" s="659"/>
      <c r="P18" s="182">
        <v>17</v>
      </c>
      <c r="Q18" s="182">
        <v>1386.1538461538455</v>
      </c>
      <c r="R18" s="182">
        <v>81.538461538461505</v>
      </c>
      <c r="S18" s="510">
        <f t="shared" si="4"/>
        <v>10</v>
      </c>
      <c r="T18" s="681"/>
      <c r="U18" s="182">
        <v>17</v>
      </c>
      <c r="V18" s="182">
        <v>1378.3783783783772</v>
      </c>
      <c r="W18" s="182">
        <v>81.08108108108101</v>
      </c>
      <c r="X18" s="510">
        <f t="shared" si="5"/>
        <v>10</v>
      </c>
      <c r="Y18" s="681"/>
      <c r="Z18" s="182">
        <v>17</v>
      </c>
      <c r="AA18" s="182">
        <v>1362.580645161288</v>
      </c>
      <c r="AB18" s="182">
        <v>80.151802656546351</v>
      </c>
      <c r="AC18" s="510">
        <f t="shared" si="6"/>
        <v>10</v>
      </c>
      <c r="AD18" s="681"/>
      <c r="AE18" s="182">
        <v>17</v>
      </c>
      <c r="AF18" s="182">
        <v>1383.3333333333321</v>
      </c>
      <c r="AG18" s="182">
        <v>81.372549019607774</v>
      </c>
      <c r="AH18" s="510">
        <f t="shared" si="7"/>
        <v>10</v>
      </c>
      <c r="AI18" s="681"/>
      <c r="AJ18" s="182">
        <v>17</v>
      </c>
      <c r="AK18" s="182">
        <v>1379.9999999999989</v>
      </c>
      <c r="AL18" s="182">
        <v>81.176470588235233</v>
      </c>
      <c r="AM18" s="510">
        <f t="shared" si="8"/>
        <v>10</v>
      </c>
      <c r="AN18" s="681"/>
      <c r="AO18" s="182">
        <v>17</v>
      </c>
      <c r="AP18" s="182">
        <v>1372.3076923076915</v>
      </c>
      <c r="AQ18" s="182">
        <v>80.723981900452443</v>
      </c>
      <c r="AR18" s="510">
        <f t="shared" si="9"/>
        <v>10</v>
      </c>
      <c r="AS18" s="681"/>
      <c r="AT18" s="182">
        <v>17</v>
      </c>
      <c r="AU18" s="182">
        <v>1406.8421052631568</v>
      </c>
      <c r="AV18" s="182">
        <v>82.755417956656288</v>
      </c>
      <c r="AW18" s="510">
        <f t="shared" si="10"/>
        <v>10</v>
      </c>
      <c r="AX18" s="681"/>
      <c r="AZ18" s="362" t="e">
        <f>RANK(AX18, $K$7:AX$36)</f>
        <v>#VALUE!</v>
      </c>
      <c r="BB18" s="359" t="e">
        <f t="shared" si="0"/>
        <v>#N/A</v>
      </c>
    </row>
    <row r="19" spans="2:54">
      <c r="B19" s="667"/>
      <c r="C19" s="510">
        <v>13</v>
      </c>
      <c r="D19" s="227" t="s">
        <v>786</v>
      </c>
      <c r="E19" s="182">
        <v>20</v>
      </c>
      <c r="F19" s="569">
        <v>1440</v>
      </c>
      <c r="G19" s="570">
        <v>72</v>
      </c>
      <c r="H19" s="709"/>
      <c r="I19" s="547">
        <f t="shared" si="1"/>
        <v>20</v>
      </c>
      <c r="J19" s="547">
        <f t="shared" si="2"/>
        <v>1332.3704572556003</v>
      </c>
      <c r="K19" s="200">
        <f t="shared" si="3"/>
        <v>66.618522862780011</v>
      </c>
      <c r="L19" s="641"/>
      <c r="M19" s="517">
        <f>RANK(K19, K$7:$K$36)</f>
        <v>25</v>
      </c>
      <c r="N19" s="659"/>
      <c r="O19" s="659"/>
      <c r="P19" s="182">
        <v>20</v>
      </c>
      <c r="Q19" s="182">
        <v>1344.799999999999</v>
      </c>
      <c r="R19" s="182">
        <v>67.239999999999952</v>
      </c>
      <c r="S19" s="510">
        <f t="shared" si="4"/>
        <v>25</v>
      </c>
      <c r="T19" s="681"/>
      <c r="U19" s="182">
        <v>20</v>
      </c>
      <c r="V19" s="182">
        <v>1317.3529411764689</v>
      </c>
      <c r="W19" s="182">
        <v>65.867647058823451</v>
      </c>
      <c r="X19" s="510">
        <f t="shared" si="5"/>
        <v>26</v>
      </c>
      <c r="Y19" s="681"/>
      <c r="Z19" s="182">
        <v>20</v>
      </c>
      <c r="AA19" s="182">
        <v>1324.6875000000016</v>
      </c>
      <c r="AB19" s="182">
        <v>66.234375000000085</v>
      </c>
      <c r="AC19" s="510">
        <f t="shared" si="6"/>
        <v>25</v>
      </c>
      <c r="AD19" s="681"/>
      <c r="AE19" s="182">
        <v>20</v>
      </c>
      <c r="AF19" s="182">
        <v>1335.2238805970132</v>
      </c>
      <c r="AG19" s="182">
        <v>66.761194029850657</v>
      </c>
      <c r="AH19" s="510">
        <f t="shared" si="7"/>
        <v>24</v>
      </c>
      <c r="AI19" s="681"/>
      <c r="AJ19" s="182">
        <v>20</v>
      </c>
      <c r="AK19" s="182">
        <v>1334.8051948051939</v>
      </c>
      <c r="AL19" s="182">
        <v>66.740259740259688</v>
      </c>
      <c r="AM19" s="510">
        <f t="shared" si="8"/>
        <v>24</v>
      </c>
      <c r="AN19" s="681"/>
      <c r="AO19" s="182">
        <v>20</v>
      </c>
      <c r="AP19" s="182">
        <v>1325.2499999999995</v>
      </c>
      <c r="AQ19" s="182">
        <v>66.262499999999974</v>
      </c>
      <c r="AR19" s="510">
        <f t="shared" si="9"/>
        <v>24</v>
      </c>
      <c r="AS19" s="681"/>
      <c r="AT19" s="182">
        <v>20</v>
      </c>
      <c r="AU19" s="182">
        <v>1344.4736842105253</v>
      </c>
      <c r="AV19" s="182">
        <v>67.223684210526272</v>
      </c>
      <c r="AW19" s="510">
        <f t="shared" si="10"/>
        <v>24</v>
      </c>
      <c r="AX19" s="681"/>
      <c r="AZ19" s="362" t="e">
        <f>RANK(AX19, $K$7:AX$36)</f>
        <v>#VALUE!</v>
      </c>
      <c r="BB19" s="359" t="e">
        <f t="shared" si="0"/>
        <v>#N/A</v>
      </c>
    </row>
    <row r="20" spans="2:54">
      <c r="B20" s="667"/>
      <c r="C20" s="510">
        <v>14</v>
      </c>
      <c r="D20" s="227" t="s">
        <v>371</v>
      </c>
      <c r="E20" s="182">
        <v>14</v>
      </c>
      <c r="F20" s="569">
        <v>1440</v>
      </c>
      <c r="G20" s="570">
        <v>102.9</v>
      </c>
      <c r="H20" s="709"/>
      <c r="I20" s="547">
        <f t="shared" si="1"/>
        <v>15</v>
      </c>
      <c r="J20" s="547">
        <f t="shared" si="2"/>
        <v>1318.5709757191637</v>
      </c>
      <c r="K20" s="200">
        <f t="shared" si="3"/>
        <v>87.904731714610918</v>
      </c>
      <c r="L20" s="641"/>
      <c r="M20" s="517">
        <f>RANK(K20, K$7:$K$36)</f>
        <v>4</v>
      </c>
      <c r="N20" s="659"/>
      <c r="O20" s="659"/>
      <c r="P20" s="182">
        <v>15</v>
      </c>
      <c r="Q20" s="182">
        <v>1309.5238095238108</v>
      </c>
      <c r="R20" s="182">
        <v>87.301587301587389</v>
      </c>
      <c r="S20" s="510">
        <f t="shared" si="4"/>
        <v>4</v>
      </c>
      <c r="T20" s="681"/>
      <c r="U20" s="182">
        <v>15</v>
      </c>
      <c r="V20" s="182">
        <v>1328.1355932203401</v>
      </c>
      <c r="W20" s="182">
        <v>88.542372881356002</v>
      </c>
      <c r="X20" s="510">
        <f t="shared" si="5"/>
        <v>4</v>
      </c>
      <c r="Y20" s="681"/>
      <c r="Z20" s="182">
        <v>15</v>
      </c>
      <c r="AA20" s="182">
        <v>1322.5531914893618</v>
      </c>
      <c r="AB20" s="182">
        <v>88.170212765957459</v>
      </c>
      <c r="AC20" s="510">
        <f t="shared" si="6"/>
        <v>4</v>
      </c>
      <c r="AD20" s="681"/>
      <c r="AE20" s="182">
        <v>15</v>
      </c>
      <c r="AF20" s="182">
        <v>1313.4545454545464</v>
      </c>
      <c r="AG20" s="182">
        <v>87.563636363636434</v>
      </c>
      <c r="AH20" s="510">
        <f t="shared" si="7"/>
        <v>4</v>
      </c>
      <c r="AI20" s="681"/>
      <c r="AJ20" s="182">
        <v>15</v>
      </c>
      <c r="AK20" s="182">
        <v>1304.444444444445</v>
      </c>
      <c r="AL20" s="182">
        <v>86.962962962963005</v>
      </c>
      <c r="AM20" s="510">
        <f t="shared" si="8"/>
        <v>4</v>
      </c>
      <c r="AN20" s="681"/>
      <c r="AO20" s="182">
        <v>15</v>
      </c>
      <c r="AP20" s="182">
        <v>1325.0000000000011</v>
      </c>
      <c r="AQ20" s="182">
        <v>88.333333333333414</v>
      </c>
      <c r="AR20" s="510">
        <f t="shared" si="9"/>
        <v>4</v>
      </c>
      <c r="AS20" s="681"/>
      <c r="AT20" s="182">
        <v>15</v>
      </c>
      <c r="AU20" s="182">
        <v>1326.8852459016407</v>
      </c>
      <c r="AV20" s="182">
        <v>88.45901639344271</v>
      </c>
      <c r="AW20" s="510">
        <f t="shared" si="10"/>
        <v>5</v>
      </c>
      <c r="AX20" s="681"/>
      <c r="AZ20" s="362" t="e">
        <f>RANK(AX20, $K$7:AX$36)</f>
        <v>#VALUE!</v>
      </c>
      <c r="BB20" s="359" t="e">
        <f t="shared" si="0"/>
        <v>#N/A</v>
      </c>
    </row>
    <row r="21" spans="2:54">
      <c r="B21" s="667"/>
      <c r="C21" s="510">
        <v>15</v>
      </c>
      <c r="D21" s="227" t="s">
        <v>347</v>
      </c>
      <c r="E21" s="182">
        <v>19</v>
      </c>
      <c r="F21" s="569">
        <v>1440</v>
      </c>
      <c r="G21" s="570">
        <v>75.8</v>
      </c>
      <c r="H21" s="709"/>
      <c r="I21" s="547">
        <f t="shared" si="1"/>
        <v>19</v>
      </c>
      <c r="J21" s="547">
        <f t="shared" si="2"/>
        <v>1335.1337657342178</v>
      </c>
      <c r="K21" s="200">
        <f t="shared" si="3"/>
        <v>70.270198196537777</v>
      </c>
      <c r="L21" s="641"/>
      <c r="M21" s="517">
        <f>RANK(K21, K$7:$K$36)</f>
        <v>22</v>
      </c>
      <c r="N21" s="659"/>
      <c r="O21" s="659"/>
      <c r="P21" s="182">
        <v>19</v>
      </c>
      <c r="Q21" s="182">
        <v>1330.4651162790694</v>
      </c>
      <c r="R21" s="182">
        <v>70.024479804161544</v>
      </c>
      <c r="S21" s="510">
        <f t="shared" si="4"/>
        <v>22</v>
      </c>
      <c r="T21" s="681"/>
      <c r="U21" s="182">
        <v>19</v>
      </c>
      <c r="V21" s="182">
        <v>1337.1428571428564</v>
      </c>
      <c r="W21" s="182">
        <v>70.375939849624018</v>
      </c>
      <c r="X21" s="510">
        <f t="shared" si="5"/>
        <v>21</v>
      </c>
      <c r="Y21" s="681"/>
      <c r="Z21" s="182">
        <v>19</v>
      </c>
      <c r="AA21" s="182">
        <v>1325.1428571428557</v>
      </c>
      <c r="AB21" s="182">
        <v>69.744360902255565</v>
      </c>
      <c r="AC21" s="510">
        <f t="shared" si="6"/>
        <v>22</v>
      </c>
      <c r="AD21" s="681"/>
      <c r="AE21" s="182">
        <v>19</v>
      </c>
      <c r="AF21" s="182">
        <v>1341.0389610389602</v>
      </c>
      <c r="AG21" s="182">
        <v>70.580997949418958</v>
      </c>
      <c r="AH21" s="510">
        <f t="shared" si="7"/>
        <v>21</v>
      </c>
      <c r="AI21" s="681"/>
      <c r="AJ21" s="182">
        <v>19</v>
      </c>
      <c r="AK21" s="182">
        <v>1339.7560975609751</v>
      </c>
      <c r="AL21" s="182">
        <v>70.513478818998692</v>
      </c>
      <c r="AM21" s="510">
        <f t="shared" si="8"/>
        <v>21</v>
      </c>
      <c r="AN21" s="681"/>
      <c r="AO21" s="182">
        <v>19</v>
      </c>
      <c r="AP21" s="182">
        <v>1338.0722891566261</v>
      </c>
      <c r="AQ21" s="182">
        <v>70.424857324032956</v>
      </c>
      <c r="AR21" s="510">
        <f t="shared" si="9"/>
        <v>20</v>
      </c>
      <c r="AS21" s="681"/>
      <c r="AT21" s="182">
        <v>19</v>
      </c>
      <c r="AU21" s="182">
        <v>1334.3181818181818</v>
      </c>
      <c r="AV21" s="182">
        <v>70.22727272727272</v>
      </c>
      <c r="AW21" s="510">
        <f t="shared" si="10"/>
        <v>20</v>
      </c>
      <c r="AX21" s="681"/>
      <c r="AZ21" s="361" t="e">
        <f>RANK(AX21, $K$7:AX$36)</f>
        <v>#VALUE!</v>
      </c>
      <c r="BB21" s="359" t="e">
        <f t="shared" si="0"/>
        <v>#N/A</v>
      </c>
    </row>
    <row r="22" spans="2:54">
      <c r="B22" s="667"/>
      <c r="C22" s="510">
        <v>16</v>
      </c>
      <c r="D22" s="227" t="s">
        <v>369</v>
      </c>
      <c r="E22" s="182">
        <v>19</v>
      </c>
      <c r="F22" s="569">
        <v>1440</v>
      </c>
      <c r="G22" s="570">
        <v>75.8</v>
      </c>
      <c r="H22" s="709"/>
      <c r="I22" s="547">
        <f t="shared" si="1"/>
        <v>19</v>
      </c>
      <c r="J22" s="547">
        <f t="shared" si="2"/>
        <v>1329.7479451328857</v>
      </c>
      <c r="K22" s="200">
        <f t="shared" si="3"/>
        <v>69.986733954362407</v>
      </c>
      <c r="L22" s="641"/>
      <c r="M22" s="517">
        <f>RANK(K22, K$7:$K$36)</f>
        <v>24</v>
      </c>
      <c r="N22" s="659"/>
      <c r="O22" s="659"/>
      <c r="P22" s="182">
        <v>19</v>
      </c>
      <c r="Q22" s="182">
        <v>1352.7272727272741</v>
      </c>
      <c r="R22" s="182">
        <v>71.196172248803904</v>
      </c>
      <c r="S22" s="510">
        <f t="shared" si="4"/>
        <v>21</v>
      </c>
      <c r="T22" s="681"/>
      <c r="U22" s="182">
        <v>19</v>
      </c>
      <c r="V22" s="182">
        <v>1331.4285714285729</v>
      </c>
      <c r="W22" s="182">
        <v>70.075187969924897</v>
      </c>
      <c r="X22" s="510">
        <f t="shared" si="5"/>
        <v>23</v>
      </c>
      <c r="Y22" s="681"/>
      <c r="Z22" s="182">
        <v>19</v>
      </c>
      <c r="AA22" s="182">
        <v>1343.773584905661</v>
      </c>
      <c r="AB22" s="182">
        <v>70.724925521350585</v>
      </c>
      <c r="AC22" s="510">
        <f t="shared" si="6"/>
        <v>21</v>
      </c>
      <c r="AD22" s="681"/>
      <c r="AE22" s="182">
        <v>19</v>
      </c>
      <c r="AF22" s="182">
        <v>1327.7777777777785</v>
      </c>
      <c r="AG22" s="182">
        <v>69.883040935672554</v>
      </c>
      <c r="AH22" s="510">
        <f t="shared" si="7"/>
        <v>22</v>
      </c>
      <c r="AI22" s="681"/>
      <c r="AJ22" s="182">
        <v>19</v>
      </c>
      <c r="AK22" s="182">
        <v>1320.0000000000011</v>
      </c>
      <c r="AL22" s="182">
        <v>69.473684210526372</v>
      </c>
      <c r="AM22" s="510">
        <f t="shared" si="8"/>
        <v>23</v>
      </c>
      <c r="AN22" s="681"/>
      <c r="AO22" s="182">
        <v>19</v>
      </c>
      <c r="AP22" s="182">
        <v>1319.0909090909106</v>
      </c>
      <c r="AQ22" s="182">
        <v>69.425837320574246</v>
      </c>
      <c r="AR22" s="510">
        <f t="shared" si="9"/>
        <v>22</v>
      </c>
      <c r="AS22" s="681"/>
      <c r="AT22" s="182">
        <v>19</v>
      </c>
      <c r="AU22" s="182">
        <v>1313.4375000000016</v>
      </c>
      <c r="AV22" s="182">
        <v>69.128289473684291</v>
      </c>
      <c r="AW22" s="510">
        <f t="shared" si="10"/>
        <v>23</v>
      </c>
      <c r="AX22" s="681"/>
      <c r="AZ22" s="361" t="e">
        <f>RANK(AX22, $K$7:AX$36)</f>
        <v>#VALUE!</v>
      </c>
      <c r="BB22" s="359" t="e">
        <f t="shared" si="0"/>
        <v>#N/A</v>
      </c>
    </row>
    <row r="23" spans="2:54">
      <c r="B23" s="667"/>
      <c r="C23" s="510">
        <v>17</v>
      </c>
      <c r="D23" s="227" t="s">
        <v>956</v>
      </c>
      <c r="E23" s="182">
        <v>19</v>
      </c>
      <c r="F23" s="569">
        <v>1500</v>
      </c>
      <c r="G23" s="570">
        <v>78.900000000000006</v>
      </c>
      <c r="H23" s="709"/>
      <c r="I23" s="547">
        <f t="shared" si="1"/>
        <v>19</v>
      </c>
      <c r="J23" s="547">
        <f t="shared" si="2"/>
        <v>1388.8418540375376</v>
      </c>
      <c r="K23" s="200">
        <f t="shared" si="3"/>
        <v>73.096939686186175</v>
      </c>
      <c r="L23" s="641"/>
      <c r="M23" s="517">
        <f>RANK(K23, K$7:$K$36)</f>
        <v>20</v>
      </c>
      <c r="N23" s="659"/>
      <c r="O23" s="659"/>
      <c r="P23" s="182">
        <v>19</v>
      </c>
      <c r="Q23" s="182">
        <v>1382.7906976744184</v>
      </c>
      <c r="R23" s="182">
        <v>72.778457772337816</v>
      </c>
      <c r="S23" s="510">
        <f t="shared" si="4"/>
        <v>20</v>
      </c>
      <c r="T23" s="681"/>
      <c r="U23" s="182">
        <v>19</v>
      </c>
      <c r="V23" s="182">
        <v>1403.0769230769224</v>
      </c>
      <c r="W23" s="182">
        <v>73.846153846153811</v>
      </c>
      <c r="X23" s="510">
        <f t="shared" si="5"/>
        <v>19</v>
      </c>
      <c r="Y23" s="681"/>
      <c r="Z23" s="182">
        <v>19</v>
      </c>
      <c r="AA23" s="182">
        <v>1381.7647058823511</v>
      </c>
      <c r="AB23" s="182">
        <v>72.724458204334269</v>
      </c>
      <c r="AC23" s="510">
        <f t="shared" si="6"/>
        <v>20</v>
      </c>
      <c r="AD23" s="681"/>
      <c r="AE23" s="182">
        <v>19</v>
      </c>
      <c r="AF23" s="182">
        <v>1384.7368421052622</v>
      </c>
      <c r="AG23" s="182">
        <v>72.880886426592753</v>
      </c>
      <c r="AH23" s="510">
        <f t="shared" si="7"/>
        <v>19</v>
      </c>
      <c r="AI23" s="681"/>
      <c r="AJ23" s="182">
        <v>19</v>
      </c>
      <c r="AK23" s="182">
        <v>1371.6666666666656</v>
      </c>
      <c r="AL23" s="182">
        <v>72.1929824561403</v>
      </c>
      <c r="AM23" s="510">
        <f t="shared" si="8"/>
        <v>20</v>
      </c>
      <c r="AN23" s="681"/>
      <c r="AO23" s="182">
        <v>19</v>
      </c>
      <c r="AP23" s="182">
        <v>1402.8571428571424</v>
      </c>
      <c r="AQ23" s="182">
        <v>73.834586466165391</v>
      </c>
      <c r="AR23" s="510">
        <f t="shared" si="9"/>
        <v>15</v>
      </c>
      <c r="AS23" s="681"/>
      <c r="AT23" s="182">
        <v>19</v>
      </c>
      <c r="AU23" s="182">
        <v>1394.9999999999995</v>
      </c>
      <c r="AV23" s="182">
        <v>73.421052631578917</v>
      </c>
      <c r="AW23" s="510">
        <f t="shared" si="10"/>
        <v>18</v>
      </c>
      <c r="AX23" s="681"/>
      <c r="AZ23" s="361" t="e">
        <f>RANK(AX23, $K$7:AX$36)</f>
        <v>#VALUE!</v>
      </c>
      <c r="BB23" s="359" t="e">
        <f t="shared" si="0"/>
        <v>#N/A</v>
      </c>
    </row>
    <row r="24" spans="2:54">
      <c r="B24" s="667"/>
      <c r="C24" s="510">
        <v>18</v>
      </c>
      <c r="D24" s="227" t="s">
        <v>957</v>
      </c>
      <c r="E24" s="182">
        <v>18</v>
      </c>
      <c r="F24" s="569">
        <v>1500</v>
      </c>
      <c r="G24" s="570">
        <v>83.3</v>
      </c>
      <c r="H24" s="709"/>
      <c r="I24" s="547">
        <f t="shared" si="1"/>
        <v>18</v>
      </c>
      <c r="J24" s="547">
        <f t="shared" si="2"/>
        <v>1368.7906457398408</v>
      </c>
      <c r="K24" s="200">
        <f t="shared" si="3"/>
        <v>76.043924763324483</v>
      </c>
      <c r="L24" s="641"/>
      <c r="M24" s="517">
        <f>RANK(K24, K$7:$K$36)</f>
        <v>16</v>
      </c>
      <c r="N24" s="659"/>
      <c r="O24" s="659"/>
      <c r="P24" s="182">
        <v>18</v>
      </c>
      <c r="Q24" s="182">
        <v>1385.9999999999993</v>
      </c>
      <c r="R24" s="182">
        <v>76.999999999999957</v>
      </c>
      <c r="S24" s="510">
        <f t="shared" si="4"/>
        <v>15</v>
      </c>
      <c r="T24" s="681"/>
      <c r="U24" s="182">
        <v>18</v>
      </c>
      <c r="V24" s="182">
        <v>1397.3538461538476</v>
      </c>
      <c r="W24" s="182">
        <v>77.630769230769317</v>
      </c>
      <c r="X24" s="510">
        <f t="shared" si="5"/>
        <v>12</v>
      </c>
      <c r="Y24" s="681"/>
      <c r="Z24" s="182">
        <v>18</v>
      </c>
      <c r="AA24" s="182">
        <v>1408.499999999998</v>
      </c>
      <c r="AB24" s="182">
        <v>78.249999999999886</v>
      </c>
      <c r="AC24" s="510">
        <f t="shared" si="6"/>
        <v>11</v>
      </c>
      <c r="AD24" s="681"/>
      <c r="AE24" s="182">
        <v>18</v>
      </c>
      <c r="AF24" s="182">
        <v>1374.3749999999982</v>
      </c>
      <c r="AG24" s="182">
        <v>76.354166666666572</v>
      </c>
      <c r="AH24" s="510">
        <f t="shared" si="7"/>
        <v>12</v>
      </c>
      <c r="AI24" s="681"/>
      <c r="AJ24" s="182">
        <v>18</v>
      </c>
      <c r="AK24" s="182">
        <v>1386.8571428571415</v>
      </c>
      <c r="AL24" s="182">
        <v>77.04761904761898</v>
      </c>
      <c r="AM24" s="510">
        <f t="shared" si="8"/>
        <v>12</v>
      </c>
      <c r="AN24" s="681"/>
      <c r="AO24" s="182">
        <v>18</v>
      </c>
      <c r="AP24" s="182">
        <v>1321.132075471699</v>
      </c>
      <c r="AQ24" s="182">
        <v>73.396226415094389</v>
      </c>
      <c r="AR24" s="510">
        <f t="shared" si="9"/>
        <v>16</v>
      </c>
      <c r="AS24" s="681"/>
      <c r="AT24" s="182">
        <v>18</v>
      </c>
      <c r="AU24" s="182">
        <v>1307.3164556962017</v>
      </c>
      <c r="AV24" s="182">
        <v>72.628691983122323</v>
      </c>
      <c r="AW24" s="510">
        <f t="shared" si="10"/>
        <v>19</v>
      </c>
      <c r="AX24" s="681"/>
      <c r="AZ24" s="361" t="e">
        <f>RANK(AX24, $K$7:AX$36)</f>
        <v>#VALUE!</v>
      </c>
      <c r="BB24" s="359" t="e">
        <f t="shared" si="0"/>
        <v>#N/A</v>
      </c>
    </row>
    <row r="25" spans="2:54">
      <c r="B25" s="667"/>
      <c r="C25" s="510">
        <v>19</v>
      </c>
      <c r="D25" s="227" t="s">
        <v>958</v>
      </c>
      <c r="E25" s="182">
        <v>17</v>
      </c>
      <c r="F25" s="569">
        <v>1385</v>
      </c>
      <c r="G25" s="570">
        <v>81.400000000000006</v>
      </c>
      <c r="H25" s="709"/>
      <c r="I25" s="547">
        <f t="shared" si="1"/>
        <v>17</v>
      </c>
      <c r="J25" s="547">
        <f t="shared" si="2"/>
        <v>1250.0812461348171</v>
      </c>
      <c r="K25" s="200">
        <f t="shared" si="3"/>
        <v>73.534190949106872</v>
      </c>
      <c r="L25" s="641"/>
      <c r="M25" s="517">
        <f>RANK(K25, K$7:$K$36)</f>
        <v>18</v>
      </c>
      <c r="N25" s="659"/>
      <c r="O25" s="659"/>
      <c r="P25" s="182">
        <v>17</v>
      </c>
      <c r="Q25" s="182">
        <v>1300.0000000000002</v>
      </c>
      <c r="R25" s="182">
        <v>76.47058823529413</v>
      </c>
      <c r="S25" s="510">
        <f t="shared" si="4"/>
        <v>16</v>
      </c>
      <c r="T25" s="681"/>
      <c r="U25" s="182">
        <v>17</v>
      </c>
      <c r="V25" s="182">
        <v>1277.9999999999995</v>
      </c>
      <c r="W25" s="182">
        <v>75.176470588235262</v>
      </c>
      <c r="X25" s="510">
        <f t="shared" si="5"/>
        <v>18</v>
      </c>
      <c r="Y25" s="681"/>
      <c r="Z25" s="182">
        <v>17</v>
      </c>
      <c r="AA25" s="182">
        <v>1102.4999999999984</v>
      </c>
      <c r="AB25" s="182">
        <v>64.852941176470495</v>
      </c>
      <c r="AC25" s="510">
        <f t="shared" si="6"/>
        <v>27</v>
      </c>
      <c r="AD25" s="681"/>
      <c r="AE25" s="182">
        <v>17</v>
      </c>
      <c r="AF25" s="182">
        <v>1273.1249999999982</v>
      </c>
      <c r="AG25" s="182">
        <v>74.889705882352828</v>
      </c>
      <c r="AH25" s="510">
        <f t="shared" si="7"/>
        <v>17</v>
      </c>
      <c r="AI25" s="681"/>
      <c r="AJ25" s="182">
        <v>17</v>
      </c>
      <c r="AK25" s="182">
        <v>1263.4285714285702</v>
      </c>
      <c r="AL25" s="182">
        <v>74.319327731092358</v>
      </c>
      <c r="AM25" s="510">
        <f t="shared" si="8"/>
        <v>18</v>
      </c>
      <c r="AN25" s="681"/>
      <c r="AO25" s="182">
        <v>17</v>
      </c>
      <c r="AP25" s="182">
        <v>1265.3333333333333</v>
      </c>
      <c r="AQ25" s="182">
        <v>74.431372549019599</v>
      </c>
      <c r="AR25" s="510">
        <f t="shared" si="9"/>
        <v>14</v>
      </c>
      <c r="AS25" s="681"/>
      <c r="AT25" s="182">
        <v>17</v>
      </c>
      <c r="AU25" s="182">
        <v>1268.1818181818182</v>
      </c>
      <c r="AV25" s="182">
        <v>74.598930481283432</v>
      </c>
      <c r="AW25" s="510">
        <f t="shared" si="10"/>
        <v>15</v>
      </c>
      <c r="AX25" s="681"/>
      <c r="AZ25" s="361" t="e">
        <f>RANK(AX25, $K$7:AX$36)</f>
        <v>#VALUE!</v>
      </c>
      <c r="BB25" s="359" t="e">
        <f t="shared" si="0"/>
        <v>#N/A</v>
      </c>
    </row>
    <row r="26" spans="2:54">
      <c r="B26" s="667"/>
      <c r="C26" s="510">
        <v>20</v>
      </c>
      <c r="D26" s="227" t="s">
        <v>762</v>
      </c>
      <c r="E26" s="182">
        <v>17</v>
      </c>
      <c r="F26" s="569">
        <v>1440</v>
      </c>
      <c r="G26" s="570">
        <v>84.7</v>
      </c>
      <c r="H26" s="709"/>
      <c r="I26" s="547">
        <f t="shared" si="1"/>
        <v>17</v>
      </c>
      <c r="J26" s="547">
        <f t="shared" si="2"/>
        <v>1326.963625094488</v>
      </c>
      <c r="K26" s="200">
        <f t="shared" si="3"/>
        <v>78.056683829087561</v>
      </c>
      <c r="L26" s="641"/>
      <c r="M26" s="517">
        <f>RANK(K26, K$7:$K$36)</f>
        <v>11</v>
      </c>
      <c r="N26" s="659"/>
      <c r="O26" s="659"/>
      <c r="P26" s="182">
        <v>17</v>
      </c>
      <c r="Q26" s="182">
        <v>1324.4444444444453</v>
      </c>
      <c r="R26" s="182">
        <v>77.908496732026194</v>
      </c>
      <c r="S26" s="510">
        <f t="shared" si="4"/>
        <v>11</v>
      </c>
      <c r="T26" s="681"/>
      <c r="U26" s="182">
        <v>17</v>
      </c>
      <c r="V26" s="182">
        <v>1340.0000000000005</v>
      </c>
      <c r="W26" s="182">
        <v>78.823529411764738</v>
      </c>
      <c r="X26" s="510">
        <f t="shared" si="5"/>
        <v>11</v>
      </c>
      <c r="Y26" s="681"/>
      <c r="Z26" s="182">
        <v>17</v>
      </c>
      <c r="AA26" s="182">
        <v>1323.1578947368412</v>
      </c>
      <c r="AB26" s="182">
        <v>77.83281733746125</v>
      </c>
      <c r="AC26" s="510">
        <f t="shared" si="6"/>
        <v>12</v>
      </c>
      <c r="AD26" s="681"/>
      <c r="AE26" s="182">
        <v>17</v>
      </c>
      <c r="AF26" s="182">
        <v>1335.348837209302</v>
      </c>
      <c r="AG26" s="182">
        <v>78.549931600547183</v>
      </c>
      <c r="AH26" s="510">
        <f t="shared" si="7"/>
        <v>11</v>
      </c>
      <c r="AI26" s="681"/>
      <c r="AJ26" s="182">
        <v>17</v>
      </c>
      <c r="AK26" s="182">
        <v>1301.7391304347825</v>
      </c>
      <c r="AL26" s="182">
        <v>76.572890025575447</v>
      </c>
      <c r="AM26" s="510">
        <f t="shared" si="8"/>
        <v>15</v>
      </c>
      <c r="AN26" s="681"/>
      <c r="AO26" s="182">
        <v>17</v>
      </c>
      <c r="AP26" s="182">
        <v>1322.3529411764712</v>
      </c>
      <c r="AQ26" s="182">
        <v>77.785467128027719</v>
      </c>
      <c r="AR26" s="510">
        <f t="shared" si="9"/>
        <v>11</v>
      </c>
      <c r="AS26" s="681"/>
      <c r="AT26" s="182">
        <v>17</v>
      </c>
      <c r="AU26" s="182">
        <v>1341.7021276595747</v>
      </c>
      <c r="AV26" s="182">
        <v>78.923654568210281</v>
      </c>
      <c r="AW26" s="510">
        <f t="shared" si="10"/>
        <v>13</v>
      </c>
      <c r="AX26" s="681"/>
      <c r="AZ26" s="361" t="e">
        <f>RANK(AX26, $K$7:AX$36)</f>
        <v>#VALUE!</v>
      </c>
      <c r="BB26" s="359" t="e">
        <f t="shared" si="0"/>
        <v>#N/A</v>
      </c>
    </row>
    <row r="27" spans="2:54">
      <c r="B27" s="667"/>
      <c r="C27" s="510">
        <v>21</v>
      </c>
      <c r="D27" s="227" t="s">
        <v>787</v>
      </c>
      <c r="E27" s="182">
        <v>18</v>
      </c>
      <c r="F27" s="569">
        <v>1500</v>
      </c>
      <c r="G27" s="570">
        <v>83.3</v>
      </c>
      <c r="H27" s="709"/>
      <c r="I27" s="547">
        <f t="shared" si="1"/>
        <v>18</v>
      </c>
      <c r="J27" s="547">
        <f t="shared" si="2"/>
        <v>1371.0511662674685</v>
      </c>
      <c r="K27" s="200">
        <f t="shared" si="3"/>
        <v>76.16950923708157</v>
      </c>
      <c r="L27" s="641"/>
      <c r="M27" s="517">
        <f>RANK(K27, K$7:$K$36)</f>
        <v>15</v>
      </c>
      <c r="N27" s="659"/>
      <c r="O27" s="659"/>
      <c r="P27" s="182">
        <v>18</v>
      </c>
      <c r="Q27" s="182">
        <v>1374.9295774647874</v>
      </c>
      <c r="R27" s="182">
        <v>76.384976525821514</v>
      </c>
      <c r="S27" s="510">
        <f t="shared" si="4"/>
        <v>18</v>
      </c>
      <c r="T27" s="681"/>
      <c r="U27" s="182">
        <v>18</v>
      </c>
      <c r="V27" s="182">
        <v>1372.2580645161304</v>
      </c>
      <c r="W27" s="182">
        <v>76.236559139785015</v>
      </c>
      <c r="X27" s="510">
        <f t="shared" si="5"/>
        <v>16</v>
      </c>
      <c r="Y27" s="681"/>
      <c r="Z27" s="182">
        <v>18</v>
      </c>
      <c r="AA27" s="182">
        <v>1380.0000000000007</v>
      </c>
      <c r="AB27" s="182">
        <v>76.6666666666667</v>
      </c>
      <c r="AC27" s="510">
        <f t="shared" si="6"/>
        <v>14</v>
      </c>
      <c r="AD27" s="681"/>
      <c r="AE27" s="182">
        <v>18</v>
      </c>
      <c r="AF27" s="182">
        <v>1351.0344827586218</v>
      </c>
      <c r="AG27" s="182">
        <v>75.057471264367877</v>
      </c>
      <c r="AH27" s="510">
        <f t="shared" si="7"/>
        <v>16</v>
      </c>
      <c r="AI27" s="681"/>
      <c r="AJ27" s="182">
        <v>18</v>
      </c>
      <c r="AK27" s="182">
        <v>1383.9344262295094</v>
      </c>
      <c r="AL27" s="182">
        <v>76.885245901639408</v>
      </c>
      <c r="AM27" s="510">
        <f t="shared" si="8"/>
        <v>13</v>
      </c>
      <c r="AN27" s="681"/>
      <c r="AO27" s="182">
        <v>18</v>
      </c>
      <c r="AP27" s="182">
        <v>1366.451612903227</v>
      </c>
      <c r="AQ27" s="182">
        <v>75.91397849462372</v>
      </c>
      <c r="AR27" s="510">
        <f t="shared" si="9"/>
        <v>13</v>
      </c>
      <c r="AS27" s="681"/>
      <c r="AT27" s="182">
        <v>18</v>
      </c>
      <c r="AU27" s="182">
        <v>1368.7500000000016</v>
      </c>
      <c r="AV27" s="182">
        <v>76.041666666666757</v>
      </c>
      <c r="AW27" s="510">
        <f t="shared" si="10"/>
        <v>14</v>
      </c>
      <c r="AX27" s="681"/>
      <c r="AZ27" s="361" t="e">
        <f>RANK(AX27, $K$7:AX$36)</f>
        <v>#VALUE!</v>
      </c>
      <c r="BB27" s="359" t="e">
        <f t="shared" si="0"/>
        <v>#N/A</v>
      </c>
    </row>
    <row r="28" spans="2:54">
      <c r="B28" s="667"/>
      <c r="C28" s="510">
        <v>22</v>
      </c>
      <c r="D28" s="227" t="s">
        <v>959</v>
      </c>
      <c r="E28" s="182">
        <v>17</v>
      </c>
      <c r="F28" s="569">
        <v>1500</v>
      </c>
      <c r="G28" s="570">
        <v>88.2</v>
      </c>
      <c r="H28" s="709"/>
      <c r="I28" s="547">
        <f t="shared" si="1"/>
        <v>17</v>
      </c>
      <c r="J28" s="547">
        <f t="shared" si="2"/>
        <v>1308.2955188557919</v>
      </c>
      <c r="K28" s="200">
        <f t="shared" si="3"/>
        <v>76.95855993269366</v>
      </c>
      <c r="L28" s="641"/>
      <c r="M28" s="517">
        <f>RANK(K28, K$7:$K$36)</f>
        <v>13</v>
      </c>
      <c r="N28" s="659"/>
      <c r="O28" s="659"/>
      <c r="P28" s="182">
        <v>17</v>
      </c>
      <c r="Q28" s="182">
        <v>1313.6842105263177</v>
      </c>
      <c r="R28" s="182">
        <v>77.275541795665745</v>
      </c>
      <c r="S28" s="510">
        <f t="shared" si="4"/>
        <v>13</v>
      </c>
      <c r="T28" s="681"/>
      <c r="U28" s="182">
        <v>17</v>
      </c>
      <c r="V28" s="182">
        <v>1316.3636363636379</v>
      </c>
      <c r="W28" s="182">
        <v>77.433155080213993</v>
      </c>
      <c r="X28" s="510">
        <f t="shared" si="5"/>
        <v>13</v>
      </c>
      <c r="Y28" s="681"/>
      <c r="Z28" s="182">
        <v>17</v>
      </c>
      <c r="AA28" s="182">
        <v>1294.8387096774204</v>
      </c>
      <c r="AB28" s="182">
        <v>76.1669829222012</v>
      </c>
      <c r="AC28" s="510">
        <f t="shared" si="6"/>
        <v>16</v>
      </c>
      <c r="AD28" s="681"/>
      <c r="AE28" s="182" t="s">
        <v>761</v>
      </c>
      <c r="AF28" s="182" t="s">
        <v>761</v>
      </c>
      <c r="AG28" s="182" t="s">
        <v>761</v>
      </c>
      <c r="AH28" s="510" t="e">
        <f t="shared" si="7"/>
        <v>#VALUE!</v>
      </c>
      <c r="AI28" s="681"/>
      <c r="AJ28" s="182" t="s">
        <v>761</v>
      </c>
      <c r="AK28" s="182" t="s">
        <v>761</v>
      </c>
      <c r="AL28" s="182" t="s">
        <v>761</v>
      </c>
      <c r="AM28" s="510" t="e">
        <f t="shared" si="8"/>
        <v>#VALUE!</v>
      </c>
      <c r="AN28" s="681"/>
      <c r="AO28" s="182" t="s">
        <v>761</v>
      </c>
      <c r="AP28" s="182" t="s">
        <v>761</v>
      </c>
      <c r="AQ28" s="182" t="s">
        <v>761</v>
      </c>
      <c r="AR28" s="510" t="e">
        <f t="shared" si="9"/>
        <v>#VALUE!</v>
      </c>
      <c r="AS28" s="681"/>
      <c r="AT28" s="182" t="s">
        <v>761</v>
      </c>
      <c r="AU28" s="182" t="s">
        <v>761</v>
      </c>
      <c r="AV28" s="182" t="s">
        <v>761</v>
      </c>
      <c r="AW28" s="510" t="e">
        <f t="shared" si="10"/>
        <v>#VALUE!</v>
      </c>
      <c r="AX28" s="681"/>
      <c r="AZ28" s="361" t="e">
        <f>RANK(AX28, $K$7:AX$36)</f>
        <v>#VALUE!</v>
      </c>
      <c r="BB28" s="359" t="e">
        <f t="shared" si="0"/>
        <v>#N/A</v>
      </c>
    </row>
    <row r="29" spans="2:54">
      <c r="B29" s="667"/>
      <c r="C29" s="510">
        <v>23</v>
      </c>
      <c r="D29" s="227" t="s">
        <v>790</v>
      </c>
      <c r="E29" s="182">
        <v>20</v>
      </c>
      <c r="F29" s="569">
        <v>1500</v>
      </c>
      <c r="G29" s="570">
        <v>75</v>
      </c>
      <c r="H29" s="709"/>
      <c r="I29" s="547">
        <f t="shared" si="1"/>
        <v>20</v>
      </c>
      <c r="J29" s="547">
        <f t="shared" si="2"/>
        <v>1181.322446498328</v>
      </c>
      <c r="K29" s="200">
        <f t="shared" si="3"/>
        <v>59.066122324916385</v>
      </c>
      <c r="L29" s="641"/>
      <c r="M29" s="517">
        <f>RANK(K29, K$7:$K$36)</f>
        <v>29</v>
      </c>
      <c r="N29" s="659"/>
      <c r="O29" s="659"/>
      <c r="P29" s="182">
        <v>20</v>
      </c>
      <c r="Q29" s="182">
        <v>1163.4782608695641</v>
      </c>
      <c r="R29" s="182">
        <v>58.173913043478208</v>
      </c>
      <c r="S29" s="510">
        <f t="shared" si="4"/>
        <v>30</v>
      </c>
      <c r="T29" s="681"/>
      <c r="U29" s="182">
        <v>20</v>
      </c>
      <c r="V29" s="182">
        <v>1168.5714285714298</v>
      </c>
      <c r="W29" s="182">
        <v>58.428571428571487</v>
      </c>
      <c r="X29" s="510">
        <f t="shared" si="5"/>
        <v>29</v>
      </c>
      <c r="Y29" s="681"/>
      <c r="Z29" s="182">
        <v>20</v>
      </c>
      <c r="AA29" s="182">
        <v>1164.2307692307697</v>
      </c>
      <c r="AB29" s="182">
        <v>58.211538461538488</v>
      </c>
      <c r="AC29" s="510">
        <f t="shared" si="6"/>
        <v>29</v>
      </c>
      <c r="AD29" s="681"/>
      <c r="AE29" s="182">
        <v>20</v>
      </c>
      <c r="AF29" s="182">
        <v>1179.6610169491535</v>
      </c>
      <c r="AG29" s="182">
        <v>58.983050847457676</v>
      </c>
      <c r="AH29" s="510">
        <f t="shared" si="7"/>
        <v>28</v>
      </c>
      <c r="AI29" s="681"/>
      <c r="AJ29" s="182">
        <v>20</v>
      </c>
      <c r="AK29" s="182">
        <v>1163.7931034482767</v>
      </c>
      <c r="AL29" s="182">
        <v>58.189655172413836</v>
      </c>
      <c r="AM29" s="510">
        <f t="shared" si="8"/>
        <v>28</v>
      </c>
      <c r="AN29" s="681"/>
      <c r="AO29" s="182">
        <v>20</v>
      </c>
      <c r="AP29" s="182">
        <v>1135.3846153846166</v>
      </c>
      <c r="AQ29" s="182">
        <v>56.76923076923083</v>
      </c>
      <c r="AR29" s="510">
        <f t="shared" si="9"/>
        <v>29</v>
      </c>
      <c r="AS29" s="681"/>
      <c r="AT29" s="182">
        <v>20</v>
      </c>
      <c r="AU29" s="182">
        <v>1294.1379310344837</v>
      </c>
      <c r="AV29" s="182">
        <v>64.706896551724185</v>
      </c>
      <c r="AW29" s="510">
        <f t="shared" si="10"/>
        <v>26</v>
      </c>
      <c r="AX29" s="681"/>
      <c r="AZ29" s="361" t="e">
        <f>RANK(AX29, $K$7:AX$36)</f>
        <v>#VALUE!</v>
      </c>
      <c r="BB29" s="359" t="e">
        <f t="shared" si="0"/>
        <v>#N/A</v>
      </c>
    </row>
    <row r="30" spans="2:54">
      <c r="B30" s="667"/>
      <c r="C30" s="510">
        <v>24</v>
      </c>
      <c r="D30" s="227" t="s">
        <v>960</v>
      </c>
      <c r="E30" s="182">
        <v>17</v>
      </c>
      <c r="F30" s="569">
        <v>1565</v>
      </c>
      <c r="G30" s="570">
        <v>92.1</v>
      </c>
      <c r="H30" s="709"/>
      <c r="I30" s="547">
        <f t="shared" si="1"/>
        <v>19.142857142857142</v>
      </c>
      <c r="J30" s="547">
        <f t="shared" si="2"/>
        <v>1376.8353291887909</v>
      </c>
      <c r="K30" s="200">
        <f t="shared" si="3"/>
        <v>72.302622362692787</v>
      </c>
      <c r="L30" s="641"/>
      <c r="M30" s="517">
        <f>RANK(K30, K$7:$K$36)</f>
        <v>21</v>
      </c>
      <c r="N30" s="659"/>
      <c r="O30" s="659"/>
      <c r="P30" s="510">
        <v>20</v>
      </c>
      <c r="Q30" s="511">
        <v>1383.0000000000014</v>
      </c>
      <c r="R30" s="511">
        <v>69.150000000000063</v>
      </c>
      <c r="S30" s="510">
        <f t="shared" si="4"/>
        <v>24</v>
      </c>
      <c r="T30" s="681"/>
      <c r="U30" s="510">
        <v>20</v>
      </c>
      <c r="V30" s="511">
        <v>1370.0000000000011</v>
      </c>
      <c r="W30" s="511">
        <v>68.500000000000057</v>
      </c>
      <c r="X30" s="510">
        <f t="shared" si="5"/>
        <v>24</v>
      </c>
      <c r="Y30" s="681"/>
      <c r="Z30" s="510">
        <v>20</v>
      </c>
      <c r="AA30" s="511">
        <v>1385.1063829787236</v>
      </c>
      <c r="AB30" s="511">
        <v>69.255319148936181</v>
      </c>
      <c r="AC30" s="510">
        <f t="shared" si="6"/>
        <v>24</v>
      </c>
      <c r="AD30" s="681"/>
      <c r="AE30" s="510">
        <v>20</v>
      </c>
      <c r="AF30" s="511">
        <v>1375.2000000000003</v>
      </c>
      <c r="AG30" s="511">
        <v>68.760000000000019</v>
      </c>
      <c r="AH30" s="510">
        <f t="shared" si="7"/>
        <v>23</v>
      </c>
      <c r="AI30" s="681"/>
      <c r="AJ30" s="510">
        <v>17</v>
      </c>
      <c r="AK30" s="511">
        <v>1374.3396226415102</v>
      </c>
      <c r="AL30" s="511">
        <v>80.843507214206483</v>
      </c>
      <c r="AM30" s="510">
        <f t="shared" si="8"/>
        <v>11</v>
      </c>
      <c r="AN30" s="681"/>
      <c r="AO30" s="182">
        <v>20</v>
      </c>
      <c r="AP30" s="182">
        <v>1378.9285714285725</v>
      </c>
      <c r="AQ30" s="182">
        <v>68.946428571428626</v>
      </c>
      <c r="AR30" s="510">
        <f t="shared" si="9"/>
        <v>23</v>
      </c>
      <c r="AS30" s="681"/>
      <c r="AT30" s="182">
        <v>17</v>
      </c>
      <c r="AU30" s="182">
        <v>1371.2727272727282</v>
      </c>
      <c r="AV30" s="182">
        <v>80.663101604278125</v>
      </c>
      <c r="AW30" s="510">
        <f t="shared" si="10"/>
        <v>12</v>
      </c>
      <c r="AX30" s="681"/>
      <c r="AZ30" s="361" t="e">
        <f>RANK(AX30, $K$7:AX$36)</f>
        <v>#VALUE!</v>
      </c>
      <c r="BB30" s="359" t="e">
        <f t="shared" si="0"/>
        <v>#N/A</v>
      </c>
    </row>
    <row r="31" spans="2:54">
      <c r="B31" s="667"/>
      <c r="C31" s="510">
        <v>25</v>
      </c>
      <c r="D31" s="227" t="s">
        <v>804</v>
      </c>
      <c r="E31" s="182">
        <v>19</v>
      </c>
      <c r="F31" s="569">
        <v>1385</v>
      </c>
      <c r="G31" s="570">
        <v>72.900000000000006</v>
      </c>
      <c r="H31" s="709"/>
      <c r="I31" s="547">
        <f t="shared" si="1"/>
        <v>19.714285714285715</v>
      </c>
      <c r="J31" s="547">
        <f t="shared" si="2"/>
        <v>1136.8515227948574</v>
      </c>
      <c r="K31" s="200">
        <f t="shared" si="3"/>
        <v>57.68947341539954</v>
      </c>
      <c r="L31" s="641"/>
      <c r="M31" s="517">
        <f>RANK(K31, K$7:$K$36)</f>
        <v>30</v>
      </c>
      <c r="N31" s="659"/>
      <c r="O31" s="659"/>
      <c r="P31" s="510">
        <v>19</v>
      </c>
      <c r="Q31" s="511">
        <v>1138.9285714285722</v>
      </c>
      <c r="R31" s="511">
        <v>59.943609022556437</v>
      </c>
      <c r="S31" s="510">
        <f t="shared" si="4"/>
        <v>29</v>
      </c>
      <c r="T31" s="681"/>
      <c r="U31" s="510">
        <v>20</v>
      </c>
      <c r="V31" s="511">
        <v>1134.33962264151</v>
      </c>
      <c r="W31" s="511">
        <v>56.716981132075503</v>
      </c>
      <c r="X31" s="510">
        <f t="shared" si="5"/>
        <v>30</v>
      </c>
      <c r="Y31" s="681"/>
      <c r="Z31" s="510">
        <v>20</v>
      </c>
      <c r="AA31" s="511">
        <v>1153.7500000000002</v>
      </c>
      <c r="AB31" s="511">
        <v>57.687500000000014</v>
      </c>
      <c r="AC31" s="510">
        <f t="shared" si="6"/>
        <v>30</v>
      </c>
      <c r="AD31" s="681"/>
      <c r="AE31" s="510">
        <v>20</v>
      </c>
      <c r="AF31" s="511">
        <v>1158.3673469387759</v>
      </c>
      <c r="AG31" s="511">
        <v>57.918367346938794</v>
      </c>
      <c r="AH31" s="510">
        <f t="shared" si="7"/>
        <v>29</v>
      </c>
      <c r="AI31" s="681"/>
      <c r="AJ31" s="510">
        <v>20</v>
      </c>
      <c r="AK31" s="511">
        <v>1147.0588235294122</v>
      </c>
      <c r="AL31" s="511">
        <v>57.352941176470608</v>
      </c>
      <c r="AM31" s="510">
        <f t="shared" si="8"/>
        <v>29</v>
      </c>
      <c r="AN31" s="681"/>
      <c r="AO31" s="182">
        <v>19</v>
      </c>
      <c r="AP31" s="182">
        <v>1113.8181818181827</v>
      </c>
      <c r="AQ31" s="182">
        <v>58.622009569378037</v>
      </c>
      <c r="AR31" s="510">
        <f t="shared" si="9"/>
        <v>28</v>
      </c>
      <c r="AS31" s="681"/>
      <c r="AT31" s="182">
        <v>20</v>
      </c>
      <c r="AU31" s="182">
        <v>1111.6981132075477</v>
      </c>
      <c r="AV31" s="182">
        <v>55.584905660377387</v>
      </c>
      <c r="AW31" s="510">
        <f t="shared" si="10"/>
        <v>29</v>
      </c>
      <c r="AX31" s="681"/>
      <c r="AZ31" s="361" t="e">
        <f>RANK(AX31, $K$7:AX$36)</f>
        <v>#VALUE!</v>
      </c>
      <c r="BB31" s="359" t="e">
        <f t="shared" si="0"/>
        <v>#N/A</v>
      </c>
    </row>
    <row r="32" spans="2:54">
      <c r="B32" s="667"/>
      <c r="C32" s="510">
        <v>26</v>
      </c>
      <c r="D32" s="227" t="s">
        <v>805</v>
      </c>
      <c r="E32" s="182">
        <v>18</v>
      </c>
      <c r="F32" s="569">
        <v>1440</v>
      </c>
      <c r="G32" s="570">
        <v>80</v>
      </c>
      <c r="H32" s="709"/>
      <c r="I32" s="547">
        <f t="shared" si="1"/>
        <v>18</v>
      </c>
      <c r="J32" s="547">
        <f t="shared" si="2"/>
        <v>1135.5700680272082</v>
      </c>
      <c r="K32" s="200">
        <f t="shared" si="3"/>
        <v>63.08722600151156</v>
      </c>
      <c r="L32" s="641"/>
      <c r="M32" s="517">
        <f>RANK(K32, K$7:$K$36)</f>
        <v>27</v>
      </c>
      <c r="N32" s="659"/>
      <c r="O32" s="659"/>
      <c r="P32" s="510">
        <v>18</v>
      </c>
      <c r="Q32" s="511">
        <v>1113.599999999997</v>
      </c>
      <c r="R32" s="511">
        <v>61.866666666666497</v>
      </c>
      <c r="S32" s="510">
        <f t="shared" si="4"/>
        <v>28</v>
      </c>
      <c r="T32" s="681"/>
      <c r="U32" s="510">
        <v>18</v>
      </c>
      <c r="V32" s="511">
        <v>1096.7999999999968</v>
      </c>
      <c r="W32" s="511">
        <v>60.933333333333152</v>
      </c>
      <c r="X32" s="510">
        <f t="shared" si="5"/>
        <v>28</v>
      </c>
      <c r="Y32" s="681"/>
      <c r="Z32" s="510">
        <v>18</v>
      </c>
      <c r="AA32" s="511">
        <v>1319.9999999999923</v>
      </c>
      <c r="AB32" s="511">
        <v>73.333333333332902</v>
      </c>
      <c r="AC32" s="510">
        <f t="shared" si="6"/>
        <v>18</v>
      </c>
      <c r="AD32" s="681"/>
      <c r="AE32" s="510">
        <v>18</v>
      </c>
      <c r="AF32" s="511">
        <v>1139.999999999997</v>
      </c>
      <c r="AG32" s="511">
        <v>63.333333333333172</v>
      </c>
      <c r="AH32" s="510">
        <f t="shared" si="7"/>
        <v>26</v>
      </c>
      <c r="AI32" s="681"/>
      <c r="AJ32" s="510">
        <v>18</v>
      </c>
      <c r="AK32" s="511">
        <v>1102.8571428571468</v>
      </c>
      <c r="AL32" s="511">
        <v>61.269841269841486</v>
      </c>
      <c r="AM32" s="510">
        <f t="shared" si="8"/>
        <v>27</v>
      </c>
      <c r="AN32" s="681"/>
      <c r="AO32" s="182">
        <v>18</v>
      </c>
      <c r="AP32" s="182">
        <v>1093.3333333333308</v>
      </c>
      <c r="AQ32" s="182">
        <v>60.740740740740598</v>
      </c>
      <c r="AR32" s="510">
        <f t="shared" si="9"/>
        <v>26</v>
      </c>
      <c r="AS32" s="681"/>
      <c r="AT32" s="182">
        <v>18</v>
      </c>
      <c r="AU32" s="182">
        <v>1082.3999999999969</v>
      </c>
      <c r="AV32" s="182">
        <v>60.133333333333162</v>
      </c>
      <c r="AW32" s="510">
        <f t="shared" si="10"/>
        <v>27</v>
      </c>
      <c r="AX32" s="681"/>
      <c r="AZ32" s="361" t="e">
        <f>RANK(AX32, $K$7:AX$36)</f>
        <v>#VALUE!</v>
      </c>
      <c r="BB32" s="359" t="e">
        <f t="shared" si="0"/>
        <v>#N/A</v>
      </c>
    </row>
    <row r="33" spans="2:54">
      <c r="B33" s="667"/>
      <c r="C33" s="510">
        <v>27</v>
      </c>
      <c r="D33" s="227" t="s">
        <v>961</v>
      </c>
      <c r="E33" s="182">
        <v>15</v>
      </c>
      <c r="F33" s="569">
        <v>1440</v>
      </c>
      <c r="G33" s="570">
        <v>96</v>
      </c>
      <c r="H33" s="709"/>
      <c r="I33" s="547">
        <f t="shared" si="1"/>
        <v>15</v>
      </c>
      <c r="J33" s="547">
        <f t="shared" si="2"/>
        <v>1338.4567701158737</v>
      </c>
      <c r="K33" s="200">
        <f t="shared" si="3"/>
        <v>89.230451341058242</v>
      </c>
      <c r="L33" s="641"/>
      <c r="M33" s="517">
        <f>RANK(K33, K$7:$K$36)</f>
        <v>3</v>
      </c>
      <c r="N33" s="659"/>
      <c r="O33" s="659"/>
      <c r="P33" s="510">
        <v>15</v>
      </c>
      <c r="Q33" s="511">
        <v>1341.8181818181818</v>
      </c>
      <c r="R33" s="511">
        <v>89.454545454545453</v>
      </c>
      <c r="S33" s="510">
        <f t="shared" si="4"/>
        <v>3</v>
      </c>
      <c r="T33" s="681"/>
      <c r="U33" s="510">
        <v>15</v>
      </c>
      <c r="V33" s="511">
        <v>1333.9534883720928</v>
      </c>
      <c r="W33" s="511">
        <v>88.930232558139522</v>
      </c>
      <c r="X33" s="510">
        <f t="shared" si="5"/>
        <v>3</v>
      </c>
      <c r="Y33" s="681"/>
      <c r="Z33" s="510">
        <v>15</v>
      </c>
      <c r="AA33" s="511">
        <v>1349.9999999999995</v>
      </c>
      <c r="AB33" s="511">
        <v>89.999999999999972</v>
      </c>
      <c r="AC33" s="510">
        <f t="shared" si="6"/>
        <v>3</v>
      </c>
      <c r="AD33" s="681"/>
      <c r="AE33" s="510">
        <v>15</v>
      </c>
      <c r="AF33" s="511">
        <v>1349.9999999999995</v>
      </c>
      <c r="AG33" s="511">
        <v>89.999999999999972</v>
      </c>
      <c r="AH33" s="510">
        <f t="shared" si="7"/>
        <v>3</v>
      </c>
      <c r="AI33" s="681"/>
      <c r="AJ33" s="510">
        <v>15</v>
      </c>
      <c r="AK33" s="511">
        <v>1314.1463414634143</v>
      </c>
      <c r="AL33" s="511">
        <v>87.609756097560947</v>
      </c>
      <c r="AM33" s="510">
        <f t="shared" si="8"/>
        <v>3</v>
      </c>
      <c r="AN33" s="681"/>
      <c r="AO33" s="182">
        <v>15</v>
      </c>
      <c r="AP33" s="182">
        <v>1343.1818181818182</v>
      </c>
      <c r="AQ33" s="182">
        <v>89.545454545454547</v>
      </c>
      <c r="AR33" s="510">
        <f t="shared" si="9"/>
        <v>3</v>
      </c>
      <c r="AS33" s="681"/>
      <c r="AT33" s="182">
        <v>15</v>
      </c>
      <c r="AU33" s="182">
        <v>1336.0975609756094</v>
      </c>
      <c r="AV33" s="182">
        <v>89.073170731707293</v>
      </c>
      <c r="AW33" s="510">
        <f t="shared" si="10"/>
        <v>4</v>
      </c>
      <c r="AX33" s="681"/>
      <c r="AZ33" s="361" t="e">
        <f>RANK(AX33, $K$7:AX$36)</f>
        <v>#VALUE!</v>
      </c>
      <c r="BB33" s="359" t="e">
        <f t="shared" si="0"/>
        <v>#N/A</v>
      </c>
    </row>
    <row r="34" spans="2:54">
      <c r="B34" s="667"/>
      <c r="C34" s="510">
        <v>28</v>
      </c>
      <c r="D34" s="227" t="s">
        <v>878</v>
      </c>
      <c r="E34" s="182">
        <v>21</v>
      </c>
      <c r="F34" s="569">
        <v>1500</v>
      </c>
      <c r="G34" s="570">
        <v>71.400000000000006</v>
      </c>
      <c r="H34" s="709"/>
      <c r="I34" s="547">
        <f t="shared" si="1"/>
        <v>21</v>
      </c>
      <c r="J34" s="547">
        <f t="shared" si="2"/>
        <v>1301.4458945272288</v>
      </c>
      <c r="K34" s="200">
        <f t="shared" si="3"/>
        <v>61.97361402510613</v>
      </c>
      <c r="L34" s="641"/>
      <c r="M34" s="517">
        <f>RANK(K34, K$7:$K$36)</f>
        <v>28</v>
      </c>
      <c r="N34" s="659"/>
      <c r="O34" s="659"/>
      <c r="P34" s="510">
        <v>21</v>
      </c>
      <c r="Q34" s="511">
        <v>1327.9245283018877</v>
      </c>
      <c r="R34" s="511">
        <v>63.234501347708935</v>
      </c>
      <c r="S34" s="510">
        <f t="shared" si="4"/>
        <v>27</v>
      </c>
      <c r="T34" s="681"/>
      <c r="U34" s="510">
        <v>21</v>
      </c>
      <c r="V34" s="511">
        <v>1317.4468085106384</v>
      </c>
      <c r="W34" s="511">
        <v>62.735562310030403</v>
      </c>
      <c r="X34" s="510">
        <f t="shared" si="5"/>
        <v>27</v>
      </c>
      <c r="Y34" s="681"/>
      <c r="Z34" s="510">
        <v>21</v>
      </c>
      <c r="AA34" s="511">
        <v>1313.4782608695652</v>
      </c>
      <c r="AB34" s="511">
        <v>62.546583850931675</v>
      </c>
      <c r="AC34" s="510">
        <f t="shared" si="6"/>
        <v>28</v>
      </c>
      <c r="AD34" s="681"/>
      <c r="AE34" s="510">
        <v>21</v>
      </c>
      <c r="AF34" s="511">
        <v>1314.0000000000005</v>
      </c>
      <c r="AG34" s="511">
        <v>62.571428571428591</v>
      </c>
      <c r="AH34" s="510">
        <f t="shared" si="7"/>
        <v>27</v>
      </c>
      <c r="AI34" s="681"/>
      <c r="AJ34" s="510">
        <v>21</v>
      </c>
      <c r="AK34" s="511">
        <v>1308.8888888888896</v>
      </c>
      <c r="AL34" s="511">
        <v>62.328042328042365</v>
      </c>
      <c r="AM34" s="510">
        <f t="shared" si="8"/>
        <v>26</v>
      </c>
      <c r="AN34" s="681"/>
      <c r="AO34" s="182">
        <v>21</v>
      </c>
      <c r="AP34" s="182">
        <v>1269.4736842105272</v>
      </c>
      <c r="AQ34" s="182">
        <v>60.451127819548915</v>
      </c>
      <c r="AR34" s="510">
        <f t="shared" si="9"/>
        <v>27</v>
      </c>
      <c r="AS34" s="681"/>
      <c r="AT34" s="182">
        <v>21</v>
      </c>
      <c r="AU34" s="182">
        <v>1258.9090909090917</v>
      </c>
      <c r="AV34" s="182">
        <v>59.948051948051983</v>
      </c>
      <c r="AW34" s="510">
        <f t="shared" si="10"/>
        <v>28</v>
      </c>
      <c r="AX34" s="681"/>
      <c r="AZ34" s="361" t="e">
        <f>RANK(AX34, $K$7:AX$36)</f>
        <v>#VALUE!</v>
      </c>
      <c r="BB34" s="359" t="e">
        <f t="shared" si="0"/>
        <v>#N/A</v>
      </c>
    </row>
    <row r="35" spans="2:54">
      <c r="B35" s="667"/>
      <c r="C35" s="510">
        <v>29</v>
      </c>
      <c r="D35" s="227" t="s">
        <v>962</v>
      </c>
      <c r="E35" s="182">
        <v>19</v>
      </c>
      <c r="F35" s="569">
        <v>1500</v>
      </c>
      <c r="G35" s="570">
        <v>78.900000000000006</v>
      </c>
      <c r="H35" s="709"/>
      <c r="I35" s="547">
        <f t="shared" si="1"/>
        <v>19</v>
      </c>
      <c r="J35" s="547">
        <f t="shared" si="2"/>
        <v>1249.4578968074093</v>
      </c>
      <c r="K35" s="200">
        <f t="shared" si="3"/>
        <v>65.760941937232076</v>
      </c>
      <c r="L35" s="641"/>
      <c r="M35" s="517">
        <f>RANK(K35, K$7:$K$36)</f>
        <v>26</v>
      </c>
      <c r="N35" s="659"/>
      <c r="O35" s="659"/>
      <c r="P35" s="510">
        <v>19</v>
      </c>
      <c r="Q35" s="510">
        <v>1240.5194805194808</v>
      </c>
      <c r="R35" s="510">
        <v>65.290498974709521</v>
      </c>
      <c r="S35" s="510">
        <f t="shared" si="4"/>
        <v>26</v>
      </c>
      <c r="T35" s="681"/>
      <c r="U35" s="510">
        <v>19</v>
      </c>
      <c r="V35" s="510">
        <v>1258.695652173913</v>
      </c>
      <c r="W35" s="510">
        <v>66.24713958810068</v>
      </c>
      <c r="X35" s="510">
        <f t="shared" si="5"/>
        <v>25</v>
      </c>
      <c r="Y35" s="681"/>
      <c r="Z35" s="510">
        <v>19</v>
      </c>
      <c r="AA35" s="510">
        <v>1255.1111111111111</v>
      </c>
      <c r="AB35" s="510">
        <v>66.058479532163744</v>
      </c>
      <c r="AC35" s="510">
        <f t="shared" si="6"/>
        <v>26</v>
      </c>
      <c r="AD35" s="681"/>
      <c r="AE35" s="510">
        <v>19</v>
      </c>
      <c r="AF35" s="510">
        <v>1260.6272727272717</v>
      </c>
      <c r="AG35" s="510">
        <v>66.348803827751141</v>
      </c>
      <c r="AH35" s="510">
        <f t="shared" si="7"/>
        <v>25</v>
      </c>
      <c r="AI35" s="681"/>
      <c r="AJ35" s="510">
        <v>19</v>
      </c>
      <c r="AK35" s="510">
        <v>1245.4017857142849</v>
      </c>
      <c r="AL35" s="510">
        <v>65.547462406014986</v>
      </c>
      <c r="AM35" s="510">
        <f t="shared" si="8"/>
        <v>25</v>
      </c>
      <c r="AN35" s="681"/>
      <c r="AO35" s="182">
        <v>19</v>
      </c>
      <c r="AP35" s="182">
        <v>1244.5789473684201</v>
      </c>
      <c r="AQ35" s="182">
        <v>65.504155124653693</v>
      </c>
      <c r="AR35" s="510">
        <f t="shared" si="9"/>
        <v>25</v>
      </c>
      <c r="AS35" s="681"/>
      <c r="AT35" s="182">
        <v>19</v>
      </c>
      <c r="AU35" s="182">
        <v>1241.271028037384</v>
      </c>
      <c r="AV35" s="182">
        <v>65.330054107230737</v>
      </c>
      <c r="AW35" s="510">
        <f t="shared" si="10"/>
        <v>25</v>
      </c>
      <c r="AX35" s="681"/>
      <c r="AZ35" s="361" t="e">
        <f>RANK(AX35, $K$7:AX$36)</f>
        <v>#VALUE!</v>
      </c>
      <c r="BB35" s="359" t="e">
        <f t="shared" si="0"/>
        <v>#N/A</v>
      </c>
    </row>
    <row r="36" spans="2:54">
      <c r="B36" s="667"/>
      <c r="C36" s="510">
        <v>30</v>
      </c>
      <c r="D36" s="227" t="s">
        <v>963</v>
      </c>
      <c r="E36" s="182">
        <v>18</v>
      </c>
      <c r="F36" s="569">
        <v>1636</v>
      </c>
      <c r="G36" s="570">
        <v>90.9</v>
      </c>
      <c r="H36" s="710"/>
      <c r="I36" s="547">
        <f t="shared" si="1"/>
        <v>18</v>
      </c>
      <c r="J36" s="547">
        <f t="shared" si="2"/>
        <v>1372.4334913516338</v>
      </c>
      <c r="K36" s="200">
        <f t="shared" si="3"/>
        <v>76.24630507509076</v>
      </c>
      <c r="L36" s="642"/>
      <c r="M36" s="517">
        <f>RANK(K36, K$7:$K$36)</f>
        <v>14</v>
      </c>
      <c r="N36" s="659"/>
      <c r="O36" s="659"/>
      <c r="P36" s="510">
        <v>18</v>
      </c>
      <c r="Q36" s="510">
        <v>1387.3745454545456</v>
      </c>
      <c r="R36" s="510">
        <v>77.076363636363638</v>
      </c>
      <c r="S36" s="510">
        <f t="shared" si="4"/>
        <v>14</v>
      </c>
      <c r="T36" s="681"/>
      <c r="U36" s="510">
        <v>18</v>
      </c>
      <c r="V36" s="510">
        <v>1387.1630769230769</v>
      </c>
      <c r="W36" s="510">
        <v>77.064615384615379</v>
      </c>
      <c r="X36" s="510">
        <f t="shared" si="5"/>
        <v>14</v>
      </c>
      <c r="Y36" s="681"/>
      <c r="Z36" s="510">
        <v>18</v>
      </c>
      <c r="AA36" s="510">
        <v>1376.4610169491521</v>
      </c>
      <c r="AB36" s="510">
        <v>76.470056497175108</v>
      </c>
      <c r="AC36" s="510">
        <f t="shared" si="6"/>
        <v>15</v>
      </c>
      <c r="AD36" s="681"/>
      <c r="AE36" s="510">
        <v>18</v>
      </c>
      <c r="AF36" s="510">
        <v>1373.2835820895523</v>
      </c>
      <c r="AG36" s="510">
        <v>76.293532338308466</v>
      </c>
      <c r="AH36" s="510">
        <f t="shared" si="7"/>
        <v>13</v>
      </c>
      <c r="AI36" s="681"/>
      <c r="AJ36" s="510">
        <v>18</v>
      </c>
      <c r="AK36" s="510">
        <v>1382.0400000000004</v>
      </c>
      <c r="AL36" s="510">
        <v>76.78000000000003</v>
      </c>
      <c r="AM36" s="510">
        <f t="shared" si="8"/>
        <v>14</v>
      </c>
      <c r="AN36" s="681"/>
      <c r="AO36" s="182">
        <v>18</v>
      </c>
      <c r="AP36" s="182">
        <v>1375.6872180451119</v>
      </c>
      <c r="AQ36" s="182">
        <v>76.427067669172885</v>
      </c>
      <c r="AR36" s="510">
        <f t="shared" si="9"/>
        <v>12</v>
      </c>
      <c r="AS36" s="681"/>
      <c r="AT36" s="182">
        <v>18</v>
      </c>
      <c r="AU36" s="182">
        <v>1325.0249999999983</v>
      </c>
      <c r="AV36" s="182">
        <v>73.612499999999898</v>
      </c>
      <c r="AW36" s="510">
        <f t="shared" si="10"/>
        <v>17</v>
      </c>
      <c r="AX36" s="681"/>
      <c r="AZ36" s="449" t="e">
        <f>RANK(AX36, $K$7:AX$36)</f>
        <v>#VALUE!</v>
      </c>
      <c r="BB36" s="359" t="e">
        <f t="shared" si="0"/>
        <v>#N/A</v>
      </c>
    </row>
    <row r="37" spans="2:54" ht="15.75">
      <c r="B37" s="685" t="s">
        <v>163</v>
      </c>
      <c r="C37" s="686"/>
      <c r="D37" s="686"/>
      <c r="E37" s="686"/>
      <c r="F37" s="686"/>
      <c r="G37" s="686"/>
      <c r="H37" s="686"/>
      <c r="I37" s="203"/>
      <c r="J37" s="203"/>
      <c r="K37" s="203"/>
      <c r="L37" s="203"/>
      <c r="M37" s="204"/>
      <c r="N37" s="660" t="s">
        <v>156</v>
      </c>
      <c r="O37" s="660" t="s">
        <v>105</v>
      </c>
      <c r="P37" s="666">
        <f>AT2+1</f>
        <v>46091</v>
      </c>
      <c r="Q37" s="667"/>
      <c r="R37" s="667"/>
      <c r="S37" s="667"/>
      <c r="T37" s="667"/>
      <c r="U37" s="666">
        <f>P37+1</f>
        <v>46092</v>
      </c>
      <c r="V37" s="667"/>
      <c r="W37" s="667"/>
      <c r="X37" s="667"/>
      <c r="Y37" s="667"/>
      <c r="Z37" s="666">
        <f>U37+1</f>
        <v>46093</v>
      </c>
      <c r="AA37" s="667"/>
      <c r="AB37" s="667"/>
      <c r="AC37" s="667"/>
      <c r="AD37" s="667"/>
      <c r="AE37" s="666">
        <f>Z37+1</f>
        <v>46094</v>
      </c>
      <c r="AF37" s="667"/>
      <c r="AG37" s="667"/>
      <c r="AH37" s="667"/>
      <c r="AI37" s="667"/>
      <c r="AJ37" s="666">
        <f>AE37+1</f>
        <v>46095</v>
      </c>
      <c r="AK37" s="667"/>
      <c r="AL37" s="667"/>
      <c r="AM37" s="667"/>
      <c r="AN37" s="667"/>
      <c r="AO37" s="666">
        <f>AJ37+1</f>
        <v>46096</v>
      </c>
      <c r="AP37" s="667"/>
      <c r="AQ37" s="667"/>
      <c r="AR37" s="667"/>
      <c r="AS37" s="667"/>
      <c r="AT37" s="666">
        <f>AO37+1</f>
        <v>46097</v>
      </c>
      <c r="AU37" s="667"/>
      <c r="AV37" s="667"/>
      <c r="AW37" s="667"/>
      <c r="AX37" s="667"/>
    </row>
    <row r="38" spans="2:54" ht="15.75">
      <c r="B38" s="674"/>
      <c r="C38" s="674"/>
      <c r="D38" s="674"/>
      <c r="E38" s="674"/>
      <c r="F38" s="674"/>
      <c r="G38" s="674"/>
      <c r="H38" s="674"/>
      <c r="I38" s="205"/>
      <c r="J38" s="205"/>
      <c r="K38" s="205"/>
      <c r="L38" s="205"/>
      <c r="M38" s="206"/>
      <c r="N38" s="662"/>
      <c r="O38" s="662"/>
      <c r="P38" s="666" t="s">
        <v>336</v>
      </c>
      <c r="Q38" s="667"/>
      <c r="R38" s="667"/>
      <c r="S38" s="667"/>
      <c r="T38" s="667"/>
      <c r="U38" s="666" t="s">
        <v>337</v>
      </c>
      <c r="V38" s="667"/>
      <c r="W38" s="667"/>
      <c r="X38" s="667"/>
      <c r="Y38" s="667"/>
      <c r="Z38" s="666" t="s">
        <v>338</v>
      </c>
      <c r="AA38" s="667"/>
      <c r="AB38" s="667"/>
      <c r="AC38" s="667"/>
      <c r="AD38" s="667"/>
      <c r="AE38" s="666" t="s">
        <v>339</v>
      </c>
      <c r="AF38" s="667"/>
      <c r="AG38" s="667"/>
      <c r="AH38" s="667"/>
      <c r="AI38" s="667"/>
      <c r="AJ38" s="666" t="s">
        <v>340</v>
      </c>
      <c r="AK38" s="667"/>
      <c r="AL38" s="667"/>
      <c r="AM38" s="667"/>
      <c r="AN38" s="667"/>
      <c r="AO38" s="666" t="s">
        <v>341</v>
      </c>
      <c r="AP38" s="667"/>
      <c r="AQ38" s="667"/>
      <c r="AR38" s="667"/>
      <c r="AS38" s="667"/>
      <c r="AT38" s="666" t="s">
        <v>342</v>
      </c>
      <c r="AU38" s="667"/>
      <c r="AV38" s="667"/>
      <c r="AW38" s="667"/>
      <c r="AX38" s="667"/>
    </row>
    <row r="39" spans="2:54">
      <c r="B39" s="659" t="s">
        <v>478</v>
      </c>
      <c r="C39" s="659" t="s">
        <v>479</v>
      </c>
      <c r="D39" s="659"/>
      <c r="E39" s="659" t="s">
        <v>480</v>
      </c>
      <c r="F39" s="659"/>
      <c r="G39" s="659"/>
      <c r="H39" s="675" t="s">
        <v>481</v>
      </c>
      <c r="I39" s="643" t="s">
        <v>482</v>
      </c>
      <c r="J39" s="643"/>
      <c r="K39" s="643"/>
      <c r="L39" s="644" t="s">
        <v>481</v>
      </c>
      <c r="M39" s="650" t="s">
        <v>483</v>
      </c>
      <c r="N39" s="659"/>
      <c r="O39" s="659" t="s">
        <v>484</v>
      </c>
      <c r="P39" s="656" t="s">
        <v>485</v>
      </c>
      <c r="Q39" s="657"/>
      <c r="R39" s="657"/>
      <c r="S39" s="658"/>
      <c r="T39" s="659" t="s">
        <v>481</v>
      </c>
      <c r="U39" s="656" t="s">
        <v>485</v>
      </c>
      <c r="V39" s="657"/>
      <c r="W39" s="657"/>
      <c r="X39" s="658"/>
      <c r="Y39" s="659" t="s">
        <v>481</v>
      </c>
      <c r="Z39" s="656" t="s">
        <v>485</v>
      </c>
      <c r="AA39" s="657"/>
      <c r="AB39" s="657"/>
      <c r="AC39" s="658"/>
      <c r="AD39" s="659" t="s">
        <v>481</v>
      </c>
      <c r="AE39" s="656" t="s">
        <v>485</v>
      </c>
      <c r="AF39" s="657"/>
      <c r="AG39" s="657"/>
      <c r="AH39" s="658"/>
      <c r="AI39" s="659" t="s">
        <v>481</v>
      </c>
      <c r="AJ39" s="656" t="s">
        <v>485</v>
      </c>
      <c r="AK39" s="657"/>
      <c r="AL39" s="657"/>
      <c r="AM39" s="658"/>
      <c r="AN39" s="659" t="s">
        <v>481</v>
      </c>
      <c r="AO39" s="656" t="s">
        <v>485</v>
      </c>
      <c r="AP39" s="657"/>
      <c r="AQ39" s="657"/>
      <c r="AR39" s="658"/>
      <c r="AS39" s="659" t="s">
        <v>481</v>
      </c>
      <c r="AT39" s="656" t="s">
        <v>485</v>
      </c>
      <c r="AU39" s="657"/>
      <c r="AV39" s="657"/>
      <c r="AW39" s="658"/>
      <c r="AX39" s="659" t="s">
        <v>481</v>
      </c>
    </row>
    <row r="40" spans="2:54">
      <c r="B40" s="659"/>
      <c r="C40" s="659"/>
      <c r="D40" s="659"/>
      <c r="E40" s="659" t="s">
        <v>486</v>
      </c>
      <c r="F40" s="659"/>
      <c r="G40" s="659"/>
      <c r="H40" s="676"/>
      <c r="I40" s="643" t="s">
        <v>486</v>
      </c>
      <c r="J40" s="643"/>
      <c r="K40" s="643"/>
      <c r="L40" s="645"/>
      <c r="M40" s="651"/>
      <c r="N40" s="659"/>
      <c r="O40" s="659"/>
      <c r="P40" s="656" t="s">
        <v>487</v>
      </c>
      <c r="Q40" s="657"/>
      <c r="R40" s="657"/>
      <c r="S40" s="658"/>
      <c r="T40" s="659"/>
      <c r="U40" s="656" t="s">
        <v>487</v>
      </c>
      <c r="V40" s="657"/>
      <c r="W40" s="657"/>
      <c r="X40" s="658"/>
      <c r="Y40" s="659"/>
      <c r="Z40" s="656" t="s">
        <v>487</v>
      </c>
      <c r="AA40" s="657"/>
      <c r="AB40" s="657"/>
      <c r="AC40" s="658"/>
      <c r="AD40" s="659"/>
      <c r="AE40" s="656" t="s">
        <v>487</v>
      </c>
      <c r="AF40" s="657"/>
      <c r="AG40" s="657"/>
      <c r="AH40" s="658"/>
      <c r="AI40" s="659"/>
      <c r="AJ40" s="656" t="s">
        <v>487</v>
      </c>
      <c r="AK40" s="657"/>
      <c r="AL40" s="657"/>
      <c r="AM40" s="658"/>
      <c r="AN40" s="659"/>
      <c r="AO40" s="656" t="s">
        <v>487</v>
      </c>
      <c r="AP40" s="657"/>
      <c r="AQ40" s="657"/>
      <c r="AR40" s="658"/>
      <c r="AS40" s="659"/>
      <c r="AT40" s="656" t="s">
        <v>487</v>
      </c>
      <c r="AU40" s="657"/>
      <c r="AV40" s="657"/>
      <c r="AW40" s="658"/>
      <c r="AX40" s="659"/>
    </row>
    <row r="41" spans="2:54">
      <c r="B41" s="659"/>
      <c r="C41" s="659"/>
      <c r="D41" s="659"/>
      <c r="E41" s="308" t="s">
        <v>488</v>
      </c>
      <c r="F41" s="308" t="s">
        <v>489</v>
      </c>
      <c r="G41" s="308" t="s">
        <v>490</v>
      </c>
      <c r="H41" s="677"/>
      <c r="I41" s="307" t="s">
        <v>488</v>
      </c>
      <c r="J41" s="307" t="s">
        <v>489</v>
      </c>
      <c r="K41" s="307" t="s">
        <v>490</v>
      </c>
      <c r="L41" s="646"/>
      <c r="M41" s="652"/>
      <c r="N41" s="659"/>
      <c r="O41" s="659"/>
      <c r="P41" s="308" t="s">
        <v>488</v>
      </c>
      <c r="Q41" s="308" t="s">
        <v>489</v>
      </c>
      <c r="R41" s="308" t="s">
        <v>490</v>
      </c>
      <c r="S41" s="308" t="s">
        <v>483</v>
      </c>
      <c r="T41" s="659"/>
      <c r="U41" s="308" t="s">
        <v>488</v>
      </c>
      <c r="V41" s="308" t="s">
        <v>489</v>
      </c>
      <c r="W41" s="308" t="s">
        <v>490</v>
      </c>
      <c r="X41" s="308" t="s">
        <v>483</v>
      </c>
      <c r="Y41" s="659"/>
      <c r="Z41" s="308" t="s">
        <v>488</v>
      </c>
      <c r="AA41" s="308" t="s">
        <v>489</v>
      </c>
      <c r="AB41" s="308" t="s">
        <v>490</v>
      </c>
      <c r="AC41" s="308" t="s">
        <v>483</v>
      </c>
      <c r="AD41" s="659"/>
      <c r="AE41" s="308" t="s">
        <v>488</v>
      </c>
      <c r="AF41" s="308" t="s">
        <v>489</v>
      </c>
      <c r="AG41" s="308" t="s">
        <v>490</v>
      </c>
      <c r="AH41" s="308" t="s">
        <v>483</v>
      </c>
      <c r="AI41" s="659"/>
      <c r="AJ41" s="308" t="s">
        <v>488</v>
      </c>
      <c r="AK41" s="308" t="s">
        <v>489</v>
      </c>
      <c r="AL41" s="308" t="s">
        <v>490</v>
      </c>
      <c r="AM41" s="308" t="s">
        <v>483</v>
      </c>
      <c r="AN41" s="659"/>
      <c r="AO41" s="308" t="s">
        <v>488</v>
      </c>
      <c r="AP41" s="308" t="s">
        <v>489</v>
      </c>
      <c r="AQ41" s="308" t="s">
        <v>490</v>
      </c>
      <c r="AR41" s="308" t="s">
        <v>483</v>
      </c>
      <c r="AS41" s="659"/>
      <c r="AT41" s="308" t="s">
        <v>488</v>
      </c>
      <c r="AU41" s="308" t="s">
        <v>489</v>
      </c>
      <c r="AV41" s="308" t="s">
        <v>490</v>
      </c>
      <c r="AW41" s="308" t="s">
        <v>483</v>
      </c>
      <c r="AX41" s="659"/>
    </row>
    <row r="42" spans="2:54">
      <c r="B42" s="659" t="s">
        <v>491</v>
      </c>
      <c r="C42" s="309">
        <v>1</v>
      </c>
      <c r="D42" s="227"/>
      <c r="E42" s="182"/>
      <c r="F42" s="569"/>
      <c r="G42" s="570"/>
      <c r="H42" s="708" t="e">
        <f>AVERAGE(G42:G71)</f>
        <v>#DIV/0!</v>
      </c>
      <c r="I42" s="199" t="e">
        <f>AVERAGE(P42,U42,Z42,AE42,AJ42,AO42,AT42)</f>
        <v>#DIV/0!</v>
      </c>
      <c r="J42" s="199" t="e">
        <f>AVERAGE(Q42,V42,AA42,AF42,AK42,AP42,AU42)</f>
        <v>#DIV/0!</v>
      </c>
      <c r="K42" s="200" t="e">
        <f>AVERAGE(R42,W42,AB42,AG42,AL42,AQ42,AV42)</f>
        <v>#DIV/0!</v>
      </c>
      <c r="L42" s="640" t="str">
        <f>IFERROR(AVERAGE(K42:K71),"-")</f>
        <v>-</v>
      </c>
      <c r="M42" s="201" t="e">
        <f>RANK(K42, K$42:$K$71)</f>
        <v>#DIV/0!</v>
      </c>
      <c r="N42" s="659"/>
      <c r="O42" s="659"/>
      <c r="P42" s="182"/>
      <c r="Q42" s="182"/>
      <c r="R42" s="182"/>
      <c r="S42" s="309" t="e">
        <f t="shared" ref="S42:S71" si="11">RANK(R42, R$42:R$71)</f>
        <v>#N/A</v>
      </c>
      <c r="T42" s="681" t="e">
        <f>AVERAGE(R42:R71)</f>
        <v>#DIV/0!</v>
      </c>
      <c r="U42" s="182"/>
      <c r="V42" s="182"/>
      <c r="W42" s="182"/>
      <c r="X42" s="309" t="e">
        <f t="shared" ref="X42:X71" si="12">RANK(W42, W$42:W$71)</f>
        <v>#N/A</v>
      </c>
      <c r="Y42" s="681" t="e">
        <f>AVERAGE(W42:W71)</f>
        <v>#DIV/0!</v>
      </c>
      <c r="Z42" s="182"/>
      <c r="AA42" s="182"/>
      <c r="AB42" s="182"/>
      <c r="AC42" s="309" t="e">
        <f t="shared" ref="AC42:AC71" si="13">RANK(AB42, AB$42:AB$71)</f>
        <v>#N/A</v>
      </c>
      <c r="AD42" s="681" t="e">
        <f>AVERAGE(AB42:AB71)</f>
        <v>#DIV/0!</v>
      </c>
      <c r="AE42" s="182"/>
      <c r="AF42" s="182"/>
      <c r="AG42" s="182"/>
      <c r="AH42" s="309" t="e">
        <f t="shared" ref="AH42:AH71" si="14">RANK(AG42, AG$42:AG$71)</f>
        <v>#N/A</v>
      </c>
      <c r="AI42" s="681" t="e">
        <f>AVERAGE(AG42:AG71)</f>
        <v>#DIV/0!</v>
      </c>
      <c r="AJ42" s="182"/>
      <c r="AK42" s="182"/>
      <c r="AL42" s="182"/>
      <c r="AM42" s="309" t="e">
        <f t="shared" ref="AM42:AM71" si="15">RANK(AL42, AL$42:AL$71)</f>
        <v>#N/A</v>
      </c>
      <c r="AN42" s="681" t="e">
        <f>AVERAGE(AL42:AL71)</f>
        <v>#DIV/0!</v>
      </c>
      <c r="AO42" s="182"/>
      <c r="AP42" s="182"/>
      <c r="AQ42" s="182"/>
      <c r="AR42" s="309" t="e">
        <f t="shared" ref="AR42:AR71" si="16">RANK(AQ42, AQ$42:AQ$71)</f>
        <v>#N/A</v>
      </c>
      <c r="AS42" s="681" t="e">
        <f>AVERAGE(AQ42:AQ71)</f>
        <v>#DIV/0!</v>
      </c>
      <c r="AT42" s="182"/>
      <c r="AU42" s="182"/>
      <c r="AV42" s="182"/>
      <c r="AW42" s="309" t="e">
        <f t="shared" ref="AW42:AW71" si="17">RANK(AV42, AV$42:AV$71)</f>
        <v>#N/A</v>
      </c>
      <c r="AX42" s="681" t="e">
        <f>AVERAGE(AV42:AV71)</f>
        <v>#DIV/0!</v>
      </c>
    </row>
    <row r="43" spans="2:54">
      <c r="B43" s="667"/>
      <c r="C43" s="309">
        <v>2</v>
      </c>
      <c r="D43" s="227"/>
      <c r="E43" s="182"/>
      <c r="F43" s="569"/>
      <c r="G43" s="570"/>
      <c r="H43" s="709"/>
      <c r="I43" s="199" t="e">
        <f t="shared" ref="I43:I65" si="18">AVERAGE(P43,U43,Z43,AE43,AJ43,AO43,AT43)</f>
        <v>#DIV/0!</v>
      </c>
      <c r="J43" s="199" t="e">
        <f t="shared" ref="J43:J65" si="19">AVERAGE(Q43,V43,AA43,AF43,AK43,AP43,AU43)</f>
        <v>#DIV/0!</v>
      </c>
      <c r="K43" s="200" t="e">
        <f t="shared" ref="K43:K65" si="20">AVERAGE(R43,W43,AB43,AG43,AL43,AQ43,AV43)</f>
        <v>#DIV/0!</v>
      </c>
      <c r="L43" s="641"/>
      <c r="M43" s="201" t="e">
        <f>RANK(K43, K$42:$K$71)</f>
        <v>#DIV/0!</v>
      </c>
      <c r="N43" s="659"/>
      <c r="O43" s="659"/>
      <c r="P43" s="182"/>
      <c r="Q43" s="182"/>
      <c r="R43" s="182"/>
      <c r="S43" s="309" t="e">
        <f t="shared" si="11"/>
        <v>#N/A</v>
      </c>
      <c r="T43" s="681"/>
      <c r="U43" s="182"/>
      <c r="V43" s="182"/>
      <c r="W43" s="182"/>
      <c r="X43" s="309" t="e">
        <f t="shared" si="12"/>
        <v>#N/A</v>
      </c>
      <c r="Y43" s="681"/>
      <c r="Z43" s="182"/>
      <c r="AA43" s="182"/>
      <c r="AB43" s="182"/>
      <c r="AC43" s="309" t="e">
        <f t="shared" si="13"/>
        <v>#N/A</v>
      </c>
      <c r="AD43" s="681"/>
      <c r="AE43" s="182"/>
      <c r="AF43" s="182"/>
      <c r="AG43" s="182"/>
      <c r="AH43" s="309" t="e">
        <f t="shared" si="14"/>
        <v>#N/A</v>
      </c>
      <c r="AI43" s="681"/>
      <c r="AJ43" s="182"/>
      <c r="AK43" s="182"/>
      <c r="AL43" s="182"/>
      <c r="AM43" s="309" t="e">
        <f t="shared" si="15"/>
        <v>#N/A</v>
      </c>
      <c r="AN43" s="681"/>
      <c r="AO43" s="182"/>
      <c r="AP43" s="182"/>
      <c r="AQ43" s="182"/>
      <c r="AR43" s="309" t="e">
        <f t="shared" si="16"/>
        <v>#N/A</v>
      </c>
      <c r="AS43" s="681"/>
      <c r="AT43" s="182"/>
      <c r="AU43" s="182"/>
      <c r="AV43" s="182"/>
      <c r="AW43" s="309" t="e">
        <f t="shared" si="17"/>
        <v>#N/A</v>
      </c>
      <c r="AX43" s="681"/>
    </row>
    <row r="44" spans="2:54">
      <c r="B44" s="667"/>
      <c r="C44" s="309">
        <v>3</v>
      </c>
      <c r="D44" s="227"/>
      <c r="E44" s="182"/>
      <c r="F44" s="569"/>
      <c r="G44" s="570"/>
      <c r="H44" s="709"/>
      <c r="I44" s="199" t="e">
        <f t="shared" si="18"/>
        <v>#DIV/0!</v>
      </c>
      <c r="J44" s="199" t="e">
        <f t="shared" si="19"/>
        <v>#DIV/0!</v>
      </c>
      <c r="K44" s="200" t="e">
        <f t="shared" si="20"/>
        <v>#DIV/0!</v>
      </c>
      <c r="L44" s="641"/>
      <c r="M44" s="201" t="e">
        <f>RANK(K44, K$42:$K$71)</f>
        <v>#DIV/0!</v>
      </c>
      <c r="N44" s="659"/>
      <c r="O44" s="659"/>
      <c r="P44" s="182"/>
      <c r="Q44" s="182"/>
      <c r="R44" s="182"/>
      <c r="S44" s="309" t="e">
        <f t="shared" si="11"/>
        <v>#N/A</v>
      </c>
      <c r="T44" s="681"/>
      <c r="U44" s="182"/>
      <c r="V44" s="182"/>
      <c r="W44" s="182"/>
      <c r="X44" s="309" t="e">
        <f t="shared" si="12"/>
        <v>#N/A</v>
      </c>
      <c r="Y44" s="681"/>
      <c r="Z44" s="182"/>
      <c r="AA44" s="182"/>
      <c r="AB44" s="182"/>
      <c r="AC44" s="309" t="e">
        <f t="shared" si="13"/>
        <v>#N/A</v>
      </c>
      <c r="AD44" s="681"/>
      <c r="AE44" s="182"/>
      <c r="AF44" s="182"/>
      <c r="AG44" s="182"/>
      <c r="AH44" s="309" t="e">
        <f t="shared" si="14"/>
        <v>#N/A</v>
      </c>
      <c r="AI44" s="681"/>
      <c r="AJ44" s="182"/>
      <c r="AK44" s="182"/>
      <c r="AL44" s="182"/>
      <c r="AM44" s="309" t="e">
        <f t="shared" si="15"/>
        <v>#N/A</v>
      </c>
      <c r="AN44" s="681"/>
      <c r="AO44" s="182"/>
      <c r="AP44" s="182"/>
      <c r="AQ44" s="182"/>
      <c r="AR44" s="309" t="e">
        <f t="shared" si="16"/>
        <v>#N/A</v>
      </c>
      <c r="AS44" s="681"/>
      <c r="AT44" s="182"/>
      <c r="AU44" s="182"/>
      <c r="AV44" s="182"/>
      <c r="AW44" s="309" t="e">
        <f t="shared" si="17"/>
        <v>#N/A</v>
      </c>
      <c r="AX44" s="681"/>
    </row>
    <row r="45" spans="2:54">
      <c r="B45" s="667"/>
      <c r="C45" s="309">
        <v>4</v>
      </c>
      <c r="D45" s="227"/>
      <c r="E45" s="182"/>
      <c r="F45" s="569"/>
      <c r="G45" s="570"/>
      <c r="H45" s="709"/>
      <c r="I45" s="199" t="e">
        <f t="shared" si="18"/>
        <v>#DIV/0!</v>
      </c>
      <c r="J45" s="199" t="e">
        <f t="shared" si="19"/>
        <v>#DIV/0!</v>
      </c>
      <c r="K45" s="200" t="e">
        <f t="shared" si="20"/>
        <v>#DIV/0!</v>
      </c>
      <c r="L45" s="641"/>
      <c r="M45" s="201" t="e">
        <f>RANK(K45, K$42:$K$71)</f>
        <v>#DIV/0!</v>
      </c>
      <c r="N45" s="659"/>
      <c r="O45" s="659"/>
      <c r="P45" s="182"/>
      <c r="Q45" s="182"/>
      <c r="R45" s="182"/>
      <c r="S45" s="309" t="e">
        <f t="shared" si="11"/>
        <v>#N/A</v>
      </c>
      <c r="T45" s="681"/>
      <c r="U45" s="182"/>
      <c r="V45" s="182"/>
      <c r="W45" s="182"/>
      <c r="X45" s="309" t="e">
        <f t="shared" si="12"/>
        <v>#N/A</v>
      </c>
      <c r="Y45" s="681"/>
      <c r="Z45" s="182"/>
      <c r="AA45" s="182"/>
      <c r="AB45" s="182"/>
      <c r="AC45" s="309" t="e">
        <f t="shared" si="13"/>
        <v>#N/A</v>
      </c>
      <c r="AD45" s="681"/>
      <c r="AE45" s="182"/>
      <c r="AF45" s="182"/>
      <c r="AG45" s="182"/>
      <c r="AH45" s="309" t="e">
        <f t="shared" si="14"/>
        <v>#N/A</v>
      </c>
      <c r="AI45" s="681"/>
      <c r="AJ45" s="182"/>
      <c r="AK45" s="182"/>
      <c r="AL45" s="182"/>
      <c r="AM45" s="309" t="e">
        <f t="shared" si="15"/>
        <v>#N/A</v>
      </c>
      <c r="AN45" s="681"/>
      <c r="AO45" s="182"/>
      <c r="AP45" s="182"/>
      <c r="AQ45" s="182"/>
      <c r="AR45" s="309" t="e">
        <f t="shared" si="16"/>
        <v>#N/A</v>
      </c>
      <c r="AS45" s="681"/>
      <c r="AT45" s="182"/>
      <c r="AU45" s="182"/>
      <c r="AV45" s="182"/>
      <c r="AW45" s="309" t="e">
        <f t="shared" si="17"/>
        <v>#N/A</v>
      </c>
      <c r="AX45" s="681"/>
    </row>
    <row r="46" spans="2:54">
      <c r="B46" s="667"/>
      <c r="C46" s="309">
        <v>5</v>
      </c>
      <c r="D46" s="227"/>
      <c r="E46" s="182"/>
      <c r="F46" s="569"/>
      <c r="G46" s="570"/>
      <c r="H46" s="709"/>
      <c r="I46" s="199" t="e">
        <f t="shared" si="18"/>
        <v>#DIV/0!</v>
      </c>
      <c r="J46" s="199" t="e">
        <f t="shared" si="19"/>
        <v>#DIV/0!</v>
      </c>
      <c r="K46" s="200" t="e">
        <f t="shared" si="20"/>
        <v>#DIV/0!</v>
      </c>
      <c r="L46" s="641"/>
      <c r="M46" s="201" t="e">
        <f>RANK(K46, K$42:$K$71)</f>
        <v>#DIV/0!</v>
      </c>
      <c r="N46" s="659"/>
      <c r="O46" s="659"/>
      <c r="P46" s="182"/>
      <c r="Q46" s="182"/>
      <c r="R46" s="182"/>
      <c r="S46" s="309" t="e">
        <f t="shared" si="11"/>
        <v>#N/A</v>
      </c>
      <c r="T46" s="681"/>
      <c r="U46" s="182"/>
      <c r="V46" s="182"/>
      <c r="W46" s="182"/>
      <c r="X46" s="309" t="e">
        <f t="shared" si="12"/>
        <v>#N/A</v>
      </c>
      <c r="Y46" s="681"/>
      <c r="Z46" s="182"/>
      <c r="AA46" s="182"/>
      <c r="AB46" s="182"/>
      <c r="AC46" s="309" t="e">
        <f t="shared" si="13"/>
        <v>#N/A</v>
      </c>
      <c r="AD46" s="681"/>
      <c r="AE46" s="182"/>
      <c r="AF46" s="182"/>
      <c r="AG46" s="182"/>
      <c r="AH46" s="309" t="e">
        <f t="shared" si="14"/>
        <v>#N/A</v>
      </c>
      <c r="AI46" s="681"/>
      <c r="AJ46" s="182"/>
      <c r="AK46" s="182"/>
      <c r="AL46" s="182"/>
      <c r="AM46" s="309" t="e">
        <f t="shared" si="15"/>
        <v>#N/A</v>
      </c>
      <c r="AN46" s="681"/>
      <c r="AO46" s="182"/>
      <c r="AP46" s="182"/>
      <c r="AQ46" s="182"/>
      <c r="AR46" s="309" t="e">
        <f t="shared" si="16"/>
        <v>#N/A</v>
      </c>
      <c r="AS46" s="681"/>
      <c r="AT46" s="182"/>
      <c r="AU46" s="182"/>
      <c r="AV46" s="182"/>
      <c r="AW46" s="309" t="e">
        <f t="shared" si="17"/>
        <v>#N/A</v>
      </c>
      <c r="AX46" s="681"/>
    </row>
    <row r="47" spans="2:54">
      <c r="B47" s="667"/>
      <c r="C47" s="309">
        <v>6</v>
      </c>
      <c r="D47" s="227"/>
      <c r="E47" s="182"/>
      <c r="F47" s="569"/>
      <c r="G47" s="570"/>
      <c r="H47" s="709"/>
      <c r="I47" s="199" t="e">
        <f t="shared" si="18"/>
        <v>#DIV/0!</v>
      </c>
      <c r="J47" s="199" t="e">
        <f t="shared" si="19"/>
        <v>#DIV/0!</v>
      </c>
      <c r="K47" s="200" t="e">
        <f t="shared" si="20"/>
        <v>#DIV/0!</v>
      </c>
      <c r="L47" s="641"/>
      <c r="M47" s="201" t="e">
        <f>RANK(K47, K$42:$K$71)</f>
        <v>#DIV/0!</v>
      </c>
      <c r="N47" s="659"/>
      <c r="O47" s="659"/>
      <c r="P47" s="182"/>
      <c r="Q47" s="182"/>
      <c r="R47" s="182"/>
      <c r="S47" s="309" t="e">
        <f t="shared" si="11"/>
        <v>#N/A</v>
      </c>
      <c r="T47" s="681"/>
      <c r="U47" s="182"/>
      <c r="V47" s="182"/>
      <c r="W47" s="182"/>
      <c r="X47" s="309" t="e">
        <f t="shared" si="12"/>
        <v>#N/A</v>
      </c>
      <c r="Y47" s="681"/>
      <c r="Z47" s="182"/>
      <c r="AA47" s="182"/>
      <c r="AB47" s="182"/>
      <c r="AC47" s="309" t="e">
        <f t="shared" si="13"/>
        <v>#N/A</v>
      </c>
      <c r="AD47" s="681"/>
      <c r="AE47" s="182"/>
      <c r="AF47" s="182"/>
      <c r="AG47" s="182"/>
      <c r="AH47" s="309" t="e">
        <f t="shared" si="14"/>
        <v>#N/A</v>
      </c>
      <c r="AI47" s="681"/>
      <c r="AJ47" s="182"/>
      <c r="AK47" s="182"/>
      <c r="AL47" s="182"/>
      <c r="AM47" s="309" t="e">
        <f t="shared" si="15"/>
        <v>#N/A</v>
      </c>
      <c r="AN47" s="681"/>
      <c r="AO47" s="182"/>
      <c r="AP47" s="182"/>
      <c r="AQ47" s="182"/>
      <c r="AR47" s="309" t="e">
        <f t="shared" si="16"/>
        <v>#N/A</v>
      </c>
      <c r="AS47" s="681"/>
      <c r="AT47" s="182"/>
      <c r="AU47" s="182"/>
      <c r="AV47" s="182"/>
      <c r="AW47" s="309" t="e">
        <f t="shared" si="17"/>
        <v>#N/A</v>
      </c>
      <c r="AX47" s="681"/>
    </row>
    <row r="48" spans="2:54">
      <c r="B48" s="667"/>
      <c r="C48" s="309">
        <v>7</v>
      </c>
      <c r="D48" s="227"/>
      <c r="E48" s="182"/>
      <c r="F48" s="569"/>
      <c r="G48" s="570"/>
      <c r="H48" s="709"/>
      <c r="I48" s="199" t="e">
        <f t="shared" si="18"/>
        <v>#DIV/0!</v>
      </c>
      <c r="J48" s="199" t="e">
        <f t="shared" si="19"/>
        <v>#DIV/0!</v>
      </c>
      <c r="K48" s="200" t="e">
        <f t="shared" si="20"/>
        <v>#DIV/0!</v>
      </c>
      <c r="L48" s="641"/>
      <c r="M48" s="201" t="e">
        <f>RANK(K48, K$42:$K$71)</f>
        <v>#DIV/0!</v>
      </c>
      <c r="N48" s="659"/>
      <c r="O48" s="659"/>
      <c r="P48" s="182"/>
      <c r="Q48" s="182"/>
      <c r="R48" s="182"/>
      <c r="S48" s="309" t="e">
        <f t="shared" si="11"/>
        <v>#N/A</v>
      </c>
      <c r="T48" s="681"/>
      <c r="U48" s="182"/>
      <c r="V48" s="182"/>
      <c r="W48" s="182"/>
      <c r="X48" s="309" t="e">
        <f t="shared" si="12"/>
        <v>#N/A</v>
      </c>
      <c r="Y48" s="681"/>
      <c r="Z48" s="182"/>
      <c r="AA48" s="182"/>
      <c r="AB48" s="182"/>
      <c r="AC48" s="309" t="e">
        <f t="shared" si="13"/>
        <v>#N/A</v>
      </c>
      <c r="AD48" s="681"/>
      <c r="AE48" s="182"/>
      <c r="AF48" s="182"/>
      <c r="AG48" s="182"/>
      <c r="AH48" s="309" t="e">
        <f t="shared" si="14"/>
        <v>#N/A</v>
      </c>
      <c r="AI48" s="681"/>
      <c r="AJ48" s="182"/>
      <c r="AK48" s="182"/>
      <c r="AL48" s="182"/>
      <c r="AM48" s="309" t="e">
        <f t="shared" si="15"/>
        <v>#N/A</v>
      </c>
      <c r="AN48" s="681"/>
      <c r="AO48" s="182"/>
      <c r="AP48" s="182"/>
      <c r="AQ48" s="182"/>
      <c r="AR48" s="309" t="e">
        <f t="shared" si="16"/>
        <v>#N/A</v>
      </c>
      <c r="AS48" s="681"/>
      <c r="AT48" s="182"/>
      <c r="AU48" s="182"/>
      <c r="AV48" s="182"/>
      <c r="AW48" s="309" t="e">
        <f t="shared" si="17"/>
        <v>#N/A</v>
      </c>
      <c r="AX48" s="681"/>
    </row>
    <row r="49" spans="2:50">
      <c r="B49" s="667"/>
      <c r="C49" s="309">
        <v>8</v>
      </c>
      <c r="D49" s="227"/>
      <c r="E49" s="182"/>
      <c r="F49" s="569"/>
      <c r="G49" s="570"/>
      <c r="H49" s="709"/>
      <c r="I49" s="199" t="e">
        <f t="shared" si="18"/>
        <v>#DIV/0!</v>
      </c>
      <c r="J49" s="199" t="e">
        <f t="shared" si="19"/>
        <v>#DIV/0!</v>
      </c>
      <c r="K49" s="200" t="e">
        <f t="shared" si="20"/>
        <v>#DIV/0!</v>
      </c>
      <c r="L49" s="641"/>
      <c r="M49" s="201" t="e">
        <f>RANK(K49, K$42:$K$71)</f>
        <v>#DIV/0!</v>
      </c>
      <c r="N49" s="659"/>
      <c r="O49" s="659"/>
      <c r="P49" s="182"/>
      <c r="Q49" s="182"/>
      <c r="R49" s="182"/>
      <c r="S49" s="309" t="e">
        <f t="shared" si="11"/>
        <v>#N/A</v>
      </c>
      <c r="T49" s="681"/>
      <c r="U49" s="182"/>
      <c r="V49" s="182"/>
      <c r="W49" s="182"/>
      <c r="X49" s="309" t="e">
        <f t="shared" si="12"/>
        <v>#N/A</v>
      </c>
      <c r="Y49" s="681"/>
      <c r="Z49" s="182"/>
      <c r="AA49" s="182"/>
      <c r="AB49" s="182"/>
      <c r="AC49" s="309" t="e">
        <f t="shared" si="13"/>
        <v>#N/A</v>
      </c>
      <c r="AD49" s="681"/>
      <c r="AE49" s="182"/>
      <c r="AF49" s="182"/>
      <c r="AG49" s="182"/>
      <c r="AH49" s="309" t="e">
        <f t="shared" si="14"/>
        <v>#N/A</v>
      </c>
      <c r="AI49" s="681"/>
      <c r="AJ49" s="182"/>
      <c r="AK49" s="182"/>
      <c r="AL49" s="182"/>
      <c r="AM49" s="309" t="e">
        <f t="shared" si="15"/>
        <v>#N/A</v>
      </c>
      <c r="AN49" s="681"/>
      <c r="AO49" s="182"/>
      <c r="AP49" s="182"/>
      <c r="AQ49" s="182"/>
      <c r="AR49" s="309" t="e">
        <f t="shared" si="16"/>
        <v>#N/A</v>
      </c>
      <c r="AS49" s="681"/>
      <c r="AT49" s="182"/>
      <c r="AU49" s="182"/>
      <c r="AV49" s="182"/>
      <c r="AW49" s="309" t="e">
        <f t="shared" si="17"/>
        <v>#N/A</v>
      </c>
      <c r="AX49" s="681"/>
    </row>
    <row r="50" spans="2:50">
      <c r="B50" s="667"/>
      <c r="C50" s="309">
        <v>9</v>
      </c>
      <c r="D50" s="227"/>
      <c r="E50" s="182"/>
      <c r="F50" s="569"/>
      <c r="G50" s="570"/>
      <c r="H50" s="709"/>
      <c r="I50" s="199" t="e">
        <f t="shared" si="18"/>
        <v>#DIV/0!</v>
      </c>
      <c r="J50" s="199" t="e">
        <f t="shared" si="19"/>
        <v>#DIV/0!</v>
      </c>
      <c r="K50" s="200" t="e">
        <f t="shared" si="20"/>
        <v>#DIV/0!</v>
      </c>
      <c r="L50" s="641"/>
      <c r="M50" s="201" t="e">
        <f>RANK(K50, K$42:$K$71)</f>
        <v>#DIV/0!</v>
      </c>
      <c r="N50" s="659"/>
      <c r="O50" s="659"/>
      <c r="P50" s="182"/>
      <c r="Q50" s="182"/>
      <c r="R50" s="182"/>
      <c r="S50" s="309" t="e">
        <f t="shared" si="11"/>
        <v>#N/A</v>
      </c>
      <c r="T50" s="681"/>
      <c r="U50" s="182"/>
      <c r="V50" s="182"/>
      <c r="W50" s="182"/>
      <c r="X50" s="309" t="e">
        <f t="shared" si="12"/>
        <v>#N/A</v>
      </c>
      <c r="Y50" s="681"/>
      <c r="Z50" s="182"/>
      <c r="AA50" s="182"/>
      <c r="AB50" s="182"/>
      <c r="AC50" s="309" t="e">
        <f t="shared" si="13"/>
        <v>#N/A</v>
      </c>
      <c r="AD50" s="681"/>
      <c r="AE50" s="182"/>
      <c r="AF50" s="182"/>
      <c r="AG50" s="182"/>
      <c r="AH50" s="309" t="e">
        <f t="shared" si="14"/>
        <v>#N/A</v>
      </c>
      <c r="AI50" s="681"/>
      <c r="AJ50" s="182"/>
      <c r="AK50" s="182"/>
      <c r="AL50" s="182"/>
      <c r="AM50" s="309" t="e">
        <f t="shared" si="15"/>
        <v>#N/A</v>
      </c>
      <c r="AN50" s="681"/>
      <c r="AO50" s="182"/>
      <c r="AP50" s="182"/>
      <c r="AQ50" s="182"/>
      <c r="AR50" s="309" t="e">
        <f t="shared" si="16"/>
        <v>#N/A</v>
      </c>
      <c r="AS50" s="681"/>
      <c r="AT50" s="182"/>
      <c r="AU50" s="182"/>
      <c r="AV50" s="182"/>
      <c r="AW50" s="309" t="e">
        <f t="shared" si="17"/>
        <v>#N/A</v>
      </c>
      <c r="AX50" s="681"/>
    </row>
    <row r="51" spans="2:50">
      <c r="B51" s="667"/>
      <c r="C51" s="309">
        <v>10</v>
      </c>
      <c r="D51" s="227"/>
      <c r="E51" s="182"/>
      <c r="F51" s="569"/>
      <c r="G51" s="570"/>
      <c r="H51" s="709"/>
      <c r="I51" s="199" t="e">
        <f t="shared" si="18"/>
        <v>#DIV/0!</v>
      </c>
      <c r="J51" s="199" t="e">
        <f t="shared" si="19"/>
        <v>#DIV/0!</v>
      </c>
      <c r="K51" s="200" t="e">
        <f t="shared" si="20"/>
        <v>#DIV/0!</v>
      </c>
      <c r="L51" s="641"/>
      <c r="M51" s="201" t="e">
        <f>RANK(K51, K$42:$K$71)</f>
        <v>#DIV/0!</v>
      </c>
      <c r="N51" s="659"/>
      <c r="O51" s="659"/>
      <c r="P51" s="182"/>
      <c r="Q51" s="182"/>
      <c r="R51" s="182"/>
      <c r="S51" s="309" t="e">
        <f t="shared" si="11"/>
        <v>#N/A</v>
      </c>
      <c r="T51" s="681"/>
      <c r="U51" s="182"/>
      <c r="V51" s="182"/>
      <c r="W51" s="182"/>
      <c r="X51" s="309" t="e">
        <f t="shared" si="12"/>
        <v>#N/A</v>
      </c>
      <c r="Y51" s="681"/>
      <c r="Z51" s="182"/>
      <c r="AA51" s="182"/>
      <c r="AB51" s="182"/>
      <c r="AC51" s="309" t="e">
        <f t="shared" si="13"/>
        <v>#N/A</v>
      </c>
      <c r="AD51" s="681"/>
      <c r="AE51" s="182"/>
      <c r="AF51" s="182"/>
      <c r="AG51" s="182"/>
      <c r="AH51" s="309" t="e">
        <f t="shared" si="14"/>
        <v>#N/A</v>
      </c>
      <c r="AI51" s="681"/>
      <c r="AJ51" s="182"/>
      <c r="AK51" s="182"/>
      <c r="AL51" s="182"/>
      <c r="AM51" s="309" t="e">
        <f t="shared" si="15"/>
        <v>#N/A</v>
      </c>
      <c r="AN51" s="681"/>
      <c r="AO51" s="182"/>
      <c r="AP51" s="182"/>
      <c r="AQ51" s="182"/>
      <c r="AR51" s="309" t="e">
        <f t="shared" si="16"/>
        <v>#N/A</v>
      </c>
      <c r="AS51" s="681"/>
      <c r="AT51" s="182"/>
      <c r="AU51" s="182"/>
      <c r="AV51" s="182"/>
      <c r="AW51" s="309" t="e">
        <f t="shared" si="17"/>
        <v>#N/A</v>
      </c>
      <c r="AX51" s="681"/>
    </row>
    <row r="52" spans="2:50">
      <c r="B52" s="667"/>
      <c r="C52" s="309">
        <v>11</v>
      </c>
      <c r="D52" s="227"/>
      <c r="E52" s="182"/>
      <c r="F52" s="569"/>
      <c r="G52" s="570"/>
      <c r="H52" s="709"/>
      <c r="I52" s="199" t="e">
        <f t="shared" si="18"/>
        <v>#DIV/0!</v>
      </c>
      <c r="J52" s="199" t="e">
        <f t="shared" si="19"/>
        <v>#DIV/0!</v>
      </c>
      <c r="K52" s="200" t="e">
        <f t="shared" si="20"/>
        <v>#DIV/0!</v>
      </c>
      <c r="L52" s="641"/>
      <c r="M52" s="201" t="e">
        <f>RANK(K52, K$42:$K$71)</f>
        <v>#DIV/0!</v>
      </c>
      <c r="N52" s="659"/>
      <c r="O52" s="659"/>
      <c r="P52" s="182"/>
      <c r="Q52" s="182"/>
      <c r="R52" s="182"/>
      <c r="S52" s="309" t="e">
        <f t="shared" si="11"/>
        <v>#N/A</v>
      </c>
      <c r="T52" s="681"/>
      <c r="U52" s="182"/>
      <c r="V52" s="182"/>
      <c r="W52" s="182"/>
      <c r="X52" s="309" t="e">
        <f t="shared" si="12"/>
        <v>#N/A</v>
      </c>
      <c r="Y52" s="681"/>
      <c r="Z52" s="182"/>
      <c r="AA52" s="182"/>
      <c r="AB52" s="182"/>
      <c r="AC52" s="309" t="e">
        <f t="shared" si="13"/>
        <v>#N/A</v>
      </c>
      <c r="AD52" s="681"/>
      <c r="AE52" s="182"/>
      <c r="AF52" s="182"/>
      <c r="AG52" s="182"/>
      <c r="AH52" s="309" t="e">
        <f t="shared" si="14"/>
        <v>#N/A</v>
      </c>
      <c r="AI52" s="681"/>
      <c r="AJ52" s="182"/>
      <c r="AK52" s="182"/>
      <c r="AL52" s="182"/>
      <c r="AM52" s="309" t="e">
        <f t="shared" si="15"/>
        <v>#N/A</v>
      </c>
      <c r="AN52" s="681"/>
      <c r="AO52" s="182"/>
      <c r="AP52" s="182"/>
      <c r="AQ52" s="182"/>
      <c r="AR52" s="309" t="e">
        <f t="shared" si="16"/>
        <v>#N/A</v>
      </c>
      <c r="AS52" s="681"/>
      <c r="AT52" s="182"/>
      <c r="AU52" s="182"/>
      <c r="AV52" s="182"/>
      <c r="AW52" s="309" t="e">
        <f t="shared" si="17"/>
        <v>#N/A</v>
      </c>
      <c r="AX52" s="681"/>
    </row>
    <row r="53" spans="2:50">
      <c r="B53" s="667"/>
      <c r="C53" s="309">
        <v>12</v>
      </c>
      <c r="D53" s="227"/>
      <c r="E53" s="182"/>
      <c r="F53" s="569"/>
      <c r="G53" s="570"/>
      <c r="H53" s="709"/>
      <c r="I53" s="199" t="e">
        <f t="shared" si="18"/>
        <v>#DIV/0!</v>
      </c>
      <c r="J53" s="199" t="e">
        <f t="shared" si="19"/>
        <v>#DIV/0!</v>
      </c>
      <c r="K53" s="200" t="e">
        <f t="shared" si="20"/>
        <v>#DIV/0!</v>
      </c>
      <c r="L53" s="641"/>
      <c r="M53" s="201" t="e">
        <f>RANK(K53, K$42:$K$71)</f>
        <v>#DIV/0!</v>
      </c>
      <c r="N53" s="659"/>
      <c r="O53" s="659"/>
      <c r="P53" s="182"/>
      <c r="Q53" s="182"/>
      <c r="R53" s="182"/>
      <c r="S53" s="309" t="e">
        <f t="shared" si="11"/>
        <v>#N/A</v>
      </c>
      <c r="T53" s="681"/>
      <c r="U53" s="182"/>
      <c r="V53" s="182"/>
      <c r="W53" s="182"/>
      <c r="X53" s="309" t="e">
        <f t="shared" si="12"/>
        <v>#N/A</v>
      </c>
      <c r="Y53" s="681"/>
      <c r="Z53" s="182"/>
      <c r="AA53" s="182"/>
      <c r="AB53" s="182"/>
      <c r="AC53" s="309" t="e">
        <f t="shared" si="13"/>
        <v>#N/A</v>
      </c>
      <c r="AD53" s="681"/>
      <c r="AE53" s="182"/>
      <c r="AF53" s="182"/>
      <c r="AG53" s="182"/>
      <c r="AH53" s="309" t="e">
        <f t="shared" si="14"/>
        <v>#N/A</v>
      </c>
      <c r="AI53" s="681"/>
      <c r="AJ53" s="182"/>
      <c r="AK53" s="182"/>
      <c r="AL53" s="182"/>
      <c r="AM53" s="309" t="e">
        <f t="shared" si="15"/>
        <v>#N/A</v>
      </c>
      <c r="AN53" s="681"/>
      <c r="AO53" s="182"/>
      <c r="AP53" s="182"/>
      <c r="AQ53" s="182"/>
      <c r="AR53" s="309" t="e">
        <f t="shared" si="16"/>
        <v>#N/A</v>
      </c>
      <c r="AS53" s="681"/>
      <c r="AT53" s="182"/>
      <c r="AU53" s="182"/>
      <c r="AV53" s="182"/>
      <c r="AW53" s="309" t="e">
        <f t="shared" si="17"/>
        <v>#N/A</v>
      </c>
      <c r="AX53" s="681"/>
    </row>
    <row r="54" spans="2:50">
      <c r="B54" s="667"/>
      <c r="C54" s="309">
        <v>13</v>
      </c>
      <c r="D54" s="227"/>
      <c r="E54" s="182"/>
      <c r="F54" s="569"/>
      <c r="G54" s="570"/>
      <c r="H54" s="709"/>
      <c r="I54" s="199" t="e">
        <f t="shared" si="18"/>
        <v>#DIV/0!</v>
      </c>
      <c r="J54" s="199" t="e">
        <f t="shared" si="19"/>
        <v>#DIV/0!</v>
      </c>
      <c r="K54" s="200" t="e">
        <f t="shared" si="20"/>
        <v>#DIV/0!</v>
      </c>
      <c r="L54" s="641"/>
      <c r="M54" s="201" t="e">
        <f>RANK(K54, K$42:$K$71)</f>
        <v>#DIV/0!</v>
      </c>
      <c r="N54" s="659"/>
      <c r="O54" s="659"/>
      <c r="P54" s="182"/>
      <c r="Q54" s="182"/>
      <c r="R54" s="182"/>
      <c r="S54" s="309" t="e">
        <f t="shared" si="11"/>
        <v>#N/A</v>
      </c>
      <c r="T54" s="681"/>
      <c r="U54" s="182"/>
      <c r="V54" s="182"/>
      <c r="W54" s="182"/>
      <c r="X54" s="309" t="e">
        <f t="shared" si="12"/>
        <v>#N/A</v>
      </c>
      <c r="Y54" s="681"/>
      <c r="Z54" s="182"/>
      <c r="AA54" s="182"/>
      <c r="AB54" s="182"/>
      <c r="AC54" s="309" t="e">
        <f t="shared" si="13"/>
        <v>#N/A</v>
      </c>
      <c r="AD54" s="681"/>
      <c r="AE54" s="182"/>
      <c r="AF54" s="182"/>
      <c r="AG54" s="182"/>
      <c r="AH54" s="309" t="e">
        <f t="shared" si="14"/>
        <v>#N/A</v>
      </c>
      <c r="AI54" s="681"/>
      <c r="AJ54" s="182"/>
      <c r="AK54" s="182"/>
      <c r="AL54" s="182"/>
      <c r="AM54" s="309" t="e">
        <f t="shared" si="15"/>
        <v>#N/A</v>
      </c>
      <c r="AN54" s="681"/>
      <c r="AO54" s="182"/>
      <c r="AP54" s="182"/>
      <c r="AQ54" s="182"/>
      <c r="AR54" s="309" t="e">
        <f t="shared" si="16"/>
        <v>#N/A</v>
      </c>
      <c r="AS54" s="681"/>
      <c r="AT54" s="182"/>
      <c r="AU54" s="182"/>
      <c r="AV54" s="182"/>
      <c r="AW54" s="309" t="e">
        <f t="shared" si="17"/>
        <v>#N/A</v>
      </c>
      <c r="AX54" s="681"/>
    </row>
    <row r="55" spans="2:50">
      <c r="B55" s="667"/>
      <c r="C55" s="309">
        <v>14</v>
      </c>
      <c r="D55" s="227"/>
      <c r="E55" s="182"/>
      <c r="F55" s="569"/>
      <c r="G55" s="570"/>
      <c r="H55" s="709"/>
      <c r="I55" s="199" t="e">
        <f t="shared" si="18"/>
        <v>#DIV/0!</v>
      </c>
      <c r="J55" s="199" t="e">
        <f t="shared" si="19"/>
        <v>#DIV/0!</v>
      </c>
      <c r="K55" s="200" t="e">
        <f t="shared" si="20"/>
        <v>#DIV/0!</v>
      </c>
      <c r="L55" s="641"/>
      <c r="M55" s="201" t="e">
        <f>RANK(K55, K$42:$K$71)</f>
        <v>#DIV/0!</v>
      </c>
      <c r="N55" s="659"/>
      <c r="O55" s="659"/>
      <c r="P55" s="182"/>
      <c r="Q55" s="182"/>
      <c r="R55" s="182"/>
      <c r="S55" s="309" t="e">
        <f t="shared" si="11"/>
        <v>#N/A</v>
      </c>
      <c r="T55" s="681"/>
      <c r="U55" s="182"/>
      <c r="V55" s="182"/>
      <c r="W55" s="182"/>
      <c r="X55" s="309" t="e">
        <f t="shared" si="12"/>
        <v>#N/A</v>
      </c>
      <c r="Y55" s="681"/>
      <c r="Z55" s="182"/>
      <c r="AA55" s="182"/>
      <c r="AB55" s="182"/>
      <c r="AC55" s="309" t="e">
        <f t="shared" si="13"/>
        <v>#N/A</v>
      </c>
      <c r="AD55" s="681"/>
      <c r="AE55" s="182"/>
      <c r="AF55" s="182"/>
      <c r="AG55" s="182"/>
      <c r="AH55" s="309" t="e">
        <f t="shared" si="14"/>
        <v>#N/A</v>
      </c>
      <c r="AI55" s="681"/>
      <c r="AJ55" s="182"/>
      <c r="AK55" s="182"/>
      <c r="AL55" s="182"/>
      <c r="AM55" s="309" t="e">
        <f t="shared" si="15"/>
        <v>#N/A</v>
      </c>
      <c r="AN55" s="681"/>
      <c r="AO55" s="182"/>
      <c r="AP55" s="182"/>
      <c r="AQ55" s="182"/>
      <c r="AR55" s="309" t="e">
        <f t="shared" si="16"/>
        <v>#N/A</v>
      </c>
      <c r="AS55" s="681"/>
      <c r="AT55" s="182"/>
      <c r="AU55" s="182"/>
      <c r="AV55" s="182"/>
      <c r="AW55" s="309" t="e">
        <f t="shared" si="17"/>
        <v>#N/A</v>
      </c>
      <c r="AX55" s="681"/>
    </row>
    <row r="56" spans="2:50">
      <c r="B56" s="667"/>
      <c r="C56" s="309">
        <v>15</v>
      </c>
      <c r="D56" s="227"/>
      <c r="E56" s="182"/>
      <c r="F56" s="569"/>
      <c r="G56" s="570"/>
      <c r="H56" s="709"/>
      <c r="I56" s="199" t="e">
        <f t="shared" si="18"/>
        <v>#DIV/0!</v>
      </c>
      <c r="J56" s="199" t="e">
        <f t="shared" si="19"/>
        <v>#DIV/0!</v>
      </c>
      <c r="K56" s="200" t="e">
        <f t="shared" si="20"/>
        <v>#DIV/0!</v>
      </c>
      <c r="L56" s="641"/>
      <c r="M56" s="199" t="e">
        <f>RANK(K56, K$42:$K$71)</f>
        <v>#DIV/0!</v>
      </c>
      <c r="N56" s="659"/>
      <c r="O56" s="659"/>
      <c r="P56" s="182"/>
      <c r="Q56" s="182"/>
      <c r="R56" s="182"/>
      <c r="S56" s="309" t="e">
        <f t="shared" si="11"/>
        <v>#N/A</v>
      </c>
      <c r="T56" s="681"/>
      <c r="U56" s="182"/>
      <c r="V56" s="182"/>
      <c r="W56" s="182"/>
      <c r="X56" s="309" t="e">
        <f t="shared" si="12"/>
        <v>#N/A</v>
      </c>
      <c r="Y56" s="681"/>
      <c r="Z56" s="182"/>
      <c r="AA56" s="182"/>
      <c r="AB56" s="182"/>
      <c r="AC56" s="309" t="e">
        <f t="shared" si="13"/>
        <v>#N/A</v>
      </c>
      <c r="AD56" s="681"/>
      <c r="AE56" s="182"/>
      <c r="AF56" s="182"/>
      <c r="AG56" s="182"/>
      <c r="AH56" s="309" t="e">
        <f t="shared" si="14"/>
        <v>#N/A</v>
      </c>
      <c r="AI56" s="681"/>
      <c r="AJ56" s="182"/>
      <c r="AK56" s="182"/>
      <c r="AL56" s="182"/>
      <c r="AM56" s="309" t="e">
        <f t="shared" si="15"/>
        <v>#N/A</v>
      </c>
      <c r="AN56" s="681"/>
      <c r="AO56" s="182"/>
      <c r="AP56" s="182"/>
      <c r="AQ56" s="182"/>
      <c r="AR56" s="309" t="e">
        <f t="shared" si="16"/>
        <v>#N/A</v>
      </c>
      <c r="AS56" s="681"/>
      <c r="AT56" s="182"/>
      <c r="AU56" s="182"/>
      <c r="AV56" s="182"/>
      <c r="AW56" s="309" t="e">
        <f t="shared" si="17"/>
        <v>#N/A</v>
      </c>
      <c r="AX56" s="681"/>
    </row>
    <row r="57" spans="2:50">
      <c r="B57" s="667"/>
      <c r="C57" s="309">
        <v>16</v>
      </c>
      <c r="D57" s="227"/>
      <c r="E57" s="182"/>
      <c r="F57" s="569"/>
      <c r="G57" s="570"/>
      <c r="H57" s="709"/>
      <c r="I57" s="199" t="e">
        <f t="shared" si="18"/>
        <v>#DIV/0!</v>
      </c>
      <c r="J57" s="199" t="e">
        <f t="shared" si="19"/>
        <v>#DIV/0!</v>
      </c>
      <c r="K57" s="200" t="e">
        <f t="shared" si="20"/>
        <v>#DIV/0!</v>
      </c>
      <c r="L57" s="641"/>
      <c r="M57" s="199" t="e">
        <f>RANK(K57, K$42:$K$71)</f>
        <v>#DIV/0!</v>
      </c>
      <c r="N57" s="659"/>
      <c r="O57" s="659"/>
      <c r="P57" s="182"/>
      <c r="Q57" s="182"/>
      <c r="R57" s="182"/>
      <c r="S57" s="309" t="e">
        <f t="shared" si="11"/>
        <v>#N/A</v>
      </c>
      <c r="T57" s="681"/>
      <c r="U57" s="182"/>
      <c r="V57" s="182"/>
      <c r="W57" s="182"/>
      <c r="X57" s="309" t="e">
        <f t="shared" si="12"/>
        <v>#N/A</v>
      </c>
      <c r="Y57" s="681"/>
      <c r="Z57" s="182"/>
      <c r="AA57" s="182"/>
      <c r="AB57" s="182"/>
      <c r="AC57" s="309" t="e">
        <f t="shared" si="13"/>
        <v>#N/A</v>
      </c>
      <c r="AD57" s="681"/>
      <c r="AE57" s="182"/>
      <c r="AF57" s="182"/>
      <c r="AG57" s="182"/>
      <c r="AH57" s="309" t="e">
        <f t="shared" si="14"/>
        <v>#N/A</v>
      </c>
      <c r="AI57" s="681"/>
      <c r="AJ57" s="182"/>
      <c r="AK57" s="182"/>
      <c r="AL57" s="182"/>
      <c r="AM57" s="309" t="e">
        <f t="shared" si="15"/>
        <v>#N/A</v>
      </c>
      <c r="AN57" s="681"/>
      <c r="AO57" s="182"/>
      <c r="AP57" s="182"/>
      <c r="AQ57" s="182"/>
      <c r="AR57" s="309" t="e">
        <f t="shared" si="16"/>
        <v>#N/A</v>
      </c>
      <c r="AS57" s="681"/>
      <c r="AT57" s="182"/>
      <c r="AU57" s="182"/>
      <c r="AV57" s="182"/>
      <c r="AW57" s="309" t="e">
        <f t="shared" si="17"/>
        <v>#N/A</v>
      </c>
      <c r="AX57" s="681"/>
    </row>
    <row r="58" spans="2:50">
      <c r="B58" s="667"/>
      <c r="C58" s="309">
        <v>17</v>
      </c>
      <c r="D58" s="227"/>
      <c r="E58" s="182"/>
      <c r="F58" s="569"/>
      <c r="G58" s="570"/>
      <c r="H58" s="709"/>
      <c r="I58" s="199" t="e">
        <f t="shared" si="18"/>
        <v>#DIV/0!</v>
      </c>
      <c r="J58" s="199" t="e">
        <f t="shared" si="19"/>
        <v>#DIV/0!</v>
      </c>
      <c r="K58" s="200" t="e">
        <f t="shared" si="20"/>
        <v>#DIV/0!</v>
      </c>
      <c r="L58" s="641"/>
      <c r="M58" s="199" t="e">
        <f>RANK(K58, K$42:$K$71)</f>
        <v>#DIV/0!</v>
      </c>
      <c r="N58" s="659"/>
      <c r="O58" s="659"/>
      <c r="P58" s="182"/>
      <c r="Q58" s="182"/>
      <c r="R58" s="182"/>
      <c r="S58" s="309" t="e">
        <f t="shared" si="11"/>
        <v>#N/A</v>
      </c>
      <c r="T58" s="681"/>
      <c r="U58" s="182"/>
      <c r="V58" s="182"/>
      <c r="W58" s="182"/>
      <c r="X58" s="309" t="e">
        <f t="shared" si="12"/>
        <v>#N/A</v>
      </c>
      <c r="Y58" s="681"/>
      <c r="Z58" s="182"/>
      <c r="AA58" s="182"/>
      <c r="AB58" s="182"/>
      <c r="AC58" s="309" t="e">
        <f t="shared" si="13"/>
        <v>#N/A</v>
      </c>
      <c r="AD58" s="681"/>
      <c r="AE58" s="182"/>
      <c r="AF58" s="182"/>
      <c r="AG58" s="182"/>
      <c r="AH58" s="309" t="e">
        <f t="shared" si="14"/>
        <v>#N/A</v>
      </c>
      <c r="AI58" s="681"/>
      <c r="AJ58" s="182"/>
      <c r="AK58" s="182"/>
      <c r="AL58" s="182"/>
      <c r="AM58" s="309" t="e">
        <f t="shared" si="15"/>
        <v>#N/A</v>
      </c>
      <c r="AN58" s="681"/>
      <c r="AO58" s="182"/>
      <c r="AP58" s="182"/>
      <c r="AQ58" s="182"/>
      <c r="AR58" s="309" t="e">
        <f t="shared" si="16"/>
        <v>#N/A</v>
      </c>
      <c r="AS58" s="681"/>
      <c r="AT58" s="182"/>
      <c r="AU58" s="182"/>
      <c r="AV58" s="182"/>
      <c r="AW58" s="309" t="e">
        <f t="shared" si="17"/>
        <v>#N/A</v>
      </c>
      <c r="AX58" s="681"/>
    </row>
    <row r="59" spans="2:50">
      <c r="B59" s="667"/>
      <c r="C59" s="309">
        <v>18</v>
      </c>
      <c r="D59" s="227"/>
      <c r="E59" s="182"/>
      <c r="F59" s="569"/>
      <c r="G59" s="570"/>
      <c r="H59" s="709"/>
      <c r="I59" s="199" t="e">
        <f t="shared" si="18"/>
        <v>#DIV/0!</v>
      </c>
      <c r="J59" s="199" t="e">
        <f t="shared" si="19"/>
        <v>#DIV/0!</v>
      </c>
      <c r="K59" s="200" t="e">
        <f t="shared" si="20"/>
        <v>#DIV/0!</v>
      </c>
      <c r="L59" s="641"/>
      <c r="M59" s="199" t="e">
        <f>RANK(K59, K$42:$K$71)</f>
        <v>#DIV/0!</v>
      </c>
      <c r="N59" s="659"/>
      <c r="O59" s="659"/>
      <c r="P59" s="182"/>
      <c r="Q59" s="182"/>
      <c r="R59" s="182"/>
      <c r="S59" s="309" t="e">
        <f t="shared" si="11"/>
        <v>#N/A</v>
      </c>
      <c r="T59" s="681"/>
      <c r="U59" s="182"/>
      <c r="V59" s="182"/>
      <c r="W59" s="182"/>
      <c r="X59" s="309" t="e">
        <f t="shared" si="12"/>
        <v>#N/A</v>
      </c>
      <c r="Y59" s="681"/>
      <c r="Z59" s="182"/>
      <c r="AA59" s="182"/>
      <c r="AB59" s="182"/>
      <c r="AC59" s="309" t="e">
        <f t="shared" si="13"/>
        <v>#N/A</v>
      </c>
      <c r="AD59" s="681"/>
      <c r="AE59" s="182"/>
      <c r="AF59" s="182"/>
      <c r="AG59" s="182"/>
      <c r="AH59" s="309" t="e">
        <f t="shared" si="14"/>
        <v>#N/A</v>
      </c>
      <c r="AI59" s="681"/>
      <c r="AJ59" s="182"/>
      <c r="AK59" s="182"/>
      <c r="AL59" s="182"/>
      <c r="AM59" s="309" t="e">
        <f t="shared" si="15"/>
        <v>#N/A</v>
      </c>
      <c r="AN59" s="681"/>
      <c r="AO59" s="182"/>
      <c r="AP59" s="182"/>
      <c r="AQ59" s="182"/>
      <c r="AR59" s="309" t="e">
        <f t="shared" si="16"/>
        <v>#N/A</v>
      </c>
      <c r="AS59" s="681"/>
      <c r="AT59" s="182"/>
      <c r="AU59" s="182"/>
      <c r="AV59" s="182"/>
      <c r="AW59" s="309" t="e">
        <f t="shared" si="17"/>
        <v>#N/A</v>
      </c>
      <c r="AX59" s="681"/>
    </row>
    <row r="60" spans="2:50">
      <c r="B60" s="667"/>
      <c r="C60" s="309">
        <v>19</v>
      </c>
      <c r="D60" s="227"/>
      <c r="E60" s="182"/>
      <c r="F60" s="569"/>
      <c r="G60" s="570"/>
      <c r="H60" s="709"/>
      <c r="I60" s="199" t="e">
        <f t="shared" si="18"/>
        <v>#DIV/0!</v>
      </c>
      <c r="J60" s="199" t="e">
        <f t="shared" si="19"/>
        <v>#DIV/0!</v>
      </c>
      <c r="K60" s="200" t="e">
        <f t="shared" si="20"/>
        <v>#DIV/0!</v>
      </c>
      <c r="L60" s="641"/>
      <c r="M60" s="199" t="e">
        <f>RANK(K60, K$42:$K$71)</f>
        <v>#DIV/0!</v>
      </c>
      <c r="N60" s="659"/>
      <c r="O60" s="659"/>
      <c r="P60" s="182"/>
      <c r="Q60" s="182"/>
      <c r="R60" s="182"/>
      <c r="S60" s="309" t="e">
        <f t="shared" si="11"/>
        <v>#N/A</v>
      </c>
      <c r="T60" s="681"/>
      <c r="U60" s="182"/>
      <c r="V60" s="182"/>
      <c r="W60" s="182"/>
      <c r="X60" s="309" t="e">
        <f t="shared" si="12"/>
        <v>#N/A</v>
      </c>
      <c r="Y60" s="681"/>
      <c r="Z60" s="182"/>
      <c r="AA60" s="182"/>
      <c r="AB60" s="182"/>
      <c r="AC60" s="309" t="e">
        <f t="shared" si="13"/>
        <v>#N/A</v>
      </c>
      <c r="AD60" s="681"/>
      <c r="AE60" s="182"/>
      <c r="AF60" s="182"/>
      <c r="AG60" s="182"/>
      <c r="AH60" s="309" t="e">
        <f t="shared" si="14"/>
        <v>#N/A</v>
      </c>
      <c r="AI60" s="681"/>
      <c r="AJ60" s="182"/>
      <c r="AK60" s="182"/>
      <c r="AL60" s="182"/>
      <c r="AM60" s="309" t="e">
        <f t="shared" si="15"/>
        <v>#N/A</v>
      </c>
      <c r="AN60" s="681"/>
      <c r="AO60" s="182"/>
      <c r="AP60" s="182"/>
      <c r="AQ60" s="182"/>
      <c r="AR60" s="309" t="e">
        <f t="shared" si="16"/>
        <v>#N/A</v>
      </c>
      <c r="AS60" s="681"/>
      <c r="AT60" s="182"/>
      <c r="AU60" s="182"/>
      <c r="AV60" s="182"/>
      <c r="AW60" s="309" t="e">
        <f t="shared" si="17"/>
        <v>#N/A</v>
      </c>
      <c r="AX60" s="681"/>
    </row>
    <row r="61" spans="2:50">
      <c r="B61" s="667"/>
      <c r="C61" s="309">
        <v>20</v>
      </c>
      <c r="D61" s="227"/>
      <c r="E61" s="182"/>
      <c r="F61" s="569"/>
      <c r="G61" s="570"/>
      <c r="H61" s="709"/>
      <c r="I61" s="199" t="e">
        <f t="shared" si="18"/>
        <v>#DIV/0!</v>
      </c>
      <c r="J61" s="199" t="e">
        <f t="shared" si="19"/>
        <v>#DIV/0!</v>
      </c>
      <c r="K61" s="200" t="e">
        <f t="shared" si="20"/>
        <v>#DIV/0!</v>
      </c>
      <c r="L61" s="641"/>
      <c r="M61" s="199" t="e">
        <f>RANK(K61, K$42:$K$71)</f>
        <v>#DIV/0!</v>
      </c>
      <c r="N61" s="659"/>
      <c r="O61" s="659"/>
      <c r="P61" s="182"/>
      <c r="Q61" s="182"/>
      <c r="R61" s="182"/>
      <c r="S61" s="309" t="e">
        <f t="shared" si="11"/>
        <v>#N/A</v>
      </c>
      <c r="T61" s="681"/>
      <c r="U61" s="182"/>
      <c r="V61" s="182"/>
      <c r="W61" s="182"/>
      <c r="X61" s="309" t="e">
        <f t="shared" si="12"/>
        <v>#N/A</v>
      </c>
      <c r="Y61" s="681"/>
      <c r="Z61" s="182"/>
      <c r="AA61" s="182"/>
      <c r="AB61" s="182"/>
      <c r="AC61" s="309" t="e">
        <f t="shared" si="13"/>
        <v>#N/A</v>
      </c>
      <c r="AD61" s="681"/>
      <c r="AE61" s="182"/>
      <c r="AF61" s="182"/>
      <c r="AG61" s="182"/>
      <c r="AH61" s="309" t="e">
        <f t="shared" si="14"/>
        <v>#N/A</v>
      </c>
      <c r="AI61" s="681"/>
      <c r="AJ61" s="182"/>
      <c r="AK61" s="182"/>
      <c r="AL61" s="182"/>
      <c r="AM61" s="309" t="e">
        <f t="shared" si="15"/>
        <v>#N/A</v>
      </c>
      <c r="AN61" s="681"/>
      <c r="AO61" s="182"/>
      <c r="AP61" s="182"/>
      <c r="AQ61" s="182"/>
      <c r="AR61" s="309" t="e">
        <f t="shared" si="16"/>
        <v>#N/A</v>
      </c>
      <c r="AS61" s="681"/>
      <c r="AT61" s="182"/>
      <c r="AU61" s="182"/>
      <c r="AV61" s="182"/>
      <c r="AW61" s="309" t="e">
        <f t="shared" si="17"/>
        <v>#N/A</v>
      </c>
      <c r="AX61" s="681"/>
    </row>
    <row r="62" spans="2:50">
      <c r="B62" s="667"/>
      <c r="C62" s="309">
        <v>21</v>
      </c>
      <c r="D62" s="227"/>
      <c r="E62" s="182"/>
      <c r="F62" s="569"/>
      <c r="G62" s="570"/>
      <c r="H62" s="709"/>
      <c r="I62" s="199" t="e">
        <f t="shared" si="18"/>
        <v>#DIV/0!</v>
      </c>
      <c r="J62" s="199" t="e">
        <f t="shared" si="19"/>
        <v>#DIV/0!</v>
      </c>
      <c r="K62" s="200" t="e">
        <f t="shared" si="20"/>
        <v>#DIV/0!</v>
      </c>
      <c r="L62" s="641"/>
      <c r="M62" s="199" t="e">
        <f>RANK(K62, K$42:$K$71)</f>
        <v>#DIV/0!</v>
      </c>
      <c r="N62" s="659"/>
      <c r="O62" s="659"/>
      <c r="P62" s="182"/>
      <c r="Q62" s="182"/>
      <c r="R62" s="182"/>
      <c r="S62" s="309" t="e">
        <f t="shared" si="11"/>
        <v>#N/A</v>
      </c>
      <c r="T62" s="681"/>
      <c r="U62" s="182"/>
      <c r="V62" s="182"/>
      <c r="W62" s="182"/>
      <c r="X62" s="309" t="e">
        <f t="shared" si="12"/>
        <v>#N/A</v>
      </c>
      <c r="Y62" s="681"/>
      <c r="Z62" s="182"/>
      <c r="AA62" s="182"/>
      <c r="AB62" s="182"/>
      <c r="AC62" s="309" t="e">
        <f t="shared" si="13"/>
        <v>#N/A</v>
      </c>
      <c r="AD62" s="681"/>
      <c r="AE62" s="182"/>
      <c r="AF62" s="182"/>
      <c r="AG62" s="182"/>
      <c r="AH62" s="309" t="e">
        <f t="shared" si="14"/>
        <v>#N/A</v>
      </c>
      <c r="AI62" s="681"/>
      <c r="AJ62" s="182"/>
      <c r="AK62" s="182"/>
      <c r="AL62" s="182"/>
      <c r="AM62" s="309" t="e">
        <f t="shared" si="15"/>
        <v>#N/A</v>
      </c>
      <c r="AN62" s="681"/>
      <c r="AO62" s="182"/>
      <c r="AP62" s="182"/>
      <c r="AQ62" s="182"/>
      <c r="AR62" s="309" t="e">
        <f t="shared" si="16"/>
        <v>#N/A</v>
      </c>
      <c r="AS62" s="681"/>
      <c r="AT62" s="182"/>
      <c r="AU62" s="182"/>
      <c r="AV62" s="182"/>
      <c r="AW62" s="309" t="e">
        <f t="shared" si="17"/>
        <v>#N/A</v>
      </c>
      <c r="AX62" s="681"/>
    </row>
    <row r="63" spans="2:50">
      <c r="B63" s="667"/>
      <c r="C63" s="309">
        <v>22</v>
      </c>
      <c r="D63" s="227"/>
      <c r="E63" s="182"/>
      <c r="F63" s="569"/>
      <c r="G63" s="570"/>
      <c r="H63" s="709"/>
      <c r="I63" s="199" t="e">
        <f t="shared" si="18"/>
        <v>#DIV/0!</v>
      </c>
      <c r="J63" s="199" t="e">
        <f t="shared" si="19"/>
        <v>#DIV/0!</v>
      </c>
      <c r="K63" s="200" t="e">
        <f t="shared" si="20"/>
        <v>#DIV/0!</v>
      </c>
      <c r="L63" s="641"/>
      <c r="M63" s="199" t="e">
        <f>RANK(K63, K$42:$K$71)</f>
        <v>#DIV/0!</v>
      </c>
      <c r="N63" s="659"/>
      <c r="O63" s="659"/>
      <c r="P63" s="182"/>
      <c r="Q63" s="182"/>
      <c r="R63" s="182"/>
      <c r="S63" s="309" t="e">
        <f t="shared" si="11"/>
        <v>#N/A</v>
      </c>
      <c r="T63" s="681"/>
      <c r="U63" s="182"/>
      <c r="V63" s="182"/>
      <c r="W63" s="182"/>
      <c r="X63" s="309" t="e">
        <f t="shared" si="12"/>
        <v>#N/A</v>
      </c>
      <c r="Y63" s="681"/>
      <c r="Z63" s="182"/>
      <c r="AA63" s="182"/>
      <c r="AB63" s="182"/>
      <c r="AC63" s="309" t="e">
        <f t="shared" si="13"/>
        <v>#N/A</v>
      </c>
      <c r="AD63" s="681"/>
      <c r="AE63" s="182"/>
      <c r="AF63" s="182"/>
      <c r="AG63" s="182"/>
      <c r="AH63" s="309" t="e">
        <f t="shared" si="14"/>
        <v>#N/A</v>
      </c>
      <c r="AI63" s="681"/>
      <c r="AJ63" s="182"/>
      <c r="AK63" s="182"/>
      <c r="AL63" s="182"/>
      <c r="AM63" s="309" t="e">
        <f t="shared" si="15"/>
        <v>#N/A</v>
      </c>
      <c r="AN63" s="681"/>
      <c r="AO63" s="182"/>
      <c r="AP63" s="182"/>
      <c r="AQ63" s="182"/>
      <c r="AR63" s="309" t="e">
        <f t="shared" si="16"/>
        <v>#N/A</v>
      </c>
      <c r="AS63" s="681"/>
      <c r="AT63" s="182"/>
      <c r="AU63" s="182"/>
      <c r="AV63" s="182"/>
      <c r="AW63" s="309" t="e">
        <f t="shared" si="17"/>
        <v>#N/A</v>
      </c>
      <c r="AX63" s="681"/>
    </row>
    <row r="64" spans="2:50">
      <c r="B64" s="667"/>
      <c r="C64" s="309">
        <v>23</v>
      </c>
      <c r="D64" s="227"/>
      <c r="E64" s="182"/>
      <c r="F64" s="569"/>
      <c r="G64" s="570"/>
      <c r="H64" s="709"/>
      <c r="I64" s="199" t="e">
        <f t="shared" si="18"/>
        <v>#DIV/0!</v>
      </c>
      <c r="J64" s="199" t="e">
        <f t="shared" si="19"/>
        <v>#DIV/0!</v>
      </c>
      <c r="K64" s="200" t="e">
        <f t="shared" si="20"/>
        <v>#DIV/0!</v>
      </c>
      <c r="L64" s="641"/>
      <c r="M64" s="199" t="e">
        <f>RANK(K64, K$42:$K$71)</f>
        <v>#DIV/0!</v>
      </c>
      <c r="N64" s="659"/>
      <c r="O64" s="659"/>
      <c r="P64" s="182"/>
      <c r="Q64" s="182"/>
      <c r="R64" s="182"/>
      <c r="S64" s="309" t="e">
        <f t="shared" si="11"/>
        <v>#N/A</v>
      </c>
      <c r="T64" s="681"/>
      <c r="U64" s="182"/>
      <c r="V64" s="182"/>
      <c r="W64" s="182"/>
      <c r="X64" s="309" t="e">
        <f t="shared" si="12"/>
        <v>#N/A</v>
      </c>
      <c r="Y64" s="681"/>
      <c r="Z64" s="182"/>
      <c r="AA64" s="182"/>
      <c r="AB64" s="182"/>
      <c r="AC64" s="309" t="e">
        <f t="shared" si="13"/>
        <v>#N/A</v>
      </c>
      <c r="AD64" s="681"/>
      <c r="AE64" s="182"/>
      <c r="AF64" s="182"/>
      <c r="AG64" s="182"/>
      <c r="AH64" s="309" t="e">
        <f t="shared" si="14"/>
        <v>#N/A</v>
      </c>
      <c r="AI64" s="681"/>
      <c r="AJ64" s="182"/>
      <c r="AK64" s="182"/>
      <c r="AL64" s="182"/>
      <c r="AM64" s="309" t="e">
        <f t="shared" si="15"/>
        <v>#N/A</v>
      </c>
      <c r="AN64" s="681"/>
      <c r="AO64" s="182"/>
      <c r="AP64" s="182"/>
      <c r="AQ64" s="182"/>
      <c r="AR64" s="309" t="e">
        <f t="shared" si="16"/>
        <v>#N/A</v>
      </c>
      <c r="AS64" s="681"/>
      <c r="AT64" s="182"/>
      <c r="AU64" s="182"/>
      <c r="AV64" s="182"/>
      <c r="AW64" s="309" t="e">
        <f t="shared" si="17"/>
        <v>#N/A</v>
      </c>
      <c r="AX64" s="681"/>
    </row>
    <row r="65" spans="2:50">
      <c r="B65" s="667"/>
      <c r="C65" s="309">
        <v>24</v>
      </c>
      <c r="D65" s="227"/>
      <c r="E65" s="182"/>
      <c r="F65" s="569"/>
      <c r="G65" s="570"/>
      <c r="H65" s="709"/>
      <c r="I65" s="199" t="e">
        <f t="shared" si="18"/>
        <v>#DIV/0!</v>
      </c>
      <c r="J65" s="199" t="e">
        <f t="shared" si="19"/>
        <v>#DIV/0!</v>
      </c>
      <c r="K65" s="200" t="e">
        <f t="shared" si="20"/>
        <v>#DIV/0!</v>
      </c>
      <c r="L65" s="641"/>
      <c r="M65" s="199" t="e">
        <f>RANK(K65, K$42:$K$71)</f>
        <v>#DIV/0!</v>
      </c>
      <c r="N65" s="659"/>
      <c r="O65" s="659"/>
      <c r="P65" s="182"/>
      <c r="Q65" s="182"/>
      <c r="R65" s="182"/>
      <c r="S65" s="309" t="e">
        <f t="shared" si="11"/>
        <v>#N/A</v>
      </c>
      <c r="T65" s="681"/>
      <c r="U65" s="182"/>
      <c r="V65" s="182"/>
      <c r="W65" s="182"/>
      <c r="X65" s="309" t="e">
        <f t="shared" si="12"/>
        <v>#N/A</v>
      </c>
      <c r="Y65" s="681"/>
      <c r="Z65" s="182"/>
      <c r="AA65" s="182"/>
      <c r="AB65" s="182"/>
      <c r="AC65" s="309" t="e">
        <f t="shared" si="13"/>
        <v>#N/A</v>
      </c>
      <c r="AD65" s="681"/>
      <c r="AE65" s="182"/>
      <c r="AF65" s="182"/>
      <c r="AG65" s="182"/>
      <c r="AH65" s="309" t="e">
        <f t="shared" si="14"/>
        <v>#N/A</v>
      </c>
      <c r="AI65" s="681"/>
      <c r="AJ65" s="182"/>
      <c r="AK65" s="182"/>
      <c r="AL65" s="182"/>
      <c r="AM65" s="309" t="e">
        <f t="shared" si="15"/>
        <v>#N/A</v>
      </c>
      <c r="AN65" s="681"/>
      <c r="AO65" s="182"/>
      <c r="AP65" s="182"/>
      <c r="AQ65" s="182"/>
      <c r="AR65" s="309" t="e">
        <f t="shared" si="16"/>
        <v>#N/A</v>
      </c>
      <c r="AS65" s="681"/>
      <c r="AT65" s="182"/>
      <c r="AU65" s="182"/>
      <c r="AV65" s="182"/>
      <c r="AW65" s="309" t="e">
        <f t="shared" si="17"/>
        <v>#N/A</v>
      </c>
      <c r="AX65" s="681"/>
    </row>
    <row r="66" spans="2:50">
      <c r="B66" s="667"/>
      <c r="C66" s="309">
        <v>25</v>
      </c>
      <c r="D66" s="227"/>
      <c r="E66" s="182"/>
      <c r="F66" s="569"/>
      <c r="G66" s="570"/>
      <c r="H66" s="709"/>
      <c r="I66" s="477" t="e">
        <f t="shared" ref="I66:I68" si="21">AVERAGE(P66,U66,Z66,AE66,AJ66,AO66,AT66)</f>
        <v>#DIV/0!</v>
      </c>
      <c r="J66" s="477" t="e">
        <f t="shared" ref="J66:J68" si="22">AVERAGE(Q66,V66,AA66,AF66,AK66,AP66,AU66)</f>
        <v>#DIV/0!</v>
      </c>
      <c r="K66" s="200" t="e">
        <f t="shared" ref="K66:K68" si="23">AVERAGE(R66,W66,AB66,AG66,AL66,AQ66,AV66)</f>
        <v>#DIV/0!</v>
      </c>
      <c r="L66" s="641"/>
      <c r="M66" s="199" t="e">
        <f>RANK(K66, K$42:$K$71)</f>
        <v>#DIV/0!</v>
      </c>
      <c r="N66" s="659"/>
      <c r="O66" s="659"/>
      <c r="P66" s="182"/>
      <c r="Q66" s="182"/>
      <c r="R66" s="182"/>
      <c r="S66" s="309" t="e">
        <f t="shared" si="11"/>
        <v>#N/A</v>
      </c>
      <c r="T66" s="681"/>
      <c r="U66" s="182"/>
      <c r="V66" s="182"/>
      <c r="W66" s="182"/>
      <c r="X66" s="309" t="e">
        <f t="shared" si="12"/>
        <v>#N/A</v>
      </c>
      <c r="Y66" s="681"/>
      <c r="Z66" s="182"/>
      <c r="AA66" s="182"/>
      <c r="AB66" s="182"/>
      <c r="AC66" s="309" t="e">
        <f t="shared" si="13"/>
        <v>#N/A</v>
      </c>
      <c r="AD66" s="681"/>
      <c r="AE66" s="182"/>
      <c r="AF66" s="182"/>
      <c r="AG66" s="182"/>
      <c r="AH66" s="309" t="e">
        <f t="shared" si="14"/>
        <v>#N/A</v>
      </c>
      <c r="AI66" s="681"/>
      <c r="AJ66" s="182"/>
      <c r="AK66" s="182"/>
      <c r="AL66" s="182"/>
      <c r="AM66" s="309" t="e">
        <f t="shared" si="15"/>
        <v>#N/A</v>
      </c>
      <c r="AN66" s="681"/>
      <c r="AO66" s="182"/>
      <c r="AP66" s="182"/>
      <c r="AQ66" s="182"/>
      <c r="AR66" s="309" t="e">
        <f t="shared" si="16"/>
        <v>#N/A</v>
      </c>
      <c r="AS66" s="681"/>
      <c r="AT66" s="182"/>
      <c r="AU66" s="182"/>
      <c r="AV66" s="182"/>
      <c r="AW66" s="309" t="e">
        <f t="shared" si="17"/>
        <v>#N/A</v>
      </c>
      <c r="AX66" s="681"/>
    </row>
    <row r="67" spans="2:50">
      <c r="B67" s="667"/>
      <c r="C67" s="309">
        <v>26</v>
      </c>
      <c r="D67" s="227"/>
      <c r="E67" s="182"/>
      <c r="F67" s="569"/>
      <c r="G67" s="570"/>
      <c r="H67" s="709"/>
      <c r="I67" s="477" t="e">
        <f t="shared" si="21"/>
        <v>#DIV/0!</v>
      </c>
      <c r="J67" s="477" t="e">
        <f t="shared" si="22"/>
        <v>#DIV/0!</v>
      </c>
      <c r="K67" s="200" t="e">
        <f t="shared" si="23"/>
        <v>#DIV/0!</v>
      </c>
      <c r="L67" s="641"/>
      <c r="M67" s="199" t="e">
        <f>RANK(K67, K$42:$K$71)</f>
        <v>#DIV/0!</v>
      </c>
      <c r="N67" s="659"/>
      <c r="O67" s="659"/>
      <c r="P67" s="182"/>
      <c r="Q67" s="182"/>
      <c r="R67" s="182"/>
      <c r="S67" s="309" t="e">
        <f t="shared" si="11"/>
        <v>#N/A</v>
      </c>
      <c r="T67" s="681"/>
      <c r="U67" s="182"/>
      <c r="V67" s="182"/>
      <c r="W67" s="182"/>
      <c r="X67" s="309" t="e">
        <f t="shared" si="12"/>
        <v>#N/A</v>
      </c>
      <c r="Y67" s="681"/>
      <c r="Z67" s="182"/>
      <c r="AA67" s="182"/>
      <c r="AB67" s="182"/>
      <c r="AC67" s="309" t="e">
        <f t="shared" si="13"/>
        <v>#N/A</v>
      </c>
      <c r="AD67" s="681"/>
      <c r="AE67" s="182"/>
      <c r="AF67" s="182"/>
      <c r="AG67" s="182"/>
      <c r="AH67" s="309" t="e">
        <f t="shared" si="14"/>
        <v>#N/A</v>
      </c>
      <c r="AI67" s="681"/>
      <c r="AJ67" s="182"/>
      <c r="AK67" s="182"/>
      <c r="AL67" s="182"/>
      <c r="AM67" s="309" t="e">
        <f t="shared" si="15"/>
        <v>#N/A</v>
      </c>
      <c r="AN67" s="681"/>
      <c r="AO67" s="182"/>
      <c r="AP67" s="182"/>
      <c r="AQ67" s="182"/>
      <c r="AR67" s="309" t="e">
        <f t="shared" si="16"/>
        <v>#N/A</v>
      </c>
      <c r="AS67" s="681"/>
      <c r="AT67" s="182"/>
      <c r="AU67" s="182"/>
      <c r="AV67" s="182"/>
      <c r="AW67" s="309" t="e">
        <f t="shared" si="17"/>
        <v>#N/A</v>
      </c>
      <c r="AX67" s="681"/>
    </row>
    <row r="68" spans="2:50">
      <c r="B68" s="667"/>
      <c r="C68" s="309">
        <v>27</v>
      </c>
      <c r="D68" s="227"/>
      <c r="E68" s="182"/>
      <c r="F68" s="569"/>
      <c r="G68" s="570"/>
      <c r="H68" s="709"/>
      <c r="I68" s="477" t="e">
        <f t="shared" si="21"/>
        <v>#DIV/0!</v>
      </c>
      <c r="J68" s="477" t="e">
        <f t="shared" si="22"/>
        <v>#DIV/0!</v>
      </c>
      <c r="K68" s="200" t="e">
        <f t="shared" si="23"/>
        <v>#DIV/0!</v>
      </c>
      <c r="L68" s="641"/>
      <c r="M68" s="199" t="e">
        <f>RANK(K68, K$42:$K$71)</f>
        <v>#DIV/0!</v>
      </c>
      <c r="N68" s="659"/>
      <c r="O68" s="659"/>
      <c r="P68" s="182"/>
      <c r="Q68" s="182"/>
      <c r="R68" s="182"/>
      <c r="S68" s="309" t="e">
        <f t="shared" si="11"/>
        <v>#N/A</v>
      </c>
      <c r="T68" s="681"/>
      <c r="U68" s="182"/>
      <c r="V68" s="182"/>
      <c r="W68" s="182"/>
      <c r="X68" s="309" t="e">
        <f t="shared" si="12"/>
        <v>#N/A</v>
      </c>
      <c r="Y68" s="681"/>
      <c r="Z68" s="182"/>
      <c r="AA68" s="182"/>
      <c r="AB68" s="182"/>
      <c r="AC68" s="309" t="e">
        <f t="shared" si="13"/>
        <v>#N/A</v>
      </c>
      <c r="AD68" s="681"/>
      <c r="AE68" s="182"/>
      <c r="AF68" s="182"/>
      <c r="AG68" s="182"/>
      <c r="AH68" s="309" t="e">
        <f t="shared" si="14"/>
        <v>#N/A</v>
      </c>
      <c r="AI68" s="681"/>
      <c r="AJ68" s="182"/>
      <c r="AK68" s="182"/>
      <c r="AL68" s="182"/>
      <c r="AM68" s="309" t="e">
        <f t="shared" si="15"/>
        <v>#N/A</v>
      </c>
      <c r="AN68" s="681"/>
      <c r="AO68" s="182"/>
      <c r="AP68" s="182"/>
      <c r="AQ68" s="182"/>
      <c r="AR68" s="309" t="e">
        <f t="shared" si="16"/>
        <v>#N/A</v>
      </c>
      <c r="AS68" s="681"/>
      <c r="AT68" s="182"/>
      <c r="AU68" s="182"/>
      <c r="AV68" s="182"/>
      <c r="AW68" s="309" t="e">
        <f t="shared" si="17"/>
        <v>#N/A</v>
      </c>
      <c r="AX68" s="681"/>
    </row>
    <row r="69" spans="2:50">
      <c r="B69" s="667"/>
      <c r="C69" s="309">
        <v>28</v>
      </c>
      <c r="D69" s="227"/>
      <c r="E69" s="182"/>
      <c r="F69" s="569"/>
      <c r="G69" s="570"/>
      <c r="H69" s="709"/>
      <c r="I69" s="523" t="e">
        <f t="shared" ref="I69:I70" si="24">AVERAGE(P69,U69,Z69,AE69,AJ69,AO69,AT69)</f>
        <v>#DIV/0!</v>
      </c>
      <c r="J69" s="523" t="e">
        <f t="shared" ref="J69:J70" si="25">AVERAGE(Q69,V69,AA69,AF69,AK69,AP69,AU69)</f>
        <v>#DIV/0!</v>
      </c>
      <c r="K69" s="200" t="e">
        <f t="shared" ref="K69:K70" si="26">AVERAGE(R69,W69,AB69,AG69,AL69,AQ69,AV69)</f>
        <v>#DIV/0!</v>
      </c>
      <c r="L69" s="641"/>
      <c r="M69" s="199" t="e">
        <f>RANK(K69, K$42:$K$71)</f>
        <v>#DIV/0!</v>
      </c>
      <c r="N69" s="659"/>
      <c r="O69" s="659"/>
      <c r="P69" s="182"/>
      <c r="Q69" s="182"/>
      <c r="R69" s="182"/>
      <c r="S69" s="309" t="e">
        <f t="shared" si="11"/>
        <v>#N/A</v>
      </c>
      <c r="T69" s="681"/>
      <c r="U69" s="182"/>
      <c r="V69" s="182"/>
      <c r="W69" s="182"/>
      <c r="X69" s="309" t="e">
        <f t="shared" si="12"/>
        <v>#N/A</v>
      </c>
      <c r="Y69" s="681"/>
      <c r="Z69" s="182"/>
      <c r="AA69" s="182"/>
      <c r="AB69" s="182"/>
      <c r="AC69" s="309" t="e">
        <f t="shared" si="13"/>
        <v>#N/A</v>
      </c>
      <c r="AD69" s="681"/>
      <c r="AE69" s="182"/>
      <c r="AF69" s="182"/>
      <c r="AG69" s="182"/>
      <c r="AH69" s="309" t="e">
        <f t="shared" si="14"/>
        <v>#N/A</v>
      </c>
      <c r="AI69" s="681"/>
      <c r="AJ69" s="182"/>
      <c r="AK69" s="182"/>
      <c r="AL69" s="182"/>
      <c r="AM69" s="309" t="e">
        <f t="shared" si="15"/>
        <v>#N/A</v>
      </c>
      <c r="AN69" s="681"/>
      <c r="AO69" s="182"/>
      <c r="AP69" s="182"/>
      <c r="AQ69" s="182"/>
      <c r="AR69" s="309" t="e">
        <f t="shared" si="16"/>
        <v>#N/A</v>
      </c>
      <c r="AS69" s="681"/>
      <c r="AT69" s="182"/>
      <c r="AU69" s="182"/>
      <c r="AV69" s="182"/>
      <c r="AW69" s="309" t="e">
        <f t="shared" si="17"/>
        <v>#N/A</v>
      </c>
      <c r="AX69" s="681"/>
    </row>
    <row r="70" spans="2:50">
      <c r="B70" s="667"/>
      <c r="C70" s="309">
        <v>29</v>
      </c>
      <c r="D70" s="227"/>
      <c r="E70" s="182"/>
      <c r="F70" s="569"/>
      <c r="G70" s="570"/>
      <c r="H70" s="709"/>
      <c r="I70" s="523" t="e">
        <f t="shared" si="24"/>
        <v>#DIV/0!</v>
      </c>
      <c r="J70" s="523" t="e">
        <f t="shared" si="25"/>
        <v>#DIV/0!</v>
      </c>
      <c r="K70" s="200" t="e">
        <f t="shared" si="26"/>
        <v>#DIV/0!</v>
      </c>
      <c r="L70" s="641"/>
      <c r="M70" s="199" t="e">
        <f>RANK(K70, K$42:$K$71)</f>
        <v>#DIV/0!</v>
      </c>
      <c r="N70" s="659"/>
      <c r="O70" s="659"/>
      <c r="P70" s="182"/>
      <c r="Q70" s="182"/>
      <c r="R70" s="182"/>
      <c r="S70" s="309" t="e">
        <f t="shared" si="11"/>
        <v>#N/A</v>
      </c>
      <c r="T70" s="681"/>
      <c r="U70" s="182"/>
      <c r="V70" s="182"/>
      <c r="W70" s="182"/>
      <c r="X70" s="309" t="e">
        <f t="shared" si="12"/>
        <v>#N/A</v>
      </c>
      <c r="Y70" s="681"/>
      <c r="Z70" s="182"/>
      <c r="AA70" s="182"/>
      <c r="AB70" s="182"/>
      <c r="AC70" s="309" t="e">
        <f t="shared" si="13"/>
        <v>#N/A</v>
      </c>
      <c r="AD70" s="681"/>
      <c r="AE70" s="182"/>
      <c r="AF70" s="182"/>
      <c r="AG70" s="182"/>
      <c r="AH70" s="309" t="e">
        <f t="shared" si="14"/>
        <v>#N/A</v>
      </c>
      <c r="AI70" s="681"/>
      <c r="AJ70" s="182"/>
      <c r="AK70" s="182"/>
      <c r="AL70" s="182"/>
      <c r="AM70" s="309" t="e">
        <f t="shared" si="15"/>
        <v>#N/A</v>
      </c>
      <c r="AN70" s="681"/>
      <c r="AO70" s="182"/>
      <c r="AP70" s="182"/>
      <c r="AQ70" s="182"/>
      <c r="AR70" s="309" t="e">
        <f t="shared" si="16"/>
        <v>#N/A</v>
      </c>
      <c r="AS70" s="681"/>
      <c r="AT70" s="182"/>
      <c r="AU70" s="182"/>
      <c r="AV70" s="182"/>
      <c r="AW70" s="309" t="e">
        <f t="shared" si="17"/>
        <v>#N/A</v>
      </c>
      <c r="AX70" s="681"/>
    </row>
    <row r="71" spans="2:50">
      <c r="B71" s="667"/>
      <c r="C71" s="309">
        <v>30</v>
      </c>
      <c r="D71" s="227"/>
      <c r="E71" s="182"/>
      <c r="F71" s="569"/>
      <c r="G71" s="570"/>
      <c r="H71" s="710"/>
      <c r="I71" s="202"/>
      <c r="J71" s="202"/>
      <c r="K71" s="202"/>
      <c r="L71" s="642"/>
      <c r="M71" s="199" t="e">
        <f>RANK(K71, K$42:$K$71)</f>
        <v>#DIV/0!</v>
      </c>
      <c r="N71" s="659"/>
      <c r="O71" s="659"/>
      <c r="P71" s="182"/>
      <c r="Q71" s="182"/>
      <c r="R71" s="182"/>
      <c r="S71" s="309" t="e">
        <f t="shared" si="11"/>
        <v>#N/A</v>
      </c>
      <c r="T71" s="681"/>
      <c r="U71" s="182"/>
      <c r="V71" s="182"/>
      <c r="W71" s="182"/>
      <c r="X71" s="309" t="e">
        <f t="shared" si="12"/>
        <v>#N/A</v>
      </c>
      <c r="Y71" s="681"/>
      <c r="Z71" s="182"/>
      <c r="AA71" s="182"/>
      <c r="AB71" s="182"/>
      <c r="AC71" s="309" t="e">
        <f t="shared" si="13"/>
        <v>#N/A</v>
      </c>
      <c r="AD71" s="681"/>
      <c r="AE71" s="182"/>
      <c r="AF71" s="182"/>
      <c r="AG71" s="182"/>
      <c r="AH71" s="309" t="e">
        <f t="shared" si="14"/>
        <v>#N/A</v>
      </c>
      <c r="AI71" s="681"/>
      <c r="AJ71" s="182"/>
      <c r="AK71" s="182"/>
      <c r="AL71" s="182"/>
      <c r="AM71" s="309" t="e">
        <f t="shared" si="15"/>
        <v>#N/A</v>
      </c>
      <c r="AN71" s="681"/>
      <c r="AO71" s="182"/>
      <c r="AP71" s="182"/>
      <c r="AQ71" s="182"/>
      <c r="AR71" s="309" t="e">
        <f t="shared" si="16"/>
        <v>#N/A</v>
      </c>
      <c r="AS71" s="681"/>
      <c r="AT71" s="182"/>
      <c r="AU71" s="182"/>
      <c r="AV71" s="182"/>
      <c r="AW71" s="309" t="e">
        <f t="shared" si="17"/>
        <v>#N/A</v>
      </c>
      <c r="AX71" s="681"/>
    </row>
    <row r="72" spans="2:50" ht="15.75">
      <c r="B72" s="685" t="s">
        <v>163</v>
      </c>
      <c r="C72" s="686"/>
      <c r="D72" s="686"/>
      <c r="E72" s="686"/>
      <c r="F72" s="686"/>
      <c r="G72" s="686"/>
      <c r="H72" s="686"/>
      <c r="I72" s="208"/>
      <c r="J72" s="203"/>
      <c r="K72" s="208"/>
      <c r="L72" s="208"/>
      <c r="M72" s="204"/>
      <c r="N72" s="660" t="s">
        <v>156</v>
      </c>
      <c r="O72" s="660" t="s">
        <v>105</v>
      </c>
      <c r="P72" s="666">
        <f>P37+7</f>
        <v>46098</v>
      </c>
      <c r="Q72" s="667"/>
      <c r="R72" s="667"/>
      <c r="S72" s="667"/>
      <c r="T72" s="667"/>
      <c r="U72" s="663">
        <f>P72+1</f>
        <v>46099</v>
      </c>
      <c r="V72" s="664"/>
      <c r="W72" s="664"/>
      <c r="X72" s="664"/>
      <c r="Y72" s="665"/>
      <c r="Z72" s="663">
        <f>U72+1</f>
        <v>46100</v>
      </c>
      <c r="AA72" s="664"/>
      <c r="AB72" s="664"/>
      <c r="AC72" s="664"/>
      <c r="AD72" s="665"/>
      <c r="AE72" s="663">
        <f>Z72+1</f>
        <v>46101</v>
      </c>
      <c r="AF72" s="664"/>
      <c r="AG72" s="664"/>
      <c r="AH72" s="664"/>
      <c r="AI72" s="665"/>
      <c r="AJ72" s="663">
        <f>AE72+1</f>
        <v>46102</v>
      </c>
      <c r="AK72" s="664"/>
      <c r="AL72" s="664"/>
      <c r="AM72" s="664"/>
      <c r="AN72" s="665"/>
      <c r="AO72" s="663">
        <f>AJ72+1</f>
        <v>46103</v>
      </c>
      <c r="AP72" s="664"/>
      <c r="AQ72" s="664"/>
      <c r="AR72" s="664"/>
      <c r="AS72" s="665"/>
      <c r="AT72" s="663">
        <f>AO72+1</f>
        <v>46104</v>
      </c>
      <c r="AU72" s="664"/>
      <c r="AV72" s="664"/>
      <c r="AW72" s="664"/>
      <c r="AX72" s="665"/>
    </row>
    <row r="73" spans="2:50" ht="15.75">
      <c r="B73" s="674"/>
      <c r="C73" s="674"/>
      <c r="D73" s="674"/>
      <c r="E73" s="674"/>
      <c r="F73" s="674"/>
      <c r="G73" s="674"/>
      <c r="H73" s="674"/>
      <c r="I73" s="205"/>
      <c r="J73" s="205"/>
      <c r="K73" s="205"/>
      <c r="L73" s="205"/>
      <c r="M73" s="206"/>
      <c r="N73" s="662"/>
      <c r="O73" s="662"/>
      <c r="P73" s="666" t="s">
        <v>336</v>
      </c>
      <c r="Q73" s="667"/>
      <c r="R73" s="667"/>
      <c r="S73" s="667"/>
      <c r="T73" s="667"/>
      <c r="U73" s="666" t="s">
        <v>337</v>
      </c>
      <c r="V73" s="667"/>
      <c r="W73" s="667"/>
      <c r="X73" s="667"/>
      <c r="Y73" s="667"/>
      <c r="Z73" s="666" t="s">
        <v>338</v>
      </c>
      <c r="AA73" s="667"/>
      <c r="AB73" s="667"/>
      <c r="AC73" s="667"/>
      <c r="AD73" s="667"/>
      <c r="AE73" s="666" t="s">
        <v>339</v>
      </c>
      <c r="AF73" s="667"/>
      <c r="AG73" s="667"/>
      <c r="AH73" s="667"/>
      <c r="AI73" s="667"/>
      <c r="AJ73" s="666" t="s">
        <v>340</v>
      </c>
      <c r="AK73" s="667"/>
      <c r="AL73" s="667"/>
      <c r="AM73" s="667"/>
      <c r="AN73" s="667"/>
      <c r="AO73" s="666" t="s">
        <v>341</v>
      </c>
      <c r="AP73" s="667"/>
      <c r="AQ73" s="667"/>
      <c r="AR73" s="667"/>
      <c r="AS73" s="667"/>
      <c r="AT73" s="666" t="s">
        <v>342</v>
      </c>
      <c r="AU73" s="667"/>
      <c r="AV73" s="667"/>
      <c r="AW73" s="667"/>
      <c r="AX73" s="667"/>
    </row>
    <row r="74" spans="2:50">
      <c r="B74" s="659" t="s">
        <v>478</v>
      </c>
      <c r="C74" s="659" t="s">
        <v>479</v>
      </c>
      <c r="D74" s="659"/>
      <c r="E74" s="659" t="s">
        <v>480</v>
      </c>
      <c r="F74" s="659"/>
      <c r="G74" s="659"/>
      <c r="H74" s="675" t="s">
        <v>481</v>
      </c>
      <c r="I74" s="643" t="s">
        <v>482</v>
      </c>
      <c r="J74" s="643"/>
      <c r="K74" s="643"/>
      <c r="L74" s="644" t="s">
        <v>481</v>
      </c>
      <c r="M74" s="650" t="s">
        <v>483</v>
      </c>
      <c r="N74" s="659"/>
      <c r="O74" s="659" t="s">
        <v>484</v>
      </c>
      <c r="P74" s="656" t="s">
        <v>485</v>
      </c>
      <c r="Q74" s="657"/>
      <c r="R74" s="657"/>
      <c r="S74" s="658"/>
      <c r="T74" s="659" t="s">
        <v>481</v>
      </c>
      <c r="U74" s="656" t="s">
        <v>485</v>
      </c>
      <c r="V74" s="657"/>
      <c r="W74" s="657"/>
      <c r="X74" s="658"/>
      <c r="Y74" s="659" t="s">
        <v>481</v>
      </c>
      <c r="Z74" s="656" t="s">
        <v>485</v>
      </c>
      <c r="AA74" s="657"/>
      <c r="AB74" s="657"/>
      <c r="AC74" s="658"/>
      <c r="AD74" s="659" t="s">
        <v>481</v>
      </c>
      <c r="AE74" s="656" t="s">
        <v>485</v>
      </c>
      <c r="AF74" s="657"/>
      <c r="AG74" s="657"/>
      <c r="AH74" s="658"/>
      <c r="AI74" s="659" t="s">
        <v>481</v>
      </c>
      <c r="AJ74" s="656" t="s">
        <v>485</v>
      </c>
      <c r="AK74" s="657"/>
      <c r="AL74" s="657"/>
      <c r="AM74" s="658"/>
      <c r="AN74" s="659" t="s">
        <v>481</v>
      </c>
      <c r="AO74" s="656" t="s">
        <v>485</v>
      </c>
      <c r="AP74" s="657"/>
      <c r="AQ74" s="657"/>
      <c r="AR74" s="658"/>
      <c r="AS74" s="659" t="s">
        <v>481</v>
      </c>
      <c r="AT74" s="656" t="s">
        <v>485</v>
      </c>
      <c r="AU74" s="657"/>
      <c r="AV74" s="657"/>
      <c r="AW74" s="658"/>
      <c r="AX74" s="659" t="s">
        <v>481</v>
      </c>
    </row>
    <row r="75" spans="2:50">
      <c r="B75" s="659"/>
      <c r="C75" s="659"/>
      <c r="D75" s="659"/>
      <c r="E75" s="659" t="s">
        <v>486</v>
      </c>
      <c r="F75" s="659"/>
      <c r="G75" s="659"/>
      <c r="H75" s="676"/>
      <c r="I75" s="643" t="s">
        <v>486</v>
      </c>
      <c r="J75" s="643"/>
      <c r="K75" s="643"/>
      <c r="L75" s="645"/>
      <c r="M75" s="651"/>
      <c r="N75" s="659"/>
      <c r="O75" s="659"/>
      <c r="P75" s="656" t="s">
        <v>487</v>
      </c>
      <c r="Q75" s="657"/>
      <c r="R75" s="657"/>
      <c r="S75" s="658"/>
      <c r="T75" s="659"/>
      <c r="U75" s="656" t="s">
        <v>487</v>
      </c>
      <c r="V75" s="657"/>
      <c r="W75" s="657"/>
      <c r="X75" s="658"/>
      <c r="Y75" s="659"/>
      <c r="Z75" s="656" t="s">
        <v>487</v>
      </c>
      <c r="AA75" s="657"/>
      <c r="AB75" s="657"/>
      <c r="AC75" s="658"/>
      <c r="AD75" s="659"/>
      <c r="AE75" s="656" t="s">
        <v>487</v>
      </c>
      <c r="AF75" s="657"/>
      <c r="AG75" s="657"/>
      <c r="AH75" s="658"/>
      <c r="AI75" s="659"/>
      <c r="AJ75" s="656" t="s">
        <v>487</v>
      </c>
      <c r="AK75" s="657"/>
      <c r="AL75" s="657"/>
      <c r="AM75" s="658"/>
      <c r="AN75" s="659"/>
      <c r="AO75" s="656" t="s">
        <v>487</v>
      </c>
      <c r="AP75" s="657"/>
      <c r="AQ75" s="657"/>
      <c r="AR75" s="658"/>
      <c r="AS75" s="659"/>
      <c r="AT75" s="656" t="s">
        <v>487</v>
      </c>
      <c r="AU75" s="657"/>
      <c r="AV75" s="657"/>
      <c r="AW75" s="658"/>
      <c r="AX75" s="659"/>
    </row>
    <row r="76" spans="2:50">
      <c r="B76" s="659"/>
      <c r="C76" s="659"/>
      <c r="D76" s="659"/>
      <c r="E76" s="308" t="s">
        <v>488</v>
      </c>
      <c r="F76" s="308" t="s">
        <v>489</v>
      </c>
      <c r="G76" s="308" t="s">
        <v>490</v>
      </c>
      <c r="H76" s="677"/>
      <c r="I76" s="307" t="s">
        <v>488</v>
      </c>
      <c r="J76" s="307" t="s">
        <v>489</v>
      </c>
      <c r="K76" s="307" t="s">
        <v>490</v>
      </c>
      <c r="L76" s="646"/>
      <c r="M76" s="652"/>
      <c r="N76" s="659"/>
      <c r="O76" s="659"/>
      <c r="P76" s="308" t="s">
        <v>488</v>
      </c>
      <c r="Q76" s="308" t="s">
        <v>489</v>
      </c>
      <c r="R76" s="308" t="s">
        <v>490</v>
      </c>
      <c r="S76" s="308" t="s">
        <v>483</v>
      </c>
      <c r="T76" s="659"/>
      <c r="U76" s="308" t="s">
        <v>488</v>
      </c>
      <c r="V76" s="308" t="s">
        <v>489</v>
      </c>
      <c r="W76" s="308" t="s">
        <v>490</v>
      </c>
      <c r="X76" s="308" t="s">
        <v>483</v>
      </c>
      <c r="Y76" s="659"/>
      <c r="Z76" s="308" t="s">
        <v>488</v>
      </c>
      <c r="AA76" s="308" t="s">
        <v>489</v>
      </c>
      <c r="AB76" s="308" t="s">
        <v>490</v>
      </c>
      <c r="AC76" s="308" t="s">
        <v>483</v>
      </c>
      <c r="AD76" s="659"/>
      <c r="AE76" s="308" t="s">
        <v>488</v>
      </c>
      <c r="AF76" s="308" t="s">
        <v>489</v>
      </c>
      <c r="AG76" s="308" t="s">
        <v>490</v>
      </c>
      <c r="AH76" s="308" t="s">
        <v>483</v>
      </c>
      <c r="AI76" s="659"/>
      <c r="AJ76" s="308" t="s">
        <v>488</v>
      </c>
      <c r="AK76" s="308" t="s">
        <v>489</v>
      </c>
      <c r="AL76" s="308" t="s">
        <v>490</v>
      </c>
      <c r="AM76" s="308" t="s">
        <v>483</v>
      </c>
      <c r="AN76" s="659"/>
      <c r="AO76" s="308" t="s">
        <v>488</v>
      </c>
      <c r="AP76" s="308" t="s">
        <v>489</v>
      </c>
      <c r="AQ76" s="308" t="s">
        <v>490</v>
      </c>
      <c r="AR76" s="308" t="s">
        <v>483</v>
      </c>
      <c r="AS76" s="659"/>
      <c r="AT76" s="308" t="s">
        <v>488</v>
      </c>
      <c r="AU76" s="308" t="s">
        <v>489</v>
      </c>
      <c r="AV76" s="308" t="s">
        <v>490</v>
      </c>
      <c r="AW76" s="308" t="s">
        <v>483</v>
      </c>
      <c r="AX76" s="659"/>
    </row>
    <row r="77" spans="2:50">
      <c r="B77" s="659" t="s">
        <v>491</v>
      </c>
      <c r="C77" s="309">
        <v>1</v>
      </c>
      <c r="D77" s="227"/>
      <c r="E77" s="182"/>
      <c r="F77" s="569"/>
      <c r="G77" s="570"/>
      <c r="H77" s="708" t="e">
        <f>AVERAGE(G77:G106)</f>
        <v>#DIV/0!</v>
      </c>
      <c r="I77" s="199" t="e">
        <f>AVERAGE(P77,U77,Z77,AE77,AJ77,AO77,AT77)</f>
        <v>#DIV/0!</v>
      </c>
      <c r="J77" s="199" t="e">
        <f>AVERAGE(Q77,V77,AA77,AF77,AK77,AP77,AU77)</f>
        <v>#DIV/0!</v>
      </c>
      <c r="K77" s="200" t="e">
        <f>AVERAGE(R77,W77,AB77,AG77,AL77,AQ77,AV77)</f>
        <v>#DIV/0!</v>
      </c>
      <c r="L77" s="640" t="str">
        <f>IFERROR(AVERAGE(K77:K106),"-")</f>
        <v>-</v>
      </c>
      <c r="M77" s="201" t="e">
        <f>RANK(K77, K$77:$K$106)</f>
        <v>#DIV/0!</v>
      </c>
      <c r="N77" s="659"/>
      <c r="O77" s="659"/>
      <c r="P77" s="182"/>
      <c r="Q77" s="182"/>
      <c r="R77" s="182"/>
      <c r="S77" s="309" t="e">
        <f>RANK(R77, R$77:R$106)</f>
        <v>#N/A</v>
      </c>
      <c r="T77" s="681" t="e">
        <f>AVERAGE(R77:R106)</f>
        <v>#DIV/0!</v>
      </c>
      <c r="U77" s="182"/>
      <c r="V77" s="182"/>
      <c r="W77" s="182"/>
      <c r="X77" s="334" t="e">
        <f>RANK(W77, W$77:W$106)</f>
        <v>#N/A</v>
      </c>
      <c r="Y77" s="681" t="e">
        <f>AVERAGE(W77:W106)</f>
        <v>#DIV/0!</v>
      </c>
      <c r="Z77" s="182"/>
      <c r="AA77" s="182"/>
      <c r="AB77" s="182"/>
      <c r="AC77" s="334" t="e">
        <f>RANK(AB77, AB$77:AB$106)</f>
        <v>#N/A</v>
      </c>
      <c r="AD77" s="681" t="e">
        <f>AVERAGE(AB77:AB106)</f>
        <v>#DIV/0!</v>
      </c>
      <c r="AE77" s="182"/>
      <c r="AF77" s="182"/>
      <c r="AG77" s="182"/>
      <c r="AH77" s="334" t="e">
        <f>RANK(AG77, AG$77:AG$106)</f>
        <v>#N/A</v>
      </c>
      <c r="AI77" s="681" t="e">
        <f>AVERAGE(AG77:AG106)</f>
        <v>#DIV/0!</v>
      </c>
      <c r="AJ77" s="182"/>
      <c r="AK77" s="182"/>
      <c r="AL77" s="182"/>
      <c r="AM77" s="334" t="e">
        <f>RANK(AL77, AL$77:AL$106)</f>
        <v>#N/A</v>
      </c>
      <c r="AN77" s="681" t="e">
        <f>AVERAGE(AL77:AL106)</f>
        <v>#DIV/0!</v>
      </c>
      <c r="AO77" s="182"/>
      <c r="AP77" s="182"/>
      <c r="AQ77" s="182"/>
      <c r="AR77" s="334" t="e">
        <f>RANK(AQ77, AQ$77:AQ$106)</f>
        <v>#N/A</v>
      </c>
      <c r="AS77" s="681" t="e">
        <f>AVERAGE(AQ77:AQ106)</f>
        <v>#DIV/0!</v>
      </c>
      <c r="AT77" s="182"/>
      <c r="AU77" s="182"/>
      <c r="AV77" s="182"/>
      <c r="AW77" s="334" t="e">
        <f>RANK(AV77, AV$77:AV$106)</f>
        <v>#N/A</v>
      </c>
      <c r="AX77" s="681" t="e">
        <f>AVERAGE(AV77:AV106)</f>
        <v>#DIV/0!</v>
      </c>
    </row>
    <row r="78" spans="2:50">
      <c r="B78" s="667"/>
      <c r="C78" s="309">
        <v>2</v>
      </c>
      <c r="D78" s="227"/>
      <c r="E78" s="182"/>
      <c r="F78" s="569"/>
      <c r="G78" s="570"/>
      <c r="H78" s="709"/>
      <c r="I78" s="199" t="e">
        <f t="shared" ref="I78:I99" si="27">AVERAGE(P78,U78,Z78,AE78,AJ78,AO78,AT78)</f>
        <v>#DIV/0!</v>
      </c>
      <c r="J78" s="199" t="e">
        <f t="shared" ref="J78:J99" si="28">AVERAGE(Q78,V78,AA78,AF78,AK78,AP78,AU78)</f>
        <v>#DIV/0!</v>
      </c>
      <c r="K78" s="200" t="e">
        <f t="shared" ref="K78:K99" si="29">AVERAGE(R78,W78,AB78,AG78,AL78,AQ78,AV78)</f>
        <v>#DIV/0!</v>
      </c>
      <c r="L78" s="641"/>
      <c r="M78" s="201" t="e">
        <f>RANK(K78, K$77:$K$106)</f>
        <v>#DIV/0!</v>
      </c>
      <c r="N78" s="659"/>
      <c r="O78" s="659"/>
      <c r="P78" s="182"/>
      <c r="Q78" s="182"/>
      <c r="R78" s="182"/>
      <c r="S78" s="334" t="e">
        <f t="shared" ref="S78:S106" si="30">RANK(R78, R$77:R$106)</f>
        <v>#N/A</v>
      </c>
      <c r="T78" s="681"/>
      <c r="U78" s="182"/>
      <c r="V78" s="182"/>
      <c r="W78" s="182"/>
      <c r="X78" s="334" t="e">
        <f t="shared" ref="X78:X106" si="31">RANK(W78, W$77:W$106)</f>
        <v>#N/A</v>
      </c>
      <c r="Y78" s="681"/>
      <c r="Z78" s="182"/>
      <c r="AA78" s="182"/>
      <c r="AB78" s="182"/>
      <c r="AC78" s="334" t="e">
        <f t="shared" ref="AC78:AC106" si="32">RANK(AB78, AB$77:AB$106)</f>
        <v>#N/A</v>
      </c>
      <c r="AD78" s="681"/>
      <c r="AE78" s="182"/>
      <c r="AF78" s="182"/>
      <c r="AG78" s="182"/>
      <c r="AH78" s="334" t="e">
        <f t="shared" ref="AH78:AH106" si="33">RANK(AG78, AG$77:AG$106)</f>
        <v>#N/A</v>
      </c>
      <c r="AI78" s="681"/>
      <c r="AJ78" s="182"/>
      <c r="AK78" s="182"/>
      <c r="AL78" s="182"/>
      <c r="AM78" s="334" t="e">
        <f t="shared" ref="AM78:AM106" si="34">RANK(AL78, AL$77:AL$106)</f>
        <v>#N/A</v>
      </c>
      <c r="AN78" s="681"/>
      <c r="AO78" s="182"/>
      <c r="AP78" s="182"/>
      <c r="AQ78" s="182"/>
      <c r="AR78" s="334" t="e">
        <f t="shared" ref="AR78:AR106" si="35">RANK(AQ78, AQ$77:AQ$106)</f>
        <v>#N/A</v>
      </c>
      <c r="AS78" s="681"/>
      <c r="AT78" s="182"/>
      <c r="AU78" s="182"/>
      <c r="AV78" s="182"/>
      <c r="AW78" s="334" t="e">
        <f t="shared" ref="AW78:AW106" si="36">RANK(AV78, AV$77:AV$106)</f>
        <v>#N/A</v>
      </c>
      <c r="AX78" s="681"/>
    </row>
    <row r="79" spans="2:50">
      <c r="B79" s="667"/>
      <c r="C79" s="309">
        <v>3</v>
      </c>
      <c r="D79" s="227"/>
      <c r="E79" s="182"/>
      <c r="F79" s="569"/>
      <c r="G79" s="570"/>
      <c r="H79" s="709"/>
      <c r="I79" s="199" t="e">
        <f t="shared" si="27"/>
        <v>#DIV/0!</v>
      </c>
      <c r="J79" s="199" t="e">
        <f t="shared" si="28"/>
        <v>#DIV/0!</v>
      </c>
      <c r="K79" s="200" t="e">
        <f t="shared" si="29"/>
        <v>#DIV/0!</v>
      </c>
      <c r="L79" s="641"/>
      <c r="M79" s="201" t="e">
        <f>RANK(K79, K$77:$K$106)</f>
        <v>#DIV/0!</v>
      </c>
      <c r="N79" s="659"/>
      <c r="O79" s="659"/>
      <c r="P79" s="182"/>
      <c r="Q79" s="182"/>
      <c r="R79" s="182"/>
      <c r="S79" s="334" t="e">
        <f t="shared" si="30"/>
        <v>#N/A</v>
      </c>
      <c r="T79" s="681"/>
      <c r="U79" s="182"/>
      <c r="V79" s="182"/>
      <c r="W79" s="182"/>
      <c r="X79" s="334" t="e">
        <f t="shared" si="31"/>
        <v>#N/A</v>
      </c>
      <c r="Y79" s="681"/>
      <c r="Z79" s="182"/>
      <c r="AA79" s="182"/>
      <c r="AB79" s="182"/>
      <c r="AC79" s="334" t="e">
        <f t="shared" si="32"/>
        <v>#N/A</v>
      </c>
      <c r="AD79" s="681"/>
      <c r="AE79" s="182"/>
      <c r="AF79" s="182"/>
      <c r="AG79" s="182"/>
      <c r="AH79" s="334" t="e">
        <f t="shared" si="33"/>
        <v>#N/A</v>
      </c>
      <c r="AI79" s="681"/>
      <c r="AJ79" s="182"/>
      <c r="AK79" s="182"/>
      <c r="AL79" s="182"/>
      <c r="AM79" s="334" t="e">
        <f t="shared" si="34"/>
        <v>#N/A</v>
      </c>
      <c r="AN79" s="681"/>
      <c r="AO79" s="182"/>
      <c r="AP79" s="182"/>
      <c r="AQ79" s="182"/>
      <c r="AR79" s="334" t="e">
        <f t="shared" si="35"/>
        <v>#N/A</v>
      </c>
      <c r="AS79" s="681"/>
      <c r="AT79" s="182"/>
      <c r="AU79" s="182"/>
      <c r="AV79" s="182"/>
      <c r="AW79" s="334" t="e">
        <f t="shared" si="36"/>
        <v>#N/A</v>
      </c>
      <c r="AX79" s="681"/>
    </row>
    <row r="80" spans="2:50">
      <c r="B80" s="667"/>
      <c r="C80" s="309">
        <v>4</v>
      </c>
      <c r="D80" s="227"/>
      <c r="E80" s="182"/>
      <c r="F80" s="569"/>
      <c r="G80" s="570"/>
      <c r="H80" s="709"/>
      <c r="I80" s="199" t="e">
        <f t="shared" si="27"/>
        <v>#DIV/0!</v>
      </c>
      <c r="J80" s="199" t="e">
        <f t="shared" si="28"/>
        <v>#DIV/0!</v>
      </c>
      <c r="K80" s="200" t="e">
        <f t="shared" si="29"/>
        <v>#DIV/0!</v>
      </c>
      <c r="L80" s="641"/>
      <c r="M80" s="201" t="e">
        <f>RANK(K80, K$77:$K$106)</f>
        <v>#DIV/0!</v>
      </c>
      <c r="N80" s="659"/>
      <c r="O80" s="659"/>
      <c r="P80" s="182"/>
      <c r="Q80" s="182"/>
      <c r="R80" s="182"/>
      <c r="S80" s="334" t="e">
        <f t="shared" si="30"/>
        <v>#N/A</v>
      </c>
      <c r="T80" s="681"/>
      <c r="U80" s="182"/>
      <c r="V80" s="182"/>
      <c r="W80" s="182"/>
      <c r="X80" s="334" t="e">
        <f t="shared" si="31"/>
        <v>#N/A</v>
      </c>
      <c r="Y80" s="681"/>
      <c r="Z80" s="182"/>
      <c r="AA80" s="182"/>
      <c r="AB80" s="182"/>
      <c r="AC80" s="334" t="e">
        <f t="shared" si="32"/>
        <v>#N/A</v>
      </c>
      <c r="AD80" s="681"/>
      <c r="AE80" s="182"/>
      <c r="AF80" s="182"/>
      <c r="AG80" s="182"/>
      <c r="AH80" s="334" t="e">
        <f t="shared" si="33"/>
        <v>#N/A</v>
      </c>
      <c r="AI80" s="681"/>
      <c r="AJ80" s="182"/>
      <c r="AK80" s="182"/>
      <c r="AL80" s="182"/>
      <c r="AM80" s="334" t="e">
        <f t="shared" si="34"/>
        <v>#N/A</v>
      </c>
      <c r="AN80" s="681"/>
      <c r="AO80" s="182"/>
      <c r="AP80" s="182"/>
      <c r="AQ80" s="182"/>
      <c r="AR80" s="334" t="e">
        <f t="shared" si="35"/>
        <v>#N/A</v>
      </c>
      <c r="AS80" s="681"/>
      <c r="AT80" s="182"/>
      <c r="AU80" s="182"/>
      <c r="AV80" s="182"/>
      <c r="AW80" s="334" t="e">
        <f t="shared" si="36"/>
        <v>#N/A</v>
      </c>
      <c r="AX80" s="681"/>
    </row>
    <row r="81" spans="2:50">
      <c r="B81" s="667"/>
      <c r="C81" s="309">
        <v>5</v>
      </c>
      <c r="D81" s="227"/>
      <c r="E81" s="182"/>
      <c r="F81" s="569"/>
      <c r="G81" s="570"/>
      <c r="H81" s="709"/>
      <c r="I81" s="199" t="e">
        <f t="shared" si="27"/>
        <v>#DIV/0!</v>
      </c>
      <c r="J81" s="199" t="e">
        <f t="shared" si="28"/>
        <v>#DIV/0!</v>
      </c>
      <c r="K81" s="200" t="e">
        <f t="shared" si="29"/>
        <v>#DIV/0!</v>
      </c>
      <c r="L81" s="641"/>
      <c r="M81" s="201" t="e">
        <f>RANK(K81, K$77:$K$106)</f>
        <v>#DIV/0!</v>
      </c>
      <c r="N81" s="659"/>
      <c r="O81" s="659"/>
      <c r="P81" s="182"/>
      <c r="Q81" s="182"/>
      <c r="R81" s="182"/>
      <c r="S81" s="334" t="e">
        <f t="shared" si="30"/>
        <v>#N/A</v>
      </c>
      <c r="T81" s="681"/>
      <c r="U81" s="182"/>
      <c r="V81" s="182"/>
      <c r="W81" s="182"/>
      <c r="X81" s="334" t="e">
        <f t="shared" si="31"/>
        <v>#N/A</v>
      </c>
      <c r="Y81" s="681"/>
      <c r="Z81" s="182"/>
      <c r="AA81" s="182"/>
      <c r="AB81" s="182"/>
      <c r="AC81" s="334" t="e">
        <f t="shared" si="32"/>
        <v>#N/A</v>
      </c>
      <c r="AD81" s="681"/>
      <c r="AE81" s="182"/>
      <c r="AF81" s="182"/>
      <c r="AG81" s="182"/>
      <c r="AH81" s="334" t="e">
        <f t="shared" si="33"/>
        <v>#N/A</v>
      </c>
      <c r="AI81" s="681"/>
      <c r="AJ81" s="182"/>
      <c r="AK81" s="182"/>
      <c r="AL81" s="182"/>
      <c r="AM81" s="334" t="e">
        <f t="shared" si="34"/>
        <v>#N/A</v>
      </c>
      <c r="AN81" s="681"/>
      <c r="AO81" s="182"/>
      <c r="AP81" s="182"/>
      <c r="AQ81" s="182"/>
      <c r="AR81" s="334" t="e">
        <f t="shared" si="35"/>
        <v>#N/A</v>
      </c>
      <c r="AS81" s="681"/>
      <c r="AT81" s="182"/>
      <c r="AU81" s="182"/>
      <c r="AV81" s="182"/>
      <c r="AW81" s="334" t="e">
        <f t="shared" si="36"/>
        <v>#N/A</v>
      </c>
      <c r="AX81" s="681"/>
    </row>
    <row r="82" spans="2:50">
      <c r="B82" s="667"/>
      <c r="C82" s="309">
        <v>6</v>
      </c>
      <c r="D82" s="227"/>
      <c r="E82" s="182"/>
      <c r="F82" s="569"/>
      <c r="G82" s="570"/>
      <c r="H82" s="709"/>
      <c r="I82" s="199" t="e">
        <f t="shared" si="27"/>
        <v>#DIV/0!</v>
      </c>
      <c r="J82" s="199" t="e">
        <f t="shared" si="28"/>
        <v>#DIV/0!</v>
      </c>
      <c r="K82" s="200" t="e">
        <f t="shared" si="29"/>
        <v>#DIV/0!</v>
      </c>
      <c r="L82" s="641"/>
      <c r="M82" s="201" t="e">
        <f>RANK(K82, K$77:$K$106)</f>
        <v>#DIV/0!</v>
      </c>
      <c r="N82" s="659"/>
      <c r="O82" s="659"/>
      <c r="P82" s="182"/>
      <c r="Q82" s="182"/>
      <c r="R82" s="182"/>
      <c r="S82" s="334" t="e">
        <f t="shared" si="30"/>
        <v>#N/A</v>
      </c>
      <c r="T82" s="681"/>
      <c r="U82" s="182"/>
      <c r="V82" s="182"/>
      <c r="W82" s="182"/>
      <c r="X82" s="334" t="e">
        <f t="shared" si="31"/>
        <v>#N/A</v>
      </c>
      <c r="Y82" s="681"/>
      <c r="Z82" s="182"/>
      <c r="AA82" s="182"/>
      <c r="AB82" s="182"/>
      <c r="AC82" s="334" t="e">
        <f t="shared" si="32"/>
        <v>#N/A</v>
      </c>
      <c r="AD82" s="681"/>
      <c r="AE82" s="182"/>
      <c r="AF82" s="182"/>
      <c r="AG82" s="182"/>
      <c r="AH82" s="334" t="e">
        <f t="shared" si="33"/>
        <v>#N/A</v>
      </c>
      <c r="AI82" s="681"/>
      <c r="AJ82" s="182"/>
      <c r="AK82" s="182"/>
      <c r="AL82" s="182"/>
      <c r="AM82" s="334" t="e">
        <f t="shared" si="34"/>
        <v>#N/A</v>
      </c>
      <c r="AN82" s="681"/>
      <c r="AO82" s="182"/>
      <c r="AP82" s="182"/>
      <c r="AQ82" s="182"/>
      <c r="AR82" s="334" t="e">
        <f t="shared" si="35"/>
        <v>#N/A</v>
      </c>
      <c r="AS82" s="681"/>
      <c r="AT82" s="182"/>
      <c r="AU82" s="182"/>
      <c r="AV82" s="182"/>
      <c r="AW82" s="334" t="e">
        <f t="shared" si="36"/>
        <v>#N/A</v>
      </c>
      <c r="AX82" s="681"/>
    </row>
    <row r="83" spans="2:50">
      <c r="B83" s="667"/>
      <c r="C83" s="309">
        <v>7</v>
      </c>
      <c r="D83" s="227"/>
      <c r="E83" s="182"/>
      <c r="F83" s="569"/>
      <c r="G83" s="570"/>
      <c r="H83" s="709"/>
      <c r="I83" s="199" t="e">
        <f t="shared" si="27"/>
        <v>#DIV/0!</v>
      </c>
      <c r="J83" s="199" t="e">
        <f t="shared" si="28"/>
        <v>#DIV/0!</v>
      </c>
      <c r="K83" s="200" t="e">
        <f t="shared" si="29"/>
        <v>#DIV/0!</v>
      </c>
      <c r="L83" s="641"/>
      <c r="M83" s="201" t="e">
        <f>RANK(K83, K$77:$K$106)</f>
        <v>#DIV/0!</v>
      </c>
      <c r="N83" s="659"/>
      <c r="O83" s="659"/>
      <c r="P83" s="182"/>
      <c r="Q83" s="182"/>
      <c r="R83" s="182"/>
      <c r="S83" s="334" t="e">
        <f t="shared" si="30"/>
        <v>#N/A</v>
      </c>
      <c r="T83" s="681"/>
      <c r="U83" s="182"/>
      <c r="V83" s="182"/>
      <c r="W83" s="182"/>
      <c r="X83" s="334" t="e">
        <f t="shared" si="31"/>
        <v>#N/A</v>
      </c>
      <c r="Y83" s="681"/>
      <c r="Z83" s="182"/>
      <c r="AA83" s="182"/>
      <c r="AB83" s="182"/>
      <c r="AC83" s="334" t="e">
        <f t="shared" si="32"/>
        <v>#N/A</v>
      </c>
      <c r="AD83" s="681"/>
      <c r="AE83" s="182"/>
      <c r="AF83" s="182"/>
      <c r="AG83" s="182"/>
      <c r="AH83" s="334" t="e">
        <f t="shared" si="33"/>
        <v>#N/A</v>
      </c>
      <c r="AI83" s="681"/>
      <c r="AJ83" s="182"/>
      <c r="AK83" s="182"/>
      <c r="AL83" s="182"/>
      <c r="AM83" s="334" t="e">
        <f t="shared" si="34"/>
        <v>#N/A</v>
      </c>
      <c r="AN83" s="681"/>
      <c r="AO83" s="182"/>
      <c r="AP83" s="182"/>
      <c r="AQ83" s="182"/>
      <c r="AR83" s="334" t="e">
        <f t="shared" si="35"/>
        <v>#N/A</v>
      </c>
      <c r="AS83" s="681"/>
      <c r="AT83" s="182"/>
      <c r="AU83" s="182"/>
      <c r="AV83" s="182"/>
      <c r="AW83" s="334" t="e">
        <f t="shared" si="36"/>
        <v>#N/A</v>
      </c>
      <c r="AX83" s="681"/>
    </row>
    <row r="84" spans="2:50">
      <c r="B84" s="667"/>
      <c r="C84" s="309">
        <v>8</v>
      </c>
      <c r="D84" s="227"/>
      <c r="E84" s="182"/>
      <c r="F84" s="569"/>
      <c r="G84" s="570"/>
      <c r="H84" s="709"/>
      <c r="I84" s="199" t="e">
        <f t="shared" si="27"/>
        <v>#DIV/0!</v>
      </c>
      <c r="J84" s="199" t="e">
        <f t="shared" si="28"/>
        <v>#DIV/0!</v>
      </c>
      <c r="K84" s="200" t="e">
        <f t="shared" si="29"/>
        <v>#DIV/0!</v>
      </c>
      <c r="L84" s="641"/>
      <c r="M84" s="201" t="e">
        <f>RANK(K84, K$77:$K$106)</f>
        <v>#DIV/0!</v>
      </c>
      <c r="N84" s="659"/>
      <c r="O84" s="659"/>
      <c r="P84" s="182"/>
      <c r="Q84" s="182"/>
      <c r="R84" s="182"/>
      <c r="S84" s="334" t="e">
        <f t="shared" si="30"/>
        <v>#N/A</v>
      </c>
      <c r="T84" s="681"/>
      <c r="U84" s="182"/>
      <c r="V84" s="182"/>
      <c r="W84" s="182"/>
      <c r="X84" s="334" t="e">
        <f t="shared" si="31"/>
        <v>#N/A</v>
      </c>
      <c r="Y84" s="681"/>
      <c r="Z84" s="182"/>
      <c r="AA84" s="182"/>
      <c r="AB84" s="182"/>
      <c r="AC84" s="334" t="e">
        <f t="shared" si="32"/>
        <v>#N/A</v>
      </c>
      <c r="AD84" s="681"/>
      <c r="AE84" s="182"/>
      <c r="AF84" s="182"/>
      <c r="AG84" s="182"/>
      <c r="AH84" s="334" t="e">
        <f t="shared" si="33"/>
        <v>#N/A</v>
      </c>
      <c r="AI84" s="681"/>
      <c r="AJ84" s="182"/>
      <c r="AK84" s="182"/>
      <c r="AL84" s="182"/>
      <c r="AM84" s="334" t="e">
        <f t="shared" si="34"/>
        <v>#N/A</v>
      </c>
      <c r="AN84" s="681"/>
      <c r="AO84" s="182"/>
      <c r="AP84" s="182"/>
      <c r="AQ84" s="182"/>
      <c r="AR84" s="334" t="e">
        <f t="shared" si="35"/>
        <v>#N/A</v>
      </c>
      <c r="AS84" s="681"/>
      <c r="AT84" s="182"/>
      <c r="AU84" s="182"/>
      <c r="AV84" s="182"/>
      <c r="AW84" s="334" t="e">
        <f t="shared" si="36"/>
        <v>#N/A</v>
      </c>
      <c r="AX84" s="681"/>
    </row>
    <row r="85" spans="2:50">
      <c r="B85" s="667"/>
      <c r="C85" s="309">
        <v>9</v>
      </c>
      <c r="D85" s="227"/>
      <c r="E85" s="182"/>
      <c r="F85" s="569"/>
      <c r="G85" s="570"/>
      <c r="H85" s="709"/>
      <c r="I85" s="199" t="e">
        <f t="shared" si="27"/>
        <v>#DIV/0!</v>
      </c>
      <c r="J85" s="199" t="e">
        <f t="shared" si="28"/>
        <v>#DIV/0!</v>
      </c>
      <c r="K85" s="200" t="e">
        <f t="shared" si="29"/>
        <v>#DIV/0!</v>
      </c>
      <c r="L85" s="641"/>
      <c r="M85" s="201" t="e">
        <f>RANK(K85, K$77:$K$106)</f>
        <v>#DIV/0!</v>
      </c>
      <c r="N85" s="659"/>
      <c r="O85" s="659"/>
      <c r="P85" s="182"/>
      <c r="Q85" s="182"/>
      <c r="R85" s="182"/>
      <c r="S85" s="334" t="e">
        <f t="shared" si="30"/>
        <v>#N/A</v>
      </c>
      <c r="T85" s="681"/>
      <c r="U85" s="182"/>
      <c r="V85" s="182"/>
      <c r="W85" s="182"/>
      <c r="X85" s="334" t="e">
        <f t="shared" si="31"/>
        <v>#N/A</v>
      </c>
      <c r="Y85" s="681"/>
      <c r="Z85" s="182"/>
      <c r="AA85" s="182"/>
      <c r="AB85" s="182"/>
      <c r="AC85" s="334" t="e">
        <f t="shared" si="32"/>
        <v>#N/A</v>
      </c>
      <c r="AD85" s="681"/>
      <c r="AE85" s="182"/>
      <c r="AF85" s="182"/>
      <c r="AG85" s="182"/>
      <c r="AH85" s="334" t="e">
        <f t="shared" si="33"/>
        <v>#N/A</v>
      </c>
      <c r="AI85" s="681"/>
      <c r="AJ85" s="182"/>
      <c r="AK85" s="182"/>
      <c r="AL85" s="182"/>
      <c r="AM85" s="334" t="e">
        <f t="shared" si="34"/>
        <v>#N/A</v>
      </c>
      <c r="AN85" s="681"/>
      <c r="AO85" s="182"/>
      <c r="AP85" s="182"/>
      <c r="AQ85" s="182"/>
      <c r="AR85" s="334" t="e">
        <f t="shared" si="35"/>
        <v>#N/A</v>
      </c>
      <c r="AS85" s="681"/>
      <c r="AT85" s="182"/>
      <c r="AU85" s="182"/>
      <c r="AV85" s="182"/>
      <c r="AW85" s="334" t="e">
        <f t="shared" si="36"/>
        <v>#N/A</v>
      </c>
      <c r="AX85" s="681"/>
    </row>
    <row r="86" spans="2:50">
      <c r="B86" s="667"/>
      <c r="C86" s="309">
        <v>10</v>
      </c>
      <c r="D86" s="227"/>
      <c r="E86" s="182"/>
      <c r="F86" s="569"/>
      <c r="G86" s="570"/>
      <c r="H86" s="709"/>
      <c r="I86" s="199" t="e">
        <f t="shared" si="27"/>
        <v>#DIV/0!</v>
      </c>
      <c r="J86" s="199" t="e">
        <f t="shared" si="28"/>
        <v>#DIV/0!</v>
      </c>
      <c r="K86" s="200" t="e">
        <f t="shared" si="29"/>
        <v>#DIV/0!</v>
      </c>
      <c r="L86" s="641"/>
      <c r="M86" s="201" t="e">
        <f>RANK(K86, K$77:$K$106)</f>
        <v>#DIV/0!</v>
      </c>
      <c r="N86" s="659"/>
      <c r="O86" s="659"/>
      <c r="P86" s="182"/>
      <c r="Q86" s="182"/>
      <c r="R86" s="182"/>
      <c r="S86" s="334" t="e">
        <f t="shared" si="30"/>
        <v>#N/A</v>
      </c>
      <c r="T86" s="681"/>
      <c r="U86" s="182"/>
      <c r="V86" s="182"/>
      <c r="W86" s="182"/>
      <c r="X86" s="334" t="e">
        <f t="shared" si="31"/>
        <v>#N/A</v>
      </c>
      <c r="Y86" s="681"/>
      <c r="Z86" s="182"/>
      <c r="AA86" s="182"/>
      <c r="AB86" s="182"/>
      <c r="AC86" s="334" t="e">
        <f t="shared" si="32"/>
        <v>#N/A</v>
      </c>
      <c r="AD86" s="681"/>
      <c r="AE86" s="182"/>
      <c r="AF86" s="182"/>
      <c r="AG86" s="182"/>
      <c r="AH86" s="334" t="e">
        <f t="shared" si="33"/>
        <v>#N/A</v>
      </c>
      <c r="AI86" s="681"/>
      <c r="AJ86" s="182"/>
      <c r="AK86" s="182"/>
      <c r="AL86" s="182"/>
      <c r="AM86" s="334" t="e">
        <f t="shared" si="34"/>
        <v>#N/A</v>
      </c>
      <c r="AN86" s="681"/>
      <c r="AO86" s="182"/>
      <c r="AP86" s="182"/>
      <c r="AQ86" s="182"/>
      <c r="AR86" s="334" t="e">
        <f t="shared" si="35"/>
        <v>#N/A</v>
      </c>
      <c r="AS86" s="681"/>
      <c r="AT86" s="182"/>
      <c r="AU86" s="182"/>
      <c r="AV86" s="182"/>
      <c r="AW86" s="334" t="e">
        <f t="shared" si="36"/>
        <v>#N/A</v>
      </c>
      <c r="AX86" s="681"/>
    </row>
    <row r="87" spans="2:50">
      <c r="B87" s="667"/>
      <c r="C87" s="309">
        <v>11</v>
      </c>
      <c r="D87" s="227"/>
      <c r="E87" s="182"/>
      <c r="F87" s="569"/>
      <c r="G87" s="570"/>
      <c r="H87" s="709"/>
      <c r="I87" s="199" t="e">
        <f t="shared" si="27"/>
        <v>#DIV/0!</v>
      </c>
      <c r="J87" s="199" t="e">
        <f t="shared" si="28"/>
        <v>#DIV/0!</v>
      </c>
      <c r="K87" s="200" t="e">
        <f t="shared" si="29"/>
        <v>#DIV/0!</v>
      </c>
      <c r="L87" s="641"/>
      <c r="M87" s="201" t="e">
        <f>RANK(K87, K$77:$K$106)</f>
        <v>#DIV/0!</v>
      </c>
      <c r="N87" s="659"/>
      <c r="O87" s="659"/>
      <c r="P87" s="182"/>
      <c r="Q87" s="182"/>
      <c r="R87" s="182"/>
      <c r="S87" s="334" t="e">
        <f t="shared" si="30"/>
        <v>#N/A</v>
      </c>
      <c r="T87" s="681"/>
      <c r="U87" s="182"/>
      <c r="V87" s="182"/>
      <c r="W87" s="182"/>
      <c r="X87" s="334" t="e">
        <f t="shared" si="31"/>
        <v>#N/A</v>
      </c>
      <c r="Y87" s="681"/>
      <c r="Z87" s="182"/>
      <c r="AA87" s="182"/>
      <c r="AB87" s="182"/>
      <c r="AC87" s="334" t="e">
        <f t="shared" si="32"/>
        <v>#N/A</v>
      </c>
      <c r="AD87" s="681"/>
      <c r="AE87" s="182"/>
      <c r="AF87" s="182"/>
      <c r="AG87" s="182"/>
      <c r="AH87" s="334" t="e">
        <f t="shared" si="33"/>
        <v>#N/A</v>
      </c>
      <c r="AI87" s="681"/>
      <c r="AJ87" s="182"/>
      <c r="AK87" s="182"/>
      <c r="AL87" s="182"/>
      <c r="AM87" s="334" t="e">
        <f t="shared" si="34"/>
        <v>#N/A</v>
      </c>
      <c r="AN87" s="681"/>
      <c r="AO87" s="182"/>
      <c r="AP87" s="182"/>
      <c r="AQ87" s="182"/>
      <c r="AR87" s="334" t="e">
        <f t="shared" si="35"/>
        <v>#N/A</v>
      </c>
      <c r="AS87" s="681"/>
      <c r="AT87" s="182"/>
      <c r="AU87" s="182"/>
      <c r="AV87" s="182"/>
      <c r="AW87" s="334" t="e">
        <f t="shared" si="36"/>
        <v>#N/A</v>
      </c>
      <c r="AX87" s="681"/>
    </row>
    <row r="88" spans="2:50">
      <c r="B88" s="667"/>
      <c r="C88" s="309">
        <v>12</v>
      </c>
      <c r="D88" s="227"/>
      <c r="E88" s="182"/>
      <c r="F88" s="569"/>
      <c r="G88" s="570"/>
      <c r="H88" s="709"/>
      <c r="I88" s="199" t="e">
        <f t="shared" si="27"/>
        <v>#DIV/0!</v>
      </c>
      <c r="J88" s="199" t="e">
        <f t="shared" si="28"/>
        <v>#DIV/0!</v>
      </c>
      <c r="K88" s="200" t="e">
        <f t="shared" si="29"/>
        <v>#DIV/0!</v>
      </c>
      <c r="L88" s="641"/>
      <c r="M88" s="201" t="e">
        <f>RANK(K88, K$77:$K$106)</f>
        <v>#DIV/0!</v>
      </c>
      <c r="N88" s="659"/>
      <c r="O88" s="659"/>
      <c r="P88" s="182"/>
      <c r="Q88" s="182"/>
      <c r="R88" s="182"/>
      <c r="S88" s="334" t="e">
        <f t="shared" si="30"/>
        <v>#N/A</v>
      </c>
      <c r="T88" s="681"/>
      <c r="U88" s="182"/>
      <c r="V88" s="182"/>
      <c r="W88" s="182"/>
      <c r="X88" s="334" t="e">
        <f t="shared" si="31"/>
        <v>#N/A</v>
      </c>
      <c r="Y88" s="681"/>
      <c r="Z88" s="182"/>
      <c r="AA88" s="182"/>
      <c r="AB88" s="182"/>
      <c r="AC88" s="334" t="e">
        <f t="shared" si="32"/>
        <v>#N/A</v>
      </c>
      <c r="AD88" s="681"/>
      <c r="AE88" s="182"/>
      <c r="AF88" s="182"/>
      <c r="AG88" s="182"/>
      <c r="AH88" s="334" t="e">
        <f t="shared" si="33"/>
        <v>#N/A</v>
      </c>
      <c r="AI88" s="681"/>
      <c r="AJ88" s="182"/>
      <c r="AK88" s="182"/>
      <c r="AL88" s="182"/>
      <c r="AM88" s="334" t="e">
        <f t="shared" si="34"/>
        <v>#N/A</v>
      </c>
      <c r="AN88" s="681"/>
      <c r="AO88" s="182"/>
      <c r="AP88" s="182"/>
      <c r="AQ88" s="182"/>
      <c r="AR88" s="334" t="e">
        <f t="shared" si="35"/>
        <v>#N/A</v>
      </c>
      <c r="AS88" s="681"/>
      <c r="AT88" s="182"/>
      <c r="AU88" s="182"/>
      <c r="AV88" s="182"/>
      <c r="AW88" s="334" t="e">
        <f t="shared" si="36"/>
        <v>#N/A</v>
      </c>
      <c r="AX88" s="681"/>
    </row>
    <row r="89" spans="2:50">
      <c r="B89" s="667"/>
      <c r="C89" s="309">
        <v>13</v>
      </c>
      <c r="D89" s="227"/>
      <c r="E89" s="182"/>
      <c r="F89" s="569"/>
      <c r="G89" s="570"/>
      <c r="H89" s="709"/>
      <c r="I89" s="199" t="e">
        <f t="shared" si="27"/>
        <v>#DIV/0!</v>
      </c>
      <c r="J89" s="199" t="e">
        <f t="shared" si="28"/>
        <v>#DIV/0!</v>
      </c>
      <c r="K89" s="200" t="e">
        <f t="shared" si="29"/>
        <v>#DIV/0!</v>
      </c>
      <c r="L89" s="641"/>
      <c r="M89" s="201" t="e">
        <f>RANK(K89, K$77:$K$106)</f>
        <v>#DIV/0!</v>
      </c>
      <c r="N89" s="659"/>
      <c r="O89" s="659"/>
      <c r="P89" s="182"/>
      <c r="Q89" s="182"/>
      <c r="R89" s="182"/>
      <c r="S89" s="334" t="e">
        <f t="shared" si="30"/>
        <v>#N/A</v>
      </c>
      <c r="T89" s="681"/>
      <c r="U89" s="182"/>
      <c r="V89" s="182"/>
      <c r="W89" s="182"/>
      <c r="X89" s="334" t="e">
        <f t="shared" si="31"/>
        <v>#N/A</v>
      </c>
      <c r="Y89" s="681"/>
      <c r="Z89" s="182"/>
      <c r="AA89" s="182"/>
      <c r="AB89" s="182"/>
      <c r="AC89" s="334" t="e">
        <f t="shared" si="32"/>
        <v>#N/A</v>
      </c>
      <c r="AD89" s="681"/>
      <c r="AE89" s="182"/>
      <c r="AF89" s="182"/>
      <c r="AG89" s="182"/>
      <c r="AH89" s="334" t="e">
        <f t="shared" si="33"/>
        <v>#N/A</v>
      </c>
      <c r="AI89" s="681"/>
      <c r="AJ89" s="182"/>
      <c r="AK89" s="182"/>
      <c r="AL89" s="182"/>
      <c r="AM89" s="334" t="e">
        <f t="shared" si="34"/>
        <v>#N/A</v>
      </c>
      <c r="AN89" s="681"/>
      <c r="AO89" s="182"/>
      <c r="AP89" s="182"/>
      <c r="AQ89" s="182"/>
      <c r="AR89" s="334" t="e">
        <f t="shared" si="35"/>
        <v>#N/A</v>
      </c>
      <c r="AS89" s="681"/>
      <c r="AT89" s="182"/>
      <c r="AU89" s="182"/>
      <c r="AV89" s="182"/>
      <c r="AW89" s="334" t="e">
        <f t="shared" si="36"/>
        <v>#N/A</v>
      </c>
      <c r="AX89" s="681"/>
    </row>
    <row r="90" spans="2:50">
      <c r="B90" s="667"/>
      <c r="C90" s="309">
        <v>14</v>
      </c>
      <c r="D90" s="227"/>
      <c r="E90" s="182"/>
      <c r="F90" s="569"/>
      <c r="G90" s="570"/>
      <c r="H90" s="709"/>
      <c r="I90" s="199" t="e">
        <f t="shared" si="27"/>
        <v>#DIV/0!</v>
      </c>
      <c r="J90" s="199" t="e">
        <f t="shared" si="28"/>
        <v>#DIV/0!</v>
      </c>
      <c r="K90" s="200" t="e">
        <f t="shared" si="29"/>
        <v>#DIV/0!</v>
      </c>
      <c r="L90" s="641"/>
      <c r="M90" s="201" t="e">
        <f>RANK(K90, K$77:$K$106)</f>
        <v>#DIV/0!</v>
      </c>
      <c r="N90" s="659"/>
      <c r="O90" s="659"/>
      <c r="P90" s="182"/>
      <c r="Q90" s="182"/>
      <c r="R90" s="182"/>
      <c r="S90" s="334" t="e">
        <f t="shared" si="30"/>
        <v>#N/A</v>
      </c>
      <c r="T90" s="681"/>
      <c r="U90" s="182"/>
      <c r="V90" s="182"/>
      <c r="W90" s="182"/>
      <c r="X90" s="334" t="e">
        <f t="shared" si="31"/>
        <v>#N/A</v>
      </c>
      <c r="Y90" s="681"/>
      <c r="Z90" s="182"/>
      <c r="AA90" s="182"/>
      <c r="AB90" s="182"/>
      <c r="AC90" s="334" t="e">
        <f t="shared" si="32"/>
        <v>#N/A</v>
      </c>
      <c r="AD90" s="681"/>
      <c r="AE90" s="182"/>
      <c r="AF90" s="182"/>
      <c r="AG90" s="182"/>
      <c r="AH90" s="334" t="e">
        <f t="shared" si="33"/>
        <v>#N/A</v>
      </c>
      <c r="AI90" s="681"/>
      <c r="AJ90" s="182"/>
      <c r="AK90" s="182"/>
      <c r="AL90" s="182"/>
      <c r="AM90" s="334" t="e">
        <f t="shared" si="34"/>
        <v>#N/A</v>
      </c>
      <c r="AN90" s="681"/>
      <c r="AO90" s="182"/>
      <c r="AP90" s="182"/>
      <c r="AQ90" s="182"/>
      <c r="AR90" s="334" t="e">
        <f t="shared" si="35"/>
        <v>#N/A</v>
      </c>
      <c r="AS90" s="681"/>
      <c r="AT90" s="182"/>
      <c r="AU90" s="182"/>
      <c r="AV90" s="182"/>
      <c r="AW90" s="334" t="e">
        <f t="shared" si="36"/>
        <v>#N/A</v>
      </c>
      <c r="AX90" s="681"/>
    </row>
    <row r="91" spans="2:50">
      <c r="B91" s="667"/>
      <c r="C91" s="309">
        <v>15</v>
      </c>
      <c r="D91" s="227"/>
      <c r="E91" s="182"/>
      <c r="F91" s="569"/>
      <c r="G91" s="570"/>
      <c r="H91" s="709"/>
      <c r="I91" s="199" t="e">
        <f t="shared" si="27"/>
        <v>#DIV/0!</v>
      </c>
      <c r="J91" s="199" t="e">
        <f t="shared" si="28"/>
        <v>#DIV/0!</v>
      </c>
      <c r="K91" s="200" t="e">
        <f t="shared" si="29"/>
        <v>#DIV/0!</v>
      </c>
      <c r="L91" s="641"/>
      <c r="M91" s="201" t="e">
        <f>RANK(K91, K$77:$K$106)</f>
        <v>#DIV/0!</v>
      </c>
      <c r="N91" s="659"/>
      <c r="O91" s="659"/>
      <c r="P91" s="182"/>
      <c r="Q91" s="182"/>
      <c r="R91" s="182"/>
      <c r="S91" s="334" t="e">
        <f t="shared" si="30"/>
        <v>#N/A</v>
      </c>
      <c r="T91" s="681"/>
      <c r="U91" s="182"/>
      <c r="V91" s="182"/>
      <c r="W91" s="182"/>
      <c r="X91" s="334" t="e">
        <f t="shared" si="31"/>
        <v>#N/A</v>
      </c>
      <c r="Y91" s="681"/>
      <c r="Z91" s="182"/>
      <c r="AA91" s="182"/>
      <c r="AB91" s="182"/>
      <c r="AC91" s="334" t="e">
        <f t="shared" si="32"/>
        <v>#N/A</v>
      </c>
      <c r="AD91" s="681"/>
      <c r="AE91" s="182"/>
      <c r="AF91" s="182"/>
      <c r="AG91" s="182"/>
      <c r="AH91" s="334" t="e">
        <f t="shared" si="33"/>
        <v>#N/A</v>
      </c>
      <c r="AI91" s="681"/>
      <c r="AJ91" s="182"/>
      <c r="AK91" s="182"/>
      <c r="AL91" s="182"/>
      <c r="AM91" s="334" t="e">
        <f t="shared" si="34"/>
        <v>#N/A</v>
      </c>
      <c r="AN91" s="681"/>
      <c r="AO91" s="182"/>
      <c r="AP91" s="182"/>
      <c r="AQ91" s="182"/>
      <c r="AR91" s="334" t="e">
        <f t="shared" si="35"/>
        <v>#N/A</v>
      </c>
      <c r="AS91" s="681"/>
      <c r="AT91" s="182"/>
      <c r="AU91" s="182"/>
      <c r="AV91" s="182"/>
      <c r="AW91" s="334" t="e">
        <f t="shared" si="36"/>
        <v>#N/A</v>
      </c>
      <c r="AX91" s="681"/>
    </row>
    <row r="92" spans="2:50">
      <c r="B92" s="667"/>
      <c r="C92" s="309">
        <v>16</v>
      </c>
      <c r="D92" s="227"/>
      <c r="E92" s="182"/>
      <c r="F92" s="569"/>
      <c r="G92" s="570"/>
      <c r="H92" s="709"/>
      <c r="I92" s="199" t="e">
        <f t="shared" si="27"/>
        <v>#DIV/0!</v>
      </c>
      <c r="J92" s="199" t="e">
        <f t="shared" si="28"/>
        <v>#DIV/0!</v>
      </c>
      <c r="K92" s="200" t="e">
        <f t="shared" si="29"/>
        <v>#DIV/0!</v>
      </c>
      <c r="L92" s="641"/>
      <c r="M92" s="201" t="e">
        <f>RANK(K92, K$77:$K$106)</f>
        <v>#DIV/0!</v>
      </c>
      <c r="N92" s="659"/>
      <c r="O92" s="659"/>
      <c r="P92" s="182"/>
      <c r="Q92" s="182"/>
      <c r="R92" s="182"/>
      <c r="S92" s="334" t="e">
        <f t="shared" si="30"/>
        <v>#N/A</v>
      </c>
      <c r="T92" s="681"/>
      <c r="U92" s="182"/>
      <c r="V92" s="182"/>
      <c r="W92" s="182"/>
      <c r="X92" s="334" t="e">
        <f t="shared" si="31"/>
        <v>#N/A</v>
      </c>
      <c r="Y92" s="681"/>
      <c r="Z92" s="182"/>
      <c r="AA92" s="182"/>
      <c r="AB92" s="182"/>
      <c r="AC92" s="334" t="e">
        <f t="shared" si="32"/>
        <v>#N/A</v>
      </c>
      <c r="AD92" s="681"/>
      <c r="AE92" s="182"/>
      <c r="AF92" s="182"/>
      <c r="AG92" s="182"/>
      <c r="AH92" s="334" t="e">
        <f t="shared" si="33"/>
        <v>#N/A</v>
      </c>
      <c r="AI92" s="681"/>
      <c r="AJ92" s="182"/>
      <c r="AK92" s="182"/>
      <c r="AL92" s="182"/>
      <c r="AM92" s="334" t="e">
        <f t="shared" si="34"/>
        <v>#N/A</v>
      </c>
      <c r="AN92" s="681"/>
      <c r="AO92" s="182"/>
      <c r="AP92" s="182"/>
      <c r="AQ92" s="182"/>
      <c r="AR92" s="334" t="e">
        <f t="shared" si="35"/>
        <v>#N/A</v>
      </c>
      <c r="AS92" s="681"/>
      <c r="AT92" s="182"/>
      <c r="AU92" s="182"/>
      <c r="AV92" s="182"/>
      <c r="AW92" s="334" t="e">
        <f t="shared" si="36"/>
        <v>#N/A</v>
      </c>
      <c r="AX92" s="681"/>
    </row>
    <row r="93" spans="2:50">
      <c r="B93" s="667"/>
      <c r="C93" s="309">
        <v>17</v>
      </c>
      <c r="D93" s="227"/>
      <c r="E93" s="182"/>
      <c r="F93" s="569"/>
      <c r="G93" s="570"/>
      <c r="H93" s="709"/>
      <c r="I93" s="199" t="e">
        <f t="shared" si="27"/>
        <v>#DIV/0!</v>
      </c>
      <c r="J93" s="199" t="e">
        <f t="shared" si="28"/>
        <v>#DIV/0!</v>
      </c>
      <c r="K93" s="200" t="e">
        <f t="shared" si="29"/>
        <v>#DIV/0!</v>
      </c>
      <c r="L93" s="641"/>
      <c r="M93" s="201" t="e">
        <f>RANK(K93, K$77:$K$106)</f>
        <v>#DIV/0!</v>
      </c>
      <c r="N93" s="659"/>
      <c r="O93" s="659"/>
      <c r="P93" s="182"/>
      <c r="Q93" s="182"/>
      <c r="R93" s="182"/>
      <c r="S93" s="334" t="e">
        <f t="shared" si="30"/>
        <v>#N/A</v>
      </c>
      <c r="T93" s="681"/>
      <c r="U93" s="182"/>
      <c r="V93" s="182"/>
      <c r="W93" s="182"/>
      <c r="X93" s="334" t="e">
        <f t="shared" si="31"/>
        <v>#N/A</v>
      </c>
      <c r="Y93" s="681"/>
      <c r="Z93" s="182"/>
      <c r="AA93" s="182"/>
      <c r="AB93" s="182"/>
      <c r="AC93" s="334" t="e">
        <f t="shared" si="32"/>
        <v>#N/A</v>
      </c>
      <c r="AD93" s="681"/>
      <c r="AE93" s="182"/>
      <c r="AF93" s="182"/>
      <c r="AG93" s="182"/>
      <c r="AH93" s="334" t="e">
        <f t="shared" si="33"/>
        <v>#N/A</v>
      </c>
      <c r="AI93" s="681"/>
      <c r="AJ93" s="182"/>
      <c r="AK93" s="182"/>
      <c r="AL93" s="182"/>
      <c r="AM93" s="334" t="e">
        <f t="shared" si="34"/>
        <v>#N/A</v>
      </c>
      <c r="AN93" s="681"/>
      <c r="AO93" s="182"/>
      <c r="AP93" s="182"/>
      <c r="AQ93" s="182"/>
      <c r="AR93" s="334" t="e">
        <f t="shared" si="35"/>
        <v>#N/A</v>
      </c>
      <c r="AS93" s="681"/>
      <c r="AT93" s="182"/>
      <c r="AU93" s="182"/>
      <c r="AV93" s="182"/>
      <c r="AW93" s="334" t="e">
        <f t="shared" si="36"/>
        <v>#N/A</v>
      </c>
      <c r="AX93" s="681"/>
    </row>
    <row r="94" spans="2:50">
      <c r="B94" s="667"/>
      <c r="C94" s="309">
        <v>18</v>
      </c>
      <c r="D94" s="227"/>
      <c r="E94" s="182"/>
      <c r="F94" s="569"/>
      <c r="G94" s="570"/>
      <c r="H94" s="709"/>
      <c r="I94" s="199" t="e">
        <f t="shared" si="27"/>
        <v>#DIV/0!</v>
      </c>
      <c r="J94" s="199" t="e">
        <f t="shared" si="28"/>
        <v>#DIV/0!</v>
      </c>
      <c r="K94" s="200" t="e">
        <f t="shared" si="29"/>
        <v>#DIV/0!</v>
      </c>
      <c r="L94" s="641"/>
      <c r="M94" s="201" t="e">
        <f>RANK(K94, K$77:$K$106)</f>
        <v>#DIV/0!</v>
      </c>
      <c r="N94" s="659"/>
      <c r="O94" s="659"/>
      <c r="P94" s="182"/>
      <c r="Q94" s="182"/>
      <c r="R94" s="182"/>
      <c r="S94" s="334" t="e">
        <f t="shared" si="30"/>
        <v>#N/A</v>
      </c>
      <c r="T94" s="681"/>
      <c r="U94" s="182"/>
      <c r="V94" s="182"/>
      <c r="W94" s="182"/>
      <c r="X94" s="334" t="e">
        <f t="shared" si="31"/>
        <v>#N/A</v>
      </c>
      <c r="Y94" s="681"/>
      <c r="Z94" s="182"/>
      <c r="AA94" s="182"/>
      <c r="AB94" s="182"/>
      <c r="AC94" s="334" t="e">
        <f t="shared" si="32"/>
        <v>#N/A</v>
      </c>
      <c r="AD94" s="681"/>
      <c r="AE94" s="182"/>
      <c r="AF94" s="182"/>
      <c r="AG94" s="182"/>
      <c r="AH94" s="334" t="e">
        <f t="shared" si="33"/>
        <v>#N/A</v>
      </c>
      <c r="AI94" s="681"/>
      <c r="AJ94" s="182"/>
      <c r="AK94" s="182"/>
      <c r="AL94" s="182"/>
      <c r="AM94" s="334" t="e">
        <f t="shared" si="34"/>
        <v>#N/A</v>
      </c>
      <c r="AN94" s="681"/>
      <c r="AO94" s="182"/>
      <c r="AP94" s="182"/>
      <c r="AQ94" s="182"/>
      <c r="AR94" s="334" t="e">
        <f t="shared" si="35"/>
        <v>#N/A</v>
      </c>
      <c r="AS94" s="681"/>
      <c r="AT94" s="182"/>
      <c r="AU94" s="182"/>
      <c r="AV94" s="182"/>
      <c r="AW94" s="334" t="e">
        <f t="shared" si="36"/>
        <v>#N/A</v>
      </c>
      <c r="AX94" s="681"/>
    </row>
    <row r="95" spans="2:50">
      <c r="B95" s="667"/>
      <c r="C95" s="309">
        <v>19</v>
      </c>
      <c r="D95" s="227"/>
      <c r="E95" s="182"/>
      <c r="F95" s="569"/>
      <c r="G95" s="570"/>
      <c r="H95" s="709"/>
      <c r="I95" s="199" t="e">
        <f t="shared" si="27"/>
        <v>#DIV/0!</v>
      </c>
      <c r="J95" s="199" t="e">
        <f t="shared" si="28"/>
        <v>#DIV/0!</v>
      </c>
      <c r="K95" s="200" t="e">
        <f t="shared" si="29"/>
        <v>#DIV/0!</v>
      </c>
      <c r="L95" s="641"/>
      <c r="M95" s="201" t="e">
        <f>RANK(K95, K$77:$K$106)</f>
        <v>#DIV/0!</v>
      </c>
      <c r="N95" s="659"/>
      <c r="O95" s="659"/>
      <c r="P95" s="182"/>
      <c r="Q95" s="182"/>
      <c r="R95" s="182"/>
      <c r="S95" s="334" t="e">
        <f t="shared" si="30"/>
        <v>#N/A</v>
      </c>
      <c r="T95" s="681"/>
      <c r="U95" s="182"/>
      <c r="V95" s="182"/>
      <c r="W95" s="182"/>
      <c r="X95" s="334" t="e">
        <f t="shared" si="31"/>
        <v>#N/A</v>
      </c>
      <c r="Y95" s="681"/>
      <c r="Z95" s="182"/>
      <c r="AA95" s="182"/>
      <c r="AB95" s="182"/>
      <c r="AC95" s="334" t="e">
        <f t="shared" si="32"/>
        <v>#N/A</v>
      </c>
      <c r="AD95" s="681"/>
      <c r="AE95" s="182"/>
      <c r="AF95" s="182"/>
      <c r="AG95" s="182"/>
      <c r="AH95" s="334" t="e">
        <f t="shared" si="33"/>
        <v>#N/A</v>
      </c>
      <c r="AI95" s="681"/>
      <c r="AJ95" s="182"/>
      <c r="AK95" s="182"/>
      <c r="AL95" s="182"/>
      <c r="AM95" s="334" t="e">
        <f t="shared" si="34"/>
        <v>#N/A</v>
      </c>
      <c r="AN95" s="681"/>
      <c r="AO95" s="182"/>
      <c r="AP95" s="182"/>
      <c r="AQ95" s="182"/>
      <c r="AR95" s="334" t="e">
        <f t="shared" si="35"/>
        <v>#N/A</v>
      </c>
      <c r="AS95" s="681"/>
      <c r="AT95" s="182"/>
      <c r="AU95" s="182"/>
      <c r="AV95" s="182"/>
      <c r="AW95" s="334" t="e">
        <f t="shared" si="36"/>
        <v>#N/A</v>
      </c>
      <c r="AX95" s="681"/>
    </row>
    <row r="96" spans="2:50">
      <c r="B96" s="667"/>
      <c r="C96" s="309">
        <v>20</v>
      </c>
      <c r="D96" s="227"/>
      <c r="E96" s="182"/>
      <c r="F96" s="569"/>
      <c r="G96" s="570"/>
      <c r="H96" s="709"/>
      <c r="I96" s="199" t="e">
        <f t="shared" si="27"/>
        <v>#DIV/0!</v>
      </c>
      <c r="J96" s="199" t="e">
        <f t="shared" si="28"/>
        <v>#DIV/0!</v>
      </c>
      <c r="K96" s="200" t="e">
        <f t="shared" si="29"/>
        <v>#DIV/0!</v>
      </c>
      <c r="L96" s="641"/>
      <c r="M96" s="201" t="e">
        <f>RANK(K96, K$77:$K$106)</f>
        <v>#DIV/0!</v>
      </c>
      <c r="N96" s="659"/>
      <c r="O96" s="659"/>
      <c r="P96" s="182"/>
      <c r="Q96" s="182"/>
      <c r="R96" s="182"/>
      <c r="S96" s="334" t="e">
        <f t="shared" si="30"/>
        <v>#N/A</v>
      </c>
      <c r="T96" s="681"/>
      <c r="U96" s="182"/>
      <c r="V96" s="182"/>
      <c r="W96" s="182"/>
      <c r="X96" s="334" t="e">
        <f t="shared" si="31"/>
        <v>#N/A</v>
      </c>
      <c r="Y96" s="681"/>
      <c r="Z96" s="182"/>
      <c r="AA96" s="182"/>
      <c r="AB96" s="182"/>
      <c r="AC96" s="334" t="e">
        <f t="shared" si="32"/>
        <v>#N/A</v>
      </c>
      <c r="AD96" s="681"/>
      <c r="AE96" s="182"/>
      <c r="AF96" s="182"/>
      <c r="AG96" s="182"/>
      <c r="AH96" s="334" t="e">
        <f t="shared" si="33"/>
        <v>#N/A</v>
      </c>
      <c r="AI96" s="681"/>
      <c r="AJ96" s="182"/>
      <c r="AK96" s="182"/>
      <c r="AL96" s="182"/>
      <c r="AM96" s="334" t="e">
        <f t="shared" si="34"/>
        <v>#N/A</v>
      </c>
      <c r="AN96" s="681"/>
      <c r="AO96" s="182"/>
      <c r="AP96" s="182"/>
      <c r="AQ96" s="182"/>
      <c r="AR96" s="334" t="e">
        <f t="shared" si="35"/>
        <v>#N/A</v>
      </c>
      <c r="AS96" s="681"/>
      <c r="AT96" s="182"/>
      <c r="AU96" s="182"/>
      <c r="AV96" s="182"/>
      <c r="AW96" s="334" t="e">
        <f t="shared" si="36"/>
        <v>#N/A</v>
      </c>
      <c r="AX96" s="681"/>
    </row>
    <row r="97" spans="2:50">
      <c r="B97" s="667"/>
      <c r="C97" s="309">
        <v>21</v>
      </c>
      <c r="D97" s="227"/>
      <c r="E97" s="182"/>
      <c r="F97" s="569"/>
      <c r="G97" s="570"/>
      <c r="H97" s="709"/>
      <c r="I97" s="199" t="e">
        <f t="shared" si="27"/>
        <v>#DIV/0!</v>
      </c>
      <c r="J97" s="199" t="e">
        <f t="shared" si="28"/>
        <v>#DIV/0!</v>
      </c>
      <c r="K97" s="200" t="e">
        <f t="shared" si="29"/>
        <v>#DIV/0!</v>
      </c>
      <c r="L97" s="641"/>
      <c r="M97" s="201" t="e">
        <f>RANK(K97, K$77:$K$106)</f>
        <v>#DIV/0!</v>
      </c>
      <c r="N97" s="659"/>
      <c r="O97" s="659"/>
      <c r="P97" s="182"/>
      <c r="Q97" s="182"/>
      <c r="R97" s="182"/>
      <c r="S97" s="334" t="e">
        <f t="shared" si="30"/>
        <v>#N/A</v>
      </c>
      <c r="T97" s="681"/>
      <c r="U97" s="182"/>
      <c r="V97" s="182"/>
      <c r="W97" s="182"/>
      <c r="X97" s="334" t="e">
        <f t="shared" si="31"/>
        <v>#N/A</v>
      </c>
      <c r="Y97" s="681"/>
      <c r="Z97" s="182"/>
      <c r="AA97" s="182"/>
      <c r="AB97" s="182"/>
      <c r="AC97" s="334" t="e">
        <f t="shared" si="32"/>
        <v>#N/A</v>
      </c>
      <c r="AD97" s="681"/>
      <c r="AE97" s="182"/>
      <c r="AF97" s="182"/>
      <c r="AG97" s="182"/>
      <c r="AH97" s="334" t="e">
        <f t="shared" si="33"/>
        <v>#N/A</v>
      </c>
      <c r="AI97" s="681"/>
      <c r="AJ97" s="182"/>
      <c r="AK97" s="182"/>
      <c r="AL97" s="182"/>
      <c r="AM97" s="334" t="e">
        <f t="shared" si="34"/>
        <v>#N/A</v>
      </c>
      <c r="AN97" s="681"/>
      <c r="AO97" s="182"/>
      <c r="AP97" s="182"/>
      <c r="AQ97" s="182"/>
      <c r="AR97" s="334" t="e">
        <f t="shared" si="35"/>
        <v>#N/A</v>
      </c>
      <c r="AS97" s="681"/>
      <c r="AT97" s="182"/>
      <c r="AU97" s="182"/>
      <c r="AV97" s="182"/>
      <c r="AW97" s="334" t="e">
        <f t="shared" si="36"/>
        <v>#N/A</v>
      </c>
      <c r="AX97" s="681"/>
    </row>
    <row r="98" spans="2:50">
      <c r="B98" s="667"/>
      <c r="C98" s="309">
        <v>22</v>
      </c>
      <c r="D98" s="227"/>
      <c r="E98" s="182"/>
      <c r="F98" s="569"/>
      <c r="G98" s="570"/>
      <c r="H98" s="709"/>
      <c r="I98" s="199" t="e">
        <f t="shared" si="27"/>
        <v>#DIV/0!</v>
      </c>
      <c r="J98" s="199" t="e">
        <f t="shared" si="28"/>
        <v>#DIV/0!</v>
      </c>
      <c r="K98" s="200" t="e">
        <f t="shared" si="29"/>
        <v>#DIV/0!</v>
      </c>
      <c r="L98" s="641"/>
      <c r="M98" s="201" t="e">
        <f>RANK(K98, K$77:$K$106)</f>
        <v>#DIV/0!</v>
      </c>
      <c r="N98" s="659"/>
      <c r="O98" s="659"/>
      <c r="P98" s="182"/>
      <c r="Q98" s="182"/>
      <c r="R98" s="182"/>
      <c r="S98" s="334" t="e">
        <f t="shared" si="30"/>
        <v>#N/A</v>
      </c>
      <c r="T98" s="681"/>
      <c r="U98" s="182"/>
      <c r="V98" s="182"/>
      <c r="W98" s="182"/>
      <c r="X98" s="334" t="e">
        <f t="shared" si="31"/>
        <v>#N/A</v>
      </c>
      <c r="Y98" s="681"/>
      <c r="Z98" s="182"/>
      <c r="AA98" s="182"/>
      <c r="AB98" s="182"/>
      <c r="AC98" s="334" t="e">
        <f t="shared" si="32"/>
        <v>#N/A</v>
      </c>
      <c r="AD98" s="681"/>
      <c r="AE98" s="182"/>
      <c r="AF98" s="182"/>
      <c r="AG98" s="182"/>
      <c r="AH98" s="334" t="e">
        <f t="shared" si="33"/>
        <v>#N/A</v>
      </c>
      <c r="AI98" s="681"/>
      <c r="AJ98" s="182"/>
      <c r="AK98" s="182"/>
      <c r="AL98" s="182"/>
      <c r="AM98" s="334" t="e">
        <f t="shared" si="34"/>
        <v>#N/A</v>
      </c>
      <c r="AN98" s="681"/>
      <c r="AO98" s="182"/>
      <c r="AP98" s="182"/>
      <c r="AQ98" s="182"/>
      <c r="AR98" s="334" t="e">
        <f t="shared" si="35"/>
        <v>#N/A</v>
      </c>
      <c r="AS98" s="681"/>
      <c r="AT98" s="182"/>
      <c r="AU98" s="182"/>
      <c r="AV98" s="182"/>
      <c r="AW98" s="334" t="e">
        <f t="shared" si="36"/>
        <v>#N/A</v>
      </c>
      <c r="AX98" s="681"/>
    </row>
    <row r="99" spans="2:50">
      <c r="B99" s="667"/>
      <c r="C99" s="309">
        <v>23</v>
      </c>
      <c r="D99" s="227"/>
      <c r="E99" s="182"/>
      <c r="F99" s="569"/>
      <c r="G99" s="570"/>
      <c r="H99" s="709"/>
      <c r="I99" s="199" t="e">
        <f t="shared" si="27"/>
        <v>#DIV/0!</v>
      </c>
      <c r="J99" s="199" t="e">
        <f t="shared" si="28"/>
        <v>#DIV/0!</v>
      </c>
      <c r="K99" s="200" t="e">
        <f t="shared" si="29"/>
        <v>#DIV/0!</v>
      </c>
      <c r="L99" s="641"/>
      <c r="M99" s="201" t="e">
        <f>RANK(K99, K$77:$K$106)</f>
        <v>#DIV/0!</v>
      </c>
      <c r="N99" s="659"/>
      <c r="O99" s="659"/>
      <c r="P99" s="182"/>
      <c r="Q99" s="182"/>
      <c r="R99" s="182"/>
      <c r="S99" s="334" t="e">
        <f t="shared" si="30"/>
        <v>#N/A</v>
      </c>
      <c r="T99" s="681"/>
      <c r="U99" s="182"/>
      <c r="V99" s="182"/>
      <c r="W99" s="182"/>
      <c r="X99" s="334" t="e">
        <f t="shared" si="31"/>
        <v>#N/A</v>
      </c>
      <c r="Y99" s="681"/>
      <c r="Z99" s="182"/>
      <c r="AA99" s="182"/>
      <c r="AB99" s="182"/>
      <c r="AC99" s="334" t="e">
        <f t="shared" si="32"/>
        <v>#N/A</v>
      </c>
      <c r="AD99" s="681"/>
      <c r="AE99" s="182"/>
      <c r="AF99" s="182"/>
      <c r="AG99" s="182"/>
      <c r="AH99" s="334" t="e">
        <f t="shared" si="33"/>
        <v>#N/A</v>
      </c>
      <c r="AI99" s="681"/>
      <c r="AJ99" s="182"/>
      <c r="AK99" s="182"/>
      <c r="AL99" s="182"/>
      <c r="AM99" s="334" t="e">
        <f t="shared" si="34"/>
        <v>#N/A</v>
      </c>
      <c r="AN99" s="681"/>
      <c r="AO99" s="182"/>
      <c r="AP99" s="182"/>
      <c r="AQ99" s="182"/>
      <c r="AR99" s="334" t="e">
        <f t="shared" si="35"/>
        <v>#N/A</v>
      </c>
      <c r="AS99" s="681"/>
      <c r="AT99" s="182"/>
      <c r="AU99" s="182"/>
      <c r="AV99" s="182"/>
      <c r="AW99" s="334" t="e">
        <f t="shared" si="36"/>
        <v>#N/A</v>
      </c>
      <c r="AX99" s="681"/>
    </row>
    <row r="100" spans="2:50">
      <c r="B100" s="667"/>
      <c r="C100" s="309">
        <v>24</v>
      </c>
      <c r="D100" s="227"/>
      <c r="E100" s="182"/>
      <c r="F100" s="569"/>
      <c r="G100" s="570"/>
      <c r="H100" s="709"/>
      <c r="I100" s="463" t="e">
        <f t="shared" ref="I100:I101" si="37">AVERAGE(P100,U100,Z100,AE100,AJ100,AO100,AT100)</f>
        <v>#DIV/0!</v>
      </c>
      <c r="J100" s="463" t="e">
        <f t="shared" ref="J100:J101" si="38">AVERAGE(Q100,V100,AA100,AF100,AK100,AP100,AU100)</f>
        <v>#DIV/0!</v>
      </c>
      <c r="K100" s="200" t="e">
        <f t="shared" ref="K100:K101" si="39">AVERAGE(R100,W100,AB100,AG100,AL100,AQ100,AV100)</f>
        <v>#DIV/0!</v>
      </c>
      <c r="L100" s="641"/>
      <c r="M100" s="201" t="e">
        <f>RANK(K100, K$77:$K$106)</f>
        <v>#DIV/0!</v>
      </c>
      <c r="N100" s="659"/>
      <c r="O100" s="659"/>
      <c r="P100" s="182"/>
      <c r="Q100" s="182"/>
      <c r="R100" s="182"/>
      <c r="S100" s="334" t="e">
        <f t="shared" si="30"/>
        <v>#N/A</v>
      </c>
      <c r="T100" s="681"/>
      <c r="U100" s="182"/>
      <c r="V100" s="182"/>
      <c r="W100" s="182"/>
      <c r="X100" s="334" t="e">
        <f t="shared" si="31"/>
        <v>#N/A</v>
      </c>
      <c r="Y100" s="681"/>
      <c r="Z100" s="182"/>
      <c r="AA100" s="182"/>
      <c r="AB100" s="182"/>
      <c r="AC100" s="334" t="e">
        <f t="shared" si="32"/>
        <v>#N/A</v>
      </c>
      <c r="AD100" s="681"/>
      <c r="AE100" s="182"/>
      <c r="AF100" s="182"/>
      <c r="AG100" s="182"/>
      <c r="AH100" s="334" t="e">
        <f t="shared" si="33"/>
        <v>#N/A</v>
      </c>
      <c r="AI100" s="681"/>
      <c r="AJ100" s="182"/>
      <c r="AK100" s="182"/>
      <c r="AL100" s="182"/>
      <c r="AM100" s="334" t="e">
        <f t="shared" si="34"/>
        <v>#N/A</v>
      </c>
      <c r="AN100" s="681"/>
      <c r="AO100" s="182"/>
      <c r="AP100" s="182"/>
      <c r="AQ100" s="182"/>
      <c r="AR100" s="334" t="e">
        <f t="shared" si="35"/>
        <v>#N/A</v>
      </c>
      <c r="AS100" s="681"/>
      <c r="AT100" s="182"/>
      <c r="AU100" s="182"/>
      <c r="AV100" s="182"/>
      <c r="AW100" s="334" t="e">
        <f t="shared" si="36"/>
        <v>#N/A</v>
      </c>
      <c r="AX100" s="681"/>
    </row>
    <row r="101" spans="2:50">
      <c r="B101" s="667"/>
      <c r="C101" s="309">
        <v>25</v>
      </c>
      <c r="D101" s="227"/>
      <c r="E101" s="182"/>
      <c r="F101" s="569"/>
      <c r="G101" s="570"/>
      <c r="H101" s="709"/>
      <c r="I101" s="463" t="e">
        <f t="shared" si="37"/>
        <v>#DIV/0!</v>
      </c>
      <c r="J101" s="463" t="e">
        <f t="shared" si="38"/>
        <v>#DIV/0!</v>
      </c>
      <c r="K101" s="200" t="e">
        <f t="shared" si="39"/>
        <v>#DIV/0!</v>
      </c>
      <c r="L101" s="641"/>
      <c r="M101" s="201" t="e">
        <f>RANK(K101, K$77:$K$106)</f>
        <v>#DIV/0!</v>
      </c>
      <c r="N101" s="659"/>
      <c r="O101" s="659"/>
      <c r="P101" s="182"/>
      <c r="Q101" s="182"/>
      <c r="R101" s="182"/>
      <c r="S101" s="334" t="e">
        <f t="shared" si="30"/>
        <v>#N/A</v>
      </c>
      <c r="T101" s="681"/>
      <c r="U101" s="182"/>
      <c r="V101" s="182"/>
      <c r="W101" s="182"/>
      <c r="X101" s="334" t="e">
        <f t="shared" si="31"/>
        <v>#N/A</v>
      </c>
      <c r="Y101" s="681"/>
      <c r="Z101" s="182"/>
      <c r="AA101" s="182"/>
      <c r="AB101" s="182"/>
      <c r="AC101" s="334" t="e">
        <f t="shared" si="32"/>
        <v>#N/A</v>
      </c>
      <c r="AD101" s="681"/>
      <c r="AE101" s="182"/>
      <c r="AF101" s="182"/>
      <c r="AG101" s="182"/>
      <c r="AH101" s="334" t="e">
        <f t="shared" si="33"/>
        <v>#N/A</v>
      </c>
      <c r="AI101" s="681"/>
      <c r="AJ101" s="182"/>
      <c r="AK101" s="182"/>
      <c r="AL101" s="182"/>
      <c r="AM101" s="334" t="e">
        <f t="shared" si="34"/>
        <v>#N/A</v>
      </c>
      <c r="AN101" s="681"/>
      <c r="AO101" s="182"/>
      <c r="AP101" s="182"/>
      <c r="AQ101" s="182"/>
      <c r="AR101" s="334" t="e">
        <f t="shared" si="35"/>
        <v>#N/A</v>
      </c>
      <c r="AS101" s="681"/>
      <c r="AT101" s="182"/>
      <c r="AU101" s="182"/>
      <c r="AV101" s="182"/>
      <c r="AW101" s="334" t="e">
        <f t="shared" si="36"/>
        <v>#N/A</v>
      </c>
      <c r="AX101" s="681"/>
    </row>
    <row r="102" spans="2:50">
      <c r="B102" s="667"/>
      <c r="C102" s="309">
        <v>26</v>
      </c>
      <c r="D102" s="227"/>
      <c r="E102" s="182"/>
      <c r="F102" s="569"/>
      <c r="G102" s="570"/>
      <c r="H102" s="709"/>
      <c r="I102" s="536" t="e">
        <f t="shared" ref="I102:I104" si="40">AVERAGE(P102,U102,Z102,AE102,AJ102,AO102,AT102)</f>
        <v>#DIV/0!</v>
      </c>
      <c r="J102" s="536" t="e">
        <f t="shared" ref="J102:J104" si="41">AVERAGE(Q102,V102,AA102,AF102,AK102,AP102,AU102)</f>
        <v>#DIV/0!</v>
      </c>
      <c r="K102" s="200" t="e">
        <f t="shared" ref="K102:K104" si="42">AVERAGE(R102,W102,AB102,AG102,AL102,AQ102,AV102)</f>
        <v>#DIV/0!</v>
      </c>
      <c r="L102" s="641"/>
      <c r="M102" s="201" t="e">
        <f>RANK(K102, K$77:$K$106)</f>
        <v>#DIV/0!</v>
      </c>
      <c r="N102" s="659"/>
      <c r="O102" s="659"/>
      <c r="P102" s="182"/>
      <c r="Q102" s="182"/>
      <c r="R102" s="182"/>
      <c r="S102" s="334" t="e">
        <f t="shared" si="30"/>
        <v>#N/A</v>
      </c>
      <c r="T102" s="681"/>
      <c r="U102" s="182"/>
      <c r="V102" s="182"/>
      <c r="W102" s="182"/>
      <c r="X102" s="334" t="e">
        <f t="shared" si="31"/>
        <v>#N/A</v>
      </c>
      <c r="Y102" s="681"/>
      <c r="Z102" s="182"/>
      <c r="AA102" s="182"/>
      <c r="AB102" s="182"/>
      <c r="AC102" s="334" t="e">
        <f t="shared" si="32"/>
        <v>#N/A</v>
      </c>
      <c r="AD102" s="681"/>
      <c r="AE102" s="182"/>
      <c r="AF102" s="182"/>
      <c r="AG102" s="182"/>
      <c r="AH102" s="334" t="e">
        <f t="shared" si="33"/>
        <v>#N/A</v>
      </c>
      <c r="AI102" s="681"/>
      <c r="AJ102" s="182"/>
      <c r="AK102" s="182"/>
      <c r="AL102" s="182"/>
      <c r="AM102" s="334" t="e">
        <f t="shared" si="34"/>
        <v>#N/A</v>
      </c>
      <c r="AN102" s="681"/>
      <c r="AO102" s="182"/>
      <c r="AP102" s="182"/>
      <c r="AQ102" s="182"/>
      <c r="AR102" s="334" t="e">
        <f t="shared" si="35"/>
        <v>#N/A</v>
      </c>
      <c r="AS102" s="681"/>
      <c r="AT102" s="182"/>
      <c r="AU102" s="182"/>
      <c r="AV102" s="182"/>
      <c r="AW102" s="334" t="e">
        <f t="shared" si="36"/>
        <v>#N/A</v>
      </c>
      <c r="AX102" s="681"/>
    </row>
    <row r="103" spans="2:50">
      <c r="B103" s="667"/>
      <c r="C103" s="309">
        <v>27</v>
      </c>
      <c r="D103" s="227"/>
      <c r="E103" s="182"/>
      <c r="F103" s="569"/>
      <c r="G103" s="570"/>
      <c r="H103" s="709"/>
      <c r="I103" s="536" t="e">
        <f t="shared" si="40"/>
        <v>#DIV/0!</v>
      </c>
      <c r="J103" s="536" t="e">
        <f t="shared" si="41"/>
        <v>#DIV/0!</v>
      </c>
      <c r="K103" s="200" t="e">
        <f t="shared" si="42"/>
        <v>#DIV/0!</v>
      </c>
      <c r="L103" s="641"/>
      <c r="M103" s="201" t="e">
        <f>RANK(K103, K$77:$K$106)</f>
        <v>#DIV/0!</v>
      </c>
      <c r="N103" s="659"/>
      <c r="O103" s="659"/>
      <c r="P103" s="182"/>
      <c r="Q103" s="182"/>
      <c r="R103" s="182"/>
      <c r="S103" s="334" t="e">
        <f t="shared" si="30"/>
        <v>#N/A</v>
      </c>
      <c r="T103" s="681"/>
      <c r="U103" s="182"/>
      <c r="V103" s="182"/>
      <c r="W103" s="182"/>
      <c r="X103" s="334" t="e">
        <f t="shared" si="31"/>
        <v>#N/A</v>
      </c>
      <c r="Y103" s="681"/>
      <c r="Z103" s="182"/>
      <c r="AA103" s="182"/>
      <c r="AB103" s="182"/>
      <c r="AC103" s="334" t="e">
        <f t="shared" si="32"/>
        <v>#N/A</v>
      </c>
      <c r="AD103" s="681"/>
      <c r="AE103" s="182"/>
      <c r="AF103" s="182"/>
      <c r="AG103" s="182"/>
      <c r="AH103" s="334" t="e">
        <f t="shared" si="33"/>
        <v>#N/A</v>
      </c>
      <c r="AI103" s="681"/>
      <c r="AJ103" s="182"/>
      <c r="AK103" s="182"/>
      <c r="AL103" s="182"/>
      <c r="AM103" s="334" t="e">
        <f t="shared" si="34"/>
        <v>#N/A</v>
      </c>
      <c r="AN103" s="681"/>
      <c r="AO103" s="182"/>
      <c r="AP103" s="182"/>
      <c r="AQ103" s="182"/>
      <c r="AR103" s="334" t="e">
        <f t="shared" si="35"/>
        <v>#N/A</v>
      </c>
      <c r="AS103" s="681"/>
      <c r="AT103" s="182"/>
      <c r="AU103" s="182"/>
      <c r="AV103" s="182"/>
      <c r="AW103" s="334" t="e">
        <f t="shared" si="36"/>
        <v>#N/A</v>
      </c>
      <c r="AX103" s="681"/>
    </row>
    <row r="104" spans="2:50">
      <c r="B104" s="667"/>
      <c r="C104" s="309">
        <v>28</v>
      </c>
      <c r="D104" s="227"/>
      <c r="E104" s="182"/>
      <c r="F104" s="569"/>
      <c r="G104" s="570"/>
      <c r="H104" s="709"/>
      <c r="I104" s="536" t="e">
        <f t="shared" si="40"/>
        <v>#DIV/0!</v>
      </c>
      <c r="J104" s="536" t="e">
        <f t="shared" si="41"/>
        <v>#DIV/0!</v>
      </c>
      <c r="K104" s="200" t="e">
        <f t="shared" si="42"/>
        <v>#DIV/0!</v>
      </c>
      <c r="L104" s="641"/>
      <c r="M104" s="201" t="e">
        <f>RANK(K104, K$77:$K$106)</f>
        <v>#DIV/0!</v>
      </c>
      <c r="N104" s="659"/>
      <c r="O104" s="659"/>
      <c r="P104" s="182"/>
      <c r="Q104" s="182"/>
      <c r="R104" s="182"/>
      <c r="S104" s="334" t="e">
        <f t="shared" si="30"/>
        <v>#N/A</v>
      </c>
      <c r="T104" s="681"/>
      <c r="U104" s="182"/>
      <c r="V104" s="182"/>
      <c r="W104" s="182"/>
      <c r="X104" s="334" t="e">
        <f t="shared" si="31"/>
        <v>#N/A</v>
      </c>
      <c r="Y104" s="681"/>
      <c r="Z104" s="182"/>
      <c r="AA104" s="182"/>
      <c r="AB104" s="182"/>
      <c r="AC104" s="334" t="e">
        <f t="shared" si="32"/>
        <v>#N/A</v>
      </c>
      <c r="AD104" s="681"/>
      <c r="AE104" s="182"/>
      <c r="AF104" s="182"/>
      <c r="AG104" s="182"/>
      <c r="AH104" s="334" t="e">
        <f t="shared" si="33"/>
        <v>#N/A</v>
      </c>
      <c r="AI104" s="681"/>
      <c r="AJ104" s="182"/>
      <c r="AK104" s="182"/>
      <c r="AL104" s="182"/>
      <c r="AM104" s="334" t="e">
        <f t="shared" si="34"/>
        <v>#N/A</v>
      </c>
      <c r="AN104" s="681"/>
      <c r="AO104" s="182"/>
      <c r="AP104" s="182"/>
      <c r="AQ104" s="182"/>
      <c r="AR104" s="334" t="e">
        <f t="shared" si="35"/>
        <v>#N/A</v>
      </c>
      <c r="AS104" s="681"/>
      <c r="AT104" s="182"/>
      <c r="AU104" s="182"/>
      <c r="AV104" s="182"/>
      <c r="AW104" s="334" t="e">
        <f t="shared" si="36"/>
        <v>#N/A</v>
      </c>
      <c r="AX104" s="681"/>
    </row>
    <row r="105" spans="2:50">
      <c r="B105" s="667"/>
      <c r="C105" s="309">
        <v>29</v>
      </c>
      <c r="D105" s="227"/>
      <c r="E105" s="182"/>
      <c r="F105" s="569"/>
      <c r="G105" s="570"/>
      <c r="H105" s="709"/>
      <c r="I105" s="561" t="e">
        <f t="shared" ref="I105:I106" si="43">AVERAGE(P105,U105,Z105,AE105,AJ105,AO105,AT105)</f>
        <v>#DIV/0!</v>
      </c>
      <c r="J105" s="561" t="e">
        <f t="shared" ref="J105:J106" si="44">AVERAGE(Q105,V105,AA105,AF105,AK105,AP105,AU105)</f>
        <v>#DIV/0!</v>
      </c>
      <c r="K105" s="200" t="e">
        <f t="shared" ref="K105:K106" si="45">AVERAGE(R105,W105,AB105,AG105,AL105,AQ105,AV105)</f>
        <v>#DIV/0!</v>
      </c>
      <c r="L105" s="641"/>
      <c r="M105" s="201" t="e">
        <f>RANK(K105, K$77:$K$106)</f>
        <v>#DIV/0!</v>
      </c>
      <c r="N105" s="659"/>
      <c r="O105" s="659"/>
      <c r="P105" s="182"/>
      <c r="Q105" s="182"/>
      <c r="R105" s="182"/>
      <c r="S105" s="334" t="e">
        <f t="shared" si="30"/>
        <v>#N/A</v>
      </c>
      <c r="T105" s="681"/>
      <c r="U105" s="182"/>
      <c r="V105" s="182"/>
      <c r="W105" s="182"/>
      <c r="X105" s="334" t="e">
        <f t="shared" si="31"/>
        <v>#N/A</v>
      </c>
      <c r="Y105" s="681"/>
      <c r="Z105" s="182"/>
      <c r="AA105" s="182"/>
      <c r="AB105" s="182"/>
      <c r="AC105" s="334" t="e">
        <f t="shared" si="32"/>
        <v>#N/A</v>
      </c>
      <c r="AD105" s="681"/>
      <c r="AE105" s="182"/>
      <c r="AF105" s="182"/>
      <c r="AG105" s="182"/>
      <c r="AH105" s="334" t="e">
        <f t="shared" si="33"/>
        <v>#N/A</v>
      </c>
      <c r="AI105" s="681"/>
      <c r="AJ105" s="182"/>
      <c r="AK105" s="182"/>
      <c r="AL105" s="182"/>
      <c r="AM105" s="334" t="e">
        <f t="shared" si="34"/>
        <v>#N/A</v>
      </c>
      <c r="AN105" s="681"/>
      <c r="AO105" s="182"/>
      <c r="AP105" s="182"/>
      <c r="AQ105" s="182"/>
      <c r="AR105" s="334" t="e">
        <f t="shared" si="35"/>
        <v>#N/A</v>
      </c>
      <c r="AS105" s="681"/>
      <c r="AT105" s="182"/>
      <c r="AU105" s="182"/>
      <c r="AV105" s="182"/>
      <c r="AW105" s="334" t="e">
        <f t="shared" si="36"/>
        <v>#N/A</v>
      </c>
      <c r="AX105" s="681"/>
    </row>
    <row r="106" spans="2:50">
      <c r="B106" s="667"/>
      <c r="C106" s="309">
        <v>30</v>
      </c>
      <c r="D106" s="227"/>
      <c r="E106" s="182"/>
      <c r="F106" s="569"/>
      <c r="G106" s="570"/>
      <c r="H106" s="710"/>
      <c r="I106" s="561" t="e">
        <f t="shared" si="43"/>
        <v>#DIV/0!</v>
      </c>
      <c r="J106" s="561" t="e">
        <f t="shared" si="44"/>
        <v>#DIV/0!</v>
      </c>
      <c r="K106" s="200" t="e">
        <f t="shared" si="45"/>
        <v>#DIV/0!</v>
      </c>
      <c r="L106" s="642"/>
      <c r="M106" s="201" t="e">
        <f>RANK(K106, K$77:$K$106)</f>
        <v>#DIV/0!</v>
      </c>
      <c r="N106" s="659"/>
      <c r="O106" s="659"/>
      <c r="P106" s="182"/>
      <c r="Q106" s="182"/>
      <c r="R106" s="182"/>
      <c r="S106" s="334" t="e">
        <f t="shared" si="30"/>
        <v>#N/A</v>
      </c>
      <c r="T106" s="681"/>
      <c r="U106" s="182"/>
      <c r="V106" s="182"/>
      <c r="W106" s="182"/>
      <c r="X106" s="334" t="e">
        <f t="shared" si="31"/>
        <v>#N/A</v>
      </c>
      <c r="Y106" s="681"/>
      <c r="Z106" s="182"/>
      <c r="AA106" s="182"/>
      <c r="AB106" s="182"/>
      <c r="AC106" s="334" t="e">
        <f t="shared" si="32"/>
        <v>#N/A</v>
      </c>
      <c r="AD106" s="681"/>
      <c r="AE106" s="182"/>
      <c r="AF106" s="182"/>
      <c r="AG106" s="182"/>
      <c r="AH106" s="334" t="e">
        <f t="shared" si="33"/>
        <v>#N/A</v>
      </c>
      <c r="AI106" s="681"/>
      <c r="AJ106" s="182"/>
      <c r="AK106" s="182"/>
      <c r="AL106" s="182"/>
      <c r="AM106" s="334" t="e">
        <f t="shared" si="34"/>
        <v>#N/A</v>
      </c>
      <c r="AN106" s="681"/>
      <c r="AO106" s="182"/>
      <c r="AP106" s="182"/>
      <c r="AQ106" s="182"/>
      <c r="AR106" s="334" t="e">
        <f t="shared" si="35"/>
        <v>#N/A</v>
      </c>
      <c r="AS106" s="681"/>
      <c r="AT106" s="182"/>
      <c r="AU106" s="182"/>
      <c r="AV106" s="182"/>
      <c r="AW106" s="334" t="e">
        <f t="shared" si="36"/>
        <v>#N/A</v>
      </c>
      <c r="AX106" s="681"/>
    </row>
    <row r="107" spans="2:50" ht="15.75">
      <c r="B107" s="671" t="s">
        <v>163</v>
      </c>
      <c r="C107" s="672"/>
      <c r="D107" s="672"/>
      <c r="E107" s="672"/>
      <c r="F107" s="672"/>
      <c r="G107" s="672"/>
      <c r="H107" s="673"/>
      <c r="I107" s="208"/>
      <c r="J107" s="208"/>
      <c r="K107" s="208"/>
      <c r="L107" s="208"/>
      <c r="M107" s="207"/>
      <c r="N107" s="660" t="s">
        <v>156</v>
      </c>
      <c r="O107" s="660" t="s">
        <v>105</v>
      </c>
      <c r="P107" s="666">
        <f>P72+7</f>
        <v>46105</v>
      </c>
      <c r="Q107" s="667"/>
      <c r="R107" s="667"/>
      <c r="S107" s="667"/>
      <c r="T107" s="667"/>
      <c r="U107" s="663">
        <f>P107+1</f>
        <v>46106</v>
      </c>
      <c r="V107" s="664"/>
      <c r="W107" s="664"/>
      <c r="X107" s="664"/>
      <c r="Y107" s="665"/>
      <c r="Z107" s="663">
        <f>U107+1</f>
        <v>46107</v>
      </c>
      <c r="AA107" s="664"/>
      <c r="AB107" s="664"/>
      <c r="AC107" s="664"/>
      <c r="AD107" s="665"/>
      <c r="AE107" s="663">
        <f>Z107+1</f>
        <v>46108</v>
      </c>
      <c r="AF107" s="664"/>
      <c r="AG107" s="664"/>
      <c r="AH107" s="664"/>
      <c r="AI107" s="665"/>
      <c r="AJ107" s="663">
        <f>AE107+1</f>
        <v>46109</v>
      </c>
      <c r="AK107" s="664"/>
      <c r="AL107" s="664"/>
      <c r="AM107" s="664"/>
      <c r="AN107" s="665"/>
      <c r="AO107" s="663">
        <f>AJ107+1</f>
        <v>46110</v>
      </c>
      <c r="AP107" s="664"/>
      <c r="AQ107" s="664"/>
      <c r="AR107" s="664"/>
      <c r="AS107" s="665"/>
      <c r="AT107" s="663">
        <f>AO107+1</f>
        <v>46111</v>
      </c>
      <c r="AU107" s="664"/>
      <c r="AV107" s="664"/>
      <c r="AW107" s="664"/>
      <c r="AX107" s="665"/>
    </row>
    <row r="108" spans="2:50" ht="15.75">
      <c r="B108" s="674"/>
      <c r="C108" s="674"/>
      <c r="D108" s="674"/>
      <c r="E108" s="674"/>
      <c r="F108" s="674"/>
      <c r="G108" s="674"/>
      <c r="H108" s="674"/>
      <c r="I108" s="205"/>
      <c r="J108" s="205"/>
      <c r="K108" s="205"/>
      <c r="L108" s="205"/>
      <c r="M108" s="206"/>
      <c r="N108" s="662"/>
      <c r="O108" s="662"/>
      <c r="P108" s="666" t="s">
        <v>336</v>
      </c>
      <c r="Q108" s="667"/>
      <c r="R108" s="667"/>
      <c r="S108" s="667"/>
      <c r="T108" s="667"/>
      <c r="U108" s="666" t="s">
        <v>337</v>
      </c>
      <c r="V108" s="667"/>
      <c r="W108" s="667"/>
      <c r="X108" s="667"/>
      <c r="Y108" s="667"/>
      <c r="Z108" s="666" t="s">
        <v>338</v>
      </c>
      <c r="AA108" s="667"/>
      <c r="AB108" s="667"/>
      <c r="AC108" s="667"/>
      <c r="AD108" s="667"/>
      <c r="AE108" s="666" t="s">
        <v>339</v>
      </c>
      <c r="AF108" s="667"/>
      <c r="AG108" s="667"/>
      <c r="AH108" s="667"/>
      <c r="AI108" s="667"/>
      <c r="AJ108" s="666" t="s">
        <v>340</v>
      </c>
      <c r="AK108" s="667"/>
      <c r="AL108" s="667"/>
      <c r="AM108" s="667"/>
      <c r="AN108" s="667"/>
      <c r="AO108" s="666" t="s">
        <v>341</v>
      </c>
      <c r="AP108" s="667"/>
      <c r="AQ108" s="667"/>
      <c r="AR108" s="667"/>
      <c r="AS108" s="667"/>
      <c r="AT108" s="666" t="s">
        <v>342</v>
      </c>
      <c r="AU108" s="667"/>
      <c r="AV108" s="667"/>
      <c r="AW108" s="667"/>
      <c r="AX108" s="667"/>
    </row>
    <row r="109" spans="2:50">
      <c r="B109" s="659" t="s">
        <v>478</v>
      </c>
      <c r="C109" s="659" t="s">
        <v>479</v>
      </c>
      <c r="D109" s="659"/>
      <c r="E109" s="659" t="s">
        <v>480</v>
      </c>
      <c r="F109" s="659"/>
      <c r="G109" s="659"/>
      <c r="H109" s="675" t="s">
        <v>481</v>
      </c>
      <c r="I109" s="643" t="s">
        <v>482</v>
      </c>
      <c r="J109" s="643"/>
      <c r="K109" s="643"/>
      <c r="L109" s="644" t="s">
        <v>481</v>
      </c>
      <c r="M109" s="650" t="s">
        <v>483</v>
      </c>
      <c r="N109" s="659"/>
      <c r="O109" s="659" t="s">
        <v>484</v>
      </c>
      <c r="P109" s="656" t="s">
        <v>485</v>
      </c>
      <c r="Q109" s="657"/>
      <c r="R109" s="657"/>
      <c r="S109" s="658"/>
      <c r="T109" s="659" t="s">
        <v>481</v>
      </c>
      <c r="U109" s="656" t="s">
        <v>485</v>
      </c>
      <c r="V109" s="657"/>
      <c r="W109" s="657"/>
      <c r="X109" s="658"/>
      <c r="Y109" s="659" t="s">
        <v>481</v>
      </c>
      <c r="Z109" s="656" t="s">
        <v>485</v>
      </c>
      <c r="AA109" s="657"/>
      <c r="AB109" s="657"/>
      <c r="AC109" s="658"/>
      <c r="AD109" s="659" t="s">
        <v>481</v>
      </c>
      <c r="AE109" s="656" t="s">
        <v>485</v>
      </c>
      <c r="AF109" s="657"/>
      <c r="AG109" s="657"/>
      <c r="AH109" s="658"/>
      <c r="AI109" s="659" t="s">
        <v>481</v>
      </c>
      <c r="AJ109" s="656" t="s">
        <v>485</v>
      </c>
      <c r="AK109" s="657"/>
      <c r="AL109" s="657"/>
      <c r="AM109" s="658"/>
      <c r="AN109" s="659" t="s">
        <v>481</v>
      </c>
      <c r="AO109" s="656" t="s">
        <v>485</v>
      </c>
      <c r="AP109" s="657"/>
      <c r="AQ109" s="657"/>
      <c r="AR109" s="658"/>
      <c r="AS109" s="659" t="s">
        <v>481</v>
      </c>
      <c r="AT109" s="656" t="s">
        <v>485</v>
      </c>
      <c r="AU109" s="657"/>
      <c r="AV109" s="657"/>
      <c r="AW109" s="658"/>
      <c r="AX109" s="659" t="s">
        <v>481</v>
      </c>
    </row>
    <row r="110" spans="2:50">
      <c r="B110" s="659"/>
      <c r="C110" s="659"/>
      <c r="D110" s="659"/>
      <c r="E110" s="659" t="s">
        <v>486</v>
      </c>
      <c r="F110" s="659"/>
      <c r="G110" s="659"/>
      <c r="H110" s="676"/>
      <c r="I110" s="643" t="s">
        <v>486</v>
      </c>
      <c r="J110" s="643"/>
      <c r="K110" s="643"/>
      <c r="L110" s="645"/>
      <c r="M110" s="651"/>
      <c r="N110" s="659"/>
      <c r="O110" s="659"/>
      <c r="P110" s="656" t="s">
        <v>487</v>
      </c>
      <c r="Q110" s="657"/>
      <c r="R110" s="657"/>
      <c r="S110" s="658"/>
      <c r="T110" s="659"/>
      <c r="U110" s="656" t="s">
        <v>487</v>
      </c>
      <c r="V110" s="657"/>
      <c r="W110" s="657"/>
      <c r="X110" s="658"/>
      <c r="Y110" s="659"/>
      <c r="Z110" s="656" t="s">
        <v>487</v>
      </c>
      <c r="AA110" s="657"/>
      <c r="AB110" s="657"/>
      <c r="AC110" s="658"/>
      <c r="AD110" s="659"/>
      <c r="AE110" s="656" t="s">
        <v>487</v>
      </c>
      <c r="AF110" s="657"/>
      <c r="AG110" s="657"/>
      <c r="AH110" s="658"/>
      <c r="AI110" s="659"/>
      <c r="AJ110" s="656" t="s">
        <v>487</v>
      </c>
      <c r="AK110" s="657"/>
      <c r="AL110" s="657"/>
      <c r="AM110" s="658"/>
      <c r="AN110" s="659"/>
      <c r="AO110" s="656" t="s">
        <v>487</v>
      </c>
      <c r="AP110" s="657"/>
      <c r="AQ110" s="657"/>
      <c r="AR110" s="658"/>
      <c r="AS110" s="659"/>
      <c r="AT110" s="656" t="s">
        <v>487</v>
      </c>
      <c r="AU110" s="657"/>
      <c r="AV110" s="657"/>
      <c r="AW110" s="658"/>
      <c r="AX110" s="659"/>
    </row>
    <row r="111" spans="2:50">
      <c r="B111" s="659"/>
      <c r="C111" s="659"/>
      <c r="D111" s="659"/>
      <c r="E111" s="308" t="s">
        <v>488</v>
      </c>
      <c r="F111" s="308" t="s">
        <v>489</v>
      </c>
      <c r="G111" s="308" t="s">
        <v>490</v>
      </c>
      <c r="H111" s="677"/>
      <c r="I111" s="307" t="s">
        <v>488</v>
      </c>
      <c r="J111" s="307" t="s">
        <v>489</v>
      </c>
      <c r="K111" s="307" t="s">
        <v>490</v>
      </c>
      <c r="L111" s="646"/>
      <c r="M111" s="652"/>
      <c r="N111" s="659"/>
      <c r="O111" s="659"/>
      <c r="P111" s="308" t="s">
        <v>488</v>
      </c>
      <c r="Q111" s="308" t="s">
        <v>489</v>
      </c>
      <c r="R111" s="308" t="s">
        <v>490</v>
      </c>
      <c r="S111" s="308" t="s">
        <v>483</v>
      </c>
      <c r="T111" s="659"/>
      <c r="U111" s="308" t="s">
        <v>488</v>
      </c>
      <c r="V111" s="308" t="s">
        <v>489</v>
      </c>
      <c r="W111" s="308" t="s">
        <v>490</v>
      </c>
      <c r="X111" s="308" t="s">
        <v>483</v>
      </c>
      <c r="Y111" s="659"/>
      <c r="Z111" s="308" t="s">
        <v>488</v>
      </c>
      <c r="AA111" s="308" t="s">
        <v>489</v>
      </c>
      <c r="AB111" s="308" t="s">
        <v>490</v>
      </c>
      <c r="AC111" s="308" t="s">
        <v>483</v>
      </c>
      <c r="AD111" s="659"/>
      <c r="AE111" s="308" t="s">
        <v>488</v>
      </c>
      <c r="AF111" s="308" t="s">
        <v>489</v>
      </c>
      <c r="AG111" s="308" t="s">
        <v>490</v>
      </c>
      <c r="AH111" s="308" t="s">
        <v>483</v>
      </c>
      <c r="AI111" s="659"/>
      <c r="AJ111" s="308" t="s">
        <v>488</v>
      </c>
      <c r="AK111" s="308" t="s">
        <v>489</v>
      </c>
      <c r="AL111" s="308" t="s">
        <v>490</v>
      </c>
      <c r="AM111" s="308" t="s">
        <v>483</v>
      </c>
      <c r="AN111" s="659"/>
      <c r="AO111" s="308" t="s">
        <v>488</v>
      </c>
      <c r="AP111" s="308" t="s">
        <v>489</v>
      </c>
      <c r="AQ111" s="308" t="s">
        <v>490</v>
      </c>
      <c r="AR111" s="308" t="s">
        <v>483</v>
      </c>
      <c r="AS111" s="659"/>
      <c r="AT111" s="308" t="s">
        <v>488</v>
      </c>
      <c r="AU111" s="308" t="s">
        <v>489</v>
      </c>
      <c r="AV111" s="308" t="s">
        <v>490</v>
      </c>
      <c r="AW111" s="308" t="s">
        <v>483</v>
      </c>
      <c r="AX111" s="659"/>
    </row>
    <row r="112" spans="2:50">
      <c r="B112" s="659" t="s">
        <v>491</v>
      </c>
      <c r="C112" s="309">
        <v>1</v>
      </c>
      <c r="D112" s="227"/>
      <c r="E112" s="182"/>
      <c r="F112" s="569"/>
      <c r="G112" s="570"/>
      <c r="H112" s="708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40" t="str">
        <f>IFERROR(AVERAGE(K112:K141),"-")</f>
        <v>-</v>
      </c>
      <c r="M112" s="201" t="e">
        <f>RANK(K112, K$112:$K$141)</f>
        <v>#DIV/0!</v>
      </c>
      <c r="N112" s="659"/>
      <c r="O112" s="659"/>
      <c r="P112" s="182"/>
      <c r="Q112" s="182"/>
      <c r="R112" s="182"/>
      <c r="S112" s="309" t="e">
        <f>RANK(R112, R$112:R$141)</f>
        <v>#N/A</v>
      </c>
      <c r="T112" s="681" t="e">
        <f>AVERAGE(R112:R141)</f>
        <v>#DIV/0!</v>
      </c>
      <c r="U112" s="182"/>
      <c r="V112" s="182"/>
      <c r="W112" s="182"/>
      <c r="X112" s="339" t="e">
        <f>RANK(W112, W$112:W$141)</f>
        <v>#N/A</v>
      </c>
      <c r="Y112" s="681" t="e">
        <f>AVERAGE(W112:W141)</f>
        <v>#DIV/0!</v>
      </c>
      <c r="Z112" s="182"/>
      <c r="AA112" s="182"/>
      <c r="AB112" s="182"/>
      <c r="AC112" s="339" t="e">
        <f>RANK(AB112, AB$112:AB$141)</f>
        <v>#N/A</v>
      </c>
      <c r="AD112" s="681" t="e">
        <f>AVERAGE(AB112:AB141)</f>
        <v>#DIV/0!</v>
      </c>
      <c r="AE112" s="182"/>
      <c r="AF112" s="182"/>
      <c r="AG112" s="182"/>
      <c r="AH112" s="339" t="e">
        <f>RANK(AG112, AG$112:AG$141)</f>
        <v>#N/A</v>
      </c>
      <c r="AI112" s="681" t="e">
        <f>AVERAGE(AG112:AG141)</f>
        <v>#DIV/0!</v>
      </c>
      <c r="AJ112" s="182"/>
      <c r="AK112" s="182"/>
      <c r="AL112" s="182"/>
      <c r="AM112" s="339" t="e">
        <f>RANK(AL112, AL$112:AL$141)</f>
        <v>#N/A</v>
      </c>
      <c r="AN112" s="681" t="e">
        <f>AVERAGE(AL112:AL141)</f>
        <v>#DIV/0!</v>
      </c>
      <c r="AO112" s="182"/>
      <c r="AP112" s="182"/>
      <c r="AQ112" s="182"/>
      <c r="AR112" s="339" t="e">
        <f>RANK(AQ112, AQ$112:AQ$141)</f>
        <v>#N/A</v>
      </c>
      <c r="AS112" s="681" t="e">
        <f>AVERAGE(AQ112:AQ141)</f>
        <v>#DIV/0!</v>
      </c>
      <c r="AT112" s="182"/>
      <c r="AU112" s="182"/>
      <c r="AV112" s="182"/>
      <c r="AW112" s="339" t="e">
        <f>RANK(AV112, AV$112:AV$141)</f>
        <v>#N/A</v>
      </c>
      <c r="AX112" s="681" t="e">
        <f>AVERAGE(AV112:AV141)</f>
        <v>#DIV/0!</v>
      </c>
    </row>
    <row r="113" spans="2:50">
      <c r="B113" s="667"/>
      <c r="C113" s="309">
        <v>2</v>
      </c>
      <c r="D113" s="227"/>
      <c r="E113" s="182"/>
      <c r="F113" s="569"/>
      <c r="G113" s="570"/>
      <c r="H113" s="709"/>
      <c r="I113" s="199" t="e">
        <f t="shared" ref="I113:I135" si="46">AVERAGE(P113,U113,Z113,AE113,AJ113,AO113,AT113)</f>
        <v>#DIV/0!</v>
      </c>
      <c r="J113" s="199" t="e">
        <f t="shared" ref="J113:J135" si="47">AVERAGE(Q113,V113,AA113,AF113,AK113,AP113,AU113)</f>
        <v>#DIV/0!</v>
      </c>
      <c r="K113" s="200" t="e">
        <f t="shared" ref="K113:K135" si="48">AVERAGE(R113,W113,AB113,AG113,AL113,AQ113,AV113)</f>
        <v>#DIV/0!</v>
      </c>
      <c r="L113" s="641"/>
      <c r="M113" s="201" t="e">
        <f>RANK(K113, K$112:$K$141)</f>
        <v>#DIV/0!</v>
      </c>
      <c r="N113" s="659"/>
      <c r="O113" s="659"/>
      <c r="P113" s="182"/>
      <c r="Q113" s="182"/>
      <c r="R113" s="182"/>
      <c r="S113" s="339" t="e">
        <f t="shared" ref="S113:S141" si="49">RANK(R113, R$112:R$141)</f>
        <v>#N/A</v>
      </c>
      <c r="T113" s="681"/>
      <c r="U113" s="182"/>
      <c r="V113" s="182"/>
      <c r="W113" s="182"/>
      <c r="X113" s="339" t="e">
        <f t="shared" ref="X113:X141" si="50">RANK(W113, W$112:W$141)</f>
        <v>#N/A</v>
      </c>
      <c r="Y113" s="681"/>
      <c r="Z113" s="182"/>
      <c r="AA113" s="182"/>
      <c r="AB113" s="182"/>
      <c r="AC113" s="339" t="e">
        <f t="shared" ref="AC113:AC141" si="51">RANK(AB113, AB$112:AB$141)</f>
        <v>#N/A</v>
      </c>
      <c r="AD113" s="681"/>
      <c r="AE113" s="182"/>
      <c r="AF113" s="182"/>
      <c r="AG113" s="182"/>
      <c r="AH113" s="339" t="e">
        <f t="shared" ref="AH113:AH141" si="52">RANK(AG113, AG$112:AG$141)</f>
        <v>#N/A</v>
      </c>
      <c r="AI113" s="681"/>
      <c r="AJ113" s="182"/>
      <c r="AK113" s="182"/>
      <c r="AL113" s="182"/>
      <c r="AM113" s="339" t="e">
        <f t="shared" ref="AM113:AM141" si="53">RANK(AL113, AL$112:AL$141)</f>
        <v>#N/A</v>
      </c>
      <c r="AN113" s="681"/>
      <c r="AO113" s="182"/>
      <c r="AP113" s="182"/>
      <c r="AQ113" s="182"/>
      <c r="AR113" s="339" t="e">
        <f t="shared" ref="AR113:AR141" si="54">RANK(AQ113, AQ$112:AQ$141)</f>
        <v>#N/A</v>
      </c>
      <c r="AS113" s="681"/>
      <c r="AT113" s="182"/>
      <c r="AU113" s="182"/>
      <c r="AV113" s="182"/>
      <c r="AW113" s="339" t="e">
        <f t="shared" ref="AW113:AW141" si="55">RANK(AV113, AV$112:AV$141)</f>
        <v>#N/A</v>
      </c>
      <c r="AX113" s="681"/>
    </row>
    <row r="114" spans="2:50">
      <c r="B114" s="667"/>
      <c r="C114" s="309">
        <v>3</v>
      </c>
      <c r="D114" s="227"/>
      <c r="E114" s="182"/>
      <c r="F114" s="569"/>
      <c r="G114" s="570"/>
      <c r="H114" s="709"/>
      <c r="I114" s="199" t="e">
        <f t="shared" si="46"/>
        <v>#DIV/0!</v>
      </c>
      <c r="J114" s="199" t="e">
        <f t="shared" si="47"/>
        <v>#DIV/0!</v>
      </c>
      <c r="K114" s="200" t="e">
        <f t="shared" si="48"/>
        <v>#DIV/0!</v>
      </c>
      <c r="L114" s="641"/>
      <c r="M114" s="201" t="e">
        <f>RANK(K114, K$112:$K$141)</f>
        <v>#DIV/0!</v>
      </c>
      <c r="N114" s="659"/>
      <c r="O114" s="659"/>
      <c r="P114" s="182"/>
      <c r="Q114" s="182"/>
      <c r="R114" s="182"/>
      <c r="S114" s="339" t="e">
        <f t="shared" si="49"/>
        <v>#N/A</v>
      </c>
      <c r="T114" s="681"/>
      <c r="U114" s="182"/>
      <c r="V114" s="182"/>
      <c r="W114" s="182"/>
      <c r="X114" s="339" t="e">
        <f t="shared" si="50"/>
        <v>#N/A</v>
      </c>
      <c r="Y114" s="681"/>
      <c r="Z114" s="182"/>
      <c r="AA114" s="182"/>
      <c r="AB114" s="182"/>
      <c r="AC114" s="339" t="e">
        <f t="shared" si="51"/>
        <v>#N/A</v>
      </c>
      <c r="AD114" s="681"/>
      <c r="AE114" s="182"/>
      <c r="AF114" s="182"/>
      <c r="AG114" s="182"/>
      <c r="AH114" s="339" t="e">
        <f t="shared" si="52"/>
        <v>#N/A</v>
      </c>
      <c r="AI114" s="681"/>
      <c r="AJ114" s="182"/>
      <c r="AK114" s="182"/>
      <c r="AL114" s="182"/>
      <c r="AM114" s="339" t="e">
        <f t="shared" si="53"/>
        <v>#N/A</v>
      </c>
      <c r="AN114" s="681"/>
      <c r="AO114" s="182"/>
      <c r="AP114" s="182"/>
      <c r="AQ114" s="182"/>
      <c r="AR114" s="339" t="e">
        <f t="shared" si="54"/>
        <v>#N/A</v>
      </c>
      <c r="AS114" s="681"/>
      <c r="AT114" s="182"/>
      <c r="AU114" s="182"/>
      <c r="AV114" s="182"/>
      <c r="AW114" s="339" t="e">
        <f t="shared" si="55"/>
        <v>#N/A</v>
      </c>
      <c r="AX114" s="681"/>
    </row>
    <row r="115" spans="2:50">
      <c r="B115" s="667"/>
      <c r="C115" s="309">
        <v>4</v>
      </c>
      <c r="D115" s="227"/>
      <c r="E115" s="182"/>
      <c r="F115" s="569"/>
      <c r="G115" s="570"/>
      <c r="H115" s="709"/>
      <c r="I115" s="199" t="e">
        <f t="shared" si="46"/>
        <v>#DIV/0!</v>
      </c>
      <c r="J115" s="199" t="e">
        <f t="shared" si="47"/>
        <v>#DIV/0!</v>
      </c>
      <c r="K115" s="200" t="e">
        <f t="shared" si="48"/>
        <v>#DIV/0!</v>
      </c>
      <c r="L115" s="641"/>
      <c r="M115" s="201" t="e">
        <f>RANK(K115, K$112:$K$141)</f>
        <v>#DIV/0!</v>
      </c>
      <c r="N115" s="659"/>
      <c r="O115" s="659"/>
      <c r="P115" s="182"/>
      <c r="Q115" s="182"/>
      <c r="R115" s="182"/>
      <c r="S115" s="339" t="e">
        <f t="shared" si="49"/>
        <v>#N/A</v>
      </c>
      <c r="T115" s="681"/>
      <c r="U115" s="182"/>
      <c r="V115" s="182"/>
      <c r="W115" s="182"/>
      <c r="X115" s="339" t="e">
        <f t="shared" si="50"/>
        <v>#N/A</v>
      </c>
      <c r="Y115" s="681"/>
      <c r="Z115" s="182"/>
      <c r="AA115" s="182"/>
      <c r="AB115" s="182"/>
      <c r="AC115" s="339" t="e">
        <f t="shared" si="51"/>
        <v>#N/A</v>
      </c>
      <c r="AD115" s="681"/>
      <c r="AE115" s="182"/>
      <c r="AF115" s="182"/>
      <c r="AG115" s="182"/>
      <c r="AH115" s="339" t="e">
        <f t="shared" si="52"/>
        <v>#N/A</v>
      </c>
      <c r="AI115" s="681"/>
      <c r="AJ115" s="182"/>
      <c r="AK115" s="182"/>
      <c r="AL115" s="182"/>
      <c r="AM115" s="339" t="e">
        <f t="shared" si="53"/>
        <v>#N/A</v>
      </c>
      <c r="AN115" s="681"/>
      <c r="AO115" s="182"/>
      <c r="AP115" s="182"/>
      <c r="AQ115" s="182"/>
      <c r="AR115" s="339" t="e">
        <f t="shared" si="54"/>
        <v>#N/A</v>
      </c>
      <c r="AS115" s="681"/>
      <c r="AT115" s="182"/>
      <c r="AU115" s="182"/>
      <c r="AV115" s="182"/>
      <c r="AW115" s="339" t="e">
        <f t="shared" si="55"/>
        <v>#N/A</v>
      </c>
      <c r="AX115" s="681"/>
    </row>
    <row r="116" spans="2:50">
      <c r="B116" s="667"/>
      <c r="C116" s="309">
        <v>5</v>
      </c>
      <c r="D116" s="227"/>
      <c r="E116" s="182"/>
      <c r="F116" s="569"/>
      <c r="G116" s="570"/>
      <c r="H116" s="709"/>
      <c r="I116" s="199" t="e">
        <f t="shared" si="46"/>
        <v>#DIV/0!</v>
      </c>
      <c r="J116" s="199" t="e">
        <f t="shared" si="47"/>
        <v>#DIV/0!</v>
      </c>
      <c r="K116" s="200" t="e">
        <f t="shared" si="48"/>
        <v>#DIV/0!</v>
      </c>
      <c r="L116" s="641"/>
      <c r="M116" s="201" t="e">
        <f>RANK(K116, K$112:$K$141)</f>
        <v>#DIV/0!</v>
      </c>
      <c r="N116" s="659"/>
      <c r="O116" s="659"/>
      <c r="P116" s="182"/>
      <c r="Q116" s="182"/>
      <c r="R116" s="182"/>
      <c r="S116" s="339" t="e">
        <f t="shared" si="49"/>
        <v>#N/A</v>
      </c>
      <c r="T116" s="681"/>
      <c r="U116" s="182"/>
      <c r="V116" s="182"/>
      <c r="W116" s="182"/>
      <c r="X116" s="339" t="e">
        <f t="shared" si="50"/>
        <v>#N/A</v>
      </c>
      <c r="Y116" s="681"/>
      <c r="Z116" s="182"/>
      <c r="AA116" s="182"/>
      <c r="AB116" s="182"/>
      <c r="AC116" s="339" t="e">
        <f t="shared" si="51"/>
        <v>#N/A</v>
      </c>
      <c r="AD116" s="681"/>
      <c r="AE116" s="182"/>
      <c r="AF116" s="182"/>
      <c r="AG116" s="182"/>
      <c r="AH116" s="339" t="e">
        <f t="shared" si="52"/>
        <v>#N/A</v>
      </c>
      <c r="AI116" s="681"/>
      <c r="AJ116" s="182"/>
      <c r="AK116" s="182"/>
      <c r="AL116" s="182"/>
      <c r="AM116" s="339" t="e">
        <f t="shared" si="53"/>
        <v>#N/A</v>
      </c>
      <c r="AN116" s="681"/>
      <c r="AO116" s="182"/>
      <c r="AP116" s="182"/>
      <c r="AQ116" s="182"/>
      <c r="AR116" s="339" t="e">
        <f t="shared" si="54"/>
        <v>#N/A</v>
      </c>
      <c r="AS116" s="681"/>
      <c r="AT116" s="182"/>
      <c r="AU116" s="182"/>
      <c r="AV116" s="182"/>
      <c r="AW116" s="339" t="e">
        <f t="shared" si="55"/>
        <v>#N/A</v>
      </c>
      <c r="AX116" s="681"/>
    </row>
    <row r="117" spans="2:50">
      <c r="B117" s="667"/>
      <c r="C117" s="309">
        <v>6</v>
      </c>
      <c r="D117" s="227"/>
      <c r="E117" s="182"/>
      <c r="F117" s="569"/>
      <c r="G117" s="570"/>
      <c r="H117" s="709"/>
      <c r="I117" s="199" t="e">
        <f t="shared" si="46"/>
        <v>#DIV/0!</v>
      </c>
      <c r="J117" s="199" t="e">
        <f t="shared" si="47"/>
        <v>#DIV/0!</v>
      </c>
      <c r="K117" s="200" t="e">
        <f t="shared" si="48"/>
        <v>#DIV/0!</v>
      </c>
      <c r="L117" s="641"/>
      <c r="M117" s="201" t="e">
        <f>RANK(K117, K$112:$K$141)</f>
        <v>#DIV/0!</v>
      </c>
      <c r="N117" s="659"/>
      <c r="O117" s="659"/>
      <c r="P117" s="182"/>
      <c r="Q117" s="182"/>
      <c r="R117" s="182"/>
      <c r="S117" s="339" t="e">
        <f t="shared" si="49"/>
        <v>#N/A</v>
      </c>
      <c r="T117" s="681"/>
      <c r="U117" s="182"/>
      <c r="V117" s="182"/>
      <c r="W117" s="182"/>
      <c r="X117" s="339" t="e">
        <f t="shared" si="50"/>
        <v>#N/A</v>
      </c>
      <c r="Y117" s="681"/>
      <c r="Z117" s="182"/>
      <c r="AA117" s="182"/>
      <c r="AB117" s="182"/>
      <c r="AC117" s="339" t="e">
        <f t="shared" si="51"/>
        <v>#N/A</v>
      </c>
      <c r="AD117" s="681"/>
      <c r="AE117" s="182"/>
      <c r="AF117" s="182"/>
      <c r="AG117" s="182"/>
      <c r="AH117" s="339" t="e">
        <f t="shared" si="52"/>
        <v>#N/A</v>
      </c>
      <c r="AI117" s="681"/>
      <c r="AJ117" s="182"/>
      <c r="AK117" s="182"/>
      <c r="AL117" s="182"/>
      <c r="AM117" s="339" t="e">
        <f t="shared" si="53"/>
        <v>#N/A</v>
      </c>
      <c r="AN117" s="681"/>
      <c r="AO117" s="182"/>
      <c r="AP117" s="182"/>
      <c r="AQ117" s="182"/>
      <c r="AR117" s="339" t="e">
        <f t="shared" si="54"/>
        <v>#N/A</v>
      </c>
      <c r="AS117" s="681"/>
      <c r="AT117" s="182"/>
      <c r="AU117" s="182"/>
      <c r="AV117" s="182"/>
      <c r="AW117" s="339" t="e">
        <f t="shared" si="55"/>
        <v>#N/A</v>
      </c>
      <c r="AX117" s="681"/>
    </row>
    <row r="118" spans="2:50">
      <c r="B118" s="667"/>
      <c r="C118" s="309">
        <v>7</v>
      </c>
      <c r="D118" s="227"/>
      <c r="E118" s="182"/>
      <c r="F118" s="569"/>
      <c r="G118" s="570"/>
      <c r="H118" s="709"/>
      <c r="I118" s="199" t="e">
        <f t="shared" si="46"/>
        <v>#DIV/0!</v>
      </c>
      <c r="J118" s="199" t="e">
        <f t="shared" si="47"/>
        <v>#DIV/0!</v>
      </c>
      <c r="K118" s="200" t="e">
        <f t="shared" si="48"/>
        <v>#DIV/0!</v>
      </c>
      <c r="L118" s="641"/>
      <c r="M118" s="201" t="e">
        <f>RANK(K118, K$112:$K$141)</f>
        <v>#DIV/0!</v>
      </c>
      <c r="N118" s="659"/>
      <c r="O118" s="659"/>
      <c r="P118" s="182"/>
      <c r="Q118" s="182"/>
      <c r="R118" s="182"/>
      <c r="S118" s="339" t="e">
        <f t="shared" si="49"/>
        <v>#N/A</v>
      </c>
      <c r="T118" s="681"/>
      <c r="U118" s="182"/>
      <c r="V118" s="182"/>
      <c r="W118" s="182"/>
      <c r="X118" s="339" t="e">
        <f t="shared" si="50"/>
        <v>#N/A</v>
      </c>
      <c r="Y118" s="681"/>
      <c r="Z118" s="182"/>
      <c r="AA118" s="182"/>
      <c r="AB118" s="182"/>
      <c r="AC118" s="339" t="e">
        <f t="shared" si="51"/>
        <v>#N/A</v>
      </c>
      <c r="AD118" s="681"/>
      <c r="AE118" s="182"/>
      <c r="AF118" s="182"/>
      <c r="AG118" s="182"/>
      <c r="AH118" s="339" t="e">
        <f t="shared" si="52"/>
        <v>#N/A</v>
      </c>
      <c r="AI118" s="681"/>
      <c r="AJ118" s="182"/>
      <c r="AK118" s="182"/>
      <c r="AL118" s="182"/>
      <c r="AM118" s="339" t="e">
        <f t="shared" si="53"/>
        <v>#N/A</v>
      </c>
      <c r="AN118" s="681"/>
      <c r="AO118" s="182"/>
      <c r="AP118" s="182"/>
      <c r="AQ118" s="182"/>
      <c r="AR118" s="339" t="e">
        <f t="shared" si="54"/>
        <v>#N/A</v>
      </c>
      <c r="AS118" s="681"/>
      <c r="AT118" s="182"/>
      <c r="AU118" s="182"/>
      <c r="AV118" s="182"/>
      <c r="AW118" s="339" t="e">
        <f t="shared" si="55"/>
        <v>#N/A</v>
      </c>
      <c r="AX118" s="681"/>
    </row>
    <row r="119" spans="2:50">
      <c r="B119" s="667"/>
      <c r="C119" s="309">
        <v>8</v>
      </c>
      <c r="D119" s="227"/>
      <c r="E119" s="182"/>
      <c r="F119" s="569"/>
      <c r="G119" s="570"/>
      <c r="H119" s="709"/>
      <c r="I119" s="199" t="e">
        <f t="shared" si="46"/>
        <v>#DIV/0!</v>
      </c>
      <c r="J119" s="199" t="e">
        <f t="shared" si="47"/>
        <v>#DIV/0!</v>
      </c>
      <c r="K119" s="200" t="e">
        <f t="shared" si="48"/>
        <v>#DIV/0!</v>
      </c>
      <c r="L119" s="641"/>
      <c r="M119" s="201" t="e">
        <f>RANK(K119, K$112:$K$141)</f>
        <v>#DIV/0!</v>
      </c>
      <c r="N119" s="659"/>
      <c r="O119" s="659"/>
      <c r="P119" s="182"/>
      <c r="Q119" s="182"/>
      <c r="R119" s="182"/>
      <c r="S119" s="339" t="e">
        <f t="shared" si="49"/>
        <v>#N/A</v>
      </c>
      <c r="T119" s="681"/>
      <c r="U119" s="182"/>
      <c r="V119" s="182"/>
      <c r="W119" s="182"/>
      <c r="X119" s="339" t="e">
        <f t="shared" si="50"/>
        <v>#N/A</v>
      </c>
      <c r="Y119" s="681"/>
      <c r="Z119" s="182"/>
      <c r="AA119" s="182"/>
      <c r="AB119" s="182"/>
      <c r="AC119" s="339" t="e">
        <f t="shared" si="51"/>
        <v>#N/A</v>
      </c>
      <c r="AD119" s="681"/>
      <c r="AE119" s="182"/>
      <c r="AF119" s="182"/>
      <c r="AG119" s="182"/>
      <c r="AH119" s="339" t="e">
        <f t="shared" si="52"/>
        <v>#N/A</v>
      </c>
      <c r="AI119" s="681"/>
      <c r="AJ119" s="182"/>
      <c r="AK119" s="182"/>
      <c r="AL119" s="182"/>
      <c r="AM119" s="339" t="e">
        <f t="shared" si="53"/>
        <v>#N/A</v>
      </c>
      <c r="AN119" s="681"/>
      <c r="AO119" s="182"/>
      <c r="AP119" s="182"/>
      <c r="AQ119" s="182"/>
      <c r="AR119" s="339" t="e">
        <f t="shared" si="54"/>
        <v>#N/A</v>
      </c>
      <c r="AS119" s="681"/>
      <c r="AT119" s="182"/>
      <c r="AU119" s="182"/>
      <c r="AV119" s="182"/>
      <c r="AW119" s="339" t="e">
        <f t="shared" si="55"/>
        <v>#N/A</v>
      </c>
      <c r="AX119" s="681"/>
    </row>
    <row r="120" spans="2:50">
      <c r="B120" s="667"/>
      <c r="C120" s="309">
        <v>9</v>
      </c>
      <c r="D120" s="227"/>
      <c r="E120" s="182"/>
      <c r="F120" s="569"/>
      <c r="G120" s="570"/>
      <c r="H120" s="709"/>
      <c r="I120" s="199" t="e">
        <f t="shared" si="46"/>
        <v>#DIV/0!</v>
      </c>
      <c r="J120" s="199" t="e">
        <f t="shared" si="47"/>
        <v>#DIV/0!</v>
      </c>
      <c r="K120" s="200" t="e">
        <f t="shared" si="48"/>
        <v>#DIV/0!</v>
      </c>
      <c r="L120" s="641"/>
      <c r="M120" s="201" t="e">
        <f>RANK(K120, K$112:$K$141)</f>
        <v>#DIV/0!</v>
      </c>
      <c r="N120" s="659"/>
      <c r="O120" s="659"/>
      <c r="P120" s="182"/>
      <c r="Q120" s="182"/>
      <c r="R120" s="182"/>
      <c r="S120" s="339" t="e">
        <f t="shared" si="49"/>
        <v>#N/A</v>
      </c>
      <c r="T120" s="681"/>
      <c r="U120" s="182"/>
      <c r="V120" s="182"/>
      <c r="W120" s="182"/>
      <c r="X120" s="339" t="e">
        <f t="shared" si="50"/>
        <v>#N/A</v>
      </c>
      <c r="Y120" s="681"/>
      <c r="Z120" s="182"/>
      <c r="AA120" s="182"/>
      <c r="AB120" s="182"/>
      <c r="AC120" s="339" t="e">
        <f t="shared" si="51"/>
        <v>#N/A</v>
      </c>
      <c r="AD120" s="681"/>
      <c r="AE120" s="182"/>
      <c r="AF120" s="182"/>
      <c r="AG120" s="182"/>
      <c r="AH120" s="339" t="e">
        <f t="shared" si="52"/>
        <v>#N/A</v>
      </c>
      <c r="AI120" s="681"/>
      <c r="AJ120" s="182"/>
      <c r="AK120" s="182"/>
      <c r="AL120" s="182"/>
      <c r="AM120" s="339" t="e">
        <f t="shared" si="53"/>
        <v>#N/A</v>
      </c>
      <c r="AN120" s="681"/>
      <c r="AO120" s="182"/>
      <c r="AP120" s="182"/>
      <c r="AQ120" s="182"/>
      <c r="AR120" s="339" t="e">
        <f t="shared" si="54"/>
        <v>#N/A</v>
      </c>
      <c r="AS120" s="681"/>
      <c r="AT120" s="182"/>
      <c r="AU120" s="182"/>
      <c r="AV120" s="182"/>
      <c r="AW120" s="339" t="e">
        <f t="shared" si="55"/>
        <v>#N/A</v>
      </c>
      <c r="AX120" s="681"/>
    </row>
    <row r="121" spans="2:50">
      <c r="B121" s="667"/>
      <c r="C121" s="309">
        <v>10</v>
      </c>
      <c r="D121" s="227"/>
      <c r="E121" s="182"/>
      <c r="F121" s="569"/>
      <c r="G121" s="570"/>
      <c r="H121" s="709"/>
      <c r="I121" s="199" t="e">
        <f t="shared" si="46"/>
        <v>#DIV/0!</v>
      </c>
      <c r="J121" s="199" t="e">
        <f t="shared" si="47"/>
        <v>#DIV/0!</v>
      </c>
      <c r="K121" s="200" t="e">
        <f t="shared" si="48"/>
        <v>#DIV/0!</v>
      </c>
      <c r="L121" s="641"/>
      <c r="M121" s="201" t="e">
        <f>RANK(K121, K$112:$K$141)</f>
        <v>#DIV/0!</v>
      </c>
      <c r="N121" s="659"/>
      <c r="O121" s="659"/>
      <c r="P121" s="182"/>
      <c r="Q121" s="182"/>
      <c r="R121" s="182"/>
      <c r="S121" s="339" t="e">
        <f t="shared" si="49"/>
        <v>#N/A</v>
      </c>
      <c r="T121" s="681"/>
      <c r="U121" s="182"/>
      <c r="V121" s="182"/>
      <c r="W121" s="182"/>
      <c r="X121" s="339" t="e">
        <f t="shared" si="50"/>
        <v>#N/A</v>
      </c>
      <c r="Y121" s="681"/>
      <c r="Z121" s="182"/>
      <c r="AA121" s="182"/>
      <c r="AB121" s="182"/>
      <c r="AC121" s="339" t="e">
        <f t="shared" si="51"/>
        <v>#N/A</v>
      </c>
      <c r="AD121" s="681"/>
      <c r="AE121" s="182"/>
      <c r="AF121" s="182"/>
      <c r="AG121" s="182"/>
      <c r="AH121" s="339" t="e">
        <f t="shared" si="52"/>
        <v>#N/A</v>
      </c>
      <c r="AI121" s="681"/>
      <c r="AJ121" s="182"/>
      <c r="AK121" s="182"/>
      <c r="AL121" s="182"/>
      <c r="AM121" s="339" t="e">
        <f t="shared" si="53"/>
        <v>#N/A</v>
      </c>
      <c r="AN121" s="681"/>
      <c r="AO121" s="182"/>
      <c r="AP121" s="182"/>
      <c r="AQ121" s="182"/>
      <c r="AR121" s="339" t="e">
        <f t="shared" si="54"/>
        <v>#N/A</v>
      </c>
      <c r="AS121" s="681"/>
      <c r="AT121" s="182"/>
      <c r="AU121" s="182"/>
      <c r="AV121" s="182"/>
      <c r="AW121" s="339" t="e">
        <f t="shared" si="55"/>
        <v>#N/A</v>
      </c>
      <c r="AX121" s="681"/>
    </row>
    <row r="122" spans="2:50">
      <c r="B122" s="667"/>
      <c r="C122" s="309">
        <v>11</v>
      </c>
      <c r="D122" s="227"/>
      <c r="E122" s="182"/>
      <c r="F122" s="569"/>
      <c r="G122" s="570"/>
      <c r="H122" s="709"/>
      <c r="I122" s="199" t="e">
        <f t="shared" si="46"/>
        <v>#DIV/0!</v>
      </c>
      <c r="J122" s="199" t="e">
        <f t="shared" si="47"/>
        <v>#DIV/0!</v>
      </c>
      <c r="K122" s="200" t="e">
        <f t="shared" si="48"/>
        <v>#DIV/0!</v>
      </c>
      <c r="L122" s="641"/>
      <c r="M122" s="201" t="e">
        <f>RANK(K122, K$112:$K$141)</f>
        <v>#DIV/0!</v>
      </c>
      <c r="N122" s="659"/>
      <c r="O122" s="659"/>
      <c r="P122" s="182"/>
      <c r="Q122" s="182"/>
      <c r="R122" s="182"/>
      <c r="S122" s="339" t="e">
        <f t="shared" si="49"/>
        <v>#N/A</v>
      </c>
      <c r="T122" s="681"/>
      <c r="U122" s="182"/>
      <c r="V122" s="182"/>
      <c r="W122" s="182"/>
      <c r="X122" s="339" t="e">
        <f t="shared" si="50"/>
        <v>#N/A</v>
      </c>
      <c r="Y122" s="681"/>
      <c r="Z122" s="182"/>
      <c r="AA122" s="182"/>
      <c r="AB122" s="182"/>
      <c r="AC122" s="339" t="e">
        <f t="shared" si="51"/>
        <v>#N/A</v>
      </c>
      <c r="AD122" s="681"/>
      <c r="AE122" s="182"/>
      <c r="AF122" s="182"/>
      <c r="AG122" s="182"/>
      <c r="AH122" s="339" t="e">
        <f t="shared" si="52"/>
        <v>#N/A</v>
      </c>
      <c r="AI122" s="681"/>
      <c r="AJ122" s="182"/>
      <c r="AK122" s="182"/>
      <c r="AL122" s="182"/>
      <c r="AM122" s="339" t="e">
        <f t="shared" si="53"/>
        <v>#N/A</v>
      </c>
      <c r="AN122" s="681"/>
      <c r="AO122" s="182"/>
      <c r="AP122" s="182"/>
      <c r="AQ122" s="182"/>
      <c r="AR122" s="339" t="e">
        <f t="shared" si="54"/>
        <v>#N/A</v>
      </c>
      <c r="AS122" s="681"/>
      <c r="AT122" s="182"/>
      <c r="AU122" s="182"/>
      <c r="AV122" s="182"/>
      <c r="AW122" s="339" t="e">
        <f t="shared" si="55"/>
        <v>#N/A</v>
      </c>
      <c r="AX122" s="681"/>
    </row>
    <row r="123" spans="2:50">
      <c r="B123" s="667"/>
      <c r="C123" s="309">
        <v>12</v>
      </c>
      <c r="D123" s="227"/>
      <c r="E123" s="182"/>
      <c r="F123" s="569"/>
      <c r="G123" s="570"/>
      <c r="H123" s="709"/>
      <c r="I123" s="199" t="e">
        <f t="shared" si="46"/>
        <v>#DIV/0!</v>
      </c>
      <c r="J123" s="199" t="e">
        <f t="shared" si="47"/>
        <v>#DIV/0!</v>
      </c>
      <c r="K123" s="200" t="e">
        <f t="shared" si="48"/>
        <v>#DIV/0!</v>
      </c>
      <c r="L123" s="641"/>
      <c r="M123" s="201" t="e">
        <f>RANK(K123, K$112:$K$141)</f>
        <v>#DIV/0!</v>
      </c>
      <c r="N123" s="659"/>
      <c r="O123" s="659"/>
      <c r="P123" s="182"/>
      <c r="Q123" s="182"/>
      <c r="R123" s="182"/>
      <c r="S123" s="339" t="e">
        <f t="shared" si="49"/>
        <v>#N/A</v>
      </c>
      <c r="T123" s="681"/>
      <c r="U123" s="182"/>
      <c r="V123" s="182"/>
      <c r="W123" s="182"/>
      <c r="X123" s="339" t="e">
        <f t="shared" si="50"/>
        <v>#N/A</v>
      </c>
      <c r="Y123" s="681"/>
      <c r="Z123" s="182"/>
      <c r="AA123" s="182"/>
      <c r="AB123" s="182"/>
      <c r="AC123" s="339" t="e">
        <f t="shared" si="51"/>
        <v>#N/A</v>
      </c>
      <c r="AD123" s="681"/>
      <c r="AE123" s="182"/>
      <c r="AF123" s="182"/>
      <c r="AG123" s="182"/>
      <c r="AH123" s="339" t="e">
        <f t="shared" si="52"/>
        <v>#N/A</v>
      </c>
      <c r="AI123" s="681"/>
      <c r="AJ123" s="182"/>
      <c r="AK123" s="182"/>
      <c r="AL123" s="182"/>
      <c r="AM123" s="339" t="e">
        <f t="shared" si="53"/>
        <v>#N/A</v>
      </c>
      <c r="AN123" s="681"/>
      <c r="AO123" s="182"/>
      <c r="AP123" s="182"/>
      <c r="AQ123" s="182"/>
      <c r="AR123" s="339" t="e">
        <f t="shared" si="54"/>
        <v>#N/A</v>
      </c>
      <c r="AS123" s="681"/>
      <c r="AT123" s="182"/>
      <c r="AU123" s="182"/>
      <c r="AV123" s="182"/>
      <c r="AW123" s="339" t="e">
        <f t="shared" si="55"/>
        <v>#N/A</v>
      </c>
      <c r="AX123" s="681"/>
    </row>
    <row r="124" spans="2:50">
      <c r="B124" s="667"/>
      <c r="C124" s="309">
        <v>13</v>
      </c>
      <c r="D124" s="227"/>
      <c r="E124" s="182"/>
      <c r="F124" s="569"/>
      <c r="G124" s="570"/>
      <c r="H124" s="709"/>
      <c r="I124" s="199" t="e">
        <f t="shared" si="46"/>
        <v>#DIV/0!</v>
      </c>
      <c r="J124" s="199" t="e">
        <f t="shared" si="47"/>
        <v>#DIV/0!</v>
      </c>
      <c r="K124" s="200" t="e">
        <f t="shared" si="48"/>
        <v>#DIV/0!</v>
      </c>
      <c r="L124" s="641"/>
      <c r="M124" s="201" t="e">
        <f>RANK(K124, K$112:$K$141)</f>
        <v>#DIV/0!</v>
      </c>
      <c r="N124" s="659"/>
      <c r="O124" s="659"/>
      <c r="P124" s="182"/>
      <c r="Q124" s="182"/>
      <c r="R124" s="182"/>
      <c r="S124" s="339" t="e">
        <f t="shared" si="49"/>
        <v>#N/A</v>
      </c>
      <c r="T124" s="681"/>
      <c r="U124" s="182"/>
      <c r="V124" s="182"/>
      <c r="W124" s="182"/>
      <c r="X124" s="339" t="e">
        <f t="shared" si="50"/>
        <v>#N/A</v>
      </c>
      <c r="Y124" s="681"/>
      <c r="Z124" s="182"/>
      <c r="AA124" s="182"/>
      <c r="AB124" s="182"/>
      <c r="AC124" s="339" t="e">
        <f t="shared" si="51"/>
        <v>#N/A</v>
      </c>
      <c r="AD124" s="681"/>
      <c r="AE124" s="182"/>
      <c r="AF124" s="182"/>
      <c r="AG124" s="182"/>
      <c r="AH124" s="339" t="e">
        <f t="shared" si="52"/>
        <v>#N/A</v>
      </c>
      <c r="AI124" s="681"/>
      <c r="AJ124" s="182"/>
      <c r="AK124" s="182"/>
      <c r="AL124" s="182"/>
      <c r="AM124" s="339" t="e">
        <f t="shared" si="53"/>
        <v>#N/A</v>
      </c>
      <c r="AN124" s="681"/>
      <c r="AO124" s="182"/>
      <c r="AP124" s="182"/>
      <c r="AQ124" s="182"/>
      <c r="AR124" s="339" t="e">
        <f t="shared" si="54"/>
        <v>#N/A</v>
      </c>
      <c r="AS124" s="681"/>
      <c r="AT124" s="182"/>
      <c r="AU124" s="182"/>
      <c r="AV124" s="182"/>
      <c r="AW124" s="339" t="e">
        <f t="shared" si="55"/>
        <v>#N/A</v>
      </c>
      <c r="AX124" s="681"/>
    </row>
    <row r="125" spans="2:50">
      <c r="B125" s="667"/>
      <c r="C125" s="309">
        <v>14</v>
      </c>
      <c r="D125" s="227"/>
      <c r="E125" s="182"/>
      <c r="F125" s="569"/>
      <c r="G125" s="570"/>
      <c r="H125" s="709"/>
      <c r="I125" s="199" t="e">
        <f t="shared" si="46"/>
        <v>#DIV/0!</v>
      </c>
      <c r="J125" s="199" t="e">
        <f t="shared" si="47"/>
        <v>#DIV/0!</v>
      </c>
      <c r="K125" s="200" t="e">
        <f t="shared" si="48"/>
        <v>#DIV/0!</v>
      </c>
      <c r="L125" s="641"/>
      <c r="M125" s="201" t="e">
        <f>RANK(K125, K$112:$K$141)</f>
        <v>#DIV/0!</v>
      </c>
      <c r="N125" s="659"/>
      <c r="O125" s="659"/>
      <c r="P125" s="182"/>
      <c r="Q125" s="182"/>
      <c r="R125" s="182"/>
      <c r="S125" s="339" t="e">
        <f t="shared" si="49"/>
        <v>#N/A</v>
      </c>
      <c r="T125" s="681"/>
      <c r="U125" s="182"/>
      <c r="V125" s="182"/>
      <c r="W125" s="182"/>
      <c r="X125" s="339" t="e">
        <f t="shared" si="50"/>
        <v>#N/A</v>
      </c>
      <c r="Y125" s="681"/>
      <c r="Z125" s="182"/>
      <c r="AA125" s="182"/>
      <c r="AB125" s="182"/>
      <c r="AC125" s="339" t="e">
        <f t="shared" si="51"/>
        <v>#N/A</v>
      </c>
      <c r="AD125" s="681"/>
      <c r="AE125" s="182"/>
      <c r="AF125" s="182"/>
      <c r="AG125" s="182"/>
      <c r="AH125" s="339" t="e">
        <f t="shared" si="52"/>
        <v>#N/A</v>
      </c>
      <c r="AI125" s="681"/>
      <c r="AJ125" s="182"/>
      <c r="AK125" s="182"/>
      <c r="AL125" s="182"/>
      <c r="AM125" s="339" t="e">
        <f t="shared" si="53"/>
        <v>#N/A</v>
      </c>
      <c r="AN125" s="681"/>
      <c r="AO125" s="182"/>
      <c r="AP125" s="182"/>
      <c r="AQ125" s="182"/>
      <c r="AR125" s="339" t="e">
        <f t="shared" si="54"/>
        <v>#N/A</v>
      </c>
      <c r="AS125" s="681"/>
      <c r="AT125" s="182"/>
      <c r="AU125" s="182"/>
      <c r="AV125" s="182"/>
      <c r="AW125" s="339" t="e">
        <f t="shared" si="55"/>
        <v>#N/A</v>
      </c>
      <c r="AX125" s="681"/>
    </row>
    <row r="126" spans="2:50">
      <c r="B126" s="667"/>
      <c r="C126" s="309">
        <v>15</v>
      </c>
      <c r="D126" s="227"/>
      <c r="E126" s="182"/>
      <c r="F126" s="569"/>
      <c r="G126" s="570"/>
      <c r="H126" s="709"/>
      <c r="I126" s="199" t="e">
        <f t="shared" si="46"/>
        <v>#DIV/0!</v>
      </c>
      <c r="J126" s="199" t="e">
        <f t="shared" si="47"/>
        <v>#DIV/0!</v>
      </c>
      <c r="K126" s="200" t="e">
        <f t="shared" si="48"/>
        <v>#DIV/0!</v>
      </c>
      <c r="L126" s="641"/>
      <c r="M126" s="201" t="e">
        <f>RANK(K126, K$112:$K$141)</f>
        <v>#DIV/0!</v>
      </c>
      <c r="N126" s="659"/>
      <c r="O126" s="659"/>
      <c r="P126" s="182"/>
      <c r="Q126" s="182"/>
      <c r="R126" s="182"/>
      <c r="S126" s="339" t="e">
        <f t="shared" si="49"/>
        <v>#N/A</v>
      </c>
      <c r="T126" s="681"/>
      <c r="U126" s="182"/>
      <c r="V126" s="182"/>
      <c r="W126" s="182"/>
      <c r="X126" s="339" t="e">
        <f t="shared" si="50"/>
        <v>#N/A</v>
      </c>
      <c r="Y126" s="681"/>
      <c r="Z126" s="182"/>
      <c r="AA126" s="182"/>
      <c r="AB126" s="182"/>
      <c r="AC126" s="339" t="e">
        <f t="shared" si="51"/>
        <v>#N/A</v>
      </c>
      <c r="AD126" s="681"/>
      <c r="AE126" s="182"/>
      <c r="AF126" s="182"/>
      <c r="AG126" s="182"/>
      <c r="AH126" s="339" t="e">
        <f t="shared" si="52"/>
        <v>#N/A</v>
      </c>
      <c r="AI126" s="681"/>
      <c r="AJ126" s="182"/>
      <c r="AK126" s="182"/>
      <c r="AL126" s="182"/>
      <c r="AM126" s="339" t="e">
        <f t="shared" si="53"/>
        <v>#N/A</v>
      </c>
      <c r="AN126" s="681"/>
      <c r="AO126" s="182"/>
      <c r="AP126" s="182"/>
      <c r="AQ126" s="182"/>
      <c r="AR126" s="339" t="e">
        <f t="shared" si="54"/>
        <v>#N/A</v>
      </c>
      <c r="AS126" s="681"/>
      <c r="AT126" s="182"/>
      <c r="AU126" s="182"/>
      <c r="AV126" s="182"/>
      <c r="AW126" s="339" t="e">
        <f t="shared" si="55"/>
        <v>#N/A</v>
      </c>
      <c r="AX126" s="681"/>
    </row>
    <row r="127" spans="2:50">
      <c r="B127" s="667"/>
      <c r="C127" s="309">
        <v>16</v>
      </c>
      <c r="D127" s="227"/>
      <c r="E127" s="182"/>
      <c r="F127" s="569"/>
      <c r="G127" s="570"/>
      <c r="H127" s="709"/>
      <c r="I127" s="199" t="e">
        <f t="shared" si="46"/>
        <v>#DIV/0!</v>
      </c>
      <c r="J127" s="199" t="e">
        <f t="shared" si="47"/>
        <v>#DIV/0!</v>
      </c>
      <c r="K127" s="200" t="e">
        <f t="shared" si="48"/>
        <v>#DIV/0!</v>
      </c>
      <c r="L127" s="641"/>
      <c r="M127" s="201" t="e">
        <f>RANK(K127, K$112:$K$141)</f>
        <v>#DIV/0!</v>
      </c>
      <c r="N127" s="659"/>
      <c r="O127" s="659"/>
      <c r="P127" s="182"/>
      <c r="Q127" s="182"/>
      <c r="R127" s="182"/>
      <c r="S127" s="339" t="e">
        <f t="shared" si="49"/>
        <v>#N/A</v>
      </c>
      <c r="T127" s="681"/>
      <c r="U127" s="182"/>
      <c r="V127" s="182"/>
      <c r="W127" s="182"/>
      <c r="X127" s="339" t="e">
        <f t="shared" si="50"/>
        <v>#N/A</v>
      </c>
      <c r="Y127" s="681"/>
      <c r="Z127" s="182"/>
      <c r="AA127" s="182"/>
      <c r="AB127" s="182"/>
      <c r="AC127" s="339" t="e">
        <f t="shared" si="51"/>
        <v>#N/A</v>
      </c>
      <c r="AD127" s="681"/>
      <c r="AE127" s="182"/>
      <c r="AF127" s="182"/>
      <c r="AG127" s="182"/>
      <c r="AH127" s="339" t="e">
        <f t="shared" si="52"/>
        <v>#N/A</v>
      </c>
      <c r="AI127" s="681"/>
      <c r="AJ127" s="182"/>
      <c r="AK127" s="182"/>
      <c r="AL127" s="182"/>
      <c r="AM127" s="339" t="e">
        <f t="shared" si="53"/>
        <v>#N/A</v>
      </c>
      <c r="AN127" s="681"/>
      <c r="AO127" s="182"/>
      <c r="AP127" s="182"/>
      <c r="AQ127" s="182"/>
      <c r="AR127" s="339" t="e">
        <f t="shared" si="54"/>
        <v>#N/A</v>
      </c>
      <c r="AS127" s="681"/>
      <c r="AT127" s="182"/>
      <c r="AU127" s="182"/>
      <c r="AV127" s="182"/>
      <c r="AW127" s="339" t="e">
        <f t="shared" si="55"/>
        <v>#N/A</v>
      </c>
      <c r="AX127" s="681"/>
    </row>
    <row r="128" spans="2:50">
      <c r="B128" s="667"/>
      <c r="C128" s="309">
        <v>17</v>
      </c>
      <c r="D128" s="227"/>
      <c r="E128" s="182"/>
      <c r="F128" s="569"/>
      <c r="G128" s="570"/>
      <c r="H128" s="709"/>
      <c r="I128" s="199" t="e">
        <f t="shared" si="46"/>
        <v>#DIV/0!</v>
      </c>
      <c r="J128" s="199" t="e">
        <f t="shared" si="47"/>
        <v>#DIV/0!</v>
      </c>
      <c r="K128" s="200" t="e">
        <f t="shared" si="48"/>
        <v>#DIV/0!</v>
      </c>
      <c r="L128" s="641"/>
      <c r="M128" s="201" t="e">
        <f>RANK(K128, K$112:$K$141)</f>
        <v>#DIV/0!</v>
      </c>
      <c r="N128" s="659"/>
      <c r="O128" s="659"/>
      <c r="P128" s="182"/>
      <c r="Q128" s="182"/>
      <c r="R128" s="182"/>
      <c r="S128" s="339" t="e">
        <f t="shared" si="49"/>
        <v>#N/A</v>
      </c>
      <c r="T128" s="681"/>
      <c r="U128" s="182"/>
      <c r="V128" s="182"/>
      <c r="W128" s="182"/>
      <c r="X128" s="339" t="e">
        <f t="shared" si="50"/>
        <v>#N/A</v>
      </c>
      <c r="Y128" s="681"/>
      <c r="Z128" s="182"/>
      <c r="AA128" s="182"/>
      <c r="AB128" s="182"/>
      <c r="AC128" s="339" t="e">
        <f t="shared" si="51"/>
        <v>#N/A</v>
      </c>
      <c r="AD128" s="681"/>
      <c r="AE128" s="182"/>
      <c r="AF128" s="182"/>
      <c r="AG128" s="182"/>
      <c r="AH128" s="339" t="e">
        <f t="shared" si="52"/>
        <v>#N/A</v>
      </c>
      <c r="AI128" s="681"/>
      <c r="AJ128" s="182"/>
      <c r="AK128" s="182"/>
      <c r="AL128" s="182"/>
      <c r="AM128" s="339" t="e">
        <f t="shared" si="53"/>
        <v>#N/A</v>
      </c>
      <c r="AN128" s="681"/>
      <c r="AO128" s="182"/>
      <c r="AP128" s="182"/>
      <c r="AQ128" s="182"/>
      <c r="AR128" s="339" t="e">
        <f t="shared" si="54"/>
        <v>#N/A</v>
      </c>
      <c r="AS128" s="681"/>
      <c r="AT128" s="182"/>
      <c r="AU128" s="182"/>
      <c r="AV128" s="182"/>
      <c r="AW128" s="339" t="e">
        <f t="shared" si="55"/>
        <v>#N/A</v>
      </c>
      <c r="AX128" s="681"/>
    </row>
    <row r="129" spans="2:50">
      <c r="B129" s="667"/>
      <c r="C129" s="309">
        <v>18</v>
      </c>
      <c r="D129" s="227"/>
      <c r="E129" s="182"/>
      <c r="F129" s="569"/>
      <c r="G129" s="570"/>
      <c r="H129" s="709"/>
      <c r="I129" s="199" t="e">
        <f t="shared" si="46"/>
        <v>#DIV/0!</v>
      </c>
      <c r="J129" s="199" t="e">
        <f t="shared" si="47"/>
        <v>#DIV/0!</v>
      </c>
      <c r="K129" s="200" t="e">
        <f t="shared" si="48"/>
        <v>#DIV/0!</v>
      </c>
      <c r="L129" s="641"/>
      <c r="M129" s="201" t="e">
        <f>RANK(K129, K$112:$K$141)</f>
        <v>#DIV/0!</v>
      </c>
      <c r="N129" s="659"/>
      <c r="O129" s="659"/>
      <c r="P129" s="182"/>
      <c r="Q129" s="182"/>
      <c r="R129" s="182"/>
      <c r="S129" s="339" t="e">
        <f t="shared" si="49"/>
        <v>#N/A</v>
      </c>
      <c r="T129" s="681"/>
      <c r="U129" s="182"/>
      <c r="V129" s="182"/>
      <c r="W129" s="182"/>
      <c r="X129" s="339" t="e">
        <f t="shared" si="50"/>
        <v>#N/A</v>
      </c>
      <c r="Y129" s="681"/>
      <c r="Z129" s="182"/>
      <c r="AA129" s="182"/>
      <c r="AB129" s="182"/>
      <c r="AC129" s="339" t="e">
        <f t="shared" si="51"/>
        <v>#N/A</v>
      </c>
      <c r="AD129" s="681"/>
      <c r="AE129" s="182"/>
      <c r="AF129" s="182"/>
      <c r="AG129" s="182"/>
      <c r="AH129" s="339" t="e">
        <f t="shared" si="52"/>
        <v>#N/A</v>
      </c>
      <c r="AI129" s="681"/>
      <c r="AJ129" s="182"/>
      <c r="AK129" s="182"/>
      <c r="AL129" s="182"/>
      <c r="AM129" s="339" t="e">
        <f t="shared" si="53"/>
        <v>#N/A</v>
      </c>
      <c r="AN129" s="681"/>
      <c r="AO129" s="182"/>
      <c r="AP129" s="182"/>
      <c r="AQ129" s="182"/>
      <c r="AR129" s="339" t="e">
        <f t="shared" si="54"/>
        <v>#N/A</v>
      </c>
      <c r="AS129" s="681"/>
      <c r="AT129" s="182"/>
      <c r="AU129" s="182"/>
      <c r="AV129" s="182"/>
      <c r="AW129" s="339" t="e">
        <f t="shared" si="55"/>
        <v>#N/A</v>
      </c>
      <c r="AX129" s="681"/>
    </row>
    <row r="130" spans="2:50">
      <c r="B130" s="667"/>
      <c r="C130" s="309">
        <v>19</v>
      </c>
      <c r="D130" s="227"/>
      <c r="E130" s="182"/>
      <c r="F130" s="569"/>
      <c r="G130" s="570"/>
      <c r="H130" s="709"/>
      <c r="I130" s="199" t="e">
        <f t="shared" si="46"/>
        <v>#DIV/0!</v>
      </c>
      <c r="J130" s="199" t="e">
        <f t="shared" si="47"/>
        <v>#DIV/0!</v>
      </c>
      <c r="K130" s="200" t="e">
        <f t="shared" si="48"/>
        <v>#DIV/0!</v>
      </c>
      <c r="L130" s="641"/>
      <c r="M130" s="201" t="e">
        <f>RANK(K130, K$112:$K$141)</f>
        <v>#DIV/0!</v>
      </c>
      <c r="N130" s="659"/>
      <c r="O130" s="659"/>
      <c r="P130" s="182"/>
      <c r="Q130" s="182"/>
      <c r="R130" s="182"/>
      <c r="S130" s="339" t="e">
        <f t="shared" si="49"/>
        <v>#N/A</v>
      </c>
      <c r="T130" s="681"/>
      <c r="U130" s="182"/>
      <c r="V130" s="182"/>
      <c r="W130" s="182"/>
      <c r="X130" s="339" t="e">
        <f t="shared" si="50"/>
        <v>#N/A</v>
      </c>
      <c r="Y130" s="681"/>
      <c r="Z130" s="182"/>
      <c r="AA130" s="182"/>
      <c r="AB130" s="182"/>
      <c r="AC130" s="339" t="e">
        <f t="shared" si="51"/>
        <v>#N/A</v>
      </c>
      <c r="AD130" s="681"/>
      <c r="AE130" s="182"/>
      <c r="AF130" s="182"/>
      <c r="AG130" s="182"/>
      <c r="AH130" s="339" t="e">
        <f t="shared" si="52"/>
        <v>#N/A</v>
      </c>
      <c r="AI130" s="681"/>
      <c r="AJ130" s="182"/>
      <c r="AK130" s="182"/>
      <c r="AL130" s="182"/>
      <c r="AM130" s="339" t="e">
        <f t="shared" si="53"/>
        <v>#N/A</v>
      </c>
      <c r="AN130" s="681"/>
      <c r="AO130" s="182"/>
      <c r="AP130" s="182"/>
      <c r="AQ130" s="182"/>
      <c r="AR130" s="339" t="e">
        <f t="shared" si="54"/>
        <v>#N/A</v>
      </c>
      <c r="AS130" s="681"/>
      <c r="AT130" s="182"/>
      <c r="AU130" s="182"/>
      <c r="AV130" s="182"/>
      <c r="AW130" s="339" t="e">
        <f t="shared" si="55"/>
        <v>#N/A</v>
      </c>
      <c r="AX130" s="681"/>
    </row>
    <row r="131" spans="2:50">
      <c r="B131" s="667"/>
      <c r="C131" s="309">
        <v>20</v>
      </c>
      <c r="D131" s="227"/>
      <c r="E131" s="182"/>
      <c r="F131" s="569"/>
      <c r="G131" s="570"/>
      <c r="H131" s="709"/>
      <c r="I131" s="199" t="e">
        <f t="shared" si="46"/>
        <v>#DIV/0!</v>
      </c>
      <c r="J131" s="199" t="e">
        <f t="shared" si="47"/>
        <v>#DIV/0!</v>
      </c>
      <c r="K131" s="200" t="e">
        <f t="shared" si="48"/>
        <v>#DIV/0!</v>
      </c>
      <c r="L131" s="641"/>
      <c r="M131" s="201" t="e">
        <f>RANK(K131, K$112:$K$141)</f>
        <v>#DIV/0!</v>
      </c>
      <c r="N131" s="659"/>
      <c r="O131" s="659"/>
      <c r="P131" s="182"/>
      <c r="Q131" s="182"/>
      <c r="R131" s="182"/>
      <c r="S131" s="339" t="e">
        <f t="shared" si="49"/>
        <v>#N/A</v>
      </c>
      <c r="T131" s="681"/>
      <c r="U131" s="182"/>
      <c r="V131" s="182"/>
      <c r="W131" s="182"/>
      <c r="X131" s="339" t="e">
        <f t="shared" si="50"/>
        <v>#N/A</v>
      </c>
      <c r="Y131" s="681"/>
      <c r="Z131" s="182"/>
      <c r="AA131" s="182"/>
      <c r="AB131" s="182"/>
      <c r="AC131" s="339" t="e">
        <f t="shared" si="51"/>
        <v>#N/A</v>
      </c>
      <c r="AD131" s="681"/>
      <c r="AE131" s="182"/>
      <c r="AF131" s="182"/>
      <c r="AG131" s="182"/>
      <c r="AH131" s="339" t="e">
        <f t="shared" si="52"/>
        <v>#N/A</v>
      </c>
      <c r="AI131" s="681"/>
      <c r="AJ131" s="182"/>
      <c r="AK131" s="182"/>
      <c r="AL131" s="182"/>
      <c r="AM131" s="339" t="e">
        <f t="shared" si="53"/>
        <v>#N/A</v>
      </c>
      <c r="AN131" s="681"/>
      <c r="AO131" s="182"/>
      <c r="AP131" s="182"/>
      <c r="AQ131" s="182"/>
      <c r="AR131" s="339" t="e">
        <f t="shared" si="54"/>
        <v>#N/A</v>
      </c>
      <c r="AS131" s="681"/>
      <c r="AT131" s="182"/>
      <c r="AU131" s="182"/>
      <c r="AV131" s="182"/>
      <c r="AW131" s="339" t="e">
        <f t="shared" si="55"/>
        <v>#N/A</v>
      </c>
      <c r="AX131" s="681"/>
    </row>
    <row r="132" spans="2:50">
      <c r="B132" s="667"/>
      <c r="C132" s="309">
        <v>21</v>
      </c>
      <c r="D132" s="227"/>
      <c r="E132" s="182"/>
      <c r="F132" s="569"/>
      <c r="G132" s="570"/>
      <c r="H132" s="709"/>
      <c r="I132" s="199" t="e">
        <f t="shared" si="46"/>
        <v>#DIV/0!</v>
      </c>
      <c r="J132" s="199" t="e">
        <f t="shared" si="47"/>
        <v>#DIV/0!</v>
      </c>
      <c r="K132" s="200" t="e">
        <f t="shared" si="48"/>
        <v>#DIV/0!</v>
      </c>
      <c r="L132" s="641"/>
      <c r="M132" s="201" t="e">
        <f>RANK(K132, K$112:$K$141)</f>
        <v>#DIV/0!</v>
      </c>
      <c r="N132" s="659"/>
      <c r="O132" s="659"/>
      <c r="P132" s="182"/>
      <c r="Q132" s="182"/>
      <c r="R132" s="182"/>
      <c r="S132" s="339" t="e">
        <f t="shared" si="49"/>
        <v>#N/A</v>
      </c>
      <c r="T132" s="681"/>
      <c r="U132" s="182"/>
      <c r="V132" s="182"/>
      <c r="W132" s="182"/>
      <c r="X132" s="339" t="e">
        <f t="shared" si="50"/>
        <v>#N/A</v>
      </c>
      <c r="Y132" s="681"/>
      <c r="Z132" s="182"/>
      <c r="AA132" s="182"/>
      <c r="AB132" s="182"/>
      <c r="AC132" s="339" t="e">
        <f t="shared" si="51"/>
        <v>#N/A</v>
      </c>
      <c r="AD132" s="681"/>
      <c r="AE132" s="182"/>
      <c r="AF132" s="182"/>
      <c r="AG132" s="182"/>
      <c r="AH132" s="339" t="e">
        <f t="shared" si="52"/>
        <v>#N/A</v>
      </c>
      <c r="AI132" s="681"/>
      <c r="AJ132" s="182"/>
      <c r="AK132" s="182"/>
      <c r="AL132" s="182"/>
      <c r="AM132" s="339" t="e">
        <f t="shared" si="53"/>
        <v>#N/A</v>
      </c>
      <c r="AN132" s="681"/>
      <c r="AO132" s="182"/>
      <c r="AP132" s="182"/>
      <c r="AQ132" s="182"/>
      <c r="AR132" s="339" t="e">
        <f t="shared" si="54"/>
        <v>#N/A</v>
      </c>
      <c r="AS132" s="681"/>
      <c r="AT132" s="182"/>
      <c r="AU132" s="182"/>
      <c r="AV132" s="182"/>
      <c r="AW132" s="339" t="e">
        <f t="shared" si="55"/>
        <v>#N/A</v>
      </c>
      <c r="AX132" s="681"/>
    </row>
    <row r="133" spans="2:50">
      <c r="B133" s="667"/>
      <c r="C133" s="309">
        <v>22</v>
      </c>
      <c r="D133" s="227"/>
      <c r="E133" s="182"/>
      <c r="F133" s="569"/>
      <c r="G133" s="570"/>
      <c r="H133" s="709"/>
      <c r="I133" s="199" t="e">
        <f t="shared" si="46"/>
        <v>#DIV/0!</v>
      </c>
      <c r="J133" s="199" t="e">
        <f t="shared" si="47"/>
        <v>#DIV/0!</v>
      </c>
      <c r="K133" s="200" t="e">
        <f t="shared" si="48"/>
        <v>#DIV/0!</v>
      </c>
      <c r="L133" s="641"/>
      <c r="M133" s="201" t="e">
        <f>RANK(K133, K$112:$K$141)</f>
        <v>#DIV/0!</v>
      </c>
      <c r="N133" s="659"/>
      <c r="O133" s="659"/>
      <c r="P133" s="182"/>
      <c r="Q133" s="182"/>
      <c r="R133" s="182"/>
      <c r="S133" s="339" t="e">
        <f t="shared" si="49"/>
        <v>#N/A</v>
      </c>
      <c r="T133" s="681"/>
      <c r="U133" s="182"/>
      <c r="V133" s="182"/>
      <c r="W133" s="182"/>
      <c r="X133" s="339" t="e">
        <f t="shared" si="50"/>
        <v>#N/A</v>
      </c>
      <c r="Y133" s="681"/>
      <c r="Z133" s="182"/>
      <c r="AA133" s="182"/>
      <c r="AB133" s="182"/>
      <c r="AC133" s="339" t="e">
        <f t="shared" si="51"/>
        <v>#N/A</v>
      </c>
      <c r="AD133" s="681"/>
      <c r="AE133" s="182"/>
      <c r="AF133" s="182"/>
      <c r="AG133" s="182"/>
      <c r="AH133" s="339" t="e">
        <f t="shared" si="52"/>
        <v>#N/A</v>
      </c>
      <c r="AI133" s="681"/>
      <c r="AJ133" s="182"/>
      <c r="AK133" s="182"/>
      <c r="AL133" s="182"/>
      <c r="AM133" s="339" t="e">
        <f t="shared" si="53"/>
        <v>#N/A</v>
      </c>
      <c r="AN133" s="681"/>
      <c r="AO133" s="182"/>
      <c r="AP133" s="182"/>
      <c r="AQ133" s="182"/>
      <c r="AR133" s="339" t="e">
        <f t="shared" si="54"/>
        <v>#N/A</v>
      </c>
      <c r="AS133" s="681"/>
      <c r="AT133" s="182"/>
      <c r="AU133" s="182"/>
      <c r="AV133" s="182"/>
      <c r="AW133" s="339" t="e">
        <f t="shared" si="55"/>
        <v>#N/A</v>
      </c>
      <c r="AX133" s="681"/>
    </row>
    <row r="134" spans="2:50">
      <c r="B134" s="667"/>
      <c r="C134" s="309">
        <v>23</v>
      </c>
      <c r="D134" s="227"/>
      <c r="E134" s="182"/>
      <c r="F134" s="569"/>
      <c r="G134" s="570"/>
      <c r="H134" s="709"/>
      <c r="I134" s="199" t="e">
        <f t="shared" si="46"/>
        <v>#DIV/0!</v>
      </c>
      <c r="J134" s="199" t="e">
        <f t="shared" si="47"/>
        <v>#DIV/0!</v>
      </c>
      <c r="K134" s="200" t="e">
        <f t="shared" si="48"/>
        <v>#DIV/0!</v>
      </c>
      <c r="L134" s="641"/>
      <c r="M134" s="201" t="e">
        <f>RANK(K134, K$112:$K$141)</f>
        <v>#DIV/0!</v>
      </c>
      <c r="N134" s="659"/>
      <c r="O134" s="659"/>
      <c r="P134" s="182"/>
      <c r="Q134" s="182"/>
      <c r="R134" s="182"/>
      <c r="S134" s="339" t="e">
        <f t="shared" si="49"/>
        <v>#N/A</v>
      </c>
      <c r="T134" s="681"/>
      <c r="U134" s="182"/>
      <c r="V134" s="182"/>
      <c r="W134" s="182"/>
      <c r="X134" s="339" t="e">
        <f t="shared" si="50"/>
        <v>#N/A</v>
      </c>
      <c r="Y134" s="681"/>
      <c r="Z134" s="182"/>
      <c r="AA134" s="182"/>
      <c r="AB134" s="182"/>
      <c r="AC134" s="339" t="e">
        <f t="shared" si="51"/>
        <v>#N/A</v>
      </c>
      <c r="AD134" s="681"/>
      <c r="AE134" s="182"/>
      <c r="AF134" s="182"/>
      <c r="AG134" s="182"/>
      <c r="AH134" s="339" t="e">
        <f t="shared" si="52"/>
        <v>#N/A</v>
      </c>
      <c r="AI134" s="681"/>
      <c r="AJ134" s="182"/>
      <c r="AK134" s="182"/>
      <c r="AL134" s="182"/>
      <c r="AM134" s="339" t="e">
        <f t="shared" si="53"/>
        <v>#N/A</v>
      </c>
      <c r="AN134" s="681"/>
      <c r="AO134" s="182"/>
      <c r="AP134" s="182"/>
      <c r="AQ134" s="182"/>
      <c r="AR134" s="339" t="e">
        <f t="shared" si="54"/>
        <v>#N/A</v>
      </c>
      <c r="AS134" s="681"/>
      <c r="AT134" s="182"/>
      <c r="AU134" s="182"/>
      <c r="AV134" s="182"/>
      <c r="AW134" s="339" t="e">
        <f t="shared" si="55"/>
        <v>#N/A</v>
      </c>
      <c r="AX134" s="681"/>
    </row>
    <row r="135" spans="2:50">
      <c r="B135" s="667"/>
      <c r="C135" s="309">
        <v>24</v>
      </c>
      <c r="D135" s="227"/>
      <c r="E135" s="182"/>
      <c r="F135" s="569"/>
      <c r="G135" s="570"/>
      <c r="H135" s="709"/>
      <c r="I135" s="199" t="e">
        <f t="shared" si="46"/>
        <v>#DIV/0!</v>
      </c>
      <c r="J135" s="199" t="e">
        <f t="shared" si="47"/>
        <v>#DIV/0!</v>
      </c>
      <c r="K135" s="200" t="e">
        <f t="shared" si="48"/>
        <v>#DIV/0!</v>
      </c>
      <c r="L135" s="641"/>
      <c r="M135" s="201" t="e">
        <f>RANK(K135, K$112:$K$141)</f>
        <v>#DIV/0!</v>
      </c>
      <c r="N135" s="659"/>
      <c r="O135" s="659"/>
      <c r="P135" s="182"/>
      <c r="Q135" s="182"/>
      <c r="R135" s="182"/>
      <c r="S135" s="339" t="e">
        <f t="shared" si="49"/>
        <v>#N/A</v>
      </c>
      <c r="T135" s="681"/>
      <c r="U135" s="182"/>
      <c r="V135" s="182"/>
      <c r="W135" s="182"/>
      <c r="X135" s="339" t="e">
        <f t="shared" si="50"/>
        <v>#N/A</v>
      </c>
      <c r="Y135" s="681"/>
      <c r="Z135" s="182"/>
      <c r="AA135" s="182"/>
      <c r="AB135" s="182"/>
      <c r="AC135" s="339" t="e">
        <f t="shared" si="51"/>
        <v>#N/A</v>
      </c>
      <c r="AD135" s="681"/>
      <c r="AE135" s="182"/>
      <c r="AF135" s="182"/>
      <c r="AG135" s="182"/>
      <c r="AH135" s="339" t="e">
        <f t="shared" si="52"/>
        <v>#N/A</v>
      </c>
      <c r="AI135" s="681"/>
      <c r="AJ135" s="182"/>
      <c r="AK135" s="182"/>
      <c r="AL135" s="182"/>
      <c r="AM135" s="339" t="e">
        <f t="shared" si="53"/>
        <v>#N/A</v>
      </c>
      <c r="AN135" s="681"/>
      <c r="AO135" s="182"/>
      <c r="AP135" s="182"/>
      <c r="AQ135" s="182"/>
      <c r="AR135" s="339" t="e">
        <f t="shared" si="54"/>
        <v>#N/A</v>
      </c>
      <c r="AS135" s="681"/>
      <c r="AT135" s="182"/>
      <c r="AU135" s="182"/>
      <c r="AV135" s="182"/>
      <c r="AW135" s="339" t="e">
        <f t="shared" si="55"/>
        <v>#N/A</v>
      </c>
      <c r="AX135" s="681"/>
    </row>
    <row r="136" spans="2:50">
      <c r="B136" s="667"/>
      <c r="C136" s="309">
        <v>25</v>
      </c>
      <c r="D136" s="227"/>
      <c r="E136" s="182"/>
      <c r="F136" s="569"/>
      <c r="G136" s="570"/>
      <c r="H136" s="709"/>
      <c r="I136" s="466" t="e">
        <f t="shared" ref="I136:I137" si="56">AVERAGE(P136,U136,Z136,AE136,AJ136,AO136,AT136)</f>
        <v>#DIV/0!</v>
      </c>
      <c r="J136" s="466" t="e">
        <f t="shared" ref="J136:J137" si="57">AVERAGE(Q136,V136,AA136,AF136,AK136,AP136,AU136)</f>
        <v>#DIV/0!</v>
      </c>
      <c r="K136" s="200" t="e">
        <f t="shared" ref="K136:K137" si="58">AVERAGE(R136,W136,AB136,AG136,AL136,AQ136,AV136)</f>
        <v>#DIV/0!</v>
      </c>
      <c r="L136" s="641"/>
      <c r="M136" s="201" t="e">
        <f>RANK(K136, K$112:$K$141)</f>
        <v>#DIV/0!</v>
      </c>
      <c r="N136" s="659"/>
      <c r="O136" s="659"/>
      <c r="P136" s="182"/>
      <c r="Q136" s="182"/>
      <c r="R136" s="182"/>
      <c r="S136" s="339" t="e">
        <f t="shared" si="49"/>
        <v>#N/A</v>
      </c>
      <c r="T136" s="681"/>
      <c r="U136" s="182"/>
      <c r="V136" s="182"/>
      <c r="W136" s="182"/>
      <c r="X136" s="339" t="e">
        <f t="shared" si="50"/>
        <v>#N/A</v>
      </c>
      <c r="Y136" s="681"/>
      <c r="Z136" s="182"/>
      <c r="AA136" s="182"/>
      <c r="AB136" s="182"/>
      <c r="AC136" s="339" t="e">
        <f t="shared" si="51"/>
        <v>#N/A</v>
      </c>
      <c r="AD136" s="681"/>
      <c r="AE136" s="182"/>
      <c r="AF136" s="182"/>
      <c r="AG136" s="182"/>
      <c r="AH136" s="339" t="e">
        <f t="shared" si="52"/>
        <v>#N/A</v>
      </c>
      <c r="AI136" s="681"/>
      <c r="AJ136" s="182"/>
      <c r="AK136" s="182"/>
      <c r="AL136" s="182"/>
      <c r="AM136" s="339" t="e">
        <f t="shared" si="53"/>
        <v>#N/A</v>
      </c>
      <c r="AN136" s="681"/>
      <c r="AO136" s="182"/>
      <c r="AP136" s="182"/>
      <c r="AQ136" s="182"/>
      <c r="AR136" s="339" t="e">
        <f t="shared" si="54"/>
        <v>#N/A</v>
      </c>
      <c r="AS136" s="681"/>
      <c r="AT136" s="182"/>
      <c r="AU136" s="182"/>
      <c r="AV136" s="182"/>
      <c r="AW136" s="339" t="e">
        <f t="shared" si="55"/>
        <v>#N/A</v>
      </c>
      <c r="AX136" s="681"/>
    </row>
    <row r="137" spans="2:50">
      <c r="B137" s="667"/>
      <c r="C137" s="309">
        <v>26</v>
      </c>
      <c r="D137" s="227"/>
      <c r="E137" s="182"/>
      <c r="F137" s="569"/>
      <c r="G137" s="570"/>
      <c r="H137" s="709"/>
      <c r="I137" s="466" t="e">
        <f t="shared" si="56"/>
        <v>#DIV/0!</v>
      </c>
      <c r="J137" s="466" t="e">
        <f t="shared" si="57"/>
        <v>#DIV/0!</v>
      </c>
      <c r="K137" s="200" t="e">
        <f t="shared" si="58"/>
        <v>#DIV/0!</v>
      </c>
      <c r="L137" s="641"/>
      <c r="M137" s="201" t="e">
        <f>RANK(K137, K$112:$K$141)</f>
        <v>#DIV/0!</v>
      </c>
      <c r="N137" s="659"/>
      <c r="O137" s="659"/>
      <c r="P137" s="182"/>
      <c r="Q137" s="182"/>
      <c r="R137" s="182"/>
      <c r="S137" s="339" t="e">
        <f t="shared" si="49"/>
        <v>#N/A</v>
      </c>
      <c r="T137" s="681"/>
      <c r="U137" s="182"/>
      <c r="V137" s="182"/>
      <c r="W137" s="182"/>
      <c r="X137" s="339" t="e">
        <f t="shared" si="50"/>
        <v>#N/A</v>
      </c>
      <c r="Y137" s="681"/>
      <c r="Z137" s="182"/>
      <c r="AA137" s="182"/>
      <c r="AB137" s="182"/>
      <c r="AC137" s="339" t="e">
        <f t="shared" si="51"/>
        <v>#N/A</v>
      </c>
      <c r="AD137" s="681"/>
      <c r="AE137" s="182"/>
      <c r="AF137" s="182"/>
      <c r="AG137" s="182"/>
      <c r="AH137" s="339" t="e">
        <f t="shared" si="52"/>
        <v>#N/A</v>
      </c>
      <c r="AI137" s="681"/>
      <c r="AJ137" s="182"/>
      <c r="AK137" s="182"/>
      <c r="AL137" s="182"/>
      <c r="AM137" s="339" t="e">
        <f t="shared" si="53"/>
        <v>#N/A</v>
      </c>
      <c r="AN137" s="681"/>
      <c r="AO137" s="182"/>
      <c r="AP137" s="182"/>
      <c r="AQ137" s="182"/>
      <c r="AR137" s="339" t="e">
        <f t="shared" si="54"/>
        <v>#N/A</v>
      </c>
      <c r="AS137" s="681"/>
      <c r="AT137" s="182"/>
      <c r="AU137" s="182"/>
      <c r="AV137" s="182"/>
      <c r="AW137" s="339" t="e">
        <f t="shared" si="55"/>
        <v>#N/A</v>
      </c>
      <c r="AX137" s="681"/>
    </row>
    <row r="138" spans="2:50">
      <c r="B138" s="667"/>
      <c r="C138" s="309">
        <v>27</v>
      </c>
      <c r="D138" s="227"/>
      <c r="E138" s="182"/>
      <c r="F138" s="569"/>
      <c r="G138" s="570"/>
      <c r="H138" s="709"/>
      <c r="I138" s="484" t="e">
        <f t="shared" ref="I138" si="59">AVERAGE(P138,U138,Z138,AE138,AJ138,AO138,AT138)</f>
        <v>#DIV/0!</v>
      </c>
      <c r="J138" s="484" t="e">
        <f t="shared" ref="J138" si="60">AVERAGE(Q138,V138,AA138,AF138,AK138,AP138,AU138)</f>
        <v>#DIV/0!</v>
      </c>
      <c r="K138" s="200" t="e">
        <f t="shared" ref="K138" si="61">AVERAGE(R138,W138,AB138,AG138,AL138,AQ138,AV138)</f>
        <v>#DIV/0!</v>
      </c>
      <c r="L138" s="641"/>
      <c r="M138" s="201" t="e">
        <f>RANK(K138, K$112:$K$141)</f>
        <v>#DIV/0!</v>
      </c>
      <c r="N138" s="659"/>
      <c r="O138" s="659"/>
      <c r="P138" s="182"/>
      <c r="Q138" s="182"/>
      <c r="R138" s="182"/>
      <c r="S138" s="339" t="e">
        <f t="shared" si="49"/>
        <v>#N/A</v>
      </c>
      <c r="T138" s="681"/>
      <c r="U138" s="182"/>
      <c r="V138" s="182"/>
      <c r="W138" s="182"/>
      <c r="X138" s="339" t="e">
        <f t="shared" si="50"/>
        <v>#N/A</v>
      </c>
      <c r="Y138" s="681"/>
      <c r="Z138" s="182"/>
      <c r="AA138" s="182"/>
      <c r="AB138" s="182"/>
      <c r="AC138" s="339" t="e">
        <f t="shared" si="51"/>
        <v>#N/A</v>
      </c>
      <c r="AD138" s="681"/>
      <c r="AE138" s="182"/>
      <c r="AF138" s="182"/>
      <c r="AG138" s="182"/>
      <c r="AH138" s="339" t="e">
        <f t="shared" si="52"/>
        <v>#N/A</v>
      </c>
      <c r="AI138" s="681"/>
      <c r="AJ138" s="182"/>
      <c r="AK138" s="182"/>
      <c r="AL138" s="182"/>
      <c r="AM138" s="339" t="e">
        <f t="shared" si="53"/>
        <v>#N/A</v>
      </c>
      <c r="AN138" s="681"/>
      <c r="AO138" s="182"/>
      <c r="AP138" s="182"/>
      <c r="AQ138" s="182"/>
      <c r="AR138" s="339" t="e">
        <f t="shared" si="54"/>
        <v>#N/A</v>
      </c>
      <c r="AS138" s="681"/>
      <c r="AT138" s="182"/>
      <c r="AU138" s="182"/>
      <c r="AV138" s="182"/>
      <c r="AW138" s="339" t="e">
        <f t="shared" si="55"/>
        <v>#N/A</v>
      </c>
      <c r="AX138" s="681"/>
    </row>
    <row r="139" spans="2:50">
      <c r="B139" s="667"/>
      <c r="C139" s="309">
        <v>28</v>
      </c>
      <c r="D139" s="227"/>
      <c r="E139" s="182"/>
      <c r="F139" s="569"/>
      <c r="G139" s="570"/>
      <c r="H139" s="709"/>
      <c r="I139" s="199"/>
      <c r="J139" s="199"/>
      <c r="K139" s="200"/>
      <c r="L139" s="641"/>
      <c r="M139" s="201" t="e">
        <f>RANK(K139, K$112:$K$141)</f>
        <v>#DIV/0!</v>
      </c>
      <c r="N139" s="659"/>
      <c r="O139" s="659"/>
      <c r="P139" s="182"/>
      <c r="Q139" s="182"/>
      <c r="R139" s="182"/>
      <c r="S139" s="339" t="e">
        <f t="shared" si="49"/>
        <v>#N/A</v>
      </c>
      <c r="T139" s="681"/>
      <c r="U139" s="182"/>
      <c r="V139" s="182"/>
      <c r="W139" s="182"/>
      <c r="X139" s="339" t="e">
        <f t="shared" si="50"/>
        <v>#N/A</v>
      </c>
      <c r="Y139" s="681"/>
      <c r="Z139" s="182"/>
      <c r="AA139" s="182"/>
      <c r="AB139" s="182"/>
      <c r="AC139" s="339" t="e">
        <f t="shared" si="51"/>
        <v>#N/A</v>
      </c>
      <c r="AD139" s="681"/>
      <c r="AE139" s="182"/>
      <c r="AF139" s="182"/>
      <c r="AG139" s="182"/>
      <c r="AH139" s="339" t="e">
        <f t="shared" si="52"/>
        <v>#N/A</v>
      </c>
      <c r="AI139" s="681"/>
      <c r="AJ139" s="182"/>
      <c r="AK139" s="182"/>
      <c r="AL139" s="182"/>
      <c r="AM139" s="339" t="e">
        <f t="shared" si="53"/>
        <v>#N/A</v>
      </c>
      <c r="AN139" s="681"/>
      <c r="AO139" s="182"/>
      <c r="AP139" s="182"/>
      <c r="AQ139" s="182"/>
      <c r="AR139" s="339" t="e">
        <f t="shared" si="54"/>
        <v>#N/A</v>
      </c>
      <c r="AS139" s="681"/>
      <c r="AT139" s="182"/>
      <c r="AU139" s="182"/>
      <c r="AV139" s="182"/>
      <c r="AW139" s="339" t="e">
        <f t="shared" si="55"/>
        <v>#N/A</v>
      </c>
      <c r="AX139" s="681"/>
    </row>
    <row r="140" spans="2:50">
      <c r="B140" s="667"/>
      <c r="C140" s="309">
        <v>29</v>
      </c>
      <c r="D140" s="227"/>
      <c r="E140" s="182"/>
      <c r="F140" s="569"/>
      <c r="G140" s="570"/>
      <c r="H140" s="709"/>
      <c r="I140" s="202"/>
      <c r="J140" s="202"/>
      <c r="K140" s="202"/>
      <c r="L140" s="641"/>
      <c r="M140" s="201" t="e">
        <f>RANK(K140, K$112:$K$141)</f>
        <v>#DIV/0!</v>
      </c>
      <c r="N140" s="659"/>
      <c r="O140" s="659"/>
      <c r="P140" s="182"/>
      <c r="Q140" s="182"/>
      <c r="R140" s="182"/>
      <c r="S140" s="339" t="e">
        <f t="shared" si="49"/>
        <v>#N/A</v>
      </c>
      <c r="T140" s="681"/>
      <c r="U140" s="182"/>
      <c r="V140" s="182"/>
      <c r="W140" s="182"/>
      <c r="X140" s="339" t="e">
        <f t="shared" si="50"/>
        <v>#N/A</v>
      </c>
      <c r="Y140" s="681"/>
      <c r="Z140" s="182"/>
      <c r="AA140" s="182"/>
      <c r="AB140" s="182"/>
      <c r="AC140" s="339" t="e">
        <f t="shared" si="51"/>
        <v>#N/A</v>
      </c>
      <c r="AD140" s="681"/>
      <c r="AE140" s="182"/>
      <c r="AF140" s="182"/>
      <c r="AG140" s="182"/>
      <c r="AH140" s="339" t="e">
        <f t="shared" si="52"/>
        <v>#N/A</v>
      </c>
      <c r="AI140" s="681"/>
      <c r="AJ140" s="182"/>
      <c r="AK140" s="182"/>
      <c r="AL140" s="182"/>
      <c r="AM140" s="339" t="e">
        <f t="shared" si="53"/>
        <v>#N/A</v>
      </c>
      <c r="AN140" s="681"/>
      <c r="AO140" s="182"/>
      <c r="AP140" s="182"/>
      <c r="AQ140" s="182"/>
      <c r="AR140" s="339" t="e">
        <f t="shared" si="54"/>
        <v>#N/A</v>
      </c>
      <c r="AS140" s="681"/>
      <c r="AT140" s="182"/>
      <c r="AU140" s="182"/>
      <c r="AV140" s="182"/>
      <c r="AW140" s="339" t="e">
        <f t="shared" si="55"/>
        <v>#N/A</v>
      </c>
      <c r="AX140" s="681"/>
    </row>
    <row r="141" spans="2:50">
      <c r="B141" s="667"/>
      <c r="C141" s="309">
        <v>30</v>
      </c>
      <c r="D141" s="227"/>
      <c r="E141" s="182"/>
      <c r="F141" s="569"/>
      <c r="G141" s="570"/>
      <c r="H141" s="710"/>
      <c r="I141" s="202"/>
      <c r="J141" s="202"/>
      <c r="K141" s="202"/>
      <c r="L141" s="642"/>
      <c r="M141" s="201" t="e">
        <f>RANK(K141, K$112:$K$141)</f>
        <v>#DIV/0!</v>
      </c>
      <c r="N141" s="659"/>
      <c r="O141" s="659"/>
      <c r="P141" s="182"/>
      <c r="Q141" s="182"/>
      <c r="R141" s="182"/>
      <c r="S141" s="339" t="e">
        <f t="shared" si="49"/>
        <v>#N/A</v>
      </c>
      <c r="T141" s="681"/>
      <c r="U141" s="182"/>
      <c r="V141" s="182"/>
      <c r="W141" s="182"/>
      <c r="X141" s="339" t="e">
        <f t="shared" si="50"/>
        <v>#N/A</v>
      </c>
      <c r="Y141" s="681"/>
      <c r="Z141" s="182"/>
      <c r="AA141" s="182"/>
      <c r="AB141" s="182"/>
      <c r="AC141" s="339" t="e">
        <f t="shared" si="51"/>
        <v>#N/A</v>
      </c>
      <c r="AD141" s="681"/>
      <c r="AE141" s="182"/>
      <c r="AF141" s="182"/>
      <c r="AG141" s="182"/>
      <c r="AH141" s="339" t="e">
        <f t="shared" si="52"/>
        <v>#N/A</v>
      </c>
      <c r="AI141" s="681"/>
      <c r="AJ141" s="182"/>
      <c r="AK141" s="182"/>
      <c r="AL141" s="182"/>
      <c r="AM141" s="339" t="e">
        <f t="shared" si="53"/>
        <v>#N/A</v>
      </c>
      <c r="AN141" s="681"/>
      <c r="AO141" s="182"/>
      <c r="AP141" s="182"/>
      <c r="AQ141" s="182"/>
      <c r="AR141" s="339" t="e">
        <f t="shared" si="54"/>
        <v>#N/A</v>
      </c>
      <c r="AS141" s="681"/>
      <c r="AT141" s="182"/>
      <c r="AU141" s="182"/>
      <c r="AV141" s="182"/>
      <c r="AW141" s="339" t="e">
        <f t="shared" si="55"/>
        <v>#N/A</v>
      </c>
      <c r="AX141" s="681"/>
    </row>
    <row r="142" spans="2:50" ht="15.75">
      <c r="B142" s="671" t="s">
        <v>163</v>
      </c>
      <c r="C142" s="672"/>
      <c r="D142" s="672"/>
      <c r="E142" s="672"/>
      <c r="F142" s="672"/>
      <c r="G142" s="672"/>
      <c r="H142" s="673"/>
      <c r="I142" s="208"/>
      <c r="J142" s="208"/>
      <c r="K142" s="208"/>
      <c r="L142" s="208"/>
      <c r="M142" s="207"/>
      <c r="N142" s="660" t="s">
        <v>156</v>
      </c>
      <c r="O142" s="660" t="s">
        <v>105</v>
      </c>
      <c r="P142" s="666">
        <f>P107+7</f>
        <v>46112</v>
      </c>
      <c r="Q142" s="667"/>
      <c r="R142" s="667"/>
      <c r="S142" s="667"/>
      <c r="T142" s="667"/>
      <c r="U142" s="663">
        <f>P142+1</f>
        <v>46113</v>
      </c>
      <c r="V142" s="664"/>
      <c r="W142" s="664"/>
      <c r="X142" s="664"/>
      <c r="Y142" s="665"/>
      <c r="Z142" s="663">
        <f>U142+1</f>
        <v>46114</v>
      </c>
      <c r="AA142" s="664"/>
      <c r="AB142" s="664"/>
      <c r="AC142" s="664"/>
      <c r="AD142" s="665"/>
      <c r="AE142" s="663">
        <f>Z142+1</f>
        <v>46115</v>
      </c>
      <c r="AF142" s="664"/>
      <c r="AG142" s="664"/>
      <c r="AH142" s="664"/>
      <c r="AI142" s="665"/>
      <c r="AJ142" s="663">
        <f>AE142+1</f>
        <v>46116</v>
      </c>
      <c r="AK142" s="664"/>
      <c r="AL142" s="664"/>
      <c r="AM142" s="664"/>
      <c r="AN142" s="665"/>
      <c r="AO142" s="663">
        <f>AJ142+1</f>
        <v>46117</v>
      </c>
      <c r="AP142" s="664"/>
      <c r="AQ142" s="664"/>
      <c r="AR142" s="664"/>
      <c r="AS142" s="665"/>
      <c r="AT142" s="663">
        <f>AO142+1</f>
        <v>46118</v>
      </c>
      <c r="AU142" s="664"/>
      <c r="AV142" s="664"/>
      <c r="AW142" s="664"/>
      <c r="AX142" s="665"/>
    </row>
    <row r="143" spans="2:50" ht="15.75">
      <c r="B143" s="674"/>
      <c r="C143" s="674"/>
      <c r="D143" s="674"/>
      <c r="E143" s="674"/>
      <c r="F143" s="674"/>
      <c r="G143" s="674"/>
      <c r="H143" s="674"/>
      <c r="I143" s="205"/>
      <c r="J143" s="205"/>
      <c r="K143" s="205"/>
      <c r="L143" s="205"/>
      <c r="M143" s="206"/>
      <c r="N143" s="662"/>
      <c r="O143" s="662"/>
      <c r="P143" s="666" t="s">
        <v>336</v>
      </c>
      <c r="Q143" s="667"/>
      <c r="R143" s="667"/>
      <c r="S143" s="667"/>
      <c r="T143" s="667"/>
      <c r="U143" s="666" t="s">
        <v>337</v>
      </c>
      <c r="V143" s="667"/>
      <c r="W143" s="667"/>
      <c r="X143" s="667"/>
      <c r="Y143" s="667"/>
      <c r="Z143" s="666" t="s">
        <v>338</v>
      </c>
      <c r="AA143" s="667"/>
      <c r="AB143" s="667"/>
      <c r="AC143" s="667"/>
      <c r="AD143" s="667"/>
      <c r="AE143" s="666" t="s">
        <v>339</v>
      </c>
      <c r="AF143" s="667"/>
      <c r="AG143" s="667"/>
      <c r="AH143" s="667"/>
      <c r="AI143" s="667"/>
      <c r="AJ143" s="666" t="s">
        <v>340</v>
      </c>
      <c r="AK143" s="667"/>
      <c r="AL143" s="667"/>
      <c r="AM143" s="667"/>
      <c r="AN143" s="667"/>
      <c r="AO143" s="666" t="s">
        <v>341</v>
      </c>
      <c r="AP143" s="667"/>
      <c r="AQ143" s="667"/>
      <c r="AR143" s="667"/>
      <c r="AS143" s="667"/>
      <c r="AT143" s="666" t="s">
        <v>342</v>
      </c>
      <c r="AU143" s="667"/>
      <c r="AV143" s="667"/>
      <c r="AW143" s="667"/>
      <c r="AX143" s="667"/>
    </row>
    <row r="144" spans="2:50">
      <c r="B144" s="659" t="s">
        <v>478</v>
      </c>
      <c r="C144" s="659" t="s">
        <v>479</v>
      </c>
      <c r="D144" s="659"/>
      <c r="E144" s="659" t="s">
        <v>480</v>
      </c>
      <c r="F144" s="659"/>
      <c r="G144" s="659"/>
      <c r="H144" s="675" t="s">
        <v>481</v>
      </c>
      <c r="I144" s="643" t="s">
        <v>482</v>
      </c>
      <c r="J144" s="643"/>
      <c r="K144" s="643"/>
      <c r="L144" s="644" t="s">
        <v>481</v>
      </c>
      <c r="M144" s="650" t="s">
        <v>483</v>
      </c>
      <c r="N144" s="659"/>
      <c r="O144" s="659" t="s">
        <v>484</v>
      </c>
      <c r="P144" s="656" t="s">
        <v>485</v>
      </c>
      <c r="Q144" s="657"/>
      <c r="R144" s="657"/>
      <c r="S144" s="658"/>
      <c r="T144" s="659" t="s">
        <v>481</v>
      </c>
      <c r="U144" s="656" t="s">
        <v>485</v>
      </c>
      <c r="V144" s="657"/>
      <c r="W144" s="657"/>
      <c r="X144" s="658"/>
      <c r="Y144" s="659" t="s">
        <v>481</v>
      </c>
      <c r="Z144" s="656" t="s">
        <v>485</v>
      </c>
      <c r="AA144" s="657"/>
      <c r="AB144" s="657"/>
      <c r="AC144" s="658"/>
      <c r="AD144" s="659" t="s">
        <v>481</v>
      </c>
      <c r="AE144" s="656" t="s">
        <v>485</v>
      </c>
      <c r="AF144" s="657"/>
      <c r="AG144" s="657"/>
      <c r="AH144" s="658"/>
      <c r="AI144" s="659" t="s">
        <v>481</v>
      </c>
      <c r="AJ144" s="656" t="s">
        <v>485</v>
      </c>
      <c r="AK144" s="657"/>
      <c r="AL144" s="657"/>
      <c r="AM144" s="658"/>
      <c r="AN144" s="659" t="s">
        <v>481</v>
      </c>
      <c r="AO144" s="656" t="s">
        <v>485</v>
      </c>
      <c r="AP144" s="657"/>
      <c r="AQ144" s="657"/>
      <c r="AR144" s="658"/>
      <c r="AS144" s="659" t="s">
        <v>481</v>
      </c>
      <c r="AT144" s="656" t="s">
        <v>485</v>
      </c>
      <c r="AU144" s="657"/>
      <c r="AV144" s="657"/>
      <c r="AW144" s="658"/>
      <c r="AX144" s="659" t="s">
        <v>481</v>
      </c>
    </row>
    <row r="145" spans="2:50">
      <c r="B145" s="659"/>
      <c r="C145" s="659"/>
      <c r="D145" s="659"/>
      <c r="E145" s="659" t="s">
        <v>486</v>
      </c>
      <c r="F145" s="659"/>
      <c r="G145" s="659"/>
      <c r="H145" s="676"/>
      <c r="I145" s="643" t="s">
        <v>486</v>
      </c>
      <c r="J145" s="643"/>
      <c r="K145" s="643"/>
      <c r="L145" s="645"/>
      <c r="M145" s="651"/>
      <c r="N145" s="659"/>
      <c r="O145" s="659"/>
      <c r="P145" s="656" t="s">
        <v>487</v>
      </c>
      <c r="Q145" s="657"/>
      <c r="R145" s="657"/>
      <c r="S145" s="658"/>
      <c r="T145" s="659"/>
      <c r="U145" s="656" t="s">
        <v>487</v>
      </c>
      <c r="V145" s="657"/>
      <c r="W145" s="657"/>
      <c r="X145" s="658"/>
      <c r="Y145" s="659"/>
      <c r="Z145" s="656" t="s">
        <v>487</v>
      </c>
      <c r="AA145" s="657"/>
      <c r="AB145" s="657"/>
      <c r="AC145" s="658"/>
      <c r="AD145" s="659"/>
      <c r="AE145" s="656" t="s">
        <v>487</v>
      </c>
      <c r="AF145" s="657"/>
      <c r="AG145" s="657"/>
      <c r="AH145" s="658"/>
      <c r="AI145" s="659"/>
      <c r="AJ145" s="656" t="s">
        <v>487</v>
      </c>
      <c r="AK145" s="657"/>
      <c r="AL145" s="657"/>
      <c r="AM145" s="658"/>
      <c r="AN145" s="659"/>
      <c r="AO145" s="656" t="s">
        <v>487</v>
      </c>
      <c r="AP145" s="657"/>
      <c r="AQ145" s="657"/>
      <c r="AR145" s="658"/>
      <c r="AS145" s="659"/>
      <c r="AT145" s="656" t="s">
        <v>487</v>
      </c>
      <c r="AU145" s="657"/>
      <c r="AV145" s="657"/>
      <c r="AW145" s="658"/>
      <c r="AX145" s="659"/>
    </row>
    <row r="146" spans="2:50">
      <c r="B146" s="659"/>
      <c r="C146" s="659"/>
      <c r="D146" s="659"/>
      <c r="E146" s="305" t="s">
        <v>488</v>
      </c>
      <c r="F146" s="305" t="s">
        <v>489</v>
      </c>
      <c r="G146" s="305" t="s">
        <v>490</v>
      </c>
      <c r="H146" s="677"/>
      <c r="I146" s="306" t="s">
        <v>488</v>
      </c>
      <c r="J146" s="306" t="s">
        <v>489</v>
      </c>
      <c r="K146" s="306" t="s">
        <v>490</v>
      </c>
      <c r="L146" s="646"/>
      <c r="M146" s="652"/>
      <c r="N146" s="659"/>
      <c r="O146" s="659"/>
      <c r="P146" s="305" t="s">
        <v>488</v>
      </c>
      <c r="Q146" s="305" t="s">
        <v>489</v>
      </c>
      <c r="R146" s="305" t="s">
        <v>490</v>
      </c>
      <c r="S146" s="305" t="s">
        <v>483</v>
      </c>
      <c r="T146" s="659"/>
      <c r="U146" s="305" t="s">
        <v>488</v>
      </c>
      <c r="V146" s="305" t="s">
        <v>489</v>
      </c>
      <c r="W146" s="305" t="s">
        <v>490</v>
      </c>
      <c r="X146" s="305" t="s">
        <v>483</v>
      </c>
      <c r="Y146" s="659"/>
      <c r="Z146" s="305" t="s">
        <v>488</v>
      </c>
      <c r="AA146" s="305" t="s">
        <v>489</v>
      </c>
      <c r="AB146" s="305" t="s">
        <v>490</v>
      </c>
      <c r="AC146" s="305" t="s">
        <v>483</v>
      </c>
      <c r="AD146" s="659"/>
      <c r="AE146" s="305" t="s">
        <v>488</v>
      </c>
      <c r="AF146" s="305" t="s">
        <v>489</v>
      </c>
      <c r="AG146" s="305" t="s">
        <v>490</v>
      </c>
      <c r="AH146" s="305" t="s">
        <v>483</v>
      </c>
      <c r="AI146" s="659"/>
      <c r="AJ146" s="305" t="s">
        <v>488</v>
      </c>
      <c r="AK146" s="305" t="s">
        <v>489</v>
      </c>
      <c r="AL146" s="305" t="s">
        <v>490</v>
      </c>
      <c r="AM146" s="305" t="s">
        <v>483</v>
      </c>
      <c r="AN146" s="659"/>
      <c r="AO146" s="305" t="s">
        <v>488</v>
      </c>
      <c r="AP146" s="305" t="s">
        <v>489</v>
      </c>
      <c r="AQ146" s="305" t="s">
        <v>490</v>
      </c>
      <c r="AR146" s="305" t="s">
        <v>483</v>
      </c>
      <c r="AS146" s="659"/>
      <c r="AT146" s="305" t="s">
        <v>488</v>
      </c>
      <c r="AU146" s="305" t="s">
        <v>489</v>
      </c>
      <c r="AV146" s="305" t="s">
        <v>490</v>
      </c>
      <c r="AW146" s="305" t="s">
        <v>483</v>
      </c>
      <c r="AX146" s="659"/>
    </row>
    <row r="147" spans="2:50">
      <c r="B147" s="659" t="s">
        <v>491</v>
      </c>
      <c r="C147" s="304">
        <v>1</v>
      </c>
      <c r="D147" s="227"/>
      <c r="E147" s="182"/>
      <c r="F147" s="510"/>
      <c r="G147" s="511"/>
      <c r="H147" s="708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40" t="str">
        <f>IFERROR(AVERAGE(K147:K176),"-")</f>
        <v>-</v>
      </c>
      <c r="M147" s="201" t="e">
        <f>RANK(K147, K$147:$K$176)</f>
        <v>#DIV/0!</v>
      </c>
      <c r="N147" s="659"/>
      <c r="O147" s="659"/>
      <c r="P147" s="182"/>
      <c r="Q147" s="182"/>
      <c r="R147" s="182"/>
      <c r="S147" s="304" t="e">
        <f>RANK(R147, R$147:R$176)</f>
        <v>#N/A</v>
      </c>
      <c r="T147" s="681" t="e">
        <f>AVERAGE(R147:R176)</f>
        <v>#DIV/0!</v>
      </c>
      <c r="U147" s="182"/>
      <c r="V147" s="182"/>
      <c r="W147" s="182"/>
      <c r="X147" s="304" t="e">
        <f>RANK(W147, W$147:W$176)</f>
        <v>#N/A</v>
      </c>
      <c r="Y147" s="681" t="e">
        <f>AVERAGE(W147:W176)</f>
        <v>#DIV/0!</v>
      </c>
      <c r="Z147" s="182"/>
      <c r="AA147" s="182"/>
      <c r="AB147" s="182"/>
      <c r="AC147" s="304" t="e">
        <f>RANK(AB147, AB$147:AB$176)</f>
        <v>#N/A</v>
      </c>
      <c r="AD147" s="681" t="e">
        <f>AVERAGE(AB147:AB176)</f>
        <v>#DIV/0!</v>
      </c>
      <c r="AE147" s="182"/>
      <c r="AF147" s="182"/>
      <c r="AG147" s="182"/>
      <c r="AH147" s="304" t="e">
        <f>RANK(AG147, AG$147:AG$176)</f>
        <v>#N/A</v>
      </c>
      <c r="AI147" s="681" t="e">
        <f>AVERAGE(AG147:AG176)</f>
        <v>#DIV/0!</v>
      </c>
      <c r="AJ147" s="182"/>
      <c r="AK147" s="182"/>
      <c r="AL147" s="182"/>
      <c r="AM147" s="304" t="e">
        <f>RANK(AL147, AL$147:AL$176)</f>
        <v>#N/A</v>
      </c>
      <c r="AN147" s="681" t="e">
        <f>AVERAGE(AL147:AL176)</f>
        <v>#DIV/0!</v>
      </c>
      <c r="AO147" s="182"/>
      <c r="AP147" s="182"/>
      <c r="AQ147" s="182"/>
      <c r="AR147" s="304" t="e">
        <f>RANK(AQ147, AQ$147:AQ$176)</f>
        <v>#N/A</v>
      </c>
      <c r="AS147" s="681" t="e">
        <f>AVERAGE(AQ147:AQ176)</f>
        <v>#DIV/0!</v>
      </c>
      <c r="AT147" s="182"/>
      <c r="AU147" s="182"/>
      <c r="AV147" s="182"/>
      <c r="AW147" s="304" t="e">
        <f>RANK(AV147, AV$147:AV$176)</f>
        <v>#N/A</v>
      </c>
      <c r="AX147" s="681" t="e">
        <f>AVERAGE(AV147:AV176)</f>
        <v>#DIV/0!</v>
      </c>
    </row>
    <row r="148" spans="2:50">
      <c r="B148" s="667"/>
      <c r="C148" s="304">
        <v>2</v>
      </c>
      <c r="D148" s="227"/>
      <c r="E148" s="182"/>
      <c r="F148" s="510"/>
      <c r="G148" s="511"/>
      <c r="H148" s="709"/>
      <c r="I148" s="199" t="e">
        <f t="shared" ref="I148:I170" si="62">AVERAGE(P148,U148,Z148,AE148,AJ148,AO148,AT148)</f>
        <v>#DIV/0!</v>
      </c>
      <c r="J148" s="199" t="e">
        <f t="shared" ref="J148:J170" si="63">AVERAGE(Q148,V148,AA148,AF148,AK148,AP148,AU148)</f>
        <v>#DIV/0!</v>
      </c>
      <c r="K148" s="200" t="e">
        <f t="shared" ref="K148:K170" si="64">AVERAGE(R148,W148,AB148,AG148,AL148,AQ148,AV148)</f>
        <v>#DIV/0!</v>
      </c>
      <c r="L148" s="641"/>
      <c r="M148" s="201" t="e">
        <f>RANK(K148, K$147:$K$176)</f>
        <v>#DIV/0!</v>
      </c>
      <c r="N148" s="659"/>
      <c r="O148" s="659"/>
      <c r="P148" s="182"/>
      <c r="Q148" s="182"/>
      <c r="R148" s="182"/>
      <c r="S148" s="304" t="e">
        <f t="shared" ref="S148:S176" si="65">RANK(R148, R$147:R$176)</f>
        <v>#N/A</v>
      </c>
      <c r="T148" s="681"/>
      <c r="U148" s="182"/>
      <c r="V148" s="182"/>
      <c r="W148" s="182"/>
      <c r="X148" s="304" t="e">
        <f t="shared" ref="X148:X176" si="66">RANK(W148, W$147:W$176)</f>
        <v>#N/A</v>
      </c>
      <c r="Y148" s="681"/>
      <c r="Z148" s="182"/>
      <c r="AA148" s="182"/>
      <c r="AB148" s="182"/>
      <c r="AC148" s="304" t="e">
        <f t="shared" ref="AC148:AC176" si="67">RANK(AB148, AB$147:AB$176)</f>
        <v>#N/A</v>
      </c>
      <c r="AD148" s="681"/>
      <c r="AE148" s="182"/>
      <c r="AF148" s="182"/>
      <c r="AG148" s="182"/>
      <c r="AH148" s="304" t="e">
        <f t="shared" ref="AH148:AH176" si="68">RANK(AG148, AG$147:AG$176)</f>
        <v>#N/A</v>
      </c>
      <c r="AI148" s="681"/>
      <c r="AJ148" s="182"/>
      <c r="AK148" s="182"/>
      <c r="AL148" s="182"/>
      <c r="AM148" s="304" t="e">
        <f t="shared" ref="AM148:AM176" si="69">RANK(AL148, AL$147:AL$176)</f>
        <v>#N/A</v>
      </c>
      <c r="AN148" s="681"/>
      <c r="AO148" s="182"/>
      <c r="AP148" s="182"/>
      <c r="AQ148" s="182"/>
      <c r="AR148" s="304" t="e">
        <f t="shared" ref="AR148:AR176" si="70">RANK(AQ148, AQ$147:AQ$176)</f>
        <v>#N/A</v>
      </c>
      <c r="AS148" s="681"/>
      <c r="AT148" s="182"/>
      <c r="AU148" s="182"/>
      <c r="AV148" s="182"/>
      <c r="AW148" s="304" t="e">
        <f t="shared" ref="AW148:AW176" si="71">RANK(AV148, AV$147:AV$176)</f>
        <v>#N/A</v>
      </c>
      <c r="AX148" s="681"/>
    </row>
    <row r="149" spans="2:50">
      <c r="B149" s="667"/>
      <c r="C149" s="304">
        <v>3</v>
      </c>
      <c r="D149" s="227"/>
      <c r="E149" s="182"/>
      <c r="F149" s="510"/>
      <c r="G149" s="511"/>
      <c r="H149" s="709"/>
      <c r="I149" s="199" t="e">
        <f t="shared" si="62"/>
        <v>#DIV/0!</v>
      </c>
      <c r="J149" s="199" t="e">
        <f t="shared" si="63"/>
        <v>#DIV/0!</v>
      </c>
      <c r="K149" s="200" t="e">
        <f t="shared" si="64"/>
        <v>#DIV/0!</v>
      </c>
      <c r="L149" s="641"/>
      <c r="M149" s="201" t="e">
        <f>RANK(K149, K$147:$K$176)</f>
        <v>#DIV/0!</v>
      </c>
      <c r="N149" s="659"/>
      <c r="O149" s="659"/>
      <c r="P149" s="182"/>
      <c r="Q149" s="182"/>
      <c r="R149" s="182"/>
      <c r="S149" s="304" t="e">
        <f t="shared" si="65"/>
        <v>#N/A</v>
      </c>
      <c r="T149" s="681"/>
      <c r="U149" s="182"/>
      <c r="V149" s="182"/>
      <c r="W149" s="182"/>
      <c r="X149" s="304" t="e">
        <f t="shared" si="66"/>
        <v>#N/A</v>
      </c>
      <c r="Y149" s="681"/>
      <c r="Z149" s="182"/>
      <c r="AA149" s="182"/>
      <c r="AB149" s="182"/>
      <c r="AC149" s="304" t="e">
        <f t="shared" si="67"/>
        <v>#N/A</v>
      </c>
      <c r="AD149" s="681"/>
      <c r="AE149" s="182"/>
      <c r="AF149" s="182"/>
      <c r="AG149" s="182"/>
      <c r="AH149" s="304" t="e">
        <f t="shared" si="68"/>
        <v>#N/A</v>
      </c>
      <c r="AI149" s="681"/>
      <c r="AJ149" s="182"/>
      <c r="AK149" s="182"/>
      <c r="AL149" s="182"/>
      <c r="AM149" s="304" t="e">
        <f t="shared" si="69"/>
        <v>#N/A</v>
      </c>
      <c r="AN149" s="681"/>
      <c r="AO149" s="182"/>
      <c r="AP149" s="182"/>
      <c r="AQ149" s="182"/>
      <c r="AR149" s="304" t="e">
        <f t="shared" si="70"/>
        <v>#N/A</v>
      </c>
      <c r="AS149" s="681"/>
      <c r="AT149" s="182"/>
      <c r="AU149" s="182"/>
      <c r="AV149" s="182"/>
      <c r="AW149" s="304" t="e">
        <f t="shared" si="71"/>
        <v>#N/A</v>
      </c>
      <c r="AX149" s="681"/>
    </row>
    <row r="150" spans="2:50">
      <c r="B150" s="667"/>
      <c r="C150" s="304">
        <v>4</v>
      </c>
      <c r="D150" s="227"/>
      <c r="E150" s="182"/>
      <c r="F150" s="510"/>
      <c r="G150" s="511"/>
      <c r="H150" s="709"/>
      <c r="I150" s="199" t="e">
        <f t="shared" si="62"/>
        <v>#DIV/0!</v>
      </c>
      <c r="J150" s="199" t="e">
        <f t="shared" si="63"/>
        <v>#DIV/0!</v>
      </c>
      <c r="K150" s="200" t="e">
        <f t="shared" si="64"/>
        <v>#DIV/0!</v>
      </c>
      <c r="L150" s="641"/>
      <c r="M150" s="201" t="e">
        <f>RANK(K150, K$147:$K$176)</f>
        <v>#DIV/0!</v>
      </c>
      <c r="N150" s="659"/>
      <c r="O150" s="659"/>
      <c r="P150" s="182"/>
      <c r="Q150" s="182"/>
      <c r="R150" s="182"/>
      <c r="S150" s="304" t="e">
        <f t="shared" si="65"/>
        <v>#N/A</v>
      </c>
      <c r="T150" s="681"/>
      <c r="U150" s="182"/>
      <c r="V150" s="182"/>
      <c r="W150" s="182"/>
      <c r="X150" s="304" t="e">
        <f t="shared" si="66"/>
        <v>#N/A</v>
      </c>
      <c r="Y150" s="681"/>
      <c r="Z150" s="182"/>
      <c r="AA150" s="182"/>
      <c r="AB150" s="182"/>
      <c r="AC150" s="304" t="e">
        <f t="shared" si="67"/>
        <v>#N/A</v>
      </c>
      <c r="AD150" s="681"/>
      <c r="AE150" s="182"/>
      <c r="AF150" s="182"/>
      <c r="AG150" s="182"/>
      <c r="AH150" s="304" t="e">
        <f t="shared" si="68"/>
        <v>#N/A</v>
      </c>
      <c r="AI150" s="681"/>
      <c r="AJ150" s="182"/>
      <c r="AK150" s="182"/>
      <c r="AL150" s="182"/>
      <c r="AM150" s="304" t="e">
        <f t="shared" si="69"/>
        <v>#N/A</v>
      </c>
      <c r="AN150" s="681"/>
      <c r="AO150" s="182"/>
      <c r="AP150" s="182"/>
      <c r="AQ150" s="182"/>
      <c r="AR150" s="304" t="e">
        <f t="shared" si="70"/>
        <v>#N/A</v>
      </c>
      <c r="AS150" s="681"/>
      <c r="AT150" s="182"/>
      <c r="AU150" s="182"/>
      <c r="AV150" s="182"/>
      <c r="AW150" s="304" t="e">
        <f t="shared" si="71"/>
        <v>#N/A</v>
      </c>
      <c r="AX150" s="681"/>
    </row>
    <row r="151" spans="2:50">
      <c r="B151" s="667"/>
      <c r="C151" s="304">
        <v>5</v>
      </c>
      <c r="D151" s="227"/>
      <c r="E151" s="182"/>
      <c r="F151" s="510"/>
      <c r="G151" s="511"/>
      <c r="H151" s="709"/>
      <c r="I151" s="199" t="e">
        <f t="shared" si="62"/>
        <v>#DIV/0!</v>
      </c>
      <c r="J151" s="199" t="e">
        <f t="shared" si="63"/>
        <v>#DIV/0!</v>
      </c>
      <c r="K151" s="200" t="e">
        <f t="shared" si="64"/>
        <v>#DIV/0!</v>
      </c>
      <c r="L151" s="641"/>
      <c r="M151" s="201" t="e">
        <f>RANK(K151, K$147:$K$176)</f>
        <v>#DIV/0!</v>
      </c>
      <c r="N151" s="659"/>
      <c r="O151" s="659"/>
      <c r="P151" s="182"/>
      <c r="Q151" s="182"/>
      <c r="R151" s="182"/>
      <c r="S151" s="304" t="e">
        <f t="shared" si="65"/>
        <v>#N/A</v>
      </c>
      <c r="T151" s="681"/>
      <c r="U151" s="182"/>
      <c r="V151" s="182"/>
      <c r="W151" s="182"/>
      <c r="X151" s="304" t="e">
        <f t="shared" si="66"/>
        <v>#N/A</v>
      </c>
      <c r="Y151" s="681"/>
      <c r="Z151" s="182"/>
      <c r="AA151" s="182"/>
      <c r="AB151" s="182"/>
      <c r="AC151" s="304" t="e">
        <f t="shared" si="67"/>
        <v>#N/A</v>
      </c>
      <c r="AD151" s="681"/>
      <c r="AE151" s="182"/>
      <c r="AF151" s="182"/>
      <c r="AG151" s="182"/>
      <c r="AH151" s="304" t="e">
        <f t="shared" si="68"/>
        <v>#N/A</v>
      </c>
      <c r="AI151" s="681"/>
      <c r="AJ151" s="182"/>
      <c r="AK151" s="182"/>
      <c r="AL151" s="182"/>
      <c r="AM151" s="304" t="e">
        <f t="shared" si="69"/>
        <v>#N/A</v>
      </c>
      <c r="AN151" s="681"/>
      <c r="AO151" s="182"/>
      <c r="AP151" s="182"/>
      <c r="AQ151" s="182"/>
      <c r="AR151" s="304" t="e">
        <f t="shared" si="70"/>
        <v>#N/A</v>
      </c>
      <c r="AS151" s="681"/>
      <c r="AT151" s="182"/>
      <c r="AU151" s="182"/>
      <c r="AV151" s="182"/>
      <c r="AW151" s="304" t="e">
        <f t="shared" si="71"/>
        <v>#N/A</v>
      </c>
      <c r="AX151" s="681"/>
    </row>
    <row r="152" spans="2:50">
      <c r="B152" s="667"/>
      <c r="C152" s="304">
        <v>6</v>
      </c>
      <c r="D152" s="227"/>
      <c r="E152" s="182"/>
      <c r="F152" s="510"/>
      <c r="G152" s="511"/>
      <c r="H152" s="709"/>
      <c r="I152" s="199" t="e">
        <f t="shared" si="62"/>
        <v>#DIV/0!</v>
      </c>
      <c r="J152" s="199" t="e">
        <f t="shared" si="63"/>
        <v>#DIV/0!</v>
      </c>
      <c r="K152" s="200" t="e">
        <f t="shared" si="64"/>
        <v>#DIV/0!</v>
      </c>
      <c r="L152" s="641"/>
      <c r="M152" s="201" t="e">
        <f>RANK(K152, K$147:$K$176)</f>
        <v>#DIV/0!</v>
      </c>
      <c r="N152" s="659"/>
      <c r="O152" s="659"/>
      <c r="P152" s="182"/>
      <c r="Q152" s="182"/>
      <c r="R152" s="182"/>
      <c r="S152" s="304" t="e">
        <f t="shared" si="65"/>
        <v>#N/A</v>
      </c>
      <c r="T152" s="681"/>
      <c r="U152" s="182"/>
      <c r="V152" s="182"/>
      <c r="W152" s="182"/>
      <c r="X152" s="304" t="e">
        <f t="shared" si="66"/>
        <v>#N/A</v>
      </c>
      <c r="Y152" s="681"/>
      <c r="Z152" s="182"/>
      <c r="AA152" s="182"/>
      <c r="AB152" s="182"/>
      <c r="AC152" s="304" t="e">
        <f t="shared" si="67"/>
        <v>#N/A</v>
      </c>
      <c r="AD152" s="681"/>
      <c r="AE152" s="182"/>
      <c r="AF152" s="182"/>
      <c r="AG152" s="182"/>
      <c r="AH152" s="304" t="e">
        <f t="shared" si="68"/>
        <v>#N/A</v>
      </c>
      <c r="AI152" s="681"/>
      <c r="AJ152" s="182"/>
      <c r="AK152" s="182"/>
      <c r="AL152" s="182"/>
      <c r="AM152" s="304" t="e">
        <f t="shared" si="69"/>
        <v>#N/A</v>
      </c>
      <c r="AN152" s="681"/>
      <c r="AO152" s="182"/>
      <c r="AP152" s="182"/>
      <c r="AQ152" s="182"/>
      <c r="AR152" s="304" t="e">
        <f t="shared" si="70"/>
        <v>#N/A</v>
      </c>
      <c r="AS152" s="681"/>
      <c r="AT152" s="182"/>
      <c r="AU152" s="182"/>
      <c r="AV152" s="182"/>
      <c r="AW152" s="304" t="e">
        <f t="shared" si="71"/>
        <v>#N/A</v>
      </c>
      <c r="AX152" s="681"/>
    </row>
    <row r="153" spans="2:50">
      <c r="B153" s="667"/>
      <c r="C153" s="304">
        <v>7</v>
      </c>
      <c r="D153" s="227"/>
      <c r="E153" s="182"/>
      <c r="F153" s="510"/>
      <c r="G153" s="511"/>
      <c r="H153" s="709"/>
      <c r="I153" s="199" t="e">
        <f t="shared" si="62"/>
        <v>#DIV/0!</v>
      </c>
      <c r="J153" s="199" t="e">
        <f t="shared" si="63"/>
        <v>#DIV/0!</v>
      </c>
      <c r="K153" s="200" t="e">
        <f t="shared" si="64"/>
        <v>#DIV/0!</v>
      </c>
      <c r="L153" s="641"/>
      <c r="M153" s="201" t="e">
        <f>RANK(K153, K$147:$K$176)</f>
        <v>#DIV/0!</v>
      </c>
      <c r="N153" s="659"/>
      <c r="O153" s="659"/>
      <c r="P153" s="182"/>
      <c r="Q153" s="182"/>
      <c r="R153" s="182"/>
      <c r="S153" s="304" t="e">
        <f t="shared" si="65"/>
        <v>#N/A</v>
      </c>
      <c r="T153" s="681"/>
      <c r="U153" s="182"/>
      <c r="V153" s="182"/>
      <c r="W153" s="182"/>
      <c r="X153" s="304" t="e">
        <f t="shared" si="66"/>
        <v>#N/A</v>
      </c>
      <c r="Y153" s="681"/>
      <c r="Z153" s="182"/>
      <c r="AA153" s="182"/>
      <c r="AB153" s="182"/>
      <c r="AC153" s="304" t="e">
        <f t="shared" si="67"/>
        <v>#N/A</v>
      </c>
      <c r="AD153" s="681"/>
      <c r="AE153" s="182"/>
      <c r="AF153" s="182"/>
      <c r="AG153" s="182"/>
      <c r="AH153" s="304" t="e">
        <f t="shared" si="68"/>
        <v>#N/A</v>
      </c>
      <c r="AI153" s="681"/>
      <c r="AJ153" s="182"/>
      <c r="AK153" s="182"/>
      <c r="AL153" s="182"/>
      <c r="AM153" s="304" t="e">
        <f t="shared" si="69"/>
        <v>#N/A</v>
      </c>
      <c r="AN153" s="681"/>
      <c r="AO153" s="182"/>
      <c r="AP153" s="182"/>
      <c r="AQ153" s="182"/>
      <c r="AR153" s="304" t="e">
        <f t="shared" si="70"/>
        <v>#N/A</v>
      </c>
      <c r="AS153" s="681"/>
      <c r="AT153" s="182"/>
      <c r="AU153" s="182"/>
      <c r="AV153" s="182"/>
      <c r="AW153" s="304" t="e">
        <f t="shared" si="71"/>
        <v>#N/A</v>
      </c>
      <c r="AX153" s="681"/>
    </row>
    <row r="154" spans="2:50">
      <c r="B154" s="667"/>
      <c r="C154" s="304">
        <v>8</v>
      </c>
      <c r="D154" s="227"/>
      <c r="E154" s="182"/>
      <c r="F154" s="510"/>
      <c r="G154" s="511"/>
      <c r="H154" s="709"/>
      <c r="I154" s="199" t="e">
        <f t="shared" si="62"/>
        <v>#DIV/0!</v>
      </c>
      <c r="J154" s="199" t="e">
        <f t="shared" si="63"/>
        <v>#DIV/0!</v>
      </c>
      <c r="K154" s="200" t="e">
        <f t="shared" si="64"/>
        <v>#DIV/0!</v>
      </c>
      <c r="L154" s="641"/>
      <c r="M154" s="201" t="e">
        <f>RANK(K154, K$147:$K$176)</f>
        <v>#DIV/0!</v>
      </c>
      <c r="N154" s="659"/>
      <c r="O154" s="659"/>
      <c r="P154" s="182"/>
      <c r="Q154" s="182"/>
      <c r="R154" s="182"/>
      <c r="S154" s="304" t="e">
        <f t="shared" si="65"/>
        <v>#N/A</v>
      </c>
      <c r="T154" s="681"/>
      <c r="U154" s="182"/>
      <c r="V154" s="182"/>
      <c r="W154" s="182"/>
      <c r="X154" s="304" t="e">
        <f t="shared" si="66"/>
        <v>#N/A</v>
      </c>
      <c r="Y154" s="681"/>
      <c r="Z154" s="182"/>
      <c r="AA154" s="182"/>
      <c r="AB154" s="182"/>
      <c r="AC154" s="304" t="e">
        <f t="shared" si="67"/>
        <v>#N/A</v>
      </c>
      <c r="AD154" s="681"/>
      <c r="AE154" s="182"/>
      <c r="AF154" s="182"/>
      <c r="AG154" s="182"/>
      <c r="AH154" s="304" t="e">
        <f t="shared" si="68"/>
        <v>#N/A</v>
      </c>
      <c r="AI154" s="681"/>
      <c r="AJ154" s="182"/>
      <c r="AK154" s="182"/>
      <c r="AL154" s="182"/>
      <c r="AM154" s="304" t="e">
        <f t="shared" si="69"/>
        <v>#N/A</v>
      </c>
      <c r="AN154" s="681"/>
      <c r="AO154" s="182"/>
      <c r="AP154" s="182"/>
      <c r="AQ154" s="182"/>
      <c r="AR154" s="304" t="e">
        <f t="shared" si="70"/>
        <v>#N/A</v>
      </c>
      <c r="AS154" s="681"/>
      <c r="AT154" s="182"/>
      <c r="AU154" s="182"/>
      <c r="AV154" s="182"/>
      <c r="AW154" s="304" t="e">
        <f t="shared" si="71"/>
        <v>#N/A</v>
      </c>
      <c r="AX154" s="681"/>
    </row>
    <row r="155" spans="2:50">
      <c r="B155" s="667"/>
      <c r="C155" s="304">
        <v>9</v>
      </c>
      <c r="D155" s="227"/>
      <c r="E155" s="182"/>
      <c r="F155" s="510"/>
      <c r="G155" s="511"/>
      <c r="H155" s="709"/>
      <c r="I155" s="199" t="e">
        <f t="shared" si="62"/>
        <v>#DIV/0!</v>
      </c>
      <c r="J155" s="199" t="e">
        <f t="shared" si="63"/>
        <v>#DIV/0!</v>
      </c>
      <c r="K155" s="200" t="e">
        <f t="shared" si="64"/>
        <v>#DIV/0!</v>
      </c>
      <c r="L155" s="641"/>
      <c r="M155" s="201" t="e">
        <f>RANK(K155, K$147:$K$176)</f>
        <v>#DIV/0!</v>
      </c>
      <c r="N155" s="659"/>
      <c r="O155" s="659"/>
      <c r="P155" s="182"/>
      <c r="Q155" s="182"/>
      <c r="R155" s="182"/>
      <c r="S155" s="304" t="e">
        <f t="shared" si="65"/>
        <v>#N/A</v>
      </c>
      <c r="T155" s="681"/>
      <c r="U155" s="182"/>
      <c r="V155" s="182"/>
      <c r="W155" s="182"/>
      <c r="X155" s="304" t="e">
        <f t="shared" si="66"/>
        <v>#N/A</v>
      </c>
      <c r="Y155" s="681"/>
      <c r="Z155" s="182"/>
      <c r="AA155" s="182"/>
      <c r="AB155" s="182"/>
      <c r="AC155" s="304" t="e">
        <f t="shared" si="67"/>
        <v>#N/A</v>
      </c>
      <c r="AD155" s="681"/>
      <c r="AE155" s="182"/>
      <c r="AF155" s="182"/>
      <c r="AG155" s="182"/>
      <c r="AH155" s="304" t="e">
        <f t="shared" si="68"/>
        <v>#N/A</v>
      </c>
      <c r="AI155" s="681"/>
      <c r="AJ155" s="182"/>
      <c r="AK155" s="182"/>
      <c r="AL155" s="182"/>
      <c r="AM155" s="304" t="e">
        <f t="shared" si="69"/>
        <v>#N/A</v>
      </c>
      <c r="AN155" s="681"/>
      <c r="AO155" s="182"/>
      <c r="AP155" s="182"/>
      <c r="AQ155" s="182"/>
      <c r="AR155" s="304" t="e">
        <f t="shared" si="70"/>
        <v>#N/A</v>
      </c>
      <c r="AS155" s="681"/>
      <c r="AT155" s="182"/>
      <c r="AU155" s="182"/>
      <c r="AV155" s="182"/>
      <c r="AW155" s="304" t="e">
        <f t="shared" si="71"/>
        <v>#N/A</v>
      </c>
      <c r="AX155" s="681"/>
    </row>
    <row r="156" spans="2:50">
      <c r="B156" s="667"/>
      <c r="C156" s="304">
        <v>10</v>
      </c>
      <c r="D156" s="227"/>
      <c r="E156" s="182"/>
      <c r="F156" s="510"/>
      <c r="G156" s="511"/>
      <c r="H156" s="709"/>
      <c r="I156" s="199" t="e">
        <f t="shared" si="62"/>
        <v>#DIV/0!</v>
      </c>
      <c r="J156" s="199" t="e">
        <f t="shared" si="63"/>
        <v>#DIV/0!</v>
      </c>
      <c r="K156" s="200" t="e">
        <f t="shared" si="64"/>
        <v>#DIV/0!</v>
      </c>
      <c r="L156" s="641"/>
      <c r="M156" s="201" t="e">
        <f>RANK(K156, K$147:$K$176)</f>
        <v>#DIV/0!</v>
      </c>
      <c r="N156" s="659"/>
      <c r="O156" s="659"/>
      <c r="P156" s="182"/>
      <c r="Q156" s="182"/>
      <c r="R156" s="182"/>
      <c r="S156" s="304" t="e">
        <f t="shared" si="65"/>
        <v>#N/A</v>
      </c>
      <c r="T156" s="681"/>
      <c r="U156" s="182"/>
      <c r="V156" s="182"/>
      <c r="W156" s="182"/>
      <c r="X156" s="304" t="e">
        <f t="shared" si="66"/>
        <v>#N/A</v>
      </c>
      <c r="Y156" s="681"/>
      <c r="Z156" s="182"/>
      <c r="AA156" s="182"/>
      <c r="AB156" s="182"/>
      <c r="AC156" s="304" t="e">
        <f t="shared" si="67"/>
        <v>#N/A</v>
      </c>
      <c r="AD156" s="681"/>
      <c r="AE156" s="182"/>
      <c r="AF156" s="182"/>
      <c r="AG156" s="182"/>
      <c r="AH156" s="304" t="e">
        <f t="shared" si="68"/>
        <v>#N/A</v>
      </c>
      <c r="AI156" s="681"/>
      <c r="AJ156" s="182"/>
      <c r="AK156" s="182"/>
      <c r="AL156" s="182"/>
      <c r="AM156" s="304" t="e">
        <f t="shared" si="69"/>
        <v>#N/A</v>
      </c>
      <c r="AN156" s="681"/>
      <c r="AO156" s="182"/>
      <c r="AP156" s="182"/>
      <c r="AQ156" s="182"/>
      <c r="AR156" s="304" t="e">
        <f t="shared" si="70"/>
        <v>#N/A</v>
      </c>
      <c r="AS156" s="681"/>
      <c r="AT156" s="182"/>
      <c r="AU156" s="182"/>
      <c r="AV156" s="182"/>
      <c r="AW156" s="304" t="e">
        <f t="shared" si="71"/>
        <v>#N/A</v>
      </c>
      <c r="AX156" s="681"/>
    </row>
    <row r="157" spans="2:50">
      <c r="B157" s="667"/>
      <c r="C157" s="304">
        <v>11</v>
      </c>
      <c r="D157" s="227"/>
      <c r="E157" s="182"/>
      <c r="F157" s="510"/>
      <c r="G157" s="511"/>
      <c r="H157" s="709"/>
      <c r="I157" s="199" t="e">
        <f t="shared" si="62"/>
        <v>#DIV/0!</v>
      </c>
      <c r="J157" s="199" t="e">
        <f t="shared" si="63"/>
        <v>#DIV/0!</v>
      </c>
      <c r="K157" s="200" t="e">
        <f t="shared" si="64"/>
        <v>#DIV/0!</v>
      </c>
      <c r="L157" s="641"/>
      <c r="M157" s="201" t="e">
        <f>RANK(K157, K$147:$K$176)</f>
        <v>#DIV/0!</v>
      </c>
      <c r="N157" s="659"/>
      <c r="O157" s="659"/>
      <c r="P157" s="182"/>
      <c r="Q157" s="182"/>
      <c r="R157" s="182"/>
      <c r="S157" s="304" t="e">
        <f t="shared" si="65"/>
        <v>#N/A</v>
      </c>
      <c r="T157" s="681"/>
      <c r="U157" s="182"/>
      <c r="V157" s="182"/>
      <c r="W157" s="182"/>
      <c r="X157" s="304" t="e">
        <f t="shared" si="66"/>
        <v>#N/A</v>
      </c>
      <c r="Y157" s="681"/>
      <c r="Z157" s="182"/>
      <c r="AA157" s="182"/>
      <c r="AB157" s="182"/>
      <c r="AC157" s="304" t="e">
        <f t="shared" si="67"/>
        <v>#N/A</v>
      </c>
      <c r="AD157" s="681"/>
      <c r="AE157" s="182"/>
      <c r="AF157" s="182"/>
      <c r="AG157" s="182"/>
      <c r="AH157" s="304" t="e">
        <f t="shared" si="68"/>
        <v>#N/A</v>
      </c>
      <c r="AI157" s="681"/>
      <c r="AJ157" s="182"/>
      <c r="AK157" s="182"/>
      <c r="AL157" s="182"/>
      <c r="AM157" s="304" t="e">
        <f t="shared" si="69"/>
        <v>#N/A</v>
      </c>
      <c r="AN157" s="681"/>
      <c r="AO157" s="182"/>
      <c r="AP157" s="182"/>
      <c r="AQ157" s="182"/>
      <c r="AR157" s="304" t="e">
        <f t="shared" si="70"/>
        <v>#N/A</v>
      </c>
      <c r="AS157" s="681"/>
      <c r="AT157" s="182"/>
      <c r="AU157" s="182"/>
      <c r="AV157" s="182"/>
      <c r="AW157" s="304" t="e">
        <f t="shared" si="71"/>
        <v>#N/A</v>
      </c>
      <c r="AX157" s="681"/>
    </row>
    <row r="158" spans="2:50">
      <c r="B158" s="667"/>
      <c r="C158" s="304">
        <v>12</v>
      </c>
      <c r="D158" s="227"/>
      <c r="E158" s="182"/>
      <c r="F158" s="510"/>
      <c r="G158" s="511"/>
      <c r="H158" s="709"/>
      <c r="I158" s="199" t="e">
        <f t="shared" si="62"/>
        <v>#DIV/0!</v>
      </c>
      <c r="J158" s="199" t="e">
        <f t="shared" si="63"/>
        <v>#DIV/0!</v>
      </c>
      <c r="K158" s="200" t="e">
        <f t="shared" si="64"/>
        <v>#DIV/0!</v>
      </c>
      <c r="L158" s="641"/>
      <c r="M158" s="201" t="e">
        <f>RANK(K158, K$147:$K$176)</f>
        <v>#DIV/0!</v>
      </c>
      <c r="N158" s="659"/>
      <c r="O158" s="659"/>
      <c r="P158" s="182"/>
      <c r="Q158" s="182"/>
      <c r="R158" s="182"/>
      <c r="S158" s="304" t="e">
        <f t="shared" si="65"/>
        <v>#N/A</v>
      </c>
      <c r="T158" s="681"/>
      <c r="U158" s="182"/>
      <c r="V158" s="182"/>
      <c r="W158" s="182"/>
      <c r="X158" s="304" t="e">
        <f t="shared" si="66"/>
        <v>#N/A</v>
      </c>
      <c r="Y158" s="681"/>
      <c r="Z158" s="182"/>
      <c r="AA158" s="182"/>
      <c r="AB158" s="182"/>
      <c r="AC158" s="304" t="e">
        <f t="shared" si="67"/>
        <v>#N/A</v>
      </c>
      <c r="AD158" s="681"/>
      <c r="AE158" s="182"/>
      <c r="AF158" s="182"/>
      <c r="AG158" s="182"/>
      <c r="AH158" s="304" t="e">
        <f t="shared" si="68"/>
        <v>#N/A</v>
      </c>
      <c r="AI158" s="681"/>
      <c r="AJ158" s="182"/>
      <c r="AK158" s="182"/>
      <c r="AL158" s="182"/>
      <c r="AM158" s="304" t="e">
        <f t="shared" si="69"/>
        <v>#N/A</v>
      </c>
      <c r="AN158" s="681"/>
      <c r="AO158" s="182"/>
      <c r="AP158" s="182"/>
      <c r="AQ158" s="182"/>
      <c r="AR158" s="304" t="e">
        <f t="shared" si="70"/>
        <v>#N/A</v>
      </c>
      <c r="AS158" s="681"/>
      <c r="AT158" s="182"/>
      <c r="AU158" s="182"/>
      <c r="AV158" s="182"/>
      <c r="AW158" s="304" t="e">
        <f t="shared" si="71"/>
        <v>#N/A</v>
      </c>
      <c r="AX158" s="681"/>
    </row>
    <row r="159" spans="2:50">
      <c r="B159" s="667"/>
      <c r="C159" s="304">
        <v>13</v>
      </c>
      <c r="D159" s="227"/>
      <c r="E159" s="182"/>
      <c r="F159" s="510"/>
      <c r="G159" s="511"/>
      <c r="H159" s="709"/>
      <c r="I159" s="199" t="e">
        <f t="shared" si="62"/>
        <v>#DIV/0!</v>
      </c>
      <c r="J159" s="199" t="e">
        <f t="shared" si="63"/>
        <v>#DIV/0!</v>
      </c>
      <c r="K159" s="200" t="e">
        <f t="shared" si="64"/>
        <v>#DIV/0!</v>
      </c>
      <c r="L159" s="641"/>
      <c r="M159" s="201" t="e">
        <f>RANK(K159, K$147:$K$176)</f>
        <v>#DIV/0!</v>
      </c>
      <c r="N159" s="659"/>
      <c r="O159" s="659"/>
      <c r="P159" s="182"/>
      <c r="Q159" s="182"/>
      <c r="R159" s="182"/>
      <c r="S159" s="304" t="e">
        <f t="shared" si="65"/>
        <v>#N/A</v>
      </c>
      <c r="T159" s="681"/>
      <c r="U159" s="182"/>
      <c r="V159" s="182"/>
      <c r="W159" s="182"/>
      <c r="X159" s="304" t="e">
        <f t="shared" si="66"/>
        <v>#N/A</v>
      </c>
      <c r="Y159" s="681"/>
      <c r="Z159" s="182"/>
      <c r="AA159" s="182"/>
      <c r="AB159" s="182"/>
      <c r="AC159" s="304" t="e">
        <f t="shared" si="67"/>
        <v>#N/A</v>
      </c>
      <c r="AD159" s="681"/>
      <c r="AE159" s="182"/>
      <c r="AF159" s="182"/>
      <c r="AG159" s="182"/>
      <c r="AH159" s="304" t="e">
        <f t="shared" si="68"/>
        <v>#N/A</v>
      </c>
      <c r="AI159" s="681"/>
      <c r="AJ159" s="182"/>
      <c r="AK159" s="182"/>
      <c r="AL159" s="182"/>
      <c r="AM159" s="304" t="e">
        <f t="shared" si="69"/>
        <v>#N/A</v>
      </c>
      <c r="AN159" s="681"/>
      <c r="AO159" s="182"/>
      <c r="AP159" s="182"/>
      <c r="AQ159" s="182"/>
      <c r="AR159" s="304" t="e">
        <f t="shared" si="70"/>
        <v>#N/A</v>
      </c>
      <c r="AS159" s="681"/>
      <c r="AT159" s="182"/>
      <c r="AU159" s="182"/>
      <c r="AV159" s="182"/>
      <c r="AW159" s="304" t="e">
        <f t="shared" si="71"/>
        <v>#N/A</v>
      </c>
      <c r="AX159" s="681"/>
    </row>
    <row r="160" spans="2:50">
      <c r="B160" s="667"/>
      <c r="C160" s="304">
        <v>14</v>
      </c>
      <c r="D160" s="227"/>
      <c r="E160" s="182"/>
      <c r="F160" s="510"/>
      <c r="G160" s="511"/>
      <c r="H160" s="709"/>
      <c r="I160" s="199" t="e">
        <f t="shared" si="62"/>
        <v>#DIV/0!</v>
      </c>
      <c r="J160" s="199" t="e">
        <f t="shared" si="63"/>
        <v>#DIV/0!</v>
      </c>
      <c r="K160" s="200" t="e">
        <f t="shared" si="64"/>
        <v>#DIV/0!</v>
      </c>
      <c r="L160" s="641"/>
      <c r="M160" s="201" t="e">
        <f>RANK(K160, K$147:$K$176)</f>
        <v>#DIV/0!</v>
      </c>
      <c r="N160" s="659"/>
      <c r="O160" s="659"/>
      <c r="P160" s="182"/>
      <c r="Q160" s="182"/>
      <c r="R160" s="182"/>
      <c r="S160" s="304" t="e">
        <f t="shared" si="65"/>
        <v>#N/A</v>
      </c>
      <c r="T160" s="681"/>
      <c r="U160" s="182"/>
      <c r="V160" s="182"/>
      <c r="W160" s="182"/>
      <c r="X160" s="304" t="e">
        <f t="shared" si="66"/>
        <v>#N/A</v>
      </c>
      <c r="Y160" s="681"/>
      <c r="Z160" s="182"/>
      <c r="AA160" s="182"/>
      <c r="AB160" s="182"/>
      <c r="AC160" s="304" t="e">
        <f t="shared" si="67"/>
        <v>#N/A</v>
      </c>
      <c r="AD160" s="681"/>
      <c r="AE160" s="182"/>
      <c r="AF160" s="182"/>
      <c r="AG160" s="182"/>
      <c r="AH160" s="304" t="e">
        <f t="shared" si="68"/>
        <v>#N/A</v>
      </c>
      <c r="AI160" s="681"/>
      <c r="AJ160" s="182"/>
      <c r="AK160" s="182"/>
      <c r="AL160" s="182"/>
      <c r="AM160" s="304" t="e">
        <f t="shared" si="69"/>
        <v>#N/A</v>
      </c>
      <c r="AN160" s="681"/>
      <c r="AO160" s="182"/>
      <c r="AP160" s="182"/>
      <c r="AQ160" s="182"/>
      <c r="AR160" s="304" t="e">
        <f t="shared" si="70"/>
        <v>#N/A</v>
      </c>
      <c r="AS160" s="681"/>
      <c r="AT160" s="182"/>
      <c r="AU160" s="182"/>
      <c r="AV160" s="182"/>
      <c r="AW160" s="304" t="e">
        <f t="shared" si="71"/>
        <v>#N/A</v>
      </c>
      <c r="AX160" s="681"/>
    </row>
    <row r="161" spans="2:50">
      <c r="B161" s="667"/>
      <c r="C161" s="304">
        <v>15</v>
      </c>
      <c r="D161" s="227"/>
      <c r="E161" s="182"/>
      <c r="F161" s="510"/>
      <c r="G161" s="511"/>
      <c r="H161" s="709"/>
      <c r="I161" s="199" t="e">
        <f t="shared" si="62"/>
        <v>#DIV/0!</v>
      </c>
      <c r="J161" s="199" t="e">
        <f t="shared" si="63"/>
        <v>#DIV/0!</v>
      </c>
      <c r="K161" s="200" t="e">
        <f t="shared" si="64"/>
        <v>#DIV/0!</v>
      </c>
      <c r="L161" s="641"/>
      <c r="M161" s="199" t="e">
        <f>RANK(K161, K$147:$K$176)</f>
        <v>#DIV/0!</v>
      </c>
      <c r="N161" s="659"/>
      <c r="O161" s="659"/>
      <c r="P161" s="182"/>
      <c r="Q161" s="182"/>
      <c r="R161" s="182"/>
      <c r="S161" s="304" t="e">
        <f t="shared" ref="S161:S175" si="72">RANK(R161, R$147:R$176)</f>
        <v>#N/A</v>
      </c>
      <c r="T161" s="681"/>
      <c r="U161" s="182"/>
      <c r="V161" s="182"/>
      <c r="W161" s="182"/>
      <c r="X161" s="304" t="e">
        <f t="shared" ref="X161:X175" si="73">RANK(W161, W$147:W$176)</f>
        <v>#N/A</v>
      </c>
      <c r="Y161" s="681"/>
      <c r="Z161" s="182"/>
      <c r="AA161" s="182"/>
      <c r="AB161" s="182"/>
      <c r="AC161" s="304" t="e">
        <f t="shared" ref="AC161:AC175" si="74">RANK(AB161, AB$147:AB$176)</f>
        <v>#N/A</v>
      </c>
      <c r="AD161" s="681"/>
      <c r="AE161" s="182"/>
      <c r="AF161" s="182"/>
      <c r="AG161" s="182"/>
      <c r="AH161" s="304" t="e">
        <f t="shared" ref="AH161:AH175" si="75">RANK(AG161, AG$147:AG$176)</f>
        <v>#N/A</v>
      </c>
      <c r="AI161" s="681"/>
      <c r="AJ161" s="182"/>
      <c r="AK161" s="182"/>
      <c r="AL161" s="182"/>
      <c r="AM161" s="304" t="e">
        <f t="shared" ref="AM161:AM175" si="76">RANK(AL161, AL$147:AL$176)</f>
        <v>#N/A</v>
      </c>
      <c r="AN161" s="681"/>
      <c r="AO161" s="182"/>
      <c r="AP161" s="182"/>
      <c r="AQ161" s="182"/>
      <c r="AR161" s="304" t="e">
        <f t="shared" ref="AR161:AR175" si="77">RANK(AQ161, AQ$147:AQ$176)</f>
        <v>#N/A</v>
      </c>
      <c r="AS161" s="681"/>
      <c r="AT161" s="182"/>
      <c r="AU161" s="182"/>
      <c r="AV161" s="182"/>
      <c r="AW161" s="304" t="e">
        <f t="shared" ref="AW161:AW175" si="78">RANK(AV161, AV$147:AV$176)</f>
        <v>#N/A</v>
      </c>
      <c r="AX161" s="681"/>
    </row>
    <row r="162" spans="2:50">
      <c r="B162" s="667"/>
      <c r="C162" s="304">
        <v>16</v>
      </c>
      <c r="D162" s="227"/>
      <c r="E162" s="182"/>
      <c r="F162" s="510"/>
      <c r="G162" s="511"/>
      <c r="H162" s="709"/>
      <c r="I162" s="199" t="e">
        <f t="shared" si="62"/>
        <v>#DIV/0!</v>
      </c>
      <c r="J162" s="199" t="e">
        <f t="shared" si="63"/>
        <v>#DIV/0!</v>
      </c>
      <c r="K162" s="200" t="e">
        <f t="shared" si="64"/>
        <v>#DIV/0!</v>
      </c>
      <c r="L162" s="641"/>
      <c r="M162" s="199" t="e">
        <f>RANK(K162, K$147:$K$176)</f>
        <v>#DIV/0!</v>
      </c>
      <c r="N162" s="659"/>
      <c r="O162" s="659"/>
      <c r="P162" s="182"/>
      <c r="Q162" s="182"/>
      <c r="R162" s="182"/>
      <c r="S162" s="304" t="e">
        <f t="shared" si="72"/>
        <v>#N/A</v>
      </c>
      <c r="T162" s="681"/>
      <c r="U162" s="182"/>
      <c r="V162" s="182"/>
      <c r="W162" s="182"/>
      <c r="X162" s="304" t="e">
        <f t="shared" si="73"/>
        <v>#N/A</v>
      </c>
      <c r="Y162" s="681"/>
      <c r="Z162" s="182"/>
      <c r="AA162" s="182"/>
      <c r="AB162" s="182"/>
      <c r="AC162" s="304" t="e">
        <f t="shared" si="74"/>
        <v>#N/A</v>
      </c>
      <c r="AD162" s="681"/>
      <c r="AE162" s="182"/>
      <c r="AF162" s="182"/>
      <c r="AG162" s="182"/>
      <c r="AH162" s="304" t="e">
        <f t="shared" si="75"/>
        <v>#N/A</v>
      </c>
      <c r="AI162" s="681"/>
      <c r="AJ162" s="182"/>
      <c r="AK162" s="182"/>
      <c r="AL162" s="182"/>
      <c r="AM162" s="304" t="e">
        <f t="shared" si="76"/>
        <v>#N/A</v>
      </c>
      <c r="AN162" s="681"/>
      <c r="AO162" s="182"/>
      <c r="AP162" s="182"/>
      <c r="AQ162" s="182"/>
      <c r="AR162" s="304" t="e">
        <f t="shared" si="77"/>
        <v>#N/A</v>
      </c>
      <c r="AS162" s="681"/>
      <c r="AT162" s="182"/>
      <c r="AU162" s="182"/>
      <c r="AV162" s="182"/>
      <c r="AW162" s="304" t="e">
        <f t="shared" si="78"/>
        <v>#N/A</v>
      </c>
      <c r="AX162" s="681"/>
    </row>
    <row r="163" spans="2:50">
      <c r="B163" s="667"/>
      <c r="C163" s="304">
        <v>17</v>
      </c>
      <c r="D163" s="227"/>
      <c r="E163" s="182"/>
      <c r="F163" s="510"/>
      <c r="G163" s="511"/>
      <c r="H163" s="709"/>
      <c r="I163" s="199" t="e">
        <f t="shared" si="62"/>
        <v>#DIV/0!</v>
      </c>
      <c r="J163" s="199" t="e">
        <f t="shared" si="63"/>
        <v>#DIV/0!</v>
      </c>
      <c r="K163" s="200" t="e">
        <f t="shared" si="64"/>
        <v>#DIV/0!</v>
      </c>
      <c r="L163" s="641"/>
      <c r="M163" s="199" t="e">
        <f>RANK(K163, K$147:$K$176)</f>
        <v>#DIV/0!</v>
      </c>
      <c r="N163" s="659"/>
      <c r="O163" s="659"/>
      <c r="P163" s="182"/>
      <c r="Q163" s="182"/>
      <c r="R163" s="182"/>
      <c r="S163" s="304" t="e">
        <f t="shared" si="72"/>
        <v>#N/A</v>
      </c>
      <c r="T163" s="681"/>
      <c r="U163" s="182"/>
      <c r="V163" s="182"/>
      <c r="W163" s="182"/>
      <c r="X163" s="304" t="e">
        <f t="shared" si="73"/>
        <v>#N/A</v>
      </c>
      <c r="Y163" s="681"/>
      <c r="Z163" s="182"/>
      <c r="AA163" s="182"/>
      <c r="AB163" s="182"/>
      <c r="AC163" s="304" t="e">
        <f t="shared" si="74"/>
        <v>#N/A</v>
      </c>
      <c r="AD163" s="681"/>
      <c r="AE163" s="182"/>
      <c r="AF163" s="182"/>
      <c r="AG163" s="182"/>
      <c r="AH163" s="304" t="e">
        <f t="shared" si="75"/>
        <v>#N/A</v>
      </c>
      <c r="AI163" s="681"/>
      <c r="AJ163" s="182"/>
      <c r="AK163" s="182"/>
      <c r="AL163" s="182"/>
      <c r="AM163" s="304" t="e">
        <f t="shared" si="76"/>
        <v>#N/A</v>
      </c>
      <c r="AN163" s="681"/>
      <c r="AO163" s="182"/>
      <c r="AP163" s="182"/>
      <c r="AQ163" s="182"/>
      <c r="AR163" s="304" t="e">
        <f t="shared" si="77"/>
        <v>#N/A</v>
      </c>
      <c r="AS163" s="681"/>
      <c r="AT163" s="182"/>
      <c r="AU163" s="182"/>
      <c r="AV163" s="182"/>
      <c r="AW163" s="304" t="e">
        <f t="shared" si="78"/>
        <v>#N/A</v>
      </c>
      <c r="AX163" s="681"/>
    </row>
    <row r="164" spans="2:50">
      <c r="B164" s="667"/>
      <c r="C164" s="304">
        <v>18</v>
      </c>
      <c r="D164" s="227"/>
      <c r="E164" s="182"/>
      <c r="F164" s="510"/>
      <c r="G164" s="511"/>
      <c r="H164" s="709"/>
      <c r="I164" s="199" t="e">
        <f t="shared" si="62"/>
        <v>#DIV/0!</v>
      </c>
      <c r="J164" s="199" t="e">
        <f t="shared" si="63"/>
        <v>#DIV/0!</v>
      </c>
      <c r="K164" s="200" t="e">
        <f t="shared" si="64"/>
        <v>#DIV/0!</v>
      </c>
      <c r="L164" s="641"/>
      <c r="M164" s="199" t="e">
        <f>RANK(K164, K$147:$K$176)</f>
        <v>#DIV/0!</v>
      </c>
      <c r="N164" s="659"/>
      <c r="O164" s="659"/>
      <c r="P164" s="182"/>
      <c r="Q164" s="182"/>
      <c r="R164" s="182"/>
      <c r="S164" s="304" t="e">
        <f t="shared" si="72"/>
        <v>#N/A</v>
      </c>
      <c r="T164" s="681"/>
      <c r="U164" s="182"/>
      <c r="V164" s="182"/>
      <c r="W164" s="182"/>
      <c r="X164" s="304" t="e">
        <f t="shared" si="73"/>
        <v>#N/A</v>
      </c>
      <c r="Y164" s="681"/>
      <c r="Z164" s="182"/>
      <c r="AA164" s="182"/>
      <c r="AB164" s="182"/>
      <c r="AC164" s="304" t="e">
        <f t="shared" si="74"/>
        <v>#N/A</v>
      </c>
      <c r="AD164" s="681"/>
      <c r="AE164" s="182"/>
      <c r="AF164" s="182"/>
      <c r="AG164" s="182"/>
      <c r="AH164" s="304" t="e">
        <f t="shared" si="75"/>
        <v>#N/A</v>
      </c>
      <c r="AI164" s="681"/>
      <c r="AJ164" s="182"/>
      <c r="AK164" s="182"/>
      <c r="AL164" s="182"/>
      <c r="AM164" s="304" t="e">
        <f t="shared" si="76"/>
        <v>#N/A</v>
      </c>
      <c r="AN164" s="681"/>
      <c r="AO164" s="182"/>
      <c r="AP164" s="182"/>
      <c r="AQ164" s="182"/>
      <c r="AR164" s="304" t="e">
        <f t="shared" si="77"/>
        <v>#N/A</v>
      </c>
      <c r="AS164" s="681"/>
      <c r="AT164" s="182"/>
      <c r="AU164" s="182"/>
      <c r="AV164" s="182"/>
      <c r="AW164" s="304" t="e">
        <f t="shared" si="78"/>
        <v>#N/A</v>
      </c>
      <c r="AX164" s="681"/>
    </row>
    <row r="165" spans="2:50">
      <c r="B165" s="667"/>
      <c r="C165" s="304">
        <v>19</v>
      </c>
      <c r="D165" s="227"/>
      <c r="E165" s="182"/>
      <c r="F165" s="510"/>
      <c r="G165" s="511"/>
      <c r="H165" s="709"/>
      <c r="I165" s="199" t="e">
        <f t="shared" si="62"/>
        <v>#DIV/0!</v>
      </c>
      <c r="J165" s="199" t="e">
        <f t="shared" si="63"/>
        <v>#DIV/0!</v>
      </c>
      <c r="K165" s="200" t="e">
        <f t="shared" si="64"/>
        <v>#DIV/0!</v>
      </c>
      <c r="L165" s="641"/>
      <c r="M165" s="199" t="e">
        <f>RANK(K165, K$147:$K$176)</f>
        <v>#DIV/0!</v>
      </c>
      <c r="N165" s="659"/>
      <c r="O165" s="659"/>
      <c r="P165" s="182"/>
      <c r="Q165" s="182"/>
      <c r="R165" s="182"/>
      <c r="S165" s="304" t="e">
        <f t="shared" si="72"/>
        <v>#N/A</v>
      </c>
      <c r="T165" s="681"/>
      <c r="U165" s="182"/>
      <c r="V165" s="182"/>
      <c r="W165" s="182"/>
      <c r="X165" s="304" t="e">
        <f t="shared" si="73"/>
        <v>#N/A</v>
      </c>
      <c r="Y165" s="681"/>
      <c r="Z165" s="182"/>
      <c r="AA165" s="182"/>
      <c r="AB165" s="182"/>
      <c r="AC165" s="304" t="e">
        <f t="shared" si="74"/>
        <v>#N/A</v>
      </c>
      <c r="AD165" s="681"/>
      <c r="AE165" s="182"/>
      <c r="AF165" s="182"/>
      <c r="AG165" s="182"/>
      <c r="AH165" s="304" t="e">
        <f t="shared" si="75"/>
        <v>#N/A</v>
      </c>
      <c r="AI165" s="681"/>
      <c r="AJ165" s="182"/>
      <c r="AK165" s="182"/>
      <c r="AL165" s="182"/>
      <c r="AM165" s="304" t="e">
        <f t="shared" si="76"/>
        <v>#N/A</v>
      </c>
      <c r="AN165" s="681"/>
      <c r="AO165" s="182"/>
      <c r="AP165" s="182"/>
      <c r="AQ165" s="182"/>
      <c r="AR165" s="304" t="e">
        <f t="shared" si="77"/>
        <v>#N/A</v>
      </c>
      <c r="AS165" s="681"/>
      <c r="AT165" s="182"/>
      <c r="AU165" s="182"/>
      <c r="AV165" s="182"/>
      <c r="AW165" s="304" t="e">
        <f t="shared" si="78"/>
        <v>#N/A</v>
      </c>
      <c r="AX165" s="681"/>
    </row>
    <row r="166" spans="2:50">
      <c r="B166" s="667"/>
      <c r="C166" s="304">
        <v>20</v>
      </c>
      <c r="D166" s="227"/>
      <c r="E166" s="182"/>
      <c r="F166" s="510"/>
      <c r="G166" s="511"/>
      <c r="H166" s="709"/>
      <c r="I166" s="199" t="e">
        <f t="shared" si="62"/>
        <v>#DIV/0!</v>
      </c>
      <c r="J166" s="199" t="e">
        <f t="shared" si="63"/>
        <v>#DIV/0!</v>
      </c>
      <c r="K166" s="200" t="e">
        <f t="shared" si="64"/>
        <v>#DIV/0!</v>
      </c>
      <c r="L166" s="641"/>
      <c r="M166" s="199" t="e">
        <f>RANK(K166, K$147:$K$176)</f>
        <v>#DIV/0!</v>
      </c>
      <c r="N166" s="659"/>
      <c r="O166" s="659"/>
      <c r="P166" s="182"/>
      <c r="Q166" s="182"/>
      <c r="R166" s="182"/>
      <c r="S166" s="304" t="e">
        <f t="shared" si="72"/>
        <v>#N/A</v>
      </c>
      <c r="T166" s="681"/>
      <c r="U166" s="182"/>
      <c r="V166" s="182"/>
      <c r="W166" s="182"/>
      <c r="X166" s="304" t="e">
        <f t="shared" si="73"/>
        <v>#N/A</v>
      </c>
      <c r="Y166" s="681"/>
      <c r="Z166" s="182"/>
      <c r="AA166" s="182"/>
      <c r="AB166" s="182"/>
      <c r="AC166" s="304" t="e">
        <f t="shared" si="74"/>
        <v>#N/A</v>
      </c>
      <c r="AD166" s="681"/>
      <c r="AE166" s="182"/>
      <c r="AF166" s="182"/>
      <c r="AG166" s="182"/>
      <c r="AH166" s="304" t="e">
        <f t="shared" si="75"/>
        <v>#N/A</v>
      </c>
      <c r="AI166" s="681"/>
      <c r="AJ166" s="182"/>
      <c r="AK166" s="182"/>
      <c r="AL166" s="182"/>
      <c r="AM166" s="304" t="e">
        <f t="shared" si="76"/>
        <v>#N/A</v>
      </c>
      <c r="AN166" s="681"/>
      <c r="AO166" s="182"/>
      <c r="AP166" s="182"/>
      <c r="AQ166" s="182"/>
      <c r="AR166" s="304" t="e">
        <f t="shared" si="77"/>
        <v>#N/A</v>
      </c>
      <c r="AS166" s="681"/>
      <c r="AT166" s="182"/>
      <c r="AU166" s="182"/>
      <c r="AV166" s="182"/>
      <c r="AW166" s="304" t="e">
        <f t="shared" si="78"/>
        <v>#N/A</v>
      </c>
      <c r="AX166" s="681"/>
    </row>
    <row r="167" spans="2:50">
      <c r="B167" s="667"/>
      <c r="C167" s="304">
        <v>21</v>
      </c>
      <c r="D167" s="227"/>
      <c r="E167" s="182"/>
      <c r="F167" s="510"/>
      <c r="G167" s="511"/>
      <c r="H167" s="709"/>
      <c r="I167" s="199" t="e">
        <f t="shared" si="62"/>
        <v>#DIV/0!</v>
      </c>
      <c r="J167" s="199" t="e">
        <f t="shared" si="63"/>
        <v>#DIV/0!</v>
      </c>
      <c r="K167" s="200" t="e">
        <f t="shared" si="64"/>
        <v>#DIV/0!</v>
      </c>
      <c r="L167" s="641"/>
      <c r="M167" s="199" t="e">
        <f>RANK(K167, K$147:$K$176)</f>
        <v>#DIV/0!</v>
      </c>
      <c r="N167" s="659"/>
      <c r="O167" s="659"/>
      <c r="P167" s="182"/>
      <c r="Q167" s="182"/>
      <c r="R167" s="182"/>
      <c r="S167" s="304" t="e">
        <f t="shared" si="72"/>
        <v>#N/A</v>
      </c>
      <c r="T167" s="681"/>
      <c r="U167" s="182"/>
      <c r="V167" s="182"/>
      <c r="W167" s="182"/>
      <c r="X167" s="304" t="e">
        <f t="shared" si="73"/>
        <v>#N/A</v>
      </c>
      <c r="Y167" s="681"/>
      <c r="Z167" s="182"/>
      <c r="AA167" s="182"/>
      <c r="AB167" s="182"/>
      <c r="AC167" s="304" t="e">
        <f t="shared" si="74"/>
        <v>#N/A</v>
      </c>
      <c r="AD167" s="681"/>
      <c r="AE167" s="182"/>
      <c r="AF167" s="182"/>
      <c r="AG167" s="182"/>
      <c r="AH167" s="304" t="e">
        <f t="shared" si="75"/>
        <v>#N/A</v>
      </c>
      <c r="AI167" s="681"/>
      <c r="AJ167" s="182"/>
      <c r="AK167" s="182"/>
      <c r="AL167" s="182"/>
      <c r="AM167" s="304" t="e">
        <f t="shared" si="76"/>
        <v>#N/A</v>
      </c>
      <c r="AN167" s="681"/>
      <c r="AO167" s="182"/>
      <c r="AP167" s="182"/>
      <c r="AQ167" s="182"/>
      <c r="AR167" s="304" t="e">
        <f t="shared" si="77"/>
        <v>#N/A</v>
      </c>
      <c r="AS167" s="681"/>
      <c r="AT167" s="182"/>
      <c r="AU167" s="182"/>
      <c r="AV167" s="182"/>
      <c r="AW167" s="304" t="e">
        <f t="shared" si="78"/>
        <v>#N/A</v>
      </c>
      <c r="AX167" s="681"/>
    </row>
    <row r="168" spans="2:50">
      <c r="B168" s="667"/>
      <c r="C168" s="304">
        <v>22</v>
      </c>
      <c r="D168" s="227"/>
      <c r="E168" s="182"/>
      <c r="F168" s="510"/>
      <c r="G168" s="511"/>
      <c r="H168" s="709"/>
      <c r="I168" s="199" t="e">
        <f t="shared" si="62"/>
        <v>#DIV/0!</v>
      </c>
      <c r="J168" s="199" t="e">
        <f t="shared" si="63"/>
        <v>#DIV/0!</v>
      </c>
      <c r="K168" s="200" t="e">
        <f t="shared" si="64"/>
        <v>#DIV/0!</v>
      </c>
      <c r="L168" s="641"/>
      <c r="M168" s="199" t="e">
        <f>RANK(K168, K$147:$K$176)</f>
        <v>#DIV/0!</v>
      </c>
      <c r="N168" s="659"/>
      <c r="O168" s="659"/>
      <c r="P168" s="182"/>
      <c r="Q168" s="182"/>
      <c r="R168" s="182"/>
      <c r="S168" s="304" t="e">
        <f t="shared" si="72"/>
        <v>#N/A</v>
      </c>
      <c r="T168" s="681"/>
      <c r="U168" s="182"/>
      <c r="V168" s="182"/>
      <c r="W168" s="182"/>
      <c r="X168" s="304" t="e">
        <f t="shared" si="73"/>
        <v>#N/A</v>
      </c>
      <c r="Y168" s="681"/>
      <c r="Z168" s="182"/>
      <c r="AA168" s="182"/>
      <c r="AB168" s="182"/>
      <c r="AC168" s="304" t="e">
        <f t="shared" si="74"/>
        <v>#N/A</v>
      </c>
      <c r="AD168" s="681"/>
      <c r="AE168" s="182"/>
      <c r="AF168" s="182"/>
      <c r="AG168" s="182"/>
      <c r="AH168" s="304" t="e">
        <f t="shared" si="75"/>
        <v>#N/A</v>
      </c>
      <c r="AI168" s="681"/>
      <c r="AJ168" s="182"/>
      <c r="AK168" s="182"/>
      <c r="AL168" s="182"/>
      <c r="AM168" s="304" t="e">
        <f t="shared" si="76"/>
        <v>#N/A</v>
      </c>
      <c r="AN168" s="681"/>
      <c r="AO168" s="182"/>
      <c r="AP168" s="182"/>
      <c r="AQ168" s="182"/>
      <c r="AR168" s="304" t="e">
        <f t="shared" si="77"/>
        <v>#N/A</v>
      </c>
      <c r="AS168" s="681"/>
      <c r="AT168" s="182"/>
      <c r="AU168" s="182"/>
      <c r="AV168" s="182"/>
      <c r="AW168" s="304" t="e">
        <f t="shared" si="78"/>
        <v>#N/A</v>
      </c>
      <c r="AX168" s="681"/>
    </row>
    <row r="169" spans="2:50">
      <c r="B169" s="667"/>
      <c r="C169" s="304">
        <v>23</v>
      </c>
      <c r="D169" s="227"/>
      <c r="E169" s="182"/>
      <c r="F169" s="510"/>
      <c r="G169" s="511"/>
      <c r="H169" s="709"/>
      <c r="I169" s="199" t="e">
        <f t="shared" si="62"/>
        <v>#DIV/0!</v>
      </c>
      <c r="J169" s="199" t="e">
        <f t="shared" si="63"/>
        <v>#DIV/0!</v>
      </c>
      <c r="K169" s="200" t="e">
        <f t="shared" si="64"/>
        <v>#DIV/0!</v>
      </c>
      <c r="L169" s="641"/>
      <c r="M169" s="199" t="e">
        <f>RANK(K169, K$147:$K$176)</f>
        <v>#DIV/0!</v>
      </c>
      <c r="N169" s="659"/>
      <c r="O169" s="659"/>
      <c r="P169" s="182"/>
      <c r="Q169" s="182"/>
      <c r="R169" s="182"/>
      <c r="S169" s="304" t="e">
        <f t="shared" si="72"/>
        <v>#N/A</v>
      </c>
      <c r="T169" s="681"/>
      <c r="U169" s="182"/>
      <c r="V169" s="182"/>
      <c r="W169" s="182"/>
      <c r="X169" s="304" t="e">
        <f t="shared" si="73"/>
        <v>#N/A</v>
      </c>
      <c r="Y169" s="681"/>
      <c r="Z169" s="182"/>
      <c r="AA169" s="182"/>
      <c r="AB169" s="182"/>
      <c r="AC169" s="304" t="e">
        <f t="shared" si="74"/>
        <v>#N/A</v>
      </c>
      <c r="AD169" s="681"/>
      <c r="AE169" s="182"/>
      <c r="AF169" s="182"/>
      <c r="AG169" s="182"/>
      <c r="AH169" s="304" t="e">
        <f t="shared" si="75"/>
        <v>#N/A</v>
      </c>
      <c r="AI169" s="681"/>
      <c r="AJ169" s="182"/>
      <c r="AK169" s="182"/>
      <c r="AL169" s="182"/>
      <c r="AM169" s="304" t="e">
        <f t="shared" si="76"/>
        <v>#N/A</v>
      </c>
      <c r="AN169" s="681"/>
      <c r="AO169" s="182"/>
      <c r="AP169" s="182"/>
      <c r="AQ169" s="182"/>
      <c r="AR169" s="304" t="e">
        <f t="shared" si="77"/>
        <v>#N/A</v>
      </c>
      <c r="AS169" s="681"/>
      <c r="AT169" s="182"/>
      <c r="AU169" s="182"/>
      <c r="AV169" s="182"/>
      <c r="AW169" s="304" t="e">
        <f t="shared" si="78"/>
        <v>#N/A</v>
      </c>
      <c r="AX169" s="681"/>
    </row>
    <row r="170" spans="2:50">
      <c r="B170" s="667"/>
      <c r="C170" s="304">
        <v>24</v>
      </c>
      <c r="D170" s="227"/>
      <c r="E170" s="182"/>
      <c r="F170" s="510"/>
      <c r="G170" s="511"/>
      <c r="H170" s="709"/>
      <c r="I170" s="199" t="e">
        <f t="shared" si="62"/>
        <v>#DIV/0!</v>
      </c>
      <c r="J170" s="199" t="e">
        <f t="shared" si="63"/>
        <v>#DIV/0!</v>
      </c>
      <c r="K170" s="200" t="e">
        <f t="shared" si="64"/>
        <v>#DIV/0!</v>
      </c>
      <c r="L170" s="641"/>
      <c r="M170" s="199" t="e">
        <f>RANK(K170, K$147:$K$176)</f>
        <v>#DIV/0!</v>
      </c>
      <c r="N170" s="659"/>
      <c r="O170" s="659"/>
      <c r="P170" s="182"/>
      <c r="Q170" s="182"/>
      <c r="R170" s="182"/>
      <c r="S170" s="304" t="e">
        <f t="shared" si="72"/>
        <v>#N/A</v>
      </c>
      <c r="T170" s="681"/>
      <c r="U170" s="182"/>
      <c r="V170" s="182"/>
      <c r="W170" s="182"/>
      <c r="X170" s="304" t="e">
        <f t="shared" si="73"/>
        <v>#N/A</v>
      </c>
      <c r="Y170" s="681"/>
      <c r="Z170" s="182"/>
      <c r="AA170" s="182"/>
      <c r="AB170" s="182"/>
      <c r="AC170" s="304" t="e">
        <f t="shared" si="74"/>
        <v>#N/A</v>
      </c>
      <c r="AD170" s="681"/>
      <c r="AE170" s="182"/>
      <c r="AF170" s="182"/>
      <c r="AG170" s="182"/>
      <c r="AH170" s="304" t="e">
        <f t="shared" si="75"/>
        <v>#N/A</v>
      </c>
      <c r="AI170" s="681"/>
      <c r="AJ170" s="182"/>
      <c r="AK170" s="182"/>
      <c r="AL170" s="182"/>
      <c r="AM170" s="304" t="e">
        <f t="shared" si="76"/>
        <v>#N/A</v>
      </c>
      <c r="AN170" s="681"/>
      <c r="AO170" s="182"/>
      <c r="AP170" s="182"/>
      <c r="AQ170" s="182"/>
      <c r="AR170" s="304" t="e">
        <f t="shared" si="77"/>
        <v>#N/A</v>
      </c>
      <c r="AS170" s="681"/>
      <c r="AT170" s="182"/>
      <c r="AU170" s="182"/>
      <c r="AV170" s="182"/>
      <c r="AW170" s="304" t="e">
        <f t="shared" si="78"/>
        <v>#N/A</v>
      </c>
      <c r="AX170" s="681"/>
    </row>
    <row r="171" spans="2:50">
      <c r="B171" s="667"/>
      <c r="C171" s="304">
        <v>25</v>
      </c>
      <c r="D171" s="227"/>
      <c r="E171" s="182"/>
      <c r="F171" s="510"/>
      <c r="G171" s="511"/>
      <c r="H171" s="709"/>
      <c r="I171" s="446" t="e">
        <f t="shared" ref="I171" si="79">AVERAGE(P171,U171,Z171,AE171,AJ171,AO171,AT171)</f>
        <v>#DIV/0!</v>
      </c>
      <c r="J171" s="446" t="e">
        <f t="shared" ref="J171" si="80">AVERAGE(Q171,V171,AA171,AF171,AK171,AP171,AU171)</f>
        <v>#DIV/0!</v>
      </c>
      <c r="K171" s="200" t="e">
        <f t="shared" ref="K171" si="81">AVERAGE(R171,W171,AB171,AG171,AL171,AQ171,AV171)</f>
        <v>#DIV/0!</v>
      </c>
      <c r="L171" s="641"/>
      <c r="M171" s="199" t="e">
        <f>RANK(K171, K$147:$K$176)</f>
        <v>#DIV/0!</v>
      </c>
      <c r="N171" s="659"/>
      <c r="O171" s="659"/>
      <c r="P171" s="182"/>
      <c r="Q171" s="182"/>
      <c r="R171" s="182"/>
      <c r="S171" s="304" t="e">
        <f t="shared" si="72"/>
        <v>#N/A</v>
      </c>
      <c r="T171" s="681"/>
      <c r="U171" s="182"/>
      <c r="V171" s="182"/>
      <c r="W171" s="182"/>
      <c r="X171" s="304" t="e">
        <f t="shared" si="73"/>
        <v>#N/A</v>
      </c>
      <c r="Y171" s="681"/>
      <c r="Z171" s="182"/>
      <c r="AA171" s="182"/>
      <c r="AB171" s="182"/>
      <c r="AC171" s="304" t="e">
        <f t="shared" si="74"/>
        <v>#N/A</v>
      </c>
      <c r="AD171" s="681"/>
      <c r="AE171" s="182"/>
      <c r="AF171" s="182"/>
      <c r="AG171" s="182"/>
      <c r="AH171" s="304" t="e">
        <f t="shared" si="75"/>
        <v>#N/A</v>
      </c>
      <c r="AI171" s="681"/>
      <c r="AJ171" s="182"/>
      <c r="AK171" s="182"/>
      <c r="AL171" s="182"/>
      <c r="AM171" s="304" t="e">
        <f t="shared" si="76"/>
        <v>#N/A</v>
      </c>
      <c r="AN171" s="681"/>
      <c r="AO171" s="182"/>
      <c r="AP171" s="182"/>
      <c r="AQ171" s="182"/>
      <c r="AR171" s="304" t="e">
        <f t="shared" si="77"/>
        <v>#N/A</v>
      </c>
      <c r="AS171" s="681"/>
      <c r="AT171" s="182"/>
      <c r="AU171" s="182"/>
      <c r="AV171" s="182"/>
      <c r="AW171" s="304" t="e">
        <f t="shared" si="78"/>
        <v>#N/A</v>
      </c>
      <c r="AX171" s="681"/>
    </row>
    <row r="172" spans="2:50">
      <c r="B172" s="667"/>
      <c r="C172" s="304">
        <v>26</v>
      </c>
      <c r="D172" s="227"/>
      <c r="E172" s="182"/>
      <c r="F172" s="510"/>
      <c r="G172" s="511"/>
      <c r="H172" s="709"/>
      <c r="I172" s="469" t="e">
        <f t="shared" ref="I172" si="82">AVERAGE(P172,U172,Z172,AE172,AJ172,AO172,AT172)</f>
        <v>#DIV/0!</v>
      </c>
      <c r="J172" s="469" t="e">
        <f t="shared" ref="J172" si="83">AVERAGE(Q172,V172,AA172,AF172,AK172,AP172,AU172)</f>
        <v>#DIV/0!</v>
      </c>
      <c r="K172" s="200" t="e">
        <f t="shared" ref="K172" si="84">AVERAGE(R172,W172,AB172,AG172,AL172,AQ172,AV172)</f>
        <v>#DIV/0!</v>
      </c>
      <c r="L172" s="641"/>
      <c r="M172" s="199" t="e">
        <f>RANK(K172, K$147:$K$176)</f>
        <v>#DIV/0!</v>
      </c>
      <c r="N172" s="659"/>
      <c r="O172" s="659"/>
      <c r="P172" s="182"/>
      <c r="Q172" s="182"/>
      <c r="R172" s="182"/>
      <c r="S172" s="304" t="e">
        <f t="shared" si="72"/>
        <v>#N/A</v>
      </c>
      <c r="T172" s="681"/>
      <c r="U172" s="182"/>
      <c r="V172" s="182"/>
      <c r="W172" s="182"/>
      <c r="X172" s="304" t="e">
        <f t="shared" si="73"/>
        <v>#N/A</v>
      </c>
      <c r="Y172" s="681"/>
      <c r="Z172" s="182"/>
      <c r="AA172" s="182"/>
      <c r="AB172" s="182"/>
      <c r="AC172" s="304" t="e">
        <f t="shared" si="74"/>
        <v>#N/A</v>
      </c>
      <c r="AD172" s="681"/>
      <c r="AE172" s="182"/>
      <c r="AF172" s="182"/>
      <c r="AG172" s="182"/>
      <c r="AH172" s="304" t="e">
        <f t="shared" si="75"/>
        <v>#N/A</v>
      </c>
      <c r="AI172" s="681"/>
      <c r="AJ172" s="182"/>
      <c r="AK172" s="182"/>
      <c r="AL172" s="182"/>
      <c r="AM172" s="304" t="e">
        <f t="shared" si="76"/>
        <v>#N/A</v>
      </c>
      <c r="AN172" s="681"/>
      <c r="AO172" s="182"/>
      <c r="AP172" s="182"/>
      <c r="AQ172" s="182"/>
      <c r="AR172" s="304" t="e">
        <f t="shared" si="77"/>
        <v>#N/A</v>
      </c>
      <c r="AS172" s="681"/>
      <c r="AT172" s="182"/>
      <c r="AU172" s="182"/>
      <c r="AV172" s="182"/>
      <c r="AW172" s="304" t="e">
        <f t="shared" si="78"/>
        <v>#N/A</v>
      </c>
      <c r="AX172" s="681"/>
    </row>
    <row r="173" spans="2:50">
      <c r="B173" s="667"/>
      <c r="C173" s="304">
        <v>27</v>
      </c>
      <c r="D173" s="227"/>
      <c r="E173" s="182"/>
      <c r="F173" s="510"/>
      <c r="G173" s="511"/>
      <c r="H173" s="709"/>
      <c r="I173" s="486" t="e">
        <f t="shared" ref="I173:I174" si="85">AVERAGE(P173,U173,Z173,AE173,AJ173,AO173,AT173)</f>
        <v>#DIV/0!</v>
      </c>
      <c r="J173" s="486" t="e">
        <f t="shared" ref="J173:J174" si="86">AVERAGE(Q173,V173,AA173,AF173,AK173,AP173,AU173)</f>
        <v>#DIV/0!</v>
      </c>
      <c r="K173" s="200" t="e">
        <f t="shared" ref="K173:K174" si="87">AVERAGE(R173,W173,AB173,AG173,AL173,AQ173,AV173)</f>
        <v>#DIV/0!</v>
      </c>
      <c r="L173" s="641"/>
      <c r="M173" s="199" t="e">
        <f>RANK(K173, K$147:$K$176)</f>
        <v>#DIV/0!</v>
      </c>
      <c r="N173" s="659"/>
      <c r="O173" s="659"/>
      <c r="P173" s="182"/>
      <c r="Q173" s="182"/>
      <c r="R173" s="182"/>
      <c r="S173" s="304" t="e">
        <f t="shared" si="72"/>
        <v>#N/A</v>
      </c>
      <c r="T173" s="681"/>
      <c r="U173" s="182"/>
      <c r="V173" s="182"/>
      <c r="W173" s="182"/>
      <c r="X173" s="304" t="e">
        <f t="shared" si="73"/>
        <v>#N/A</v>
      </c>
      <c r="Y173" s="681"/>
      <c r="Z173" s="182"/>
      <c r="AA173" s="182"/>
      <c r="AB173" s="182"/>
      <c r="AC173" s="304" t="e">
        <f t="shared" si="74"/>
        <v>#N/A</v>
      </c>
      <c r="AD173" s="681"/>
      <c r="AE173" s="182"/>
      <c r="AF173" s="182"/>
      <c r="AG173" s="182"/>
      <c r="AH173" s="304" t="e">
        <f t="shared" si="75"/>
        <v>#N/A</v>
      </c>
      <c r="AI173" s="681"/>
      <c r="AJ173" s="182"/>
      <c r="AK173" s="182"/>
      <c r="AL173" s="182"/>
      <c r="AM173" s="304" t="e">
        <f t="shared" si="76"/>
        <v>#N/A</v>
      </c>
      <c r="AN173" s="681"/>
      <c r="AO173" s="182"/>
      <c r="AP173" s="182"/>
      <c r="AQ173" s="182"/>
      <c r="AR173" s="304" t="e">
        <f t="shared" si="77"/>
        <v>#N/A</v>
      </c>
      <c r="AS173" s="681"/>
      <c r="AT173" s="182"/>
      <c r="AU173" s="182"/>
      <c r="AV173" s="182"/>
      <c r="AW173" s="304" t="e">
        <f t="shared" si="78"/>
        <v>#N/A</v>
      </c>
      <c r="AX173" s="681"/>
    </row>
    <row r="174" spans="2:50">
      <c r="B174" s="667"/>
      <c r="C174" s="304">
        <v>28</v>
      </c>
      <c r="D174" s="227"/>
      <c r="E174" s="182"/>
      <c r="F174" s="510"/>
      <c r="G174" s="511"/>
      <c r="H174" s="709"/>
      <c r="I174" s="486" t="e">
        <f t="shared" si="85"/>
        <v>#DIV/0!</v>
      </c>
      <c r="J174" s="486" t="e">
        <f t="shared" si="86"/>
        <v>#DIV/0!</v>
      </c>
      <c r="K174" s="200" t="e">
        <f t="shared" si="87"/>
        <v>#DIV/0!</v>
      </c>
      <c r="L174" s="641"/>
      <c r="M174" s="199" t="e">
        <f>RANK(K174, K$147:$K$176)</f>
        <v>#DIV/0!</v>
      </c>
      <c r="N174" s="659"/>
      <c r="O174" s="659"/>
      <c r="P174" s="182"/>
      <c r="Q174" s="182"/>
      <c r="R174" s="182"/>
      <c r="S174" s="304" t="e">
        <f t="shared" si="72"/>
        <v>#N/A</v>
      </c>
      <c r="T174" s="681"/>
      <c r="U174" s="182"/>
      <c r="V174" s="182"/>
      <c r="W174" s="182"/>
      <c r="X174" s="304" t="e">
        <f t="shared" si="73"/>
        <v>#N/A</v>
      </c>
      <c r="Y174" s="681"/>
      <c r="Z174" s="182"/>
      <c r="AA174" s="182"/>
      <c r="AB174" s="182"/>
      <c r="AC174" s="304" t="e">
        <f t="shared" si="74"/>
        <v>#N/A</v>
      </c>
      <c r="AD174" s="681"/>
      <c r="AE174" s="182"/>
      <c r="AF174" s="182"/>
      <c r="AG174" s="182"/>
      <c r="AH174" s="304" t="e">
        <f t="shared" si="75"/>
        <v>#N/A</v>
      </c>
      <c r="AI174" s="681"/>
      <c r="AJ174" s="182"/>
      <c r="AK174" s="182"/>
      <c r="AL174" s="182"/>
      <c r="AM174" s="304" t="e">
        <f t="shared" si="76"/>
        <v>#N/A</v>
      </c>
      <c r="AN174" s="681"/>
      <c r="AO174" s="182"/>
      <c r="AP174" s="182"/>
      <c r="AQ174" s="182"/>
      <c r="AR174" s="304" t="e">
        <f t="shared" si="77"/>
        <v>#N/A</v>
      </c>
      <c r="AS174" s="681"/>
      <c r="AT174" s="182"/>
      <c r="AU174" s="182"/>
      <c r="AV174" s="182"/>
      <c r="AW174" s="304" t="e">
        <f t="shared" si="78"/>
        <v>#N/A</v>
      </c>
      <c r="AX174" s="681"/>
    </row>
    <row r="175" spans="2:50">
      <c r="B175" s="667"/>
      <c r="C175" s="304">
        <v>29</v>
      </c>
      <c r="D175" s="227"/>
      <c r="E175" s="182"/>
      <c r="F175" s="510"/>
      <c r="G175" s="511"/>
      <c r="H175" s="709"/>
      <c r="I175" s="542" t="e">
        <f t="shared" ref="I175:I176" si="88">AVERAGE(P175,U175,Z175,AE175,AJ175,AO175,AT175)</f>
        <v>#DIV/0!</v>
      </c>
      <c r="J175" s="542" t="e">
        <f t="shared" ref="J175:J176" si="89">AVERAGE(Q175,V175,AA175,AF175,AK175,AP175,AU175)</f>
        <v>#DIV/0!</v>
      </c>
      <c r="K175" s="200" t="e">
        <f t="shared" ref="K175:K176" si="90">AVERAGE(R175,W175,AB175,AG175,AL175,AQ175,AV175)</f>
        <v>#DIV/0!</v>
      </c>
      <c r="L175" s="641"/>
      <c r="M175" s="199" t="e">
        <f>RANK(K175, K$147:$K$176)</f>
        <v>#DIV/0!</v>
      </c>
      <c r="N175" s="659"/>
      <c r="O175" s="659"/>
      <c r="P175" s="182"/>
      <c r="Q175" s="182"/>
      <c r="R175" s="182"/>
      <c r="S175" s="304" t="e">
        <f t="shared" si="72"/>
        <v>#N/A</v>
      </c>
      <c r="T175" s="681"/>
      <c r="U175" s="182"/>
      <c r="V175" s="182"/>
      <c r="W175" s="182"/>
      <c r="X175" s="304" t="e">
        <f t="shared" si="73"/>
        <v>#N/A</v>
      </c>
      <c r="Y175" s="681"/>
      <c r="Z175" s="182"/>
      <c r="AA175" s="182"/>
      <c r="AB175" s="182"/>
      <c r="AC175" s="304" t="e">
        <f t="shared" si="74"/>
        <v>#N/A</v>
      </c>
      <c r="AD175" s="681"/>
      <c r="AE175" s="182"/>
      <c r="AF175" s="182"/>
      <c r="AG175" s="182"/>
      <c r="AH175" s="304" t="e">
        <f t="shared" si="75"/>
        <v>#N/A</v>
      </c>
      <c r="AI175" s="681"/>
      <c r="AJ175" s="182"/>
      <c r="AK175" s="182"/>
      <c r="AL175" s="182"/>
      <c r="AM175" s="304" t="e">
        <f t="shared" si="76"/>
        <v>#N/A</v>
      </c>
      <c r="AN175" s="681"/>
      <c r="AO175" s="182"/>
      <c r="AP175" s="182"/>
      <c r="AQ175" s="182"/>
      <c r="AR175" s="304" t="e">
        <f t="shared" si="77"/>
        <v>#N/A</v>
      </c>
      <c r="AS175" s="681"/>
      <c r="AT175" s="182"/>
      <c r="AU175" s="182"/>
      <c r="AV175" s="182"/>
      <c r="AW175" s="304" t="e">
        <f t="shared" si="78"/>
        <v>#N/A</v>
      </c>
      <c r="AX175" s="681"/>
    </row>
    <row r="176" spans="2:50">
      <c r="B176" s="667"/>
      <c r="C176" s="304">
        <v>30</v>
      </c>
      <c r="D176" s="227"/>
      <c r="E176" s="182"/>
      <c r="F176" s="510"/>
      <c r="G176" s="511"/>
      <c r="H176" s="710"/>
      <c r="I176" s="542" t="e">
        <f t="shared" si="88"/>
        <v>#DIV/0!</v>
      </c>
      <c r="J176" s="542" t="e">
        <f t="shared" si="89"/>
        <v>#DIV/0!</v>
      </c>
      <c r="K176" s="200" t="e">
        <f t="shared" si="90"/>
        <v>#DIV/0!</v>
      </c>
      <c r="L176" s="642"/>
      <c r="M176" s="199" t="e">
        <f>RANK(K176, K$147:$K$176)</f>
        <v>#DIV/0!</v>
      </c>
      <c r="N176" s="659"/>
      <c r="O176" s="659"/>
      <c r="P176" s="182"/>
      <c r="Q176" s="182"/>
      <c r="R176" s="182"/>
      <c r="S176" s="304" t="e">
        <f t="shared" si="65"/>
        <v>#N/A</v>
      </c>
      <c r="T176" s="681"/>
      <c r="U176" s="182"/>
      <c r="V176" s="182"/>
      <c r="W176" s="182"/>
      <c r="X176" s="304" t="e">
        <f t="shared" si="66"/>
        <v>#N/A</v>
      </c>
      <c r="Y176" s="681"/>
      <c r="Z176" s="182"/>
      <c r="AA176" s="182"/>
      <c r="AB176" s="182"/>
      <c r="AC176" s="304" t="e">
        <f t="shared" si="67"/>
        <v>#N/A</v>
      </c>
      <c r="AD176" s="681"/>
      <c r="AE176" s="182"/>
      <c r="AF176" s="182"/>
      <c r="AG176" s="182"/>
      <c r="AH176" s="304" t="e">
        <f t="shared" si="68"/>
        <v>#N/A</v>
      </c>
      <c r="AI176" s="681"/>
      <c r="AJ176" s="182"/>
      <c r="AK176" s="182"/>
      <c r="AL176" s="182"/>
      <c r="AM176" s="304" t="e">
        <f t="shared" si="69"/>
        <v>#N/A</v>
      </c>
      <c r="AN176" s="681"/>
      <c r="AO176" s="182"/>
      <c r="AP176" s="182"/>
      <c r="AQ176" s="182"/>
      <c r="AR176" s="304" t="e">
        <f t="shared" si="70"/>
        <v>#N/A</v>
      </c>
      <c r="AS176" s="681"/>
      <c r="AT176" s="182"/>
      <c r="AU176" s="182"/>
      <c r="AV176" s="182"/>
      <c r="AW176" s="304" t="e">
        <f t="shared" si="71"/>
        <v>#N/A</v>
      </c>
      <c r="AX176" s="681"/>
    </row>
    <row r="177" spans="2:50" ht="15.75">
      <c r="B177" s="671" t="s">
        <v>163</v>
      </c>
      <c r="C177" s="672"/>
      <c r="D177" s="672"/>
      <c r="E177" s="672"/>
      <c r="F177" s="672"/>
      <c r="G177" s="672"/>
      <c r="H177" s="673"/>
      <c r="I177" s="208"/>
      <c r="J177" s="208"/>
      <c r="K177" s="208"/>
      <c r="L177" s="208"/>
      <c r="M177" s="207"/>
      <c r="N177" s="660" t="s">
        <v>156</v>
      </c>
      <c r="O177" s="660" t="s">
        <v>105</v>
      </c>
      <c r="P177" s="666">
        <f>P142+7</f>
        <v>46119</v>
      </c>
      <c r="Q177" s="667"/>
      <c r="R177" s="667"/>
      <c r="S177" s="667"/>
      <c r="T177" s="667"/>
      <c r="U177" s="663">
        <f>P177+1</f>
        <v>46120</v>
      </c>
      <c r="V177" s="664"/>
      <c r="W177" s="664"/>
      <c r="X177" s="664"/>
      <c r="Y177" s="665"/>
      <c r="Z177" s="663">
        <f>U177+1</f>
        <v>46121</v>
      </c>
      <c r="AA177" s="664"/>
      <c r="AB177" s="664"/>
      <c r="AC177" s="664"/>
      <c r="AD177" s="665"/>
      <c r="AE177" s="663">
        <f>Z177+1</f>
        <v>46122</v>
      </c>
      <c r="AF177" s="664"/>
      <c r="AG177" s="664"/>
      <c r="AH177" s="664"/>
      <c r="AI177" s="665"/>
      <c r="AJ177" s="663">
        <f>AE177+1</f>
        <v>46123</v>
      </c>
      <c r="AK177" s="664"/>
      <c r="AL177" s="664"/>
      <c r="AM177" s="664"/>
      <c r="AN177" s="665"/>
      <c r="AO177" s="663">
        <f>AJ177+1</f>
        <v>46124</v>
      </c>
      <c r="AP177" s="664"/>
      <c r="AQ177" s="664"/>
      <c r="AR177" s="664"/>
      <c r="AS177" s="665"/>
      <c r="AT177" s="663">
        <f>AO177+1</f>
        <v>46125</v>
      </c>
      <c r="AU177" s="664"/>
      <c r="AV177" s="664"/>
      <c r="AW177" s="664"/>
      <c r="AX177" s="665"/>
    </row>
    <row r="178" spans="2:50" ht="15.75">
      <c r="B178" s="674"/>
      <c r="C178" s="674"/>
      <c r="D178" s="674"/>
      <c r="E178" s="674"/>
      <c r="F178" s="674"/>
      <c r="G178" s="674"/>
      <c r="H178" s="674"/>
      <c r="I178" s="205"/>
      <c r="J178" s="205"/>
      <c r="K178" s="205"/>
      <c r="L178" s="205"/>
      <c r="M178" s="206"/>
      <c r="N178" s="662"/>
      <c r="O178" s="662"/>
      <c r="P178" s="666" t="s">
        <v>158</v>
      </c>
      <c r="Q178" s="667"/>
      <c r="R178" s="667"/>
      <c r="S178" s="667"/>
      <c r="T178" s="667"/>
      <c r="U178" s="666" t="s">
        <v>114</v>
      </c>
      <c r="V178" s="667"/>
      <c r="W178" s="667"/>
      <c r="X178" s="667"/>
      <c r="Y178" s="667"/>
      <c r="Z178" s="666" t="s">
        <v>159</v>
      </c>
      <c r="AA178" s="667"/>
      <c r="AB178" s="667"/>
      <c r="AC178" s="667"/>
      <c r="AD178" s="667"/>
      <c r="AE178" s="666" t="s">
        <v>157</v>
      </c>
      <c r="AF178" s="667"/>
      <c r="AG178" s="667"/>
      <c r="AH178" s="667"/>
      <c r="AI178" s="667"/>
      <c r="AJ178" s="666" t="s">
        <v>160</v>
      </c>
      <c r="AK178" s="667"/>
      <c r="AL178" s="667"/>
      <c r="AM178" s="667"/>
      <c r="AN178" s="667"/>
      <c r="AO178" s="666" t="s">
        <v>115</v>
      </c>
      <c r="AP178" s="667"/>
      <c r="AQ178" s="667"/>
      <c r="AR178" s="667"/>
      <c r="AS178" s="667"/>
      <c r="AT178" s="666" t="s">
        <v>162</v>
      </c>
      <c r="AU178" s="667"/>
      <c r="AV178" s="667"/>
      <c r="AW178" s="667"/>
      <c r="AX178" s="667"/>
    </row>
    <row r="179" spans="2:50">
      <c r="B179" s="659" t="s">
        <v>154</v>
      </c>
      <c r="C179" s="659" t="s">
        <v>429</v>
      </c>
      <c r="D179" s="659"/>
      <c r="E179" s="659" t="s">
        <v>420</v>
      </c>
      <c r="F179" s="659"/>
      <c r="G179" s="659"/>
      <c r="H179" s="675" t="s">
        <v>416</v>
      </c>
      <c r="I179" s="643" t="s">
        <v>421</v>
      </c>
      <c r="J179" s="643"/>
      <c r="K179" s="643"/>
      <c r="L179" s="644" t="s">
        <v>416</v>
      </c>
      <c r="M179" s="650" t="s">
        <v>417</v>
      </c>
      <c r="N179" s="659"/>
      <c r="O179" s="659" t="s">
        <v>422</v>
      </c>
      <c r="P179" s="656" t="s">
        <v>418</v>
      </c>
      <c r="Q179" s="657"/>
      <c r="R179" s="657"/>
      <c r="S179" s="658"/>
      <c r="T179" s="659" t="s">
        <v>416</v>
      </c>
      <c r="U179" s="656" t="s">
        <v>418</v>
      </c>
      <c r="V179" s="657"/>
      <c r="W179" s="657"/>
      <c r="X179" s="658"/>
      <c r="Y179" s="659" t="s">
        <v>416</v>
      </c>
      <c r="Z179" s="656" t="s">
        <v>418</v>
      </c>
      <c r="AA179" s="657"/>
      <c r="AB179" s="657"/>
      <c r="AC179" s="658"/>
      <c r="AD179" s="659" t="s">
        <v>416</v>
      </c>
      <c r="AE179" s="656" t="s">
        <v>418</v>
      </c>
      <c r="AF179" s="657"/>
      <c r="AG179" s="657"/>
      <c r="AH179" s="658"/>
      <c r="AI179" s="659" t="s">
        <v>416</v>
      </c>
      <c r="AJ179" s="656" t="s">
        <v>418</v>
      </c>
      <c r="AK179" s="657"/>
      <c r="AL179" s="657"/>
      <c r="AM179" s="658"/>
      <c r="AN179" s="659" t="s">
        <v>416</v>
      </c>
      <c r="AO179" s="656" t="s">
        <v>418</v>
      </c>
      <c r="AP179" s="657"/>
      <c r="AQ179" s="657"/>
      <c r="AR179" s="658"/>
      <c r="AS179" s="659" t="s">
        <v>416</v>
      </c>
      <c r="AT179" s="656" t="s">
        <v>418</v>
      </c>
      <c r="AU179" s="657"/>
      <c r="AV179" s="657"/>
      <c r="AW179" s="658"/>
      <c r="AX179" s="659" t="s">
        <v>416</v>
      </c>
    </row>
    <row r="180" spans="2:50">
      <c r="B180" s="659"/>
      <c r="C180" s="659"/>
      <c r="D180" s="659"/>
      <c r="E180" s="659" t="s">
        <v>423</v>
      </c>
      <c r="F180" s="659"/>
      <c r="G180" s="659"/>
      <c r="H180" s="676"/>
      <c r="I180" s="643" t="s">
        <v>423</v>
      </c>
      <c r="J180" s="643"/>
      <c r="K180" s="643"/>
      <c r="L180" s="645"/>
      <c r="M180" s="651"/>
      <c r="N180" s="659"/>
      <c r="O180" s="659"/>
      <c r="P180" s="656" t="s">
        <v>424</v>
      </c>
      <c r="Q180" s="657"/>
      <c r="R180" s="657"/>
      <c r="S180" s="658"/>
      <c r="T180" s="659"/>
      <c r="U180" s="656" t="s">
        <v>424</v>
      </c>
      <c r="V180" s="657"/>
      <c r="W180" s="657"/>
      <c r="X180" s="658"/>
      <c r="Y180" s="659"/>
      <c r="Z180" s="656" t="s">
        <v>424</v>
      </c>
      <c r="AA180" s="657"/>
      <c r="AB180" s="657"/>
      <c r="AC180" s="658"/>
      <c r="AD180" s="659"/>
      <c r="AE180" s="656" t="s">
        <v>424</v>
      </c>
      <c r="AF180" s="657"/>
      <c r="AG180" s="657"/>
      <c r="AH180" s="658"/>
      <c r="AI180" s="659"/>
      <c r="AJ180" s="656" t="s">
        <v>424</v>
      </c>
      <c r="AK180" s="657"/>
      <c r="AL180" s="657"/>
      <c r="AM180" s="658"/>
      <c r="AN180" s="659"/>
      <c r="AO180" s="656" t="s">
        <v>424</v>
      </c>
      <c r="AP180" s="657"/>
      <c r="AQ180" s="657"/>
      <c r="AR180" s="658"/>
      <c r="AS180" s="659"/>
      <c r="AT180" s="656" t="s">
        <v>424</v>
      </c>
      <c r="AU180" s="657"/>
      <c r="AV180" s="657"/>
      <c r="AW180" s="658"/>
      <c r="AX180" s="659"/>
    </row>
    <row r="181" spans="2:50">
      <c r="B181" s="659"/>
      <c r="C181" s="659"/>
      <c r="D181" s="659"/>
      <c r="E181" s="344" t="s">
        <v>425</v>
      </c>
      <c r="F181" s="344" t="s">
        <v>426</v>
      </c>
      <c r="G181" s="344" t="s">
        <v>427</v>
      </c>
      <c r="H181" s="677"/>
      <c r="I181" s="345" t="s">
        <v>425</v>
      </c>
      <c r="J181" s="345" t="s">
        <v>426</v>
      </c>
      <c r="K181" s="345" t="s">
        <v>427</v>
      </c>
      <c r="L181" s="646"/>
      <c r="M181" s="652"/>
      <c r="N181" s="659"/>
      <c r="O181" s="659"/>
      <c r="P181" s="344" t="s">
        <v>425</v>
      </c>
      <c r="Q181" s="344" t="s">
        <v>426</v>
      </c>
      <c r="R181" s="344" t="s">
        <v>427</v>
      </c>
      <c r="S181" s="344" t="s">
        <v>417</v>
      </c>
      <c r="T181" s="659"/>
      <c r="U181" s="344" t="s">
        <v>425</v>
      </c>
      <c r="V181" s="344" t="s">
        <v>426</v>
      </c>
      <c r="W181" s="344" t="s">
        <v>427</v>
      </c>
      <c r="X181" s="344" t="s">
        <v>417</v>
      </c>
      <c r="Y181" s="659"/>
      <c r="Z181" s="344" t="s">
        <v>425</v>
      </c>
      <c r="AA181" s="344" t="s">
        <v>426</v>
      </c>
      <c r="AB181" s="344" t="s">
        <v>427</v>
      </c>
      <c r="AC181" s="344" t="s">
        <v>417</v>
      </c>
      <c r="AD181" s="659"/>
      <c r="AE181" s="344" t="s">
        <v>425</v>
      </c>
      <c r="AF181" s="344" t="s">
        <v>426</v>
      </c>
      <c r="AG181" s="344" t="s">
        <v>427</v>
      </c>
      <c r="AH181" s="344" t="s">
        <v>417</v>
      </c>
      <c r="AI181" s="659"/>
      <c r="AJ181" s="344" t="s">
        <v>425</v>
      </c>
      <c r="AK181" s="344" t="s">
        <v>426</v>
      </c>
      <c r="AL181" s="344" t="s">
        <v>427</v>
      </c>
      <c r="AM181" s="344" t="s">
        <v>417</v>
      </c>
      <c r="AN181" s="659"/>
      <c r="AO181" s="344" t="s">
        <v>425</v>
      </c>
      <c r="AP181" s="344" t="s">
        <v>426</v>
      </c>
      <c r="AQ181" s="344" t="s">
        <v>427</v>
      </c>
      <c r="AR181" s="344" t="s">
        <v>417</v>
      </c>
      <c r="AS181" s="659"/>
      <c r="AT181" s="344" t="s">
        <v>425</v>
      </c>
      <c r="AU181" s="344" t="s">
        <v>426</v>
      </c>
      <c r="AV181" s="344" t="s">
        <v>427</v>
      </c>
      <c r="AW181" s="344" t="s">
        <v>417</v>
      </c>
      <c r="AX181" s="659"/>
    </row>
    <row r="182" spans="2:50">
      <c r="B182" s="659" t="s">
        <v>134</v>
      </c>
      <c r="C182" s="343">
        <v>1</v>
      </c>
      <c r="D182" s="227"/>
      <c r="E182" s="182"/>
      <c r="F182" s="510"/>
      <c r="G182" s="511"/>
      <c r="H182" s="708" t="e">
        <f>AVERAGE(G182:G211)</f>
        <v>#DIV/0!</v>
      </c>
      <c r="I182" s="199" t="e">
        <f>AVERAGE(P182,U182,Z182,AE182,AJ182,AO182,AT182)</f>
        <v>#DIV/0!</v>
      </c>
      <c r="J182" s="199" t="e">
        <f>AVERAGE(Q182,V182,AA182,AF182,AK182,AP182,AU182)</f>
        <v>#DIV/0!</v>
      </c>
      <c r="K182" s="200" t="e">
        <f>AVERAGE(R182,W182,AB182,AG182,AL182,AQ182,AV182)</f>
        <v>#DIV/0!</v>
      </c>
      <c r="L182" s="640" t="str">
        <f>IFERROR(AVERAGE(K182:K211),"-")</f>
        <v>-</v>
      </c>
      <c r="M182" s="201" t="e">
        <f>RANK(K182, K$147:$K$176)</f>
        <v>#DIV/0!</v>
      </c>
      <c r="N182" s="659"/>
      <c r="O182" s="659"/>
      <c r="P182" s="182"/>
      <c r="Q182" s="182"/>
      <c r="R182" s="182"/>
      <c r="S182" s="343" t="e">
        <f>RANK(R182, R$182:R$211)</f>
        <v>#N/A</v>
      </c>
      <c r="T182" s="681" t="e">
        <f>AVERAGE(R182:R211)</f>
        <v>#DIV/0!</v>
      </c>
      <c r="U182" s="182"/>
      <c r="V182" s="182"/>
      <c r="W182" s="182"/>
      <c r="X182" s="500" t="e">
        <f>RANK(W182, W$182:W$211)</f>
        <v>#N/A</v>
      </c>
      <c r="Y182" s="681" t="e">
        <f>AVERAGE(W182:W211)</f>
        <v>#DIV/0!</v>
      </c>
      <c r="Z182" s="182"/>
      <c r="AA182" s="182"/>
      <c r="AB182" s="182"/>
      <c r="AC182" s="500" t="e">
        <f>RANK(AB182, AB$182:AB$211)</f>
        <v>#N/A</v>
      </c>
      <c r="AD182" s="681" t="e">
        <f>AVERAGE(AB182:AB211)</f>
        <v>#DIV/0!</v>
      </c>
      <c r="AE182" s="182"/>
      <c r="AF182" s="182"/>
      <c r="AG182" s="182"/>
      <c r="AH182" s="500" t="e">
        <f>RANK(AG182, AG$182:AG$211)</f>
        <v>#N/A</v>
      </c>
      <c r="AI182" s="681" t="e">
        <f>AVERAGE(AG182:AG211)</f>
        <v>#DIV/0!</v>
      </c>
      <c r="AJ182" s="182"/>
      <c r="AK182" s="182"/>
      <c r="AL182" s="182"/>
      <c r="AM182" s="500" t="e">
        <f>RANK(AL182, AL$182:AL$211)</f>
        <v>#N/A</v>
      </c>
      <c r="AN182" s="681" t="e">
        <f>AVERAGE(AL182:AL211)</f>
        <v>#DIV/0!</v>
      </c>
      <c r="AO182" s="182"/>
      <c r="AP182" s="182"/>
      <c r="AQ182" s="182"/>
      <c r="AR182" s="500" t="e">
        <f>RANK(AQ182, AQ$182:AQ$211)</f>
        <v>#N/A</v>
      </c>
      <c r="AS182" s="681" t="e">
        <f>AVERAGE(AQ182:AQ211)</f>
        <v>#DIV/0!</v>
      </c>
      <c r="AT182" s="182"/>
      <c r="AU182" s="182"/>
      <c r="AV182" s="182"/>
      <c r="AW182" s="500" t="e">
        <f>RANK(AV182, AV$182:AV$211)</f>
        <v>#N/A</v>
      </c>
      <c r="AX182" s="681" t="e">
        <f>AVERAGE(AV182:AV211)</f>
        <v>#DIV/0!</v>
      </c>
    </row>
    <row r="183" spans="2:50">
      <c r="B183" s="667"/>
      <c r="C183" s="343">
        <v>2</v>
      </c>
      <c r="D183" s="227"/>
      <c r="E183" s="182"/>
      <c r="F183" s="510"/>
      <c r="G183" s="511"/>
      <c r="H183" s="709"/>
      <c r="I183" s="199" t="e">
        <f t="shared" ref="I183:I205" si="91">AVERAGE(P183,U183,Z183,AE183,AJ183,AO183,AT183)</f>
        <v>#DIV/0!</v>
      </c>
      <c r="J183" s="199" t="e">
        <f t="shared" ref="J183:J205" si="92">AVERAGE(Q183,V183,AA183,AF183,AK183,AP183,AU183)</f>
        <v>#DIV/0!</v>
      </c>
      <c r="K183" s="200" t="e">
        <f t="shared" ref="K183:K205" si="93">AVERAGE(R183,W183,AB183,AG183,AL183,AQ183,AV183)</f>
        <v>#DIV/0!</v>
      </c>
      <c r="L183" s="641"/>
      <c r="M183" s="201" t="e">
        <f>RANK(K183, K$147:$K$176)</f>
        <v>#DIV/0!</v>
      </c>
      <c r="N183" s="659"/>
      <c r="O183" s="659"/>
      <c r="P183" s="182"/>
      <c r="Q183" s="182"/>
      <c r="R183" s="182"/>
      <c r="S183" s="500" t="e">
        <f t="shared" ref="S183:S211" si="94">RANK(R183, R$182:R$211)</f>
        <v>#N/A</v>
      </c>
      <c r="T183" s="681"/>
      <c r="U183" s="182"/>
      <c r="V183" s="182"/>
      <c r="W183" s="182"/>
      <c r="X183" s="500" t="e">
        <f t="shared" ref="X183:X211" si="95">RANK(W183, W$182:W$211)</f>
        <v>#N/A</v>
      </c>
      <c r="Y183" s="681"/>
      <c r="Z183" s="182"/>
      <c r="AA183" s="182"/>
      <c r="AB183" s="182"/>
      <c r="AC183" s="500" t="e">
        <f t="shared" ref="AC183:AC211" si="96">RANK(AB183, AB$182:AB$211)</f>
        <v>#N/A</v>
      </c>
      <c r="AD183" s="681"/>
      <c r="AE183" s="182"/>
      <c r="AF183" s="182"/>
      <c r="AG183" s="182"/>
      <c r="AH183" s="500" t="e">
        <f t="shared" ref="AH183:AH211" si="97">RANK(AG183, AG$182:AG$211)</f>
        <v>#N/A</v>
      </c>
      <c r="AI183" s="681"/>
      <c r="AJ183" s="182"/>
      <c r="AK183" s="182"/>
      <c r="AL183" s="182"/>
      <c r="AM183" s="500" t="e">
        <f t="shared" ref="AM183:AM211" si="98">RANK(AL183, AL$182:AL$211)</f>
        <v>#N/A</v>
      </c>
      <c r="AN183" s="681"/>
      <c r="AO183" s="182"/>
      <c r="AP183" s="182"/>
      <c r="AQ183" s="182"/>
      <c r="AR183" s="500" t="e">
        <f t="shared" ref="AR183:AR211" si="99">RANK(AQ183, AQ$182:AQ$211)</f>
        <v>#N/A</v>
      </c>
      <c r="AS183" s="681"/>
      <c r="AT183" s="182"/>
      <c r="AU183" s="182"/>
      <c r="AV183" s="182"/>
      <c r="AW183" s="500" t="e">
        <f t="shared" ref="AW183:AW211" si="100">RANK(AV183, AV$182:AV$211)</f>
        <v>#N/A</v>
      </c>
      <c r="AX183" s="681"/>
    </row>
    <row r="184" spans="2:50">
      <c r="B184" s="667"/>
      <c r="C184" s="343">
        <v>3</v>
      </c>
      <c r="D184" s="227"/>
      <c r="E184" s="182"/>
      <c r="F184" s="510"/>
      <c r="G184" s="511"/>
      <c r="H184" s="709"/>
      <c r="I184" s="199" t="e">
        <f t="shared" si="91"/>
        <v>#DIV/0!</v>
      </c>
      <c r="J184" s="199" t="e">
        <f t="shared" si="92"/>
        <v>#DIV/0!</v>
      </c>
      <c r="K184" s="200" t="e">
        <f t="shared" si="93"/>
        <v>#DIV/0!</v>
      </c>
      <c r="L184" s="641"/>
      <c r="M184" s="201" t="e">
        <f>RANK(K184, K$147:$K$176)</f>
        <v>#DIV/0!</v>
      </c>
      <c r="N184" s="659"/>
      <c r="O184" s="659"/>
      <c r="P184" s="182"/>
      <c r="Q184" s="182"/>
      <c r="R184" s="182"/>
      <c r="S184" s="500" t="e">
        <f t="shared" si="94"/>
        <v>#N/A</v>
      </c>
      <c r="T184" s="681"/>
      <c r="U184" s="182"/>
      <c r="V184" s="182"/>
      <c r="W184" s="182"/>
      <c r="X184" s="500" t="e">
        <f t="shared" si="95"/>
        <v>#N/A</v>
      </c>
      <c r="Y184" s="681"/>
      <c r="Z184" s="182"/>
      <c r="AA184" s="182"/>
      <c r="AB184" s="182"/>
      <c r="AC184" s="500" t="e">
        <f t="shared" si="96"/>
        <v>#N/A</v>
      </c>
      <c r="AD184" s="681"/>
      <c r="AE184" s="182"/>
      <c r="AF184" s="182"/>
      <c r="AG184" s="182"/>
      <c r="AH184" s="500" t="e">
        <f t="shared" si="97"/>
        <v>#N/A</v>
      </c>
      <c r="AI184" s="681"/>
      <c r="AJ184" s="182"/>
      <c r="AK184" s="182"/>
      <c r="AL184" s="182"/>
      <c r="AM184" s="500" t="e">
        <f t="shared" si="98"/>
        <v>#N/A</v>
      </c>
      <c r="AN184" s="681"/>
      <c r="AO184" s="182"/>
      <c r="AP184" s="182"/>
      <c r="AQ184" s="182"/>
      <c r="AR184" s="500" t="e">
        <f t="shared" si="99"/>
        <v>#N/A</v>
      </c>
      <c r="AS184" s="681"/>
      <c r="AT184" s="182"/>
      <c r="AU184" s="182"/>
      <c r="AV184" s="182"/>
      <c r="AW184" s="500" t="e">
        <f t="shared" si="100"/>
        <v>#N/A</v>
      </c>
      <c r="AX184" s="681"/>
    </row>
    <row r="185" spans="2:50">
      <c r="B185" s="667"/>
      <c r="C185" s="343">
        <v>4</v>
      </c>
      <c r="D185" s="227"/>
      <c r="E185" s="182"/>
      <c r="F185" s="510"/>
      <c r="G185" s="511"/>
      <c r="H185" s="709"/>
      <c r="I185" s="199" t="e">
        <f t="shared" si="91"/>
        <v>#DIV/0!</v>
      </c>
      <c r="J185" s="199" t="e">
        <f t="shared" si="92"/>
        <v>#DIV/0!</v>
      </c>
      <c r="K185" s="200" t="e">
        <f t="shared" si="93"/>
        <v>#DIV/0!</v>
      </c>
      <c r="L185" s="641"/>
      <c r="M185" s="201" t="e">
        <f>RANK(K185, K$147:$K$176)</f>
        <v>#DIV/0!</v>
      </c>
      <c r="N185" s="659"/>
      <c r="O185" s="659"/>
      <c r="P185" s="182"/>
      <c r="Q185" s="182"/>
      <c r="R185" s="182"/>
      <c r="S185" s="500" t="e">
        <f t="shared" si="94"/>
        <v>#N/A</v>
      </c>
      <c r="T185" s="681"/>
      <c r="U185" s="182"/>
      <c r="V185" s="182"/>
      <c r="W185" s="182"/>
      <c r="X185" s="500" t="e">
        <f t="shared" si="95"/>
        <v>#N/A</v>
      </c>
      <c r="Y185" s="681"/>
      <c r="Z185" s="182"/>
      <c r="AA185" s="182"/>
      <c r="AB185" s="182"/>
      <c r="AC185" s="500" t="e">
        <f t="shared" si="96"/>
        <v>#N/A</v>
      </c>
      <c r="AD185" s="681"/>
      <c r="AE185" s="182"/>
      <c r="AF185" s="182"/>
      <c r="AG185" s="182"/>
      <c r="AH185" s="500" t="e">
        <f t="shared" si="97"/>
        <v>#N/A</v>
      </c>
      <c r="AI185" s="681"/>
      <c r="AJ185" s="182"/>
      <c r="AK185" s="182"/>
      <c r="AL185" s="182"/>
      <c r="AM185" s="500" t="e">
        <f t="shared" si="98"/>
        <v>#N/A</v>
      </c>
      <c r="AN185" s="681"/>
      <c r="AO185" s="182"/>
      <c r="AP185" s="182"/>
      <c r="AQ185" s="182"/>
      <c r="AR185" s="500" t="e">
        <f t="shared" si="99"/>
        <v>#N/A</v>
      </c>
      <c r="AS185" s="681"/>
      <c r="AT185" s="182"/>
      <c r="AU185" s="182"/>
      <c r="AV185" s="182"/>
      <c r="AW185" s="500" t="e">
        <f t="shared" si="100"/>
        <v>#N/A</v>
      </c>
      <c r="AX185" s="681"/>
    </row>
    <row r="186" spans="2:50">
      <c r="B186" s="667"/>
      <c r="C186" s="343">
        <v>5</v>
      </c>
      <c r="D186" s="227"/>
      <c r="E186" s="182"/>
      <c r="F186" s="510"/>
      <c r="G186" s="511"/>
      <c r="H186" s="709"/>
      <c r="I186" s="199" t="e">
        <f t="shared" si="91"/>
        <v>#DIV/0!</v>
      </c>
      <c r="J186" s="199" t="e">
        <f t="shared" si="92"/>
        <v>#DIV/0!</v>
      </c>
      <c r="K186" s="200" t="e">
        <f t="shared" si="93"/>
        <v>#DIV/0!</v>
      </c>
      <c r="L186" s="641"/>
      <c r="M186" s="201" t="e">
        <f>RANK(K186, K$147:$K$176)</f>
        <v>#DIV/0!</v>
      </c>
      <c r="N186" s="659"/>
      <c r="O186" s="659"/>
      <c r="P186" s="182"/>
      <c r="Q186" s="182"/>
      <c r="R186" s="182"/>
      <c r="S186" s="500" t="e">
        <f t="shared" si="94"/>
        <v>#N/A</v>
      </c>
      <c r="T186" s="681"/>
      <c r="U186" s="182"/>
      <c r="V186" s="182"/>
      <c r="W186" s="182"/>
      <c r="X186" s="500" t="e">
        <f t="shared" si="95"/>
        <v>#N/A</v>
      </c>
      <c r="Y186" s="681"/>
      <c r="Z186" s="182"/>
      <c r="AA186" s="182"/>
      <c r="AB186" s="182"/>
      <c r="AC186" s="500" t="e">
        <f t="shared" si="96"/>
        <v>#N/A</v>
      </c>
      <c r="AD186" s="681"/>
      <c r="AE186" s="182"/>
      <c r="AF186" s="182"/>
      <c r="AG186" s="182"/>
      <c r="AH186" s="500" t="e">
        <f t="shared" si="97"/>
        <v>#N/A</v>
      </c>
      <c r="AI186" s="681"/>
      <c r="AJ186" s="182"/>
      <c r="AK186" s="182"/>
      <c r="AL186" s="182"/>
      <c r="AM186" s="500" t="e">
        <f t="shared" si="98"/>
        <v>#N/A</v>
      </c>
      <c r="AN186" s="681"/>
      <c r="AO186" s="182"/>
      <c r="AP186" s="182"/>
      <c r="AQ186" s="182"/>
      <c r="AR186" s="500" t="e">
        <f t="shared" si="99"/>
        <v>#N/A</v>
      </c>
      <c r="AS186" s="681"/>
      <c r="AT186" s="182"/>
      <c r="AU186" s="182"/>
      <c r="AV186" s="182"/>
      <c r="AW186" s="500" t="e">
        <f t="shared" si="100"/>
        <v>#N/A</v>
      </c>
      <c r="AX186" s="681"/>
    </row>
    <row r="187" spans="2:50">
      <c r="B187" s="667"/>
      <c r="C187" s="343">
        <v>6</v>
      </c>
      <c r="D187" s="227"/>
      <c r="E187" s="182"/>
      <c r="F187" s="510"/>
      <c r="G187" s="511"/>
      <c r="H187" s="709"/>
      <c r="I187" s="199" t="e">
        <f t="shared" si="91"/>
        <v>#DIV/0!</v>
      </c>
      <c r="J187" s="199" t="e">
        <f t="shared" si="92"/>
        <v>#DIV/0!</v>
      </c>
      <c r="K187" s="200" t="e">
        <f t="shared" si="93"/>
        <v>#DIV/0!</v>
      </c>
      <c r="L187" s="641"/>
      <c r="M187" s="201" t="e">
        <f>RANK(K187, K$147:$K$176)</f>
        <v>#DIV/0!</v>
      </c>
      <c r="N187" s="659"/>
      <c r="O187" s="659"/>
      <c r="P187" s="182"/>
      <c r="Q187" s="182"/>
      <c r="R187" s="182"/>
      <c r="S187" s="500" t="e">
        <f t="shared" si="94"/>
        <v>#N/A</v>
      </c>
      <c r="T187" s="681"/>
      <c r="U187" s="182"/>
      <c r="V187" s="182"/>
      <c r="W187" s="182"/>
      <c r="X187" s="500" t="e">
        <f t="shared" si="95"/>
        <v>#N/A</v>
      </c>
      <c r="Y187" s="681"/>
      <c r="Z187" s="182"/>
      <c r="AA187" s="182"/>
      <c r="AB187" s="182"/>
      <c r="AC187" s="500" t="e">
        <f t="shared" si="96"/>
        <v>#N/A</v>
      </c>
      <c r="AD187" s="681"/>
      <c r="AE187" s="182"/>
      <c r="AF187" s="182"/>
      <c r="AG187" s="182"/>
      <c r="AH187" s="500" t="e">
        <f t="shared" si="97"/>
        <v>#N/A</v>
      </c>
      <c r="AI187" s="681"/>
      <c r="AJ187" s="182"/>
      <c r="AK187" s="182"/>
      <c r="AL187" s="182"/>
      <c r="AM187" s="500" t="e">
        <f t="shared" si="98"/>
        <v>#N/A</v>
      </c>
      <c r="AN187" s="681"/>
      <c r="AO187" s="182"/>
      <c r="AP187" s="182"/>
      <c r="AQ187" s="182"/>
      <c r="AR187" s="500" t="e">
        <f t="shared" si="99"/>
        <v>#N/A</v>
      </c>
      <c r="AS187" s="681"/>
      <c r="AT187" s="182"/>
      <c r="AU187" s="182"/>
      <c r="AV187" s="182"/>
      <c r="AW187" s="500" t="e">
        <f t="shared" si="100"/>
        <v>#N/A</v>
      </c>
      <c r="AX187" s="681"/>
    </row>
    <row r="188" spans="2:50">
      <c r="B188" s="667"/>
      <c r="C188" s="343">
        <v>7</v>
      </c>
      <c r="D188" s="227"/>
      <c r="E188" s="182"/>
      <c r="F188" s="510"/>
      <c r="G188" s="511"/>
      <c r="H188" s="709"/>
      <c r="I188" s="199" t="e">
        <f t="shared" si="91"/>
        <v>#DIV/0!</v>
      </c>
      <c r="J188" s="199" t="e">
        <f t="shared" si="92"/>
        <v>#DIV/0!</v>
      </c>
      <c r="K188" s="200" t="e">
        <f t="shared" si="93"/>
        <v>#DIV/0!</v>
      </c>
      <c r="L188" s="641"/>
      <c r="M188" s="201" t="e">
        <f>RANK(K188, K$147:$K$176)</f>
        <v>#DIV/0!</v>
      </c>
      <c r="N188" s="659"/>
      <c r="O188" s="659"/>
      <c r="P188" s="182"/>
      <c r="Q188" s="182"/>
      <c r="R188" s="182"/>
      <c r="S188" s="500" t="e">
        <f t="shared" si="94"/>
        <v>#N/A</v>
      </c>
      <c r="T188" s="681"/>
      <c r="U188" s="182"/>
      <c r="V188" s="182"/>
      <c r="W188" s="182"/>
      <c r="X188" s="500" t="e">
        <f t="shared" si="95"/>
        <v>#N/A</v>
      </c>
      <c r="Y188" s="681"/>
      <c r="Z188" s="182"/>
      <c r="AA188" s="182"/>
      <c r="AB188" s="182"/>
      <c r="AC188" s="500" t="e">
        <f t="shared" si="96"/>
        <v>#N/A</v>
      </c>
      <c r="AD188" s="681"/>
      <c r="AE188" s="182"/>
      <c r="AF188" s="182"/>
      <c r="AG188" s="182"/>
      <c r="AH188" s="500" t="e">
        <f t="shared" si="97"/>
        <v>#N/A</v>
      </c>
      <c r="AI188" s="681"/>
      <c r="AJ188" s="182"/>
      <c r="AK188" s="182"/>
      <c r="AL188" s="182"/>
      <c r="AM188" s="500" t="e">
        <f t="shared" si="98"/>
        <v>#N/A</v>
      </c>
      <c r="AN188" s="681"/>
      <c r="AO188" s="182"/>
      <c r="AP188" s="182"/>
      <c r="AQ188" s="182"/>
      <c r="AR188" s="500" t="e">
        <f t="shared" si="99"/>
        <v>#N/A</v>
      </c>
      <c r="AS188" s="681"/>
      <c r="AT188" s="182"/>
      <c r="AU188" s="182"/>
      <c r="AV188" s="182"/>
      <c r="AW188" s="500" t="e">
        <f t="shared" si="100"/>
        <v>#N/A</v>
      </c>
      <c r="AX188" s="681"/>
    </row>
    <row r="189" spans="2:50">
      <c r="B189" s="667"/>
      <c r="C189" s="343">
        <v>8</v>
      </c>
      <c r="D189" s="227"/>
      <c r="E189" s="182"/>
      <c r="F189" s="510"/>
      <c r="G189" s="511"/>
      <c r="H189" s="709"/>
      <c r="I189" s="199" t="e">
        <f t="shared" si="91"/>
        <v>#DIV/0!</v>
      </c>
      <c r="J189" s="199" t="e">
        <f t="shared" si="92"/>
        <v>#DIV/0!</v>
      </c>
      <c r="K189" s="200" t="e">
        <f t="shared" si="93"/>
        <v>#DIV/0!</v>
      </c>
      <c r="L189" s="641"/>
      <c r="M189" s="201" t="e">
        <f>RANK(K189, K$147:$K$176)</f>
        <v>#DIV/0!</v>
      </c>
      <c r="N189" s="659"/>
      <c r="O189" s="659"/>
      <c r="P189" s="182"/>
      <c r="Q189" s="182"/>
      <c r="R189" s="182"/>
      <c r="S189" s="500" t="e">
        <f t="shared" si="94"/>
        <v>#N/A</v>
      </c>
      <c r="T189" s="681"/>
      <c r="U189" s="182"/>
      <c r="V189" s="182"/>
      <c r="W189" s="182"/>
      <c r="X189" s="500" t="e">
        <f t="shared" si="95"/>
        <v>#N/A</v>
      </c>
      <c r="Y189" s="681"/>
      <c r="Z189" s="182"/>
      <c r="AA189" s="182"/>
      <c r="AB189" s="182"/>
      <c r="AC189" s="500" t="e">
        <f t="shared" si="96"/>
        <v>#N/A</v>
      </c>
      <c r="AD189" s="681"/>
      <c r="AE189" s="182"/>
      <c r="AF189" s="182"/>
      <c r="AG189" s="182"/>
      <c r="AH189" s="500" t="e">
        <f t="shared" si="97"/>
        <v>#N/A</v>
      </c>
      <c r="AI189" s="681"/>
      <c r="AJ189" s="182"/>
      <c r="AK189" s="182"/>
      <c r="AL189" s="182"/>
      <c r="AM189" s="500" t="e">
        <f t="shared" si="98"/>
        <v>#N/A</v>
      </c>
      <c r="AN189" s="681"/>
      <c r="AO189" s="182"/>
      <c r="AP189" s="182"/>
      <c r="AQ189" s="182"/>
      <c r="AR189" s="500" t="e">
        <f t="shared" si="99"/>
        <v>#N/A</v>
      </c>
      <c r="AS189" s="681"/>
      <c r="AT189" s="182"/>
      <c r="AU189" s="182"/>
      <c r="AV189" s="182"/>
      <c r="AW189" s="500" t="e">
        <f t="shared" si="100"/>
        <v>#N/A</v>
      </c>
      <c r="AX189" s="681"/>
    </row>
    <row r="190" spans="2:50">
      <c r="B190" s="667"/>
      <c r="C190" s="343">
        <v>9</v>
      </c>
      <c r="D190" s="227"/>
      <c r="E190" s="182"/>
      <c r="F190" s="510"/>
      <c r="G190" s="511"/>
      <c r="H190" s="709"/>
      <c r="I190" s="199" t="e">
        <f t="shared" si="91"/>
        <v>#DIV/0!</v>
      </c>
      <c r="J190" s="199" t="e">
        <f t="shared" si="92"/>
        <v>#DIV/0!</v>
      </c>
      <c r="K190" s="200" t="e">
        <f t="shared" si="93"/>
        <v>#DIV/0!</v>
      </c>
      <c r="L190" s="641"/>
      <c r="M190" s="201" t="e">
        <f>RANK(K190, K$147:$K$176)</f>
        <v>#DIV/0!</v>
      </c>
      <c r="N190" s="659"/>
      <c r="O190" s="659"/>
      <c r="P190" s="182"/>
      <c r="Q190" s="182"/>
      <c r="R190" s="182"/>
      <c r="S190" s="500" t="e">
        <f t="shared" si="94"/>
        <v>#N/A</v>
      </c>
      <c r="T190" s="681"/>
      <c r="U190" s="182"/>
      <c r="V190" s="182"/>
      <c r="W190" s="182"/>
      <c r="X190" s="500" t="e">
        <f t="shared" si="95"/>
        <v>#N/A</v>
      </c>
      <c r="Y190" s="681"/>
      <c r="Z190" s="182"/>
      <c r="AA190" s="182"/>
      <c r="AB190" s="182"/>
      <c r="AC190" s="500" t="e">
        <f t="shared" si="96"/>
        <v>#N/A</v>
      </c>
      <c r="AD190" s="681"/>
      <c r="AE190" s="182"/>
      <c r="AF190" s="182"/>
      <c r="AG190" s="182"/>
      <c r="AH190" s="500" t="e">
        <f t="shared" si="97"/>
        <v>#N/A</v>
      </c>
      <c r="AI190" s="681"/>
      <c r="AJ190" s="182"/>
      <c r="AK190" s="182"/>
      <c r="AL190" s="182"/>
      <c r="AM190" s="500" t="e">
        <f t="shared" si="98"/>
        <v>#N/A</v>
      </c>
      <c r="AN190" s="681"/>
      <c r="AO190" s="182"/>
      <c r="AP190" s="182"/>
      <c r="AQ190" s="182"/>
      <c r="AR190" s="500" t="e">
        <f t="shared" si="99"/>
        <v>#N/A</v>
      </c>
      <c r="AS190" s="681"/>
      <c r="AT190" s="182"/>
      <c r="AU190" s="182"/>
      <c r="AV190" s="182"/>
      <c r="AW190" s="500" t="e">
        <f t="shared" si="100"/>
        <v>#N/A</v>
      </c>
      <c r="AX190" s="681"/>
    </row>
    <row r="191" spans="2:50">
      <c r="B191" s="667"/>
      <c r="C191" s="343">
        <v>10</v>
      </c>
      <c r="D191" s="227"/>
      <c r="E191" s="182"/>
      <c r="F191" s="510"/>
      <c r="G191" s="511"/>
      <c r="H191" s="709"/>
      <c r="I191" s="199" t="e">
        <f t="shared" si="91"/>
        <v>#DIV/0!</v>
      </c>
      <c r="J191" s="199" t="e">
        <f t="shared" si="92"/>
        <v>#DIV/0!</v>
      </c>
      <c r="K191" s="200" t="e">
        <f t="shared" si="93"/>
        <v>#DIV/0!</v>
      </c>
      <c r="L191" s="641"/>
      <c r="M191" s="201" t="e">
        <f>RANK(K191, K$147:$K$176)</f>
        <v>#DIV/0!</v>
      </c>
      <c r="N191" s="659"/>
      <c r="O191" s="659"/>
      <c r="P191" s="182"/>
      <c r="Q191" s="182"/>
      <c r="R191" s="182"/>
      <c r="S191" s="500" t="e">
        <f t="shared" si="94"/>
        <v>#N/A</v>
      </c>
      <c r="T191" s="681"/>
      <c r="U191" s="182"/>
      <c r="V191" s="182"/>
      <c r="W191" s="182"/>
      <c r="X191" s="500" t="e">
        <f t="shared" si="95"/>
        <v>#N/A</v>
      </c>
      <c r="Y191" s="681"/>
      <c r="Z191" s="182"/>
      <c r="AA191" s="182"/>
      <c r="AB191" s="182"/>
      <c r="AC191" s="500" t="e">
        <f t="shared" si="96"/>
        <v>#N/A</v>
      </c>
      <c r="AD191" s="681"/>
      <c r="AE191" s="182"/>
      <c r="AF191" s="182"/>
      <c r="AG191" s="182"/>
      <c r="AH191" s="500" t="e">
        <f t="shared" si="97"/>
        <v>#N/A</v>
      </c>
      <c r="AI191" s="681"/>
      <c r="AJ191" s="182"/>
      <c r="AK191" s="182"/>
      <c r="AL191" s="182"/>
      <c r="AM191" s="500" t="e">
        <f t="shared" si="98"/>
        <v>#N/A</v>
      </c>
      <c r="AN191" s="681"/>
      <c r="AO191" s="182"/>
      <c r="AP191" s="182"/>
      <c r="AQ191" s="182"/>
      <c r="AR191" s="500" t="e">
        <f t="shared" si="99"/>
        <v>#N/A</v>
      </c>
      <c r="AS191" s="681"/>
      <c r="AT191" s="182"/>
      <c r="AU191" s="182"/>
      <c r="AV191" s="182"/>
      <c r="AW191" s="500" t="e">
        <f t="shared" si="100"/>
        <v>#N/A</v>
      </c>
      <c r="AX191" s="681"/>
    </row>
    <row r="192" spans="2:50">
      <c r="B192" s="667"/>
      <c r="C192" s="343">
        <v>11</v>
      </c>
      <c r="D192" s="227"/>
      <c r="E192" s="182"/>
      <c r="F192" s="510"/>
      <c r="G192" s="511"/>
      <c r="H192" s="709"/>
      <c r="I192" s="199" t="e">
        <f t="shared" si="91"/>
        <v>#DIV/0!</v>
      </c>
      <c r="J192" s="199" t="e">
        <f t="shared" si="92"/>
        <v>#DIV/0!</v>
      </c>
      <c r="K192" s="200" t="e">
        <f t="shared" si="93"/>
        <v>#DIV/0!</v>
      </c>
      <c r="L192" s="641"/>
      <c r="M192" s="201" t="e">
        <f>RANK(K192, K$147:$K$176)</f>
        <v>#DIV/0!</v>
      </c>
      <c r="N192" s="659"/>
      <c r="O192" s="659"/>
      <c r="P192" s="182"/>
      <c r="Q192" s="182"/>
      <c r="R192" s="182"/>
      <c r="S192" s="500" t="e">
        <f t="shared" si="94"/>
        <v>#N/A</v>
      </c>
      <c r="T192" s="681"/>
      <c r="U192" s="182"/>
      <c r="V192" s="182"/>
      <c r="W192" s="182"/>
      <c r="X192" s="500" t="e">
        <f t="shared" si="95"/>
        <v>#N/A</v>
      </c>
      <c r="Y192" s="681"/>
      <c r="Z192" s="182"/>
      <c r="AA192" s="182"/>
      <c r="AB192" s="182"/>
      <c r="AC192" s="500" t="e">
        <f t="shared" si="96"/>
        <v>#N/A</v>
      </c>
      <c r="AD192" s="681"/>
      <c r="AE192" s="182"/>
      <c r="AF192" s="182"/>
      <c r="AG192" s="182"/>
      <c r="AH192" s="500" t="e">
        <f t="shared" si="97"/>
        <v>#N/A</v>
      </c>
      <c r="AI192" s="681"/>
      <c r="AJ192" s="182"/>
      <c r="AK192" s="182"/>
      <c r="AL192" s="182"/>
      <c r="AM192" s="500" t="e">
        <f t="shared" si="98"/>
        <v>#N/A</v>
      </c>
      <c r="AN192" s="681"/>
      <c r="AO192" s="182"/>
      <c r="AP192" s="182"/>
      <c r="AQ192" s="182"/>
      <c r="AR192" s="500" t="e">
        <f t="shared" si="99"/>
        <v>#N/A</v>
      </c>
      <c r="AS192" s="681"/>
      <c r="AT192" s="182"/>
      <c r="AU192" s="182"/>
      <c r="AV192" s="182"/>
      <c r="AW192" s="500" t="e">
        <f t="shared" si="100"/>
        <v>#N/A</v>
      </c>
      <c r="AX192" s="681"/>
    </row>
    <row r="193" spans="2:50">
      <c r="B193" s="667"/>
      <c r="C193" s="343">
        <v>12</v>
      </c>
      <c r="D193" s="227"/>
      <c r="E193" s="182"/>
      <c r="F193" s="510"/>
      <c r="G193" s="511"/>
      <c r="H193" s="709"/>
      <c r="I193" s="199" t="e">
        <f t="shared" si="91"/>
        <v>#DIV/0!</v>
      </c>
      <c r="J193" s="199" t="e">
        <f t="shared" si="92"/>
        <v>#DIV/0!</v>
      </c>
      <c r="K193" s="200" t="e">
        <f t="shared" si="93"/>
        <v>#DIV/0!</v>
      </c>
      <c r="L193" s="641"/>
      <c r="M193" s="201" t="e">
        <f>RANK(K193, K$147:$K$176)</f>
        <v>#DIV/0!</v>
      </c>
      <c r="N193" s="659"/>
      <c r="O193" s="659"/>
      <c r="P193" s="182"/>
      <c r="Q193" s="182"/>
      <c r="R193" s="182"/>
      <c r="S193" s="500" t="e">
        <f t="shared" si="94"/>
        <v>#N/A</v>
      </c>
      <c r="T193" s="681"/>
      <c r="U193" s="182"/>
      <c r="V193" s="182"/>
      <c r="W193" s="182"/>
      <c r="X193" s="500" t="e">
        <f t="shared" si="95"/>
        <v>#N/A</v>
      </c>
      <c r="Y193" s="681"/>
      <c r="Z193" s="182"/>
      <c r="AA193" s="182"/>
      <c r="AB193" s="182"/>
      <c r="AC193" s="500" t="e">
        <f t="shared" si="96"/>
        <v>#N/A</v>
      </c>
      <c r="AD193" s="681"/>
      <c r="AE193" s="182"/>
      <c r="AF193" s="182"/>
      <c r="AG193" s="182"/>
      <c r="AH193" s="500" t="e">
        <f t="shared" si="97"/>
        <v>#N/A</v>
      </c>
      <c r="AI193" s="681"/>
      <c r="AJ193" s="182"/>
      <c r="AK193" s="182"/>
      <c r="AL193" s="182"/>
      <c r="AM193" s="500" t="e">
        <f t="shared" si="98"/>
        <v>#N/A</v>
      </c>
      <c r="AN193" s="681"/>
      <c r="AO193" s="182"/>
      <c r="AP193" s="182"/>
      <c r="AQ193" s="182"/>
      <c r="AR193" s="500" t="e">
        <f t="shared" si="99"/>
        <v>#N/A</v>
      </c>
      <c r="AS193" s="681"/>
      <c r="AT193" s="182"/>
      <c r="AU193" s="182"/>
      <c r="AV193" s="182"/>
      <c r="AW193" s="500" t="e">
        <f t="shared" si="100"/>
        <v>#N/A</v>
      </c>
      <c r="AX193" s="681"/>
    </row>
    <row r="194" spans="2:50">
      <c r="B194" s="667"/>
      <c r="C194" s="343">
        <v>13</v>
      </c>
      <c r="D194" s="227"/>
      <c r="E194" s="182"/>
      <c r="F194" s="510"/>
      <c r="G194" s="511"/>
      <c r="H194" s="709"/>
      <c r="I194" s="199" t="e">
        <f t="shared" si="91"/>
        <v>#DIV/0!</v>
      </c>
      <c r="J194" s="199" t="e">
        <f t="shared" si="92"/>
        <v>#DIV/0!</v>
      </c>
      <c r="K194" s="200" t="e">
        <f t="shared" si="93"/>
        <v>#DIV/0!</v>
      </c>
      <c r="L194" s="641"/>
      <c r="M194" s="201" t="e">
        <f>RANK(K194, K$147:$K$176)</f>
        <v>#DIV/0!</v>
      </c>
      <c r="N194" s="659"/>
      <c r="O194" s="659"/>
      <c r="P194" s="182"/>
      <c r="Q194" s="182"/>
      <c r="R194" s="182"/>
      <c r="S194" s="500" t="e">
        <f t="shared" si="94"/>
        <v>#N/A</v>
      </c>
      <c r="T194" s="681"/>
      <c r="U194" s="182"/>
      <c r="V194" s="182"/>
      <c r="W194" s="182"/>
      <c r="X194" s="500" t="e">
        <f t="shared" si="95"/>
        <v>#N/A</v>
      </c>
      <c r="Y194" s="681"/>
      <c r="Z194" s="182"/>
      <c r="AA194" s="182"/>
      <c r="AB194" s="182"/>
      <c r="AC194" s="500" t="e">
        <f t="shared" si="96"/>
        <v>#N/A</v>
      </c>
      <c r="AD194" s="681"/>
      <c r="AE194" s="182"/>
      <c r="AF194" s="182"/>
      <c r="AG194" s="182"/>
      <c r="AH194" s="500" t="e">
        <f t="shared" si="97"/>
        <v>#N/A</v>
      </c>
      <c r="AI194" s="681"/>
      <c r="AJ194" s="182"/>
      <c r="AK194" s="182"/>
      <c r="AL194" s="182"/>
      <c r="AM194" s="500" t="e">
        <f t="shared" si="98"/>
        <v>#N/A</v>
      </c>
      <c r="AN194" s="681"/>
      <c r="AO194" s="182"/>
      <c r="AP194" s="182"/>
      <c r="AQ194" s="182"/>
      <c r="AR194" s="500" t="e">
        <f t="shared" si="99"/>
        <v>#N/A</v>
      </c>
      <c r="AS194" s="681"/>
      <c r="AT194" s="182"/>
      <c r="AU194" s="182"/>
      <c r="AV194" s="182"/>
      <c r="AW194" s="500" t="e">
        <f t="shared" si="100"/>
        <v>#N/A</v>
      </c>
      <c r="AX194" s="681"/>
    </row>
    <row r="195" spans="2:50">
      <c r="B195" s="667"/>
      <c r="C195" s="343">
        <v>14</v>
      </c>
      <c r="D195" s="227"/>
      <c r="E195" s="182"/>
      <c r="F195" s="510"/>
      <c r="G195" s="511"/>
      <c r="H195" s="709"/>
      <c r="I195" s="199" t="e">
        <f t="shared" si="91"/>
        <v>#DIV/0!</v>
      </c>
      <c r="J195" s="199" t="e">
        <f t="shared" si="92"/>
        <v>#DIV/0!</v>
      </c>
      <c r="K195" s="200" t="e">
        <f t="shared" si="93"/>
        <v>#DIV/0!</v>
      </c>
      <c r="L195" s="641"/>
      <c r="M195" s="201" t="e">
        <f>RANK(K195, K$147:$K$176)</f>
        <v>#DIV/0!</v>
      </c>
      <c r="N195" s="659"/>
      <c r="O195" s="659"/>
      <c r="P195" s="182"/>
      <c r="Q195" s="182"/>
      <c r="R195" s="182"/>
      <c r="S195" s="500" t="e">
        <f t="shared" si="94"/>
        <v>#N/A</v>
      </c>
      <c r="T195" s="681"/>
      <c r="U195" s="182"/>
      <c r="V195" s="182"/>
      <c r="W195" s="182"/>
      <c r="X195" s="500" t="e">
        <f t="shared" si="95"/>
        <v>#N/A</v>
      </c>
      <c r="Y195" s="681"/>
      <c r="Z195" s="182"/>
      <c r="AA195" s="182"/>
      <c r="AB195" s="182"/>
      <c r="AC195" s="500" t="e">
        <f t="shared" si="96"/>
        <v>#N/A</v>
      </c>
      <c r="AD195" s="681"/>
      <c r="AE195" s="182"/>
      <c r="AF195" s="182"/>
      <c r="AG195" s="182"/>
      <c r="AH195" s="500" t="e">
        <f t="shared" si="97"/>
        <v>#N/A</v>
      </c>
      <c r="AI195" s="681"/>
      <c r="AJ195" s="182"/>
      <c r="AK195" s="182"/>
      <c r="AL195" s="182"/>
      <c r="AM195" s="500" t="e">
        <f t="shared" si="98"/>
        <v>#N/A</v>
      </c>
      <c r="AN195" s="681"/>
      <c r="AO195" s="182"/>
      <c r="AP195" s="182"/>
      <c r="AQ195" s="182"/>
      <c r="AR195" s="500" t="e">
        <f t="shared" si="99"/>
        <v>#N/A</v>
      </c>
      <c r="AS195" s="681"/>
      <c r="AT195" s="182"/>
      <c r="AU195" s="182"/>
      <c r="AV195" s="182"/>
      <c r="AW195" s="500" t="e">
        <f t="shared" si="100"/>
        <v>#N/A</v>
      </c>
      <c r="AX195" s="681"/>
    </row>
    <row r="196" spans="2:50">
      <c r="B196" s="667"/>
      <c r="C196" s="343">
        <v>15</v>
      </c>
      <c r="D196" s="227"/>
      <c r="E196" s="182"/>
      <c r="F196" s="510"/>
      <c r="G196" s="511"/>
      <c r="H196" s="709"/>
      <c r="I196" s="199" t="e">
        <f t="shared" si="91"/>
        <v>#DIV/0!</v>
      </c>
      <c r="J196" s="199" t="e">
        <f t="shared" si="92"/>
        <v>#DIV/0!</v>
      </c>
      <c r="K196" s="200" t="e">
        <f t="shared" si="93"/>
        <v>#DIV/0!</v>
      </c>
      <c r="L196" s="641"/>
      <c r="M196" s="199" t="e">
        <f>RANK(K196, K$147:$K$176)</f>
        <v>#DIV/0!</v>
      </c>
      <c r="N196" s="659"/>
      <c r="O196" s="659"/>
      <c r="P196" s="182"/>
      <c r="Q196" s="182"/>
      <c r="R196" s="182"/>
      <c r="S196" s="500" t="e">
        <f t="shared" si="94"/>
        <v>#N/A</v>
      </c>
      <c r="T196" s="681"/>
      <c r="U196" s="182"/>
      <c r="V196" s="182"/>
      <c r="W196" s="182"/>
      <c r="X196" s="500" t="e">
        <f t="shared" si="95"/>
        <v>#N/A</v>
      </c>
      <c r="Y196" s="681"/>
      <c r="Z196" s="182"/>
      <c r="AA196" s="182"/>
      <c r="AB196" s="182"/>
      <c r="AC196" s="500" t="e">
        <f t="shared" si="96"/>
        <v>#N/A</v>
      </c>
      <c r="AD196" s="681"/>
      <c r="AE196" s="182"/>
      <c r="AF196" s="182"/>
      <c r="AG196" s="182"/>
      <c r="AH196" s="500" t="e">
        <f t="shared" si="97"/>
        <v>#N/A</v>
      </c>
      <c r="AI196" s="681"/>
      <c r="AJ196" s="182"/>
      <c r="AK196" s="182"/>
      <c r="AL196" s="182"/>
      <c r="AM196" s="500" t="e">
        <f t="shared" si="98"/>
        <v>#N/A</v>
      </c>
      <c r="AN196" s="681"/>
      <c r="AO196" s="182"/>
      <c r="AP196" s="182"/>
      <c r="AQ196" s="182"/>
      <c r="AR196" s="500" t="e">
        <f t="shared" si="99"/>
        <v>#N/A</v>
      </c>
      <c r="AS196" s="681"/>
      <c r="AT196" s="182"/>
      <c r="AU196" s="182"/>
      <c r="AV196" s="182"/>
      <c r="AW196" s="500" t="e">
        <f t="shared" si="100"/>
        <v>#N/A</v>
      </c>
      <c r="AX196" s="681"/>
    </row>
    <row r="197" spans="2:50">
      <c r="B197" s="667"/>
      <c r="C197" s="343">
        <v>16</v>
      </c>
      <c r="D197" s="227"/>
      <c r="E197" s="182"/>
      <c r="F197" s="510"/>
      <c r="G197" s="511"/>
      <c r="H197" s="709"/>
      <c r="I197" s="199" t="e">
        <f t="shared" si="91"/>
        <v>#DIV/0!</v>
      </c>
      <c r="J197" s="199" t="e">
        <f t="shared" si="92"/>
        <v>#DIV/0!</v>
      </c>
      <c r="K197" s="200" t="e">
        <f t="shared" si="93"/>
        <v>#DIV/0!</v>
      </c>
      <c r="L197" s="641"/>
      <c r="M197" s="199" t="e">
        <f>RANK(K197, K$147:$K$176)</f>
        <v>#DIV/0!</v>
      </c>
      <c r="N197" s="659"/>
      <c r="O197" s="659"/>
      <c r="P197" s="182"/>
      <c r="Q197" s="182"/>
      <c r="R197" s="182"/>
      <c r="S197" s="500" t="e">
        <f t="shared" si="94"/>
        <v>#N/A</v>
      </c>
      <c r="T197" s="681"/>
      <c r="U197" s="182"/>
      <c r="V197" s="182"/>
      <c r="W197" s="182"/>
      <c r="X197" s="500" t="e">
        <f t="shared" si="95"/>
        <v>#N/A</v>
      </c>
      <c r="Y197" s="681"/>
      <c r="Z197" s="182"/>
      <c r="AA197" s="182"/>
      <c r="AB197" s="182"/>
      <c r="AC197" s="500" t="e">
        <f t="shared" si="96"/>
        <v>#N/A</v>
      </c>
      <c r="AD197" s="681"/>
      <c r="AE197" s="182"/>
      <c r="AF197" s="182"/>
      <c r="AG197" s="182"/>
      <c r="AH197" s="500" t="e">
        <f t="shared" si="97"/>
        <v>#N/A</v>
      </c>
      <c r="AI197" s="681"/>
      <c r="AJ197" s="182"/>
      <c r="AK197" s="182"/>
      <c r="AL197" s="182"/>
      <c r="AM197" s="500" t="e">
        <f t="shared" si="98"/>
        <v>#N/A</v>
      </c>
      <c r="AN197" s="681"/>
      <c r="AO197" s="182"/>
      <c r="AP197" s="182"/>
      <c r="AQ197" s="182"/>
      <c r="AR197" s="500" t="e">
        <f t="shared" si="99"/>
        <v>#N/A</v>
      </c>
      <c r="AS197" s="681"/>
      <c r="AT197" s="182"/>
      <c r="AU197" s="182"/>
      <c r="AV197" s="182"/>
      <c r="AW197" s="500" t="e">
        <f t="shared" si="100"/>
        <v>#N/A</v>
      </c>
      <c r="AX197" s="681"/>
    </row>
    <row r="198" spans="2:50">
      <c r="B198" s="667"/>
      <c r="C198" s="343">
        <v>17</v>
      </c>
      <c r="D198" s="227"/>
      <c r="E198" s="182"/>
      <c r="F198" s="510"/>
      <c r="G198" s="511"/>
      <c r="H198" s="709"/>
      <c r="I198" s="199" t="e">
        <f t="shared" si="91"/>
        <v>#DIV/0!</v>
      </c>
      <c r="J198" s="199" t="e">
        <f t="shared" si="92"/>
        <v>#DIV/0!</v>
      </c>
      <c r="K198" s="200" t="e">
        <f t="shared" si="93"/>
        <v>#DIV/0!</v>
      </c>
      <c r="L198" s="641"/>
      <c r="M198" s="199" t="e">
        <f>RANK(K198, K$147:$K$176)</f>
        <v>#DIV/0!</v>
      </c>
      <c r="N198" s="659"/>
      <c r="O198" s="659"/>
      <c r="P198" s="182"/>
      <c r="Q198" s="182"/>
      <c r="R198" s="182"/>
      <c r="S198" s="500" t="e">
        <f t="shared" si="94"/>
        <v>#N/A</v>
      </c>
      <c r="T198" s="681"/>
      <c r="U198" s="182"/>
      <c r="V198" s="182"/>
      <c r="W198" s="182"/>
      <c r="X198" s="500" t="e">
        <f t="shared" si="95"/>
        <v>#N/A</v>
      </c>
      <c r="Y198" s="681"/>
      <c r="Z198" s="182"/>
      <c r="AA198" s="182"/>
      <c r="AB198" s="182"/>
      <c r="AC198" s="500" t="e">
        <f t="shared" si="96"/>
        <v>#N/A</v>
      </c>
      <c r="AD198" s="681"/>
      <c r="AE198" s="182"/>
      <c r="AF198" s="182"/>
      <c r="AG198" s="182"/>
      <c r="AH198" s="500" t="e">
        <f t="shared" si="97"/>
        <v>#N/A</v>
      </c>
      <c r="AI198" s="681"/>
      <c r="AJ198" s="182"/>
      <c r="AK198" s="182"/>
      <c r="AL198" s="182"/>
      <c r="AM198" s="500" t="e">
        <f t="shared" si="98"/>
        <v>#N/A</v>
      </c>
      <c r="AN198" s="681"/>
      <c r="AO198" s="182"/>
      <c r="AP198" s="182"/>
      <c r="AQ198" s="182"/>
      <c r="AR198" s="500" t="e">
        <f t="shared" si="99"/>
        <v>#N/A</v>
      </c>
      <c r="AS198" s="681"/>
      <c r="AT198" s="182"/>
      <c r="AU198" s="182"/>
      <c r="AV198" s="182"/>
      <c r="AW198" s="500" t="e">
        <f t="shared" si="100"/>
        <v>#N/A</v>
      </c>
      <c r="AX198" s="681"/>
    </row>
    <row r="199" spans="2:50">
      <c r="B199" s="667"/>
      <c r="C199" s="343">
        <v>18</v>
      </c>
      <c r="D199" s="227"/>
      <c r="E199" s="182"/>
      <c r="F199" s="510"/>
      <c r="G199" s="511"/>
      <c r="H199" s="709"/>
      <c r="I199" s="199" t="e">
        <f t="shared" si="91"/>
        <v>#DIV/0!</v>
      </c>
      <c r="J199" s="199" t="e">
        <f t="shared" si="92"/>
        <v>#DIV/0!</v>
      </c>
      <c r="K199" s="200" t="e">
        <f t="shared" si="93"/>
        <v>#DIV/0!</v>
      </c>
      <c r="L199" s="641"/>
      <c r="M199" s="199" t="e">
        <f>RANK(K199, K$147:$K$176)</f>
        <v>#DIV/0!</v>
      </c>
      <c r="N199" s="659"/>
      <c r="O199" s="659"/>
      <c r="P199" s="182"/>
      <c r="Q199" s="182"/>
      <c r="R199" s="182"/>
      <c r="S199" s="500" t="e">
        <f t="shared" si="94"/>
        <v>#N/A</v>
      </c>
      <c r="T199" s="681"/>
      <c r="U199" s="182"/>
      <c r="V199" s="182"/>
      <c r="W199" s="182"/>
      <c r="X199" s="500" t="e">
        <f t="shared" si="95"/>
        <v>#N/A</v>
      </c>
      <c r="Y199" s="681"/>
      <c r="Z199" s="182"/>
      <c r="AA199" s="182"/>
      <c r="AB199" s="182"/>
      <c r="AC199" s="500" t="e">
        <f t="shared" si="96"/>
        <v>#N/A</v>
      </c>
      <c r="AD199" s="681"/>
      <c r="AE199" s="182"/>
      <c r="AF199" s="182"/>
      <c r="AG199" s="182"/>
      <c r="AH199" s="500" t="e">
        <f t="shared" si="97"/>
        <v>#N/A</v>
      </c>
      <c r="AI199" s="681"/>
      <c r="AJ199" s="182"/>
      <c r="AK199" s="182"/>
      <c r="AL199" s="182"/>
      <c r="AM199" s="500" t="e">
        <f t="shared" si="98"/>
        <v>#N/A</v>
      </c>
      <c r="AN199" s="681"/>
      <c r="AO199" s="182"/>
      <c r="AP199" s="182"/>
      <c r="AQ199" s="182"/>
      <c r="AR199" s="500" t="e">
        <f t="shared" si="99"/>
        <v>#N/A</v>
      </c>
      <c r="AS199" s="681"/>
      <c r="AT199" s="182"/>
      <c r="AU199" s="182"/>
      <c r="AV199" s="182"/>
      <c r="AW199" s="500" t="e">
        <f t="shared" si="100"/>
        <v>#N/A</v>
      </c>
      <c r="AX199" s="681"/>
    </row>
    <row r="200" spans="2:50">
      <c r="B200" s="667"/>
      <c r="C200" s="343">
        <v>19</v>
      </c>
      <c r="D200" s="227"/>
      <c r="E200" s="182"/>
      <c r="F200" s="510"/>
      <c r="G200" s="511"/>
      <c r="H200" s="709"/>
      <c r="I200" s="199" t="e">
        <f t="shared" si="91"/>
        <v>#DIV/0!</v>
      </c>
      <c r="J200" s="199" t="e">
        <f t="shared" si="92"/>
        <v>#DIV/0!</v>
      </c>
      <c r="K200" s="200" t="e">
        <f t="shared" si="93"/>
        <v>#DIV/0!</v>
      </c>
      <c r="L200" s="641"/>
      <c r="M200" s="199" t="e">
        <f>RANK(K200, K$147:$K$176)</f>
        <v>#DIV/0!</v>
      </c>
      <c r="N200" s="659"/>
      <c r="O200" s="659"/>
      <c r="P200" s="182"/>
      <c r="Q200" s="182"/>
      <c r="R200" s="182"/>
      <c r="S200" s="500" t="e">
        <f t="shared" si="94"/>
        <v>#N/A</v>
      </c>
      <c r="T200" s="681"/>
      <c r="U200" s="182"/>
      <c r="V200" s="182"/>
      <c r="W200" s="182"/>
      <c r="X200" s="500" t="e">
        <f t="shared" si="95"/>
        <v>#N/A</v>
      </c>
      <c r="Y200" s="681"/>
      <c r="Z200" s="182"/>
      <c r="AA200" s="182"/>
      <c r="AB200" s="182"/>
      <c r="AC200" s="500" t="e">
        <f t="shared" si="96"/>
        <v>#N/A</v>
      </c>
      <c r="AD200" s="681"/>
      <c r="AE200" s="182"/>
      <c r="AF200" s="182"/>
      <c r="AG200" s="182"/>
      <c r="AH200" s="500" t="e">
        <f t="shared" si="97"/>
        <v>#N/A</v>
      </c>
      <c r="AI200" s="681"/>
      <c r="AJ200" s="182"/>
      <c r="AK200" s="182"/>
      <c r="AL200" s="182"/>
      <c r="AM200" s="500" t="e">
        <f t="shared" si="98"/>
        <v>#N/A</v>
      </c>
      <c r="AN200" s="681"/>
      <c r="AO200" s="182"/>
      <c r="AP200" s="182"/>
      <c r="AQ200" s="182"/>
      <c r="AR200" s="500" t="e">
        <f t="shared" si="99"/>
        <v>#N/A</v>
      </c>
      <c r="AS200" s="681"/>
      <c r="AT200" s="182"/>
      <c r="AU200" s="182"/>
      <c r="AV200" s="182"/>
      <c r="AW200" s="500" t="e">
        <f t="shared" si="100"/>
        <v>#N/A</v>
      </c>
      <c r="AX200" s="681"/>
    </row>
    <row r="201" spans="2:50">
      <c r="B201" s="667"/>
      <c r="C201" s="343">
        <v>20</v>
      </c>
      <c r="D201" s="227"/>
      <c r="E201" s="182"/>
      <c r="F201" s="510"/>
      <c r="G201" s="511"/>
      <c r="H201" s="709"/>
      <c r="I201" s="199" t="e">
        <f t="shared" si="91"/>
        <v>#DIV/0!</v>
      </c>
      <c r="J201" s="199" t="e">
        <f t="shared" si="92"/>
        <v>#DIV/0!</v>
      </c>
      <c r="K201" s="200" t="e">
        <f t="shared" si="93"/>
        <v>#DIV/0!</v>
      </c>
      <c r="L201" s="641"/>
      <c r="M201" s="199" t="e">
        <f>RANK(K201, K$147:$K$176)</f>
        <v>#DIV/0!</v>
      </c>
      <c r="N201" s="659"/>
      <c r="O201" s="659"/>
      <c r="P201" s="182"/>
      <c r="Q201" s="182"/>
      <c r="R201" s="182"/>
      <c r="S201" s="500" t="e">
        <f t="shared" si="94"/>
        <v>#N/A</v>
      </c>
      <c r="T201" s="681"/>
      <c r="U201" s="182"/>
      <c r="V201" s="182"/>
      <c r="W201" s="182"/>
      <c r="X201" s="500" t="e">
        <f t="shared" si="95"/>
        <v>#N/A</v>
      </c>
      <c r="Y201" s="681"/>
      <c r="Z201" s="182"/>
      <c r="AA201" s="182"/>
      <c r="AB201" s="182"/>
      <c r="AC201" s="500" t="e">
        <f t="shared" si="96"/>
        <v>#N/A</v>
      </c>
      <c r="AD201" s="681"/>
      <c r="AE201" s="182"/>
      <c r="AF201" s="182"/>
      <c r="AG201" s="182"/>
      <c r="AH201" s="500" t="e">
        <f t="shared" si="97"/>
        <v>#N/A</v>
      </c>
      <c r="AI201" s="681"/>
      <c r="AJ201" s="182"/>
      <c r="AK201" s="182"/>
      <c r="AL201" s="182"/>
      <c r="AM201" s="500" t="e">
        <f t="shared" si="98"/>
        <v>#N/A</v>
      </c>
      <c r="AN201" s="681"/>
      <c r="AO201" s="182"/>
      <c r="AP201" s="182"/>
      <c r="AQ201" s="182"/>
      <c r="AR201" s="500" t="e">
        <f t="shared" si="99"/>
        <v>#N/A</v>
      </c>
      <c r="AS201" s="681"/>
      <c r="AT201" s="182"/>
      <c r="AU201" s="182"/>
      <c r="AV201" s="182"/>
      <c r="AW201" s="500" t="e">
        <f t="shared" si="100"/>
        <v>#N/A</v>
      </c>
      <c r="AX201" s="681"/>
    </row>
    <row r="202" spans="2:50">
      <c r="B202" s="667"/>
      <c r="C202" s="343">
        <v>21</v>
      </c>
      <c r="D202" s="227"/>
      <c r="E202" s="182"/>
      <c r="F202" s="510"/>
      <c r="G202" s="511"/>
      <c r="H202" s="709"/>
      <c r="I202" s="199" t="e">
        <f t="shared" si="91"/>
        <v>#DIV/0!</v>
      </c>
      <c r="J202" s="199" t="e">
        <f t="shared" si="92"/>
        <v>#DIV/0!</v>
      </c>
      <c r="K202" s="200" t="e">
        <f t="shared" si="93"/>
        <v>#DIV/0!</v>
      </c>
      <c r="L202" s="641"/>
      <c r="M202" s="199" t="e">
        <f>RANK(K202, K$147:$K$176)</f>
        <v>#DIV/0!</v>
      </c>
      <c r="N202" s="659"/>
      <c r="O202" s="659"/>
      <c r="P202" s="182"/>
      <c r="Q202" s="182"/>
      <c r="R202" s="182"/>
      <c r="S202" s="500" t="e">
        <f t="shared" si="94"/>
        <v>#N/A</v>
      </c>
      <c r="T202" s="681"/>
      <c r="U202" s="182"/>
      <c r="V202" s="182"/>
      <c r="W202" s="182"/>
      <c r="X202" s="500" t="e">
        <f t="shared" si="95"/>
        <v>#N/A</v>
      </c>
      <c r="Y202" s="681"/>
      <c r="Z202" s="182"/>
      <c r="AA202" s="182"/>
      <c r="AB202" s="182"/>
      <c r="AC202" s="500" t="e">
        <f t="shared" si="96"/>
        <v>#N/A</v>
      </c>
      <c r="AD202" s="681"/>
      <c r="AE202" s="182"/>
      <c r="AF202" s="182"/>
      <c r="AG202" s="182"/>
      <c r="AH202" s="500" t="e">
        <f t="shared" si="97"/>
        <v>#N/A</v>
      </c>
      <c r="AI202" s="681"/>
      <c r="AJ202" s="182"/>
      <c r="AK202" s="182"/>
      <c r="AL202" s="182"/>
      <c r="AM202" s="500" t="e">
        <f t="shared" si="98"/>
        <v>#N/A</v>
      </c>
      <c r="AN202" s="681"/>
      <c r="AO202" s="182"/>
      <c r="AP202" s="182"/>
      <c r="AQ202" s="182"/>
      <c r="AR202" s="500" t="e">
        <f t="shared" si="99"/>
        <v>#N/A</v>
      </c>
      <c r="AS202" s="681"/>
      <c r="AT202" s="182"/>
      <c r="AU202" s="182"/>
      <c r="AV202" s="182"/>
      <c r="AW202" s="500" t="e">
        <f t="shared" si="100"/>
        <v>#N/A</v>
      </c>
      <c r="AX202" s="681"/>
    </row>
    <row r="203" spans="2:50">
      <c r="B203" s="667"/>
      <c r="C203" s="343">
        <v>22</v>
      </c>
      <c r="D203" s="227"/>
      <c r="E203" s="182"/>
      <c r="F203" s="510"/>
      <c r="G203" s="511"/>
      <c r="H203" s="709"/>
      <c r="I203" s="199" t="e">
        <f t="shared" si="91"/>
        <v>#DIV/0!</v>
      </c>
      <c r="J203" s="199" t="e">
        <f t="shared" si="92"/>
        <v>#DIV/0!</v>
      </c>
      <c r="K203" s="200" t="e">
        <f t="shared" si="93"/>
        <v>#DIV/0!</v>
      </c>
      <c r="L203" s="641"/>
      <c r="M203" s="199" t="e">
        <f>RANK(K203, K$147:$K$176)</f>
        <v>#DIV/0!</v>
      </c>
      <c r="N203" s="659"/>
      <c r="O203" s="659"/>
      <c r="P203" s="182"/>
      <c r="Q203" s="182"/>
      <c r="R203" s="182"/>
      <c r="S203" s="500" t="e">
        <f t="shared" si="94"/>
        <v>#N/A</v>
      </c>
      <c r="T203" s="681"/>
      <c r="U203" s="182"/>
      <c r="V203" s="182"/>
      <c r="W203" s="182"/>
      <c r="X203" s="500" t="e">
        <f t="shared" si="95"/>
        <v>#N/A</v>
      </c>
      <c r="Y203" s="681"/>
      <c r="Z203" s="182"/>
      <c r="AA203" s="182"/>
      <c r="AB203" s="182"/>
      <c r="AC203" s="500" t="e">
        <f t="shared" si="96"/>
        <v>#N/A</v>
      </c>
      <c r="AD203" s="681"/>
      <c r="AE203" s="182"/>
      <c r="AF203" s="182"/>
      <c r="AG203" s="182"/>
      <c r="AH203" s="500" t="e">
        <f t="shared" si="97"/>
        <v>#N/A</v>
      </c>
      <c r="AI203" s="681"/>
      <c r="AJ203" s="182"/>
      <c r="AK203" s="182"/>
      <c r="AL203" s="182"/>
      <c r="AM203" s="500" t="e">
        <f t="shared" si="98"/>
        <v>#N/A</v>
      </c>
      <c r="AN203" s="681"/>
      <c r="AO203" s="182"/>
      <c r="AP203" s="182"/>
      <c r="AQ203" s="182"/>
      <c r="AR203" s="500" t="e">
        <f t="shared" si="99"/>
        <v>#N/A</v>
      </c>
      <c r="AS203" s="681"/>
      <c r="AT203" s="182"/>
      <c r="AU203" s="182"/>
      <c r="AV203" s="182"/>
      <c r="AW203" s="500" t="e">
        <f t="shared" si="100"/>
        <v>#N/A</v>
      </c>
      <c r="AX203" s="681"/>
    </row>
    <row r="204" spans="2:50">
      <c r="B204" s="667"/>
      <c r="C204" s="343">
        <v>23</v>
      </c>
      <c r="D204" s="227"/>
      <c r="E204" s="182"/>
      <c r="F204" s="510"/>
      <c r="G204" s="511"/>
      <c r="H204" s="709"/>
      <c r="I204" s="199" t="e">
        <f t="shared" si="91"/>
        <v>#DIV/0!</v>
      </c>
      <c r="J204" s="199" t="e">
        <f t="shared" si="92"/>
        <v>#DIV/0!</v>
      </c>
      <c r="K204" s="200" t="e">
        <f t="shared" si="93"/>
        <v>#DIV/0!</v>
      </c>
      <c r="L204" s="641"/>
      <c r="M204" s="199" t="e">
        <f>RANK(K204, K$147:$K$176)</f>
        <v>#DIV/0!</v>
      </c>
      <c r="N204" s="659"/>
      <c r="O204" s="659"/>
      <c r="P204" s="182"/>
      <c r="Q204" s="182"/>
      <c r="R204" s="182"/>
      <c r="S204" s="500" t="e">
        <f t="shared" si="94"/>
        <v>#N/A</v>
      </c>
      <c r="T204" s="681"/>
      <c r="U204" s="182"/>
      <c r="V204" s="182"/>
      <c r="W204" s="182"/>
      <c r="X204" s="500" t="e">
        <f t="shared" si="95"/>
        <v>#N/A</v>
      </c>
      <c r="Y204" s="681"/>
      <c r="Z204" s="182"/>
      <c r="AA204" s="182"/>
      <c r="AB204" s="182"/>
      <c r="AC204" s="500" t="e">
        <f t="shared" si="96"/>
        <v>#N/A</v>
      </c>
      <c r="AD204" s="681"/>
      <c r="AE204" s="182"/>
      <c r="AF204" s="182"/>
      <c r="AG204" s="182"/>
      <c r="AH204" s="500" t="e">
        <f t="shared" si="97"/>
        <v>#N/A</v>
      </c>
      <c r="AI204" s="681"/>
      <c r="AJ204" s="182"/>
      <c r="AK204" s="182"/>
      <c r="AL204" s="182"/>
      <c r="AM204" s="500" t="e">
        <f t="shared" si="98"/>
        <v>#N/A</v>
      </c>
      <c r="AN204" s="681"/>
      <c r="AO204" s="182"/>
      <c r="AP204" s="182"/>
      <c r="AQ204" s="182"/>
      <c r="AR204" s="500" t="e">
        <f t="shared" si="99"/>
        <v>#N/A</v>
      </c>
      <c r="AS204" s="681"/>
      <c r="AT204" s="182"/>
      <c r="AU204" s="182"/>
      <c r="AV204" s="182"/>
      <c r="AW204" s="500" t="e">
        <f t="shared" si="100"/>
        <v>#N/A</v>
      </c>
      <c r="AX204" s="681"/>
    </row>
    <row r="205" spans="2:50">
      <c r="B205" s="667"/>
      <c r="C205" s="343">
        <v>24</v>
      </c>
      <c r="D205" s="227"/>
      <c r="E205" s="182"/>
      <c r="F205" s="510"/>
      <c r="G205" s="511"/>
      <c r="H205" s="709"/>
      <c r="I205" s="199" t="e">
        <f t="shared" si="91"/>
        <v>#DIV/0!</v>
      </c>
      <c r="J205" s="199" t="e">
        <f t="shared" si="92"/>
        <v>#DIV/0!</v>
      </c>
      <c r="K205" s="200" t="e">
        <f t="shared" si="93"/>
        <v>#DIV/0!</v>
      </c>
      <c r="L205" s="641"/>
      <c r="M205" s="199" t="e">
        <f>RANK(K205, K$147:$K$176)</f>
        <v>#DIV/0!</v>
      </c>
      <c r="N205" s="659"/>
      <c r="O205" s="659"/>
      <c r="P205" s="343"/>
      <c r="Q205" s="346"/>
      <c r="R205" s="346"/>
      <c r="S205" s="500" t="e">
        <f t="shared" si="94"/>
        <v>#N/A</v>
      </c>
      <c r="T205" s="681"/>
      <c r="U205" s="359"/>
      <c r="V205" s="360"/>
      <c r="W205" s="360"/>
      <c r="X205" s="500" t="e">
        <f t="shared" si="95"/>
        <v>#N/A</v>
      </c>
      <c r="Y205" s="681"/>
      <c r="Z205" s="510"/>
      <c r="AA205" s="511"/>
      <c r="AB205" s="511"/>
      <c r="AC205" s="500" t="e">
        <f t="shared" si="96"/>
        <v>#N/A</v>
      </c>
      <c r="AD205" s="681"/>
      <c r="AE205" s="510"/>
      <c r="AF205" s="511"/>
      <c r="AG205" s="511"/>
      <c r="AH205" s="500" t="e">
        <f t="shared" si="97"/>
        <v>#N/A</v>
      </c>
      <c r="AI205" s="681"/>
      <c r="AJ205" s="510"/>
      <c r="AK205" s="511"/>
      <c r="AL205" s="511"/>
      <c r="AM205" s="500" t="e">
        <f t="shared" si="98"/>
        <v>#N/A</v>
      </c>
      <c r="AN205" s="681"/>
      <c r="AO205" s="510"/>
      <c r="AP205" s="511"/>
      <c r="AQ205" s="511"/>
      <c r="AR205" s="500" t="e">
        <f t="shared" si="99"/>
        <v>#N/A</v>
      </c>
      <c r="AS205" s="681"/>
      <c r="AT205" s="359"/>
      <c r="AU205" s="360"/>
      <c r="AV205" s="360"/>
      <c r="AW205" s="500" t="e">
        <f t="shared" si="100"/>
        <v>#N/A</v>
      </c>
      <c r="AX205" s="681"/>
    </row>
    <row r="206" spans="2:50">
      <c r="B206" s="667"/>
      <c r="C206" s="343">
        <v>25</v>
      </c>
      <c r="D206" s="227"/>
      <c r="E206" s="182"/>
      <c r="F206" s="510"/>
      <c r="G206" s="511"/>
      <c r="H206" s="709"/>
      <c r="I206" s="199"/>
      <c r="J206" s="199"/>
      <c r="K206" s="200"/>
      <c r="L206" s="641"/>
      <c r="M206" s="199" t="e">
        <f>RANK(K206, K$147:$K$176)</f>
        <v>#DIV/0!</v>
      </c>
      <c r="N206" s="659"/>
      <c r="O206" s="659"/>
      <c r="P206" s="343"/>
      <c r="Q206" s="346"/>
      <c r="R206" s="346"/>
      <c r="S206" s="500" t="e">
        <f t="shared" si="94"/>
        <v>#N/A</v>
      </c>
      <c r="T206" s="681"/>
      <c r="U206" s="359"/>
      <c r="V206" s="360"/>
      <c r="W206" s="360"/>
      <c r="X206" s="500" t="e">
        <f t="shared" si="95"/>
        <v>#N/A</v>
      </c>
      <c r="Y206" s="681"/>
      <c r="Z206" s="510"/>
      <c r="AA206" s="511"/>
      <c r="AB206" s="511"/>
      <c r="AC206" s="500" t="e">
        <f t="shared" si="96"/>
        <v>#N/A</v>
      </c>
      <c r="AD206" s="681"/>
      <c r="AE206" s="510"/>
      <c r="AF206" s="511"/>
      <c r="AG206" s="511"/>
      <c r="AH206" s="500" t="e">
        <f t="shared" si="97"/>
        <v>#N/A</v>
      </c>
      <c r="AI206" s="681"/>
      <c r="AJ206" s="510"/>
      <c r="AK206" s="511"/>
      <c r="AL206" s="511"/>
      <c r="AM206" s="500" t="e">
        <f t="shared" si="98"/>
        <v>#N/A</v>
      </c>
      <c r="AN206" s="681"/>
      <c r="AO206" s="510"/>
      <c r="AP206" s="511"/>
      <c r="AQ206" s="511"/>
      <c r="AR206" s="500" t="e">
        <f t="shared" si="99"/>
        <v>#N/A</v>
      </c>
      <c r="AS206" s="681"/>
      <c r="AT206" s="359"/>
      <c r="AU206" s="360"/>
      <c r="AV206" s="360"/>
      <c r="AW206" s="500" t="e">
        <f t="shared" si="100"/>
        <v>#N/A</v>
      </c>
      <c r="AX206" s="681"/>
    </row>
    <row r="207" spans="2:50">
      <c r="B207" s="667"/>
      <c r="C207" s="343">
        <v>26</v>
      </c>
      <c r="D207" s="227"/>
      <c r="E207" s="182"/>
      <c r="F207" s="510"/>
      <c r="G207" s="511"/>
      <c r="H207" s="709"/>
      <c r="I207" s="199"/>
      <c r="J207" s="199"/>
      <c r="K207" s="200"/>
      <c r="L207" s="641"/>
      <c r="M207" s="199" t="e">
        <f>RANK(K207, K$147:$K$176)</f>
        <v>#DIV/0!</v>
      </c>
      <c r="N207" s="659"/>
      <c r="O207" s="659"/>
      <c r="P207" s="343"/>
      <c r="Q207" s="346"/>
      <c r="R207" s="346"/>
      <c r="S207" s="500" t="e">
        <f t="shared" si="94"/>
        <v>#N/A</v>
      </c>
      <c r="T207" s="681"/>
      <c r="U207" s="359"/>
      <c r="V207" s="360"/>
      <c r="W207" s="360"/>
      <c r="X207" s="500" t="e">
        <f t="shared" si="95"/>
        <v>#N/A</v>
      </c>
      <c r="Y207" s="681"/>
      <c r="Z207" s="510"/>
      <c r="AA207" s="511"/>
      <c r="AB207" s="511"/>
      <c r="AC207" s="500" t="e">
        <f t="shared" si="96"/>
        <v>#N/A</v>
      </c>
      <c r="AD207" s="681"/>
      <c r="AE207" s="510"/>
      <c r="AF207" s="511"/>
      <c r="AG207" s="511"/>
      <c r="AH207" s="500" t="e">
        <f t="shared" si="97"/>
        <v>#N/A</v>
      </c>
      <c r="AI207" s="681"/>
      <c r="AJ207" s="510"/>
      <c r="AK207" s="511"/>
      <c r="AL207" s="511"/>
      <c r="AM207" s="500" t="e">
        <f t="shared" si="98"/>
        <v>#N/A</v>
      </c>
      <c r="AN207" s="681"/>
      <c r="AO207" s="510"/>
      <c r="AP207" s="511"/>
      <c r="AQ207" s="511"/>
      <c r="AR207" s="500" t="e">
        <f t="shared" si="99"/>
        <v>#N/A</v>
      </c>
      <c r="AS207" s="681"/>
      <c r="AT207" s="359"/>
      <c r="AU207" s="360"/>
      <c r="AV207" s="360"/>
      <c r="AW207" s="500" t="e">
        <f t="shared" si="100"/>
        <v>#N/A</v>
      </c>
      <c r="AX207" s="681"/>
    </row>
    <row r="208" spans="2:50">
      <c r="B208" s="667"/>
      <c r="C208" s="343">
        <v>27</v>
      </c>
      <c r="D208" s="227"/>
      <c r="E208" s="182"/>
      <c r="F208" s="510"/>
      <c r="G208" s="511"/>
      <c r="H208" s="709"/>
      <c r="I208" s="199"/>
      <c r="J208" s="199"/>
      <c r="K208" s="200"/>
      <c r="L208" s="641"/>
      <c r="M208" s="199" t="e">
        <f>RANK(K208, K$147:$K$176)</f>
        <v>#DIV/0!</v>
      </c>
      <c r="N208" s="659"/>
      <c r="O208" s="659"/>
      <c r="P208" s="343"/>
      <c r="Q208" s="346"/>
      <c r="R208" s="346"/>
      <c r="S208" s="500" t="e">
        <f t="shared" si="94"/>
        <v>#N/A</v>
      </c>
      <c r="T208" s="681"/>
      <c r="U208" s="359"/>
      <c r="V208" s="360"/>
      <c r="W208" s="360"/>
      <c r="X208" s="500" t="e">
        <f t="shared" si="95"/>
        <v>#N/A</v>
      </c>
      <c r="Y208" s="681"/>
      <c r="Z208" s="510"/>
      <c r="AA208" s="511"/>
      <c r="AB208" s="511"/>
      <c r="AC208" s="500" t="e">
        <f t="shared" si="96"/>
        <v>#N/A</v>
      </c>
      <c r="AD208" s="681"/>
      <c r="AE208" s="510"/>
      <c r="AF208" s="511"/>
      <c r="AG208" s="511"/>
      <c r="AH208" s="500" t="e">
        <f t="shared" si="97"/>
        <v>#N/A</v>
      </c>
      <c r="AI208" s="681"/>
      <c r="AJ208" s="510"/>
      <c r="AK208" s="511"/>
      <c r="AL208" s="511"/>
      <c r="AM208" s="500" t="e">
        <f t="shared" si="98"/>
        <v>#N/A</v>
      </c>
      <c r="AN208" s="681"/>
      <c r="AO208" s="510"/>
      <c r="AP208" s="511"/>
      <c r="AQ208" s="511"/>
      <c r="AR208" s="500" t="e">
        <f t="shared" si="99"/>
        <v>#N/A</v>
      </c>
      <c r="AS208" s="681"/>
      <c r="AT208" s="359"/>
      <c r="AU208" s="360"/>
      <c r="AV208" s="360"/>
      <c r="AW208" s="500" t="e">
        <f t="shared" si="100"/>
        <v>#N/A</v>
      </c>
      <c r="AX208" s="681"/>
    </row>
    <row r="209" spans="2:50">
      <c r="B209" s="667"/>
      <c r="C209" s="343">
        <v>28</v>
      </c>
      <c r="D209" s="227"/>
      <c r="E209" s="182"/>
      <c r="F209" s="510"/>
      <c r="G209" s="511"/>
      <c r="H209" s="709"/>
      <c r="I209" s="199"/>
      <c r="J209" s="199"/>
      <c r="K209" s="200"/>
      <c r="L209" s="641"/>
      <c r="M209" s="199" t="e">
        <f>RANK(K209, K$147:$K$176)</f>
        <v>#DIV/0!</v>
      </c>
      <c r="N209" s="659"/>
      <c r="O209" s="659"/>
      <c r="P209" s="343"/>
      <c r="Q209" s="346"/>
      <c r="R209" s="346"/>
      <c r="S209" s="500" t="e">
        <f t="shared" si="94"/>
        <v>#N/A</v>
      </c>
      <c r="T209" s="681"/>
      <c r="U209" s="343"/>
      <c r="V209" s="346"/>
      <c r="W209" s="346"/>
      <c r="X209" s="500" t="e">
        <f t="shared" si="95"/>
        <v>#N/A</v>
      </c>
      <c r="Y209" s="681"/>
      <c r="Z209" s="510"/>
      <c r="AA209" s="511"/>
      <c r="AB209" s="511"/>
      <c r="AC209" s="500" t="e">
        <f t="shared" si="96"/>
        <v>#N/A</v>
      </c>
      <c r="AD209" s="681"/>
      <c r="AE209" s="510"/>
      <c r="AF209" s="511"/>
      <c r="AG209" s="511"/>
      <c r="AH209" s="500" t="e">
        <f t="shared" si="97"/>
        <v>#N/A</v>
      </c>
      <c r="AI209" s="681"/>
      <c r="AJ209" s="510"/>
      <c r="AK209" s="511"/>
      <c r="AL209" s="511"/>
      <c r="AM209" s="500" t="e">
        <f t="shared" si="98"/>
        <v>#N/A</v>
      </c>
      <c r="AN209" s="681"/>
      <c r="AO209" s="510"/>
      <c r="AP209" s="511"/>
      <c r="AQ209" s="511"/>
      <c r="AR209" s="500" t="e">
        <f t="shared" si="99"/>
        <v>#N/A</v>
      </c>
      <c r="AS209" s="681"/>
      <c r="AT209" s="343"/>
      <c r="AU209" s="346"/>
      <c r="AV209" s="346"/>
      <c r="AW209" s="500" t="e">
        <f t="shared" si="100"/>
        <v>#N/A</v>
      </c>
      <c r="AX209" s="681"/>
    </row>
    <row r="210" spans="2:50">
      <c r="B210" s="667"/>
      <c r="C210" s="343">
        <v>29</v>
      </c>
      <c r="D210" s="227"/>
      <c r="E210" s="182"/>
      <c r="F210" s="510"/>
      <c r="G210" s="511"/>
      <c r="H210" s="709"/>
      <c r="I210" s="202"/>
      <c r="J210" s="202"/>
      <c r="K210" s="202"/>
      <c r="L210" s="641"/>
      <c r="M210" s="199" t="e">
        <f>RANK(K210, K$147:$K$176)</f>
        <v>#DIV/0!</v>
      </c>
      <c r="N210" s="659"/>
      <c r="O210" s="659"/>
      <c r="P210" s="343"/>
      <c r="Q210" s="343"/>
      <c r="R210" s="343"/>
      <c r="S210" s="500" t="e">
        <f t="shared" si="94"/>
        <v>#N/A</v>
      </c>
      <c r="T210" s="681"/>
      <c r="U210" s="343"/>
      <c r="V210" s="343"/>
      <c r="W210" s="343"/>
      <c r="X210" s="500" t="e">
        <f t="shared" si="95"/>
        <v>#N/A</v>
      </c>
      <c r="Y210" s="681"/>
      <c r="Z210" s="510"/>
      <c r="AA210" s="510"/>
      <c r="AB210" s="510"/>
      <c r="AC210" s="500" t="e">
        <f t="shared" si="96"/>
        <v>#N/A</v>
      </c>
      <c r="AD210" s="681"/>
      <c r="AE210" s="510"/>
      <c r="AF210" s="510"/>
      <c r="AG210" s="510"/>
      <c r="AH210" s="500" t="e">
        <f t="shared" si="97"/>
        <v>#N/A</v>
      </c>
      <c r="AI210" s="681"/>
      <c r="AJ210" s="510"/>
      <c r="AK210" s="510"/>
      <c r="AL210" s="510"/>
      <c r="AM210" s="500" t="e">
        <f t="shared" si="98"/>
        <v>#N/A</v>
      </c>
      <c r="AN210" s="681"/>
      <c r="AO210" s="510"/>
      <c r="AP210" s="510"/>
      <c r="AQ210" s="510"/>
      <c r="AR210" s="500" t="e">
        <f t="shared" si="99"/>
        <v>#N/A</v>
      </c>
      <c r="AS210" s="681"/>
      <c r="AT210" s="343"/>
      <c r="AU210" s="343"/>
      <c r="AV210" s="343"/>
      <c r="AW210" s="500" t="e">
        <f t="shared" si="100"/>
        <v>#N/A</v>
      </c>
      <c r="AX210" s="681"/>
    </row>
    <row r="211" spans="2:50">
      <c r="B211" s="667"/>
      <c r="C211" s="343">
        <v>30</v>
      </c>
      <c r="D211" s="227"/>
      <c r="E211" s="182"/>
      <c r="F211" s="510"/>
      <c r="G211" s="511"/>
      <c r="H211" s="710"/>
      <c r="I211" s="202"/>
      <c r="J211" s="202"/>
      <c r="K211" s="202"/>
      <c r="L211" s="642"/>
      <c r="M211" s="199" t="e">
        <f>RANK(K211, K$147:$K$176)</f>
        <v>#DIV/0!</v>
      </c>
      <c r="N211" s="659"/>
      <c r="O211" s="659"/>
      <c r="P211" s="343"/>
      <c r="Q211" s="343"/>
      <c r="R211" s="343"/>
      <c r="S211" s="500" t="e">
        <f t="shared" si="94"/>
        <v>#N/A</v>
      </c>
      <c r="T211" s="681"/>
      <c r="U211" s="343"/>
      <c r="V211" s="343"/>
      <c r="W211" s="343"/>
      <c r="X211" s="500" t="e">
        <f t="shared" si="95"/>
        <v>#N/A</v>
      </c>
      <c r="Y211" s="681"/>
      <c r="Z211" s="510"/>
      <c r="AA211" s="510"/>
      <c r="AB211" s="510"/>
      <c r="AC211" s="500" t="e">
        <f t="shared" si="96"/>
        <v>#N/A</v>
      </c>
      <c r="AD211" s="681"/>
      <c r="AE211" s="510"/>
      <c r="AF211" s="510"/>
      <c r="AG211" s="510"/>
      <c r="AH211" s="500" t="e">
        <f t="shared" si="97"/>
        <v>#N/A</v>
      </c>
      <c r="AI211" s="681"/>
      <c r="AJ211" s="510"/>
      <c r="AK211" s="510"/>
      <c r="AL211" s="510"/>
      <c r="AM211" s="500" t="e">
        <f t="shared" si="98"/>
        <v>#N/A</v>
      </c>
      <c r="AN211" s="681"/>
      <c r="AO211" s="510"/>
      <c r="AP211" s="510"/>
      <c r="AQ211" s="510"/>
      <c r="AR211" s="500" t="e">
        <f t="shared" si="99"/>
        <v>#N/A</v>
      </c>
      <c r="AS211" s="681"/>
      <c r="AT211" s="343"/>
      <c r="AU211" s="343"/>
      <c r="AV211" s="343"/>
      <c r="AW211" s="500" t="e">
        <f t="shared" si="100"/>
        <v>#N/A</v>
      </c>
      <c r="AX211" s="681"/>
    </row>
    <row r="213" spans="2:50" ht="15.75">
      <c r="B213" s="698" t="s">
        <v>661</v>
      </c>
      <c r="C213" s="699"/>
      <c r="D213" s="699"/>
      <c r="E213" s="699"/>
      <c r="F213" s="699"/>
      <c r="G213" s="699"/>
      <c r="H213" s="700"/>
      <c r="I213" s="347"/>
      <c r="J213" s="347"/>
      <c r="K213" s="347"/>
      <c r="L213" s="347"/>
      <c r="M213" s="348"/>
    </row>
    <row r="214" spans="2:50" ht="15.75">
      <c r="B214" s="701"/>
      <c r="C214" s="701"/>
      <c r="D214" s="701"/>
      <c r="E214" s="701"/>
      <c r="F214" s="701"/>
      <c r="G214" s="701"/>
      <c r="H214" s="701"/>
      <c r="I214" s="349"/>
      <c r="J214" s="349"/>
      <c r="K214" s="349"/>
      <c r="L214" s="349"/>
      <c r="M214" s="350"/>
    </row>
    <row r="215" spans="2:50">
      <c r="B215" s="659" t="s">
        <v>662</v>
      </c>
      <c r="C215" s="659" t="s">
        <v>663</v>
      </c>
      <c r="D215" s="659"/>
      <c r="E215" s="659" t="s">
        <v>664</v>
      </c>
      <c r="F215" s="659"/>
      <c r="G215" s="659"/>
      <c r="H215" s="659" t="s">
        <v>665</v>
      </c>
      <c r="I215" s="702" t="s">
        <v>666</v>
      </c>
      <c r="J215" s="702"/>
      <c r="K215" s="702"/>
      <c r="L215" s="702" t="s">
        <v>665</v>
      </c>
      <c r="M215" s="702" t="s">
        <v>667</v>
      </c>
    </row>
    <row r="216" spans="2:50">
      <c r="B216" s="659"/>
      <c r="C216" s="659"/>
      <c r="D216" s="659"/>
      <c r="E216" s="659" t="s">
        <v>668</v>
      </c>
      <c r="F216" s="659"/>
      <c r="G216" s="659"/>
      <c r="H216" s="659"/>
      <c r="I216" s="702" t="s">
        <v>668</v>
      </c>
      <c r="J216" s="702"/>
      <c r="K216" s="702"/>
      <c r="L216" s="702"/>
      <c r="M216" s="702"/>
    </row>
    <row r="217" spans="2:50">
      <c r="B217" s="659"/>
      <c r="C217" s="659"/>
      <c r="D217" s="659"/>
      <c r="E217" s="344" t="s">
        <v>669</v>
      </c>
      <c r="F217" s="344" t="s">
        <v>670</v>
      </c>
      <c r="G217" s="344" t="s">
        <v>671</v>
      </c>
      <c r="H217" s="659"/>
      <c r="I217" s="351" t="s">
        <v>669</v>
      </c>
      <c r="J217" s="351" t="s">
        <v>670</v>
      </c>
      <c r="K217" s="351" t="s">
        <v>671</v>
      </c>
      <c r="L217" s="702"/>
      <c r="M217" s="702"/>
    </row>
    <row r="218" spans="2:50">
      <c r="B218" s="659" t="s">
        <v>676</v>
      </c>
      <c r="C218" s="343">
        <v>1</v>
      </c>
      <c r="D218" s="343"/>
      <c r="E218" s="182"/>
      <c r="F218" s="343"/>
      <c r="G218" s="346"/>
      <c r="H218" s="681" t="e">
        <f>AVERAGE(G218:G247)</f>
        <v>#DIV/0!</v>
      </c>
      <c r="I218" s="199" t="e">
        <f t="shared" ref="I218:J241" si="101">AVERAGEIF($D$7:$D$211,$D218,I$7:I$211)</f>
        <v>#DIV/0!</v>
      </c>
      <c r="J218" s="199" t="e">
        <f t="shared" si="101"/>
        <v>#DIV/0!</v>
      </c>
      <c r="K218" s="199" t="e">
        <f t="shared" ref="K218:K241" si="102">AVERAGEIF($D$7:$D$211,$D218,K$7:K$211)</f>
        <v>#DIV/0!</v>
      </c>
      <c r="L218" s="705" t="e">
        <f>AVERAGE(K218:K247)</f>
        <v>#DIV/0!</v>
      </c>
      <c r="M218" s="199" t="e">
        <f>RANK(K218, K$218:$K$247)</f>
        <v>#DIV/0!</v>
      </c>
    </row>
    <row r="219" spans="2:50">
      <c r="B219" s="667"/>
      <c r="C219" s="343">
        <v>2</v>
      </c>
      <c r="D219" s="343"/>
      <c r="E219" s="182"/>
      <c r="F219" s="343"/>
      <c r="G219" s="346"/>
      <c r="H219" s="681"/>
      <c r="I219" s="199" t="e">
        <f t="shared" si="101"/>
        <v>#DIV/0!</v>
      </c>
      <c r="J219" s="199" t="e">
        <f t="shared" si="101"/>
        <v>#DIV/0!</v>
      </c>
      <c r="K219" s="199" t="e">
        <f t="shared" si="102"/>
        <v>#DIV/0!</v>
      </c>
      <c r="L219" s="705"/>
      <c r="M219" s="199" t="e">
        <f>RANK(K219, K$218:$K$247)</f>
        <v>#DIV/0!</v>
      </c>
    </row>
    <row r="220" spans="2:50">
      <c r="B220" s="667"/>
      <c r="C220" s="343">
        <v>3</v>
      </c>
      <c r="D220" s="343"/>
      <c r="E220" s="182"/>
      <c r="F220" s="343"/>
      <c r="G220" s="346"/>
      <c r="H220" s="681"/>
      <c r="I220" s="199" t="e">
        <f t="shared" si="101"/>
        <v>#DIV/0!</v>
      </c>
      <c r="J220" s="199" t="e">
        <f t="shared" si="101"/>
        <v>#DIV/0!</v>
      </c>
      <c r="K220" s="199" t="e">
        <f t="shared" si="102"/>
        <v>#DIV/0!</v>
      </c>
      <c r="L220" s="705"/>
      <c r="M220" s="199" t="e">
        <f>RANK(K220, K$218:$K$247)</f>
        <v>#DIV/0!</v>
      </c>
    </row>
    <row r="221" spans="2:50">
      <c r="B221" s="667"/>
      <c r="C221" s="343">
        <v>4</v>
      </c>
      <c r="D221" s="343"/>
      <c r="E221" s="182"/>
      <c r="F221" s="343"/>
      <c r="G221" s="346"/>
      <c r="H221" s="681"/>
      <c r="I221" s="199" t="e">
        <f t="shared" si="101"/>
        <v>#DIV/0!</v>
      </c>
      <c r="J221" s="199" t="e">
        <f t="shared" si="101"/>
        <v>#DIV/0!</v>
      </c>
      <c r="K221" s="199" t="e">
        <f t="shared" si="102"/>
        <v>#DIV/0!</v>
      </c>
      <c r="L221" s="705"/>
      <c r="M221" s="199" t="e">
        <f>RANK(K221, K$218:$K$247)</f>
        <v>#DIV/0!</v>
      </c>
    </row>
    <row r="222" spans="2:50">
      <c r="B222" s="667"/>
      <c r="C222" s="343">
        <v>5</v>
      </c>
      <c r="D222" s="343"/>
      <c r="E222" s="182"/>
      <c r="F222" s="343"/>
      <c r="G222" s="346"/>
      <c r="H222" s="681"/>
      <c r="I222" s="199" t="e">
        <f t="shared" si="101"/>
        <v>#DIV/0!</v>
      </c>
      <c r="J222" s="199" t="e">
        <f t="shared" si="101"/>
        <v>#DIV/0!</v>
      </c>
      <c r="K222" s="199" t="e">
        <f t="shared" si="102"/>
        <v>#DIV/0!</v>
      </c>
      <c r="L222" s="705"/>
      <c r="M222" s="199" t="e">
        <f>RANK(K222, K$218:$K$247)</f>
        <v>#DIV/0!</v>
      </c>
    </row>
    <row r="223" spans="2:50">
      <c r="B223" s="667"/>
      <c r="C223" s="343">
        <v>6</v>
      </c>
      <c r="D223" s="343"/>
      <c r="E223" s="182"/>
      <c r="F223" s="343"/>
      <c r="G223" s="346"/>
      <c r="H223" s="681"/>
      <c r="I223" s="199" t="e">
        <f t="shared" si="101"/>
        <v>#DIV/0!</v>
      </c>
      <c r="J223" s="199" t="e">
        <f t="shared" si="101"/>
        <v>#DIV/0!</v>
      </c>
      <c r="K223" s="199" t="e">
        <f t="shared" si="102"/>
        <v>#DIV/0!</v>
      </c>
      <c r="L223" s="705"/>
      <c r="M223" s="199" t="e">
        <f>RANK(K223, K$218:$K$247)</f>
        <v>#DIV/0!</v>
      </c>
    </row>
    <row r="224" spans="2:50">
      <c r="B224" s="667"/>
      <c r="C224" s="343">
        <v>7</v>
      </c>
      <c r="D224" s="343"/>
      <c r="E224" s="182"/>
      <c r="F224" s="343"/>
      <c r="G224" s="346"/>
      <c r="H224" s="681"/>
      <c r="I224" s="199" t="e">
        <f t="shared" si="101"/>
        <v>#DIV/0!</v>
      </c>
      <c r="J224" s="199" t="e">
        <f t="shared" si="101"/>
        <v>#DIV/0!</v>
      </c>
      <c r="K224" s="199" t="e">
        <f t="shared" si="102"/>
        <v>#DIV/0!</v>
      </c>
      <c r="L224" s="705"/>
      <c r="M224" s="199" t="e">
        <f>RANK(K224, K$218:$K$247)</f>
        <v>#DIV/0!</v>
      </c>
    </row>
    <row r="225" spans="2:13" s="108" customFormat="1">
      <c r="B225" s="667"/>
      <c r="C225" s="343">
        <v>8</v>
      </c>
      <c r="D225" s="343"/>
      <c r="E225" s="182"/>
      <c r="F225" s="343"/>
      <c r="G225" s="346"/>
      <c r="H225" s="681"/>
      <c r="I225" s="199" t="e">
        <f t="shared" si="101"/>
        <v>#DIV/0!</v>
      </c>
      <c r="J225" s="199" t="e">
        <f t="shared" si="101"/>
        <v>#DIV/0!</v>
      </c>
      <c r="K225" s="199" t="e">
        <f t="shared" si="102"/>
        <v>#DIV/0!</v>
      </c>
      <c r="L225" s="705"/>
      <c r="M225" s="199" t="e">
        <f>RANK(K225, K$218:$K$247)</f>
        <v>#DIV/0!</v>
      </c>
    </row>
    <row r="226" spans="2:13" s="108" customFormat="1">
      <c r="B226" s="667"/>
      <c r="C226" s="343">
        <v>9</v>
      </c>
      <c r="D226" s="343"/>
      <c r="E226" s="182"/>
      <c r="F226" s="343"/>
      <c r="G226" s="346"/>
      <c r="H226" s="681"/>
      <c r="I226" s="199" t="e">
        <f t="shared" si="101"/>
        <v>#DIV/0!</v>
      </c>
      <c r="J226" s="199" t="e">
        <f t="shared" si="101"/>
        <v>#DIV/0!</v>
      </c>
      <c r="K226" s="199" t="e">
        <f t="shared" si="102"/>
        <v>#DIV/0!</v>
      </c>
      <c r="L226" s="705"/>
      <c r="M226" s="199" t="e">
        <f>RANK(K226, K$218:$K$247)</f>
        <v>#DIV/0!</v>
      </c>
    </row>
    <row r="227" spans="2:13" s="108" customFormat="1">
      <c r="B227" s="667"/>
      <c r="C227" s="343">
        <v>10</v>
      </c>
      <c r="D227" s="343"/>
      <c r="E227" s="182"/>
      <c r="F227" s="343"/>
      <c r="G227" s="346"/>
      <c r="H227" s="681"/>
      <c r="I227" s="199" t="e">
        <f t="shared" si="101"/>
        <v>#DIV/0!</v>
      </c>
      <c r="J227" s="199" t="e">
        <f t="shared" si="101"/>
        <v>#DIV/0!</v>
      </c>
      <c r="K227" s="199" t="e">
        <f t="shared" si="102"/>
        <v>#DIV/0!</v>
      </c>
      <c r="L227" s="705"/>
      <c r="M227" s="199" t="e">
        <f>RANK(K227, K$218:$K$247)</f>
        <v>#DIV/0!</v>
      </c>
    </row>
    <row r="228" spans="2:13" s="108" customFormat="1">
      <c r="B228" s="667"/>
      <c r="C228" s="343">
        <v>11</v>
      </c>
      <c r="D228" s="343"/>
      <c r="E228" s="182"/>
      <c r="F228" s="343"/>
      <c r="G228" s="346"/>
      <c r="H228" s="681"/>
      <c r="I228" s="199" t="e">
        <f t="shared" si="101"/>
        <v>#DIV/0!</v>
      </c>
      <c r="J228" s="199" t="e">
        <f t="shared" si="101"/>
        <v>#DIV/0!</v>
      </c>
      <c r="K228" s="199" t="e">
        <f t="shared" si="102"/>
        <v>#DIV/0!</v>
      </c>
      <c r="L228" s="705"/>
      <c r="M228" s="199" t="e">
        <f>RANK(K228, K$218:$K$247)</f>
        <v>#DIV/0!</v>
      </c>
    </row>
    <row r="229" spans="2:13" s="108" customFormat="1">
      <c r="B229" s="667"/>
      <c r="C229" s="343">
        <v>12</v>
      </c>
      <c r="D229" s="343"/>
      <c r="E229" s="182"/>
      <c r="F229" s="343"/>
      <c r="G229" s="346"/>
      <c r="H229" s="681"/>
      <c r="I229" s="199" t="e">
        <f t="shared" si="101"/>
        <v>#DIV/0!</v>
      </c>
      <c r="J229" s="199" t="e">
        <f t="shared" si="101"/>
        <v>#DIV/0!</v>
      </c>
      <c r="K229" s="199" t="e">
        <f t="shared" si="102"/>
        <v>#DIV/0!</v>
      </c>
      <c r="L229" s="705"/>
      <c r="M229" s="199" t="e">
        <f>RANK(K229, K$218:$K$247)</f>
        <v>#DIV/0!</v>
      </c>
    </row>
    <row r="230" spans="2:13" s="108" customFormat="1">
      <c r="B230" s="667"/>
      <c r="C230" s="343">
        <v>13</v>
      </c>
      <c r="D230" s="343"/>
      <c r="E230" s="182"/>
      <c r="F230" s="343"/>
      <c r="G230" s="346"/>
      <c r="H230" s="681"/>
      <c r="I230" s="199" t="e">
        <f t="shared" si="101"/>
        <v>#DIV/0!</v>
      </c>
      <c r="J230" s="199" t="e">
        <f t="shared" si="101"/>
        <v>#DIV/0!</v>
      </c>
      <c r="K230" s="199" t="e">
        <f t="shared" si="102"/>
        <v>#DIV/0!</v>
      </c>
      <c r="L230" s="705"/>
      <c r="M230" s="199" t="e">
        <f>RANK(K230, K$218:$K$247)</f>
        <v>#DIV/0!</v>
      </c>
    </row>
    <row r="231" spans="2:13" s="108" customFormat="1">
      <c r="B231" s="667"/>
      <c r="C231" s="343">
        <v>14</v>
      </c>
      <c r="D231" s="343"/>
      <c r="E231" s="182"/>
      <c r="F231" s="343"/>
      <c r="G231" s="346"/>
      <c r="H231" s="681"/>
      <c r="I231" s="199" t="e">
        <f t="shared" si="101"/>
        <v>#DIV/0!</v>
      </c>
      <c r="J231" s="199" t="e">
        <f t="shared" si="101"/>
        <v>#DIV/0!</v>
      </c>
      <c r="K231" s="199" t="e">
        <f t="shared" si="102"/>
        <v>#DIV/0!</v>
      </c>
      <c r="L231" s="705"/>
      <c r="M231" s="199" t="e">
        <f>RANK(K231, K$218:$K$247)</f>
        <v>#DIV/0!</v>
      </c>
    </row>
    <row r="232" spans="2:13" s="108" customFormat="1">
      <c r="B232" s="667"/>
      <c r="C232" s="343">
        <v>15</v>
      </c>
      <c r="D232" s="343"/>
      <c r="E232" s="182"/>
      <c r="F232" s="343"/>
      <c r="G232" s="346"/>
      <c r="H232" s="681"/>
      <c r="I232" s="199" t="e">
        <f t="shared" si="101"/>
        <v>#DIV/0!</v>
      </c>
      <c r="J232" s="199" t="e">
        <f t="shared" si="101"/>
        <v>#DIV/0!</v>
      </c>
      <c r="K232" s="199" t="e">
        <f t="shared" si="102"/>
        <v>#DIV/0!</v>
      </c>
      <c r="L232" s="705"/>
      <c r="M232" s="199" t="e">
        <f>RANK(K232, K$218:$K$247)</f>
        <v>#DIV/0!</v>
      </c>
    </row>
    <row r="233" spans="2:13" s="108" customFormat="1">
      <c r="B233" s="667"/>
      <c r="C233" s="343">
        <v>16</v>
      </c>
      <c r="D233" s="343"/>
      <c r="E233" s="182"/>
      <c r="F233" s="343"/>
      <c r="G233" s="346"/>
      <c r="H233" s="681"/>
      <c r="I233" s="199" t="e">
        <f t="shared" si="101"/>
        <v>#DIV/0!</v>
      </c>
      <c r="J233" s="199" t="e">
        <f t="shared" si="101"/>
        <v>#DIV/0!</v>
      </c>
      <c r="K233" s="199" t="e">
        <f t="shared" si="102"/>
        <v>#DIV/0!</v>
      </c>
      <c r="L233" s="705"/>
      <c r="M233" s="199" t="e">
        <f>RANK(K233, K$218:$K$247)</f>
        <v>#DIV/0!</v>
      </c>
    </row>
    <row r="234" spans="2:13" s="108" customFormat="1">
      <c r="B234" s="667"/>
      <c r="C234" s="343">
        <v>17</v>
      </c>
      <c r="D234" s="343"/>
      <c r="E234" s="182"/>
      <c r="F234" s="343"/>
      <c r="G234" s="346"/>
      <c r="H234" s="681"/>
      <c r="I234" s="199" t="e">
        <f t="shared" si="101"/>
        <v>#DIV/0!</v>
      </c>
      <c r="J234" s="199" t="e">
        <f t="shared" si="101"/>
        <v>#DIV/0!</v>
      </c>
      <c r="K234" s="199" t="e">
        <f t="shared" si="102"/>
        <v>#DIV/0!</v>
      </c>
      <c r="L234" s="705"/>
      <c r="M234" s="199" t="e">
        <f>RANK(K234, K$218:$K$247)</f>
        <v>#DIV/0!</v>
      </c>
    </row>
    <row r="235" spans="2:13" s="108" customFormat="1">
      <c r="B235" s="667"/>
      <c r="C235" s="343">
        <v>18</v>
      </c>
      <c r="D235" s="343"/>
      <c r="E235" s="182"/>
      <c r="F235" s="343"/>
      <c r="G235" s="346"/>
      <c r="H235" s="681"/>
      <c r="I235" s="199" t="e">
        <f t="shared" si="101"/>
        <v>#DIV/0!</v>
      </c>
      <c r="J235" s="199" t="e">
        <f t="shared" si="101"/>
        <v>#DIV/0!</v>
      </c>
      <c r="K235" s="199" t="e">
        <f t="shared" si="102"/>
        <v>#DIV/0!</v>
      </c>
      <c r="L235" s="705"/>
      <c r="M235" s="199" t="e">
        <f>RANK(K235, K$218:$K$247)</f>
        <v>#DIV/0!</v>
      </c>
    </row>
    <row r="236" spans="2:13" s="108" customFormat="1">
      <c r="B236" s="667"/>
      <c r="C236" s="343">
        <v>19</v>
      </c>
      <c r="D236" s="343"/>
      <c r="E236" s="182"/>
      <c r="F236" s="343"/>
      <c r="G236" s="346"/>
      <c r="H236" s="681"/>
      <c r="I236" s="199" t="e">
        <f t="shared" si="101"/>
        <v>#DIV/0!</v>
      </c>
      <c r="J236" s="199" t="e">
        <f t="shared" si="101"/>
        <v>#DIV/0!</v>
      </c>
      <c r="K236" s="199" t="e">
        <f t="shared" si="102"/>
        <v>#DIV/0!</v>
      </c>
      <c r="L236" s="705"/>
      <c r="M236" s="199" t="e">
        <f>RANK(K236, K$218:$K$247)</f>
        <v>#DIV/0!</v>
      </c>
    </row>
    <row r="237" spans="2:13" s="108" customFormat="1">
      <c r="B237" s="667"/>
      <c r="C237" s="343">
        <v>20</v>
      </c>
      <c r="D237" s="343"/>
      <c r="E237" s="182"/>
      <c r="F237" s="343"/>
      <c r="G237" s="346"/>
      <c r="H237" s="681"/>
      <c r="I237" s="199" t="e">
        <f t="shared" si="101"/>
        <v>#DIV/0!</v>
      </c>
      <c r="J237" s="199" t="e">
        <f t="shared" si="101"/>
        <v>#DIV/0!</v>
      </c>
      <c r="K237" s="199" t="e">
        <f t="shared" si="102"/>
        <v>#DIV/0!</v>
      </c>
      <c r="L237" s="705"/>
      <c r="M237" s="199" t="e">
        <f>RANK(K237, K$218:$K$247)</f>
        <v>#DIV/0!</v>
      </c>
    </row>
    <row r="238" spans="2:13" s="108" customFormat="1">
      <c r="B238" s="667"/>
      <c r="C238" s="343">
        <v>21</v>
      </c>
      <c r="D238" s="343"/>
      <c r="E238" s="182"/>
      <c r="F238" s="343"/>
      <c r="G238" s="346"/>
      <c r="H238" s="681"/>
      <c r="I238" s="199" t="e">
        <f t="shared" si="101"/>
        <v>#DIV/0!</v>
      </c>
      <c r="J238" s="199" t="e">
        <f t="shared" si="101"/>
        <v>#DIV/0!</v>
      </c>
      <c r="K238" s="199" t="e">
        <f t="shared" si="102"/>
        <v>#DIV/0!</v>
      </c>
      <c r="L238" s="705"/>
      <c r="M238" s="199" t="e">
        <f>RANK(K238, K$218:$K$247)</f>
        <v>#DIV/0!</v>
      </c>
    </row>
    <row r="239" spans="2:13" s="108" customFormat="1">
      <c r="B239" s="667"/>
      <c r="C239" s="343">
        <v>22</v>
      </c>
      <c r="D239" s="343"/>
      <c r="E239" s="182"/>
      <c r="F239" s="343"/>
      <c r="G239" s="346"/>
      <c r="H239" s="681"/>
      <c r="I239" s="199" t="e">
        <f t="shared" si="101"/>
        <v>#DIV/0!</v>
      </c>
      <c r="J239" s="199" t="e">
        <f t="shared" si="101"/>
        <v>#DIV/0!</v>
      </c>
      <c r="K239" s="199" t="e">
        <f t="shared" si="102"/>
        <v>#DIV/0!</v>
      </c>
      <c r="L239" s="705"/>
      <c r="M239" s="199" t="e">
        <f>RANK(K239, K$218:$K$247)</f>
        <v>#DIV/0!</v>
      </c>
    </row>
    <row r="240" spans="2:13" s="108" customFormat="1">
      <c r="B240" s="667"/>
      <c r="C240" s="343">
        <v>23</v>
      </c>
      <c r="D240" s="343"/>
      <c r="E240" s="182"/>
      <c r="F240" s="343"/>
      <c r="G240" s="346"/>
      <c r="H240" s="681"/>
      <c r="I240" s="199" t="e">
        <f t="shared" si="101"/>
        <v>#DIV/0!</v>
      </c>
      <c r="J240" s="199" t="e">
        <f t="shared" si="101"/>
        <v>#DIV/0!</v>
      </c>
      <c r="K240" s="199" t="e">
        <f t="shared" si="102"/>
        <v>#DIV/0!</v>
      </c>
      <c r="L240" s="705"/>
      <c r="M240" s="199" t="e">
        <f>RANK(K240, K$218:$K$247)</f>
        <v>#DIV/0!</v>
      </c>
    </row>
    <row r="241" spans="2:13" s="108" customFormat="1">
      <c r="B241" s="667"/>
      <c r="C241" s="343">
        <v>24</v>
      </c>
      <c r="D241" s="343"/>
      <c r="E241" s="182"/>
      <c r="F241" s="343"/>
      <c r="G241" s="346"/>
      <c r="H241" s="681"/>
      <c r="I241" s="199" t="e">
        <f t="shared" si="101"/>
        <v>#DIV/0!</v>
      </c>
      <c r="J241" s="199" t="e">
        <f t="shared" si="101"/>
        <v>#DIV/0!</v>
      </c>
      <c r="K241" s="199" t="e">
        <f t="shared" si="102"/>
        <v>#DIV/0!</v>
      </c>
      <c r="L241" s="705"/>
      <c r="M241" s="199" t="e">
        <f>RANK(K241, K$218:$K$247)</f>
        <v>#DIV/0!</v>
      </c>
    </row>
    <row r="242" spans="2:13" s="108" customFormat="1">
      <c r="B242" s="667"/>
      <c r="C242" s="343">
        <v>25</v>
      </c>
      <c r="D242" s="343"/>
      <c r="E242" s="182"/>
      <c r="F242" s="343"/>
      <c r="G242" s="346"/>
      <c r="H242" s="681"/>
      <c r="I242" s="199"/>
      <c r="J242" s="199"/>
      <c r="K242" s="199"/>
      <c r="L242" s="705"/>
      <c r="M242" s="199" t="e">
        <f>RANK(K242, K$218:$K$247)</f>
        <v>#DIV/0!</v>
      </c>
    </row>
    <row r="243" spans="2:13" s="108" customFormat="1">
      <c r="B243" s="667"/>
      <c r="C243" s="343">
        <v>26</v>
      </c>
      <c r="D243" s="343"/>
      <c r="E243" s="182"/>
      <c r="F243" s="343"/>
      <c r="G243" s="346"/>
      <c r="H243" s="681"/>
      <c r="I243" s="199"/>
      <c r="J243" s="199"/>
      <c r="K243" s="199"/>
      <c r="L243" s="705"/>
      <c r="M243" s="199" t="e">
        <f>RANK(K243, K$218:$K$247)</f>
        <v>#DIV/0!</v>
      </c>
    </row>
    <row r="244" spans="2:13" s="108" customFormat="1">
      <c r="B244" s="667"/>
      <c r="C244" s="343">
        <v>27</v>
      </c>
      <c r="D244" s="343"/>
      <c r="E244" s="182"/>
      <c r="F244" s="343"/>
      <c r="G244" s="346"/>
      <c r="H244" s="681"/>
      <c r="I244" s="199"/>
      <c r="J244" s="199"/>
      <c r="K244" s="199"/>
      <c r="L244" s="705"/>
      <c r="M244" s="199" t="e">
        <f>RANK(K244, K$218:$K$247)</f>
        <v>#DIV/0!</v>
      </c>
    </row>
    <row r="245" spans="2:13" s="108" customFormat="1">
      <c r="B245" s="667"/>
      <c r="C245" s="343">
        <v>28</v>
      </c>
      <c r="D245" s="343"/>
      <c r="E245" s="182"/>
      <c r="F245" s="343"/>
      <c r="G245" s="346"/>
      <c r="H245" s="681"/>
      <c r="I245" s="199"/>
      <c r="J245" s="199"/>
      <c r="K245" s="199"/>
      <c r="L245" s="705"/>
      <c r="M245" s="199" t="e">
        <f>RANK(K245, K$218:$K$247)</f>
        <v>#DIV/0!</v>
      </c>
    </row>
    <row r="246" spans="2:13" s="108" customFormat="1">
      <c r="B246" s="667"/>
      <c r="C246" s="343">
        <v>29</v>
      </c>
      <c r="D246" s="343"/>
      <c r="E246" s="182"/>
      <c r="F246" s="343"/>
      <c r="G246" s="346"/>
      <c r="H246" s="681"/>
      <c r="I246" s="199"/>
      <c r="J246" s="199"/>
      <c r="K246" s="199"/>
      <c r="L246" s="705"/>
      <c r="M246" s="199" t="e">
        <f>RANK(K246, K$218:$K$247)</f>
        <v>#DIV/0!</v>
      </c>
    </row>
    <row r="247" spans="2:13" s="108" customFormat="1">
      <c r="B247" s="667"/>
      <c r="C247" s="343">
        <v>30</v>
      </c>
      <c r="D247" s="343"/>
      <c r="E247" s="182"/>
      <c r="F247" s="343"/>
      <c r="G247" s="346"/>
      <c r="H247" s="681"/>
      <c r="I247" s="199"/>
      <c r="J247" s="199"/>
      <c r="K247" s="199"/>
      <c r="L247" s="705"/>
      <c r="M247" s="199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P2" sqref="P2:AX2"/>
      <selection pane="topRight" activeCell="AT7" sqref="AT7:AV1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71.54839030688504</v>
      </c>
    </row>
    <row r="2" spans="1:54" ht="15.75">
      <c r="A2" s="81"/>
      <c r="B2" s="671" t="s">
        <v>163</v>
      </c>
      <c r="C2" s="671"/>
      <c r="D2" s="671"/>
      <c r="E2" s="671"/>
      <c r="F2" s="671"/>
      <c r="G2" s="671"/>
      <c r="H2" s="671"/>
      <c r="I2" s="310"/>
      <c r="J2" s="310"/>
      <c r="K2" s="310"/>
      <c r="L2" s="310"/>
      <c r="M2" s="197"/>
      <c r="N2" s="660" t="s">
        <v>156</v>
      </c>
      <c r="O2" s="660" t="s">
        <v>155</v>
      </c>
      <c r="P2" s="687">
        <v>46084</v>
      </c>
      <c r="Q2" s="688"/>
      <c r="R2" s="688"/>
      <c r="S2" s="688"/>
      <c r="T2" s="689"/>
      <c r="U2" s="666">
        <f>P2+1</f>
        <v>46085</v>
      </c>
      <c r="V2" s="667"/>
      <c r="W2" s="667"/>
      <c r="X2" s="667"/>
      <c r="Y2" s="667"/>
      <c r="Z2" s="666">
        <f>U2+1</f>
        <v>46086</v>
      </c>
      <c r="AA2" s="667"/>
      <c r="AB2" s="667"/>
      <c r="AC2" s="667"/>
      <c r="AD2" s="667"/>
      <c r="AE2" s="666">
        <f>Z2+1</f>
        <v>46087</v>
      </c>
      <c r="AF2" s="667"/>
      <c r="AG2" s="667"/>
      <c r="AH2" s="667"/>
      <c r="AI2" s="667"/>
      <c r="AJ2" s="666">
        <f>AE2+1</f>
        <v>46088</v>
      </c>
      <c r="AK2" s="667"/>
      <c r="AL2" s="667"/>
      <c r="AM2" s="667"/>
      <c r="AN2" s="667"/>
      <c r="AO2" s="666">
        <f>AJ2+1</f>
        <v>46089</v>
      </c>
      <c r="AP2" s="667"/>
      <c r="AQ2" s="667"/>
      <c r="AR2" s="667"/>
      <c r="AS2" s="667"/>
      <c r="AT2" s="663">
        <f>AO2+1</f>
        <v>46090</v>
      </c>
      <c r="AU2" s="664"/>
      <c r="AV2" s="664"/>
      <c r="AW2" s="664"/>
      <c r="AX2" s="665"/>
    </row>
    <row r="3" spans="1:54" ht="15.75">
      <c r="A3" s="81"/>
      <c r="B3" s="690"/>
      <c r="C3" s="690"/>
      <c r="D3" s="690"/>
      <c r="E3" s="690"/>
      <c r="F3" s="690"/>
      <c r="G3" s="690"/>
      <c r="H3" s="690"/>
      <c r="I3" s="311"/>
      <c r="J3" s="311"/>
      <c r="K3" s="311"/>
      <c r="L3" s="311"/>
      <c r="M3" s="198"/>
      <c r="N3" s="662"/>
      <c r="O3" s="662"/>
      <c r="P3" s="663" t="s">
        <v>158</v>
      </c>
      <c r="Q3" s="664"/>
      <c r="R3" s="664"/>
      <c r="S3" s="664"/>
      <c r="T3" s="665"/>
      <c r="U3" s="663" t="s">
        <v>114</v>
      </c>
      <c r="V3" s="664"/>
      <c r="W3" s="664"/>
      <c r="X3" s="664"/>
      <c r="Y3" s="665"/>
      <c r="Z3" s="663" t="s">
        <v>159</v>
      </c>
      <c r="AA3" s="664"/>
      <c r="AB3" s="664"/>
      <c r="AC3" s="664"/>
      <c r="AD3" s="665"/>
      <c r="AE3" s="663" t="s">
        <v>157</v>
      </c>
      <c r="AF3" s="664"/>
      <c r="AG3" s="664"/>
      <c r="AH3" s="664"/>
      <c r="AI3" s="665"/>
      <c r="AJ3" s="663" t="s">
        <v>160</v>
      </c>
      <c r="AK3" s="664"/>
      <c r="AL3" s="664"/>
      <c r="AM3" s="664"/>
      <c r="AN3" s="665"/>
      <c r="AO3" s="663" t="s">
        <v>161</v>
      </c>
      <c r="AP3" s="664"/>
      <c r="AQ3" s="664"/>
      <c r="AR3" s="664"/>
      <c r="AS3" s="665"/>
      <c r="AT3" s="663" t="s">
        <v>162</v>
      </c>
      <c r="AU3" s="664"/>
      <c r="AV3" s="664"/>
      <c r="AW3" s="664"/>
      <c r="AX3" s="665"/>
    </row>
    <row r="4" spans="1:54" ht="14.25">
      <c r="A4" s="81"/>
      <c r="B4" s="659" t="s">
        <v>154</v>
      </c>
      <c r="C4" s="659" t="s">
        <v>429</v>
      </c>
      <c r="D4" s="659"/>
      <c r="E4" s="659" t="s">
        <v>420</v>
      </c>
      <c r="F4" s="659"/>
      <c r="G4" s="659"/>
      <c r="H4" s="675" t="s">
        <v>416</v>
      </c>
      <c r="I4" s="643" t="s">
        <v>421</v>
      </c>
      <c r="J4" s="643"/>
      <c r="K4" s="643"/>
      <c r="L4" s="644" t="s">
        <v>416</v>
      </c>
      <c r="M4" s="650" t="s">
        <v>417</v>
      </c>
      <c r="N4" s="659"/>
      <c r="O4" s="659" t="s">
        <v>422</v>
      </c>
      <c r="P4" s="656" t="s">
        <v>418</v>
      </c>
      <c r="Q4" s="657"/>
      <c r="R4" s="657"/>
      <c r="S4" s="658"/>
      <c r="T4" s="659" t="s">
        <v>416</v>
      </c>
      <c r="U4" s="656" t="s">
        <v>418</v>
      </c>
      <c r="V4" s="657"/>
      <c r="W4" s="657"/>
      <c r="X4" s="658"/>
      <c r="Y4" s="659" t="s">
        <v>416</v>
      </c>
      <c r="Z4" s="656" t="s">
        <v>418</v>
      </c>
      <c r="AA4" s="657"/>
      <c r="AB4" s="657"/>
      <c r="AC4" s="658"/>
      <c r="AD4" s="659" t="s">
        <v>416</v>
      </c>
      <c r="AE4" s="656" t="s">
        <v>418</v>
      </c>
      <c r="AF4" s="657"/>
      <c r="AG4" s="657"/>
      <c r="AH4" s="658"/>
      <c r="AI4" s="659" t="s">
        <v>416</v>
      </c>
      <c r="AJ4" s="656" t="s">
        <v>418</v>
      </c>
      <c r="AK4" s="657"/>
      <c r="AL4" s="657"/>
      <c r="AM4" s="658"/>
      <c r="AN4" s="659" t="s">
        <v>416</v>
      </c>
      <c r="AO4" s="656" t="s">
        <v>418</v>
      </c>
      <c r="AP4" s="657"/>
      <c r="AQ4" s="657"/>
      <c r="AR4" s="658"/>
      <c r="AS4" s="659" t="s">
        <v>416</v>
      </c>
      <c r="AT4" s="656" t="s">
        <v>418</v>
      </c>
      <c r="AU4" s="657"/>
      <c r="AV4" s="657"/>
      <c r="AW4" s="658"/>
      <c r="AX4" s="659" t="s">
        <v>416</v>
      </c>
    </row>
    <row r="5" spans="1:54" ht="14.25">
      <c r="A5" s="81"/>
      <c r="B5" s="659"/>
      <c r="C5" s="659"/>
      <c r="D5" s="659"/>
      <c r="E5" s="659" t="s">
        <v>423</v>
      </c>
      <c r="F5" s="659"/>
      <c r="G5" s="659"/>
      <c r="H5" s="676"/>
      <c r="I5" s="643" t="s">
        <v>423</v>
      </c>
      <c r="J5" s="643"/>
      <c r="K5" s="643"/>
      <c r="L5" s="645"/>
      <c r="M5" s="651"/>
      <c r="N5" s="659"/>
      <c r="O5" s="659"/>
      <c r="P5" s="656" t="s">
        <v>424</v>
      </c>
      <c r="Q5" s="657"/>
      <c r="R5" s="657"/>
      <c r="S5" s="658"/>
      <c r="T5" s="659"/>
      <c r="U5" s="656" t="s">
        <v>424</v>
      </c>
      <c r="V5" s="657"/>
      <c r="W5" s="657"/>
      <c r="X5" s="658"/>
      <c r="Y5" s="659"/>
      <c r="Z5" s="656" t="s">
        <v>424</v>
      </c>
      <c r="AA5" s="657"/>
      <c r="AB5" s="657"/>
      <c r="AC5" s="658"/>
      <c r="AD5" s="659"/>
      <c r="AE5" s="656" t="s">
        <v>424</v>
      </c>
      <c r="AF5" s="657"/>
      <c r="AG5" s="657"/>
      <c r="AH5" s="658"/>
      <c r="AI5" s="659"/>
      <c r="AJ5" s="656" t="s">
        <v>424</v>
      </c>
      <c r="AK5" s="657"/>
      <c r="AL5" s="657"/>
      <c r="AM5" s="658"/>
      <c r="AN5" s="659"/>
      <c r="AO5" s="656" t="s">
        <v>424</v>
      </c>
      <c r="AP5" s="657"/>
      <c r="AQ5" s="657"/>
      <c r="AR5" s="658"/>
      <c r="AS5" s="659"/>
      <c r="AT5" s="656" t="s">
        <v>424</v>
      </c>
      <c r="AU5" s="657"/>
      <c r="AV5" s="657"/>
      <c r="AW5" s="658"/>
      <c r="AX5" s="659"/>
    </row>
    <row r="6" spans="1:54" ht="14.25">
      <c r="A6" s="79"/>
      <c r="B6" s="659"/>
      <c r="C6" s="659"/>
      <c r="D6" s="659"/>
      <c r="E6" s="514" t="s">
        <v>425</v>
      </c>
      <c r="F6" s="514" t="s">
        <v>426</v>
      </c>
      <c r="G6" s="514" t="s">
        <v>427</v>
      </c>
      <c r="H6" s="677"/>
      <c r="I6" s="516" t="s">
        <v>425</v>
      </c>
      <c r="J6" s="516" t="s">
        <v>426</v>
      </c>
      <c r="K6" s="516" t="s">
        <v>427</v>
      </c>
      <c r="L6" s="646"/>
      <c r="M6" s="652"/>
      <c r="N6" s="659"/>
      <c r="O6" s="659"/>
      <c r="P6" s="514" t="s">
        <v>425</v>
      </c>
      <c r="Q6" s="514" t="s">
        <v>426</v>
      </c>
      <c r="R6" s="514" t="s">
        <v>427</v>
      </c>
      <c r="S6" s="514" t="s">
        <v>417</v>
      </c>
      <c r="T6" s="659"/>
      <c r="U6" s="514" t="s">
        <v>425</v>
      </c>
      <c r="V6" s="514" t="s">
        <v>426</v>
      </c>
      <c r="W6" s="514" t="s">
        <v>427</v>
      </c>
      <c r="X6" s="514" t="s">
        <v>417</v>
      </c>
      <c r="Y6" s="659"/>
      <c r="Z6" s="514" t="s">
        <v>425</v>
      </c>
      <c r="AA6" s="514" t="s">
        <v>426</v>
      </c>
      <c r="AB6" s="514" t="s">
        <v>427</v>
      </c>
      <c r="AC6" s="514" t="s">
        <v>417</v>
      </c>
      <c r="AD6" s="659"/>
      <c r="AE6" s="514" t="s">
        <v>425</v>
      </c>
      <c r="AF6" s="514" t="s">
        <v>426</v>
      </c>
      <c r="AG6" s="514" t="s">
        <v>427</v>
      </c>
      <c r="AH6" s="514" t="s">
        <v>417</v>
      </c>
      <c r="AI6" s="659"/>
      <c r="AJ6" s="514" t="s">
        <v>425</v>
      </c>
      <c r="AK6" s="514" t="s">
        <v>426</v>
      </c>
      <c r="AL6" s="514" t="s">
        <v>427</v>
      </c>
      <c r="AM6" s="514" t="s">
        <v>417</v>
      </c>
      <c r="AN6" s="659"/>
      <c r="AO6" s="514" t="s">
        <v>425</v>
      </c>
      <c r="AP6" s="514" t="s">
        <v>426</v>
      </c>
      <c r="AQ6" s="514" t="s">
        <v>427</v>
      </c>
      <c r="AR6" s="514" t="s">
        <v>417</v>
      </c>
      <c r="AS6" s="659"/>
      <c r="AT6" s="514" t="s">
        <v>425</v>
      </c>
      <c r="AU6" s="514" t="s">
        <v>426</v>
      </c>
      <c r="AV6" s="514" t="s">
        <v>427</v>
      </c>
      <c r="AW6" s="514" t="s">
        <v>417</v>
      </c>
      <c r="AX6" s="659"/>
    </row>
    <row r="7" spans="1:54" ht="14.25">
      <c r="A7" s="81"/>
      <c r="B7" s="659" t="s">
        <v>132</v>
      </c>
      <c r="C7" s="510">
        <v>1</v>
      </c>
      <c r="D7" s="227" t="s">
        <v>372</v>
      </c>
      <c r="E7" s="182">
        <v>18</v>
      </c>
      <c r="F7" s="510">
        <v>1440</v>
      </c>
      <c r="G7" s="511">
        <v>80</v>
      </c>
      <c r="H7" s="708">
        <f>AVERAGE(G7:G21)</f>
        <v>79.069999999999993</v>
      </c>
      <c r="I7" s="512">
        <f>AVERAGE(P7,U7,Z7,AE7,AJ7,AO7,AT7)</f>
        <v>18</v>
      </c>
      <c r="J7" s="512">
        <f>AVERAGE(Q7,V7,AA7,AF7,AK7,AP7,AU7)</f>
        <v>1329.4722579569279</v>
      </c>
      <c r="K7" s="200">
        <f>AVERAGE(R7,W7,AB7,AG7,AL7,AQ7,AV7)</f>
        <v>73.859569886496004</v>
      </c>
      <c r="L7" s="640">
        <f>IFERROR(AVERAGE(K7:K21),"-")</f>
        <v>71.54839030688504</v>
      </c>
      <c r="M7" s="517">
        <f>RANK(K7, K$7:$K$21)</f>
        <v>3</v>
      </c>
      <c r="N7" s="659"/>
      <c r="O7" s="659"/>
      <c r="P7" s="182">
        <v>18</v>
      </c>
      <c r="Q7" s="511">
        <v>1341.4655172413795</v>
      </c>
      <c r="R7" s="511">
        <v>74.525862068965523</v>
      </c>
      <c r="S7" s="510">
        <f>RANK(R7, R$7:R$21)</f>
        <v>4</v>
      </c>
      <c r="T7" s="708">
        <f>AVERAGE(R7:R21)</f>
        <v>72.387108537308109</v>
      </c>
      <c r="U7" s="182">
        <v>18</v>
      </c>
      <c r="V7" s="570">
        <v>1330.4854368932045</v>
      </c>
      <c r="W7" s="570">
        <v>73.915857605178019</v>
      </c>
      <c r="X7" s="510">
        <f>RANK(W7, W$7:W$21)</f>
        <v>4</v>
      </c>
      <c r="Y7" s="708">
        <f>AVERAGE(W7:W21)</f>
        <v>72.314613257324254</v>
      </c>
      <c r="Z7" s="182">
        <v>18</v>
      </c>
      <c r="AA7" s="570">
        <v>1326.9902912621365</v>
      </c>
      <c r="AB7" s="570">
        <v>73.721682847896474</v>
      </c>
      <c r="AC7" s="510">
        <f>RANK(AB7, AB$7:AB$21)</f>
        <v>4</v>
      </c>
      <c r="AD7" s="708">
        <f>AVERAGE(AB7:AB21)</f>
        <v>71.218464235565889</v>
      </c>
      <c r="AE7" s="182">
        <v>18</v>
      </c>
      <c r="AF7" s="570">
        <v>1334.2857142857138</v>
      </c>
      <c r="AG7" s="570">
        <v>74.126984126984098</v>
      </c>
      <c r="AH7" s="510">
        <f>RANK(AG7, AG$7:AG$21)</f>
        <v>3</v>
      </c>
      <c r="AI7" s="708">
        <f>AVERAGE(AG7:AG21)</f>
        <v>70.107261457127379</v>
      </c>
      <c r="AJ7" s="182">
        <v>18</v>
      </c>
      <c r="AK7" s="570">
        <v>1330.3030303030305</v>
      </c>
      <c r="AL7" s="570">
        <v>73.905723905723917</v>
      </c>
      <c r="AM7" s="510">
        <f>RANK(AL7, AL$7:AL$21)</f>
        <v>3</v>
      </c>
      <c r="AN7" s="708">
        <f>AVERAGE(AL7:AL21)</f>
        <v>71.355805207328771</v>
      </c>
      <c r="AO7" s="182">
        <v>18</v>
      </c>
      <c r="AP7" s="570">
        <v>1321.3740458015266</v>
      </c>
      <c r="AQ7" s="570">
        <v>73.409669211195919</v>
      </c>
      <c r="AR7" s="510">
        <f>RANK(AQ7, AQ$7:AQ$21)</f>
        <v>4</v>
      </c>
      <c r="AS7" s="708">
        <f>AVERAGE(AQ7:AQ21)</f>
        <v>71.724233227749238</v>
      </c>
      <c r="AT7" s="182">
        <v>18</v>
      </c>
      <c r="AU7" s="570">
        <v>1321.4017699115043</v>
      </c>
      <c r="AV7" s="570">
        <v>73.411209439528022</v>
      </c>
      <c r="AW7" s="510">
        <f>RANK(AV7, AV$7:AV$21)</f>
        <v>4</v>
      </c>
      <c r="AX7" s="681">
        <f>AVERAGE(AV7:AV21)</f>
        <v>71.73124622579158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67"/>
      <c r="C8" s="510">
        <v>2</v>
      </c>
      <c r="D8" s="227" t="s">
        <v>373</v>
      </c>
      <c r="E8" s="182">
        <v>18</v>
      </c>
      <c r="F8" s="510">
        <v>1440</v>
      </c>
      <c r="G8" s="511">
        <v>80</v>
      </c>
      <c r="H8" s="709"/>
      <c r="I8" s="512">
        <f t="shared" ref="I8:I16" si="0">AVERAGE(P8,U8,Z8,AE8,AJ8,AO8,AT8)</f>
        <v>18</v>
      </c>
      <c r="J8" s="512">
        <f t="shared" ref="J8:J16" si="1">AVERAGE(Q8,V8,AA8,AF8,AK8,AP8,AU8)</f>
        <v>1294.6219387223214</v>
      </c>
      <c r="K8" s="200">
        <f t="shared" ref="K8:K16" si="2">AVERAGE(R8,W8,AB8,AG8,AL8,AQ8,AV8)</f>
        <v>71.923441040128964</v>
      </c>
      <c r="L8" s="641"/>
      <c r="M8" s="517">
        <f>RANK(K8, K$7:$K$21)</f>
        <v>4</v>
      </c>
      <c r="N8" s="659"/>
      <c r="O8" s="659"/>
      <c r="P8" s="510">
        <v>18</v>
      </c>
      <c r="Q8" s="511">
        <v>1309.7872340425533</v>
      </c>
      <c r="R8" s="511">
        <v>72.765957446808514</v>
      </c>
      <c r="S8" s="510">
        <f t="shared" ref="S8:S21" si="3">RANK(R8, R$7:R$21)</f>
        <v>5</v>
      </c>
      <c r="T8" s="709"/>
      <c r="U8" s="569">
        <v>18</v>
      </c>
      <c r="V8" s="570">
        <v>1328.1081081081072</v>
      </c>
      <c r="W8" s="570">
        <v>73.783783783783733</v>
      </c>
      <c r="X8" s="510">
        <f t="shared" ref="X8:X21" si="4">RANK(W8, W$7:W$21)</f>
        <v>5</v>
      </c>
      <c r="Y8" s="709"/>
      <c r="Z8" s="569">
        <v>18</v>
      </c>
      <c r="AA8" s="570">
        <v>1327.8947368421043</v>
      </c>
      <c r="AB8" s="570">
        <v>73.771929824561354</v>
      </c>
      <c r="AC8" s="510">
        <f t="shared" ref="AC8:AC21" si="5">RANK(AB8, AB$7:AB$21)</f>
        <v>3</v>
      </c>
      <c r="AD8" s="709"/>
      <c r="AE8" s="569">
        <v>18</v>
      </c>
      <c r="AF8" s="570">
        <v>1137.7777777777751</v>
      </c>
      <c r="AG8" s="570">
        <v>63.209876543209731</v>
      </c>
      <c r="AH8" s="510">
        <f t="shared" ref="AH8:AH21" si="6">RANK(AG8, AG$7:AG$21)</f>
        <v>9</v>
      </c>
      <c r="AI8" s="709"/>
      <c r="AJ8" s="569">
        <v>18</v>
      </c>
      <c r="AK8" s="570">
        <v>1294.2857142857115</v>
      </c>
      <c r="AL8" s="570">
        <v>71.904761904761756</v>
      </c>
      <c r="AM8" s="510">
        <f t="shared" ref="AM8:AM21" si="7">RANK(AL8, AL$7:AL$21)</f>
        <v>4</v>
      </c>
      <c r="AN8" s="709"/>
      <c r="AO8" s="569">
        <v>18</v>
      </c>
      <c r="AP8" s="570">
        <v>1322.5000000000005</v>
      </c>
      <c r="AQ8" s="570">
        <v>73.472222222222243</v>
      </c>
      <c r="AR8" s="510">
        <f t="shared" ref="AR8:AR21" si="8">RANK(AQ8, AQ$7:AQ$21)</f>
        <v>3</v>
      </c>
      <c r="AS8" s="709"/>
      <c r="AT8" s="569">
        <v>18</v>
      </c>
      <c r="AU8" s="570">
        <v>1341.9999999999977</v>
      </c>
      <c r="AV8" s="570">
        <v>74.555555555555429</v>
      </c>
      <c r="AW8" s="510">
        <f t="shared" ref="AW8:AW21" si="9">RANK(AV8, AV$7:AV$21)</f>
        <v>3</v>
      </c>
      <c r="AX8" s="681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667"/>
      <c r="C9" s="510">
        <v>3</v>
      </c>
      <c r="D9" s="227" t="s">
        <v>374</v>
      </c>
      <c r="E9" s="182">
        <v>17</v>
      </c>
      <c r="F9" s="510">
        <v>1440</v>
      </c>
      <c r="G9" s="511">
        <v>84.7</v>
      </c>
      <c r="H9" s="709"/>
      <c r="I9" s="512">
        <f t="shared" si="0"/>
        <v>17</v>
      </c>
      <c r="J9" s="512">
        <f t="shared" si="1"/>
        <v>1337.2777997068911</v>
      </c>
      <c r="K9" s="200">
        <f t="shared" si="2"/>
        <v>78.663399982758293</v>
      </c>
      <c r="L9" s="641"/>
      <c r="M9" s="517">
        <f>RANK(K9, K$7:$K$21)</f>
        <v>2</v>
      </c>
      <c r="N9" s="659"/>
      <c r="O9" s="659"/>
      <c r="P9" s="510">
        <v>17</v>
      </c>
      <c r="Q9" s="511">
        <v>1350.4838709677415</v>
      </c>
      <c r="R9" s="511">
        <v>79.440227703984789</v>
      </c>
      <c r="S9" s="510">
        <f t="shared" si="3"/>
        <v>2</v>
      </c>
      <c r="T9" s="709"/>
      <c r="U9" s="569">
        <v>17</v>
      </c>
      <c r="V9" s="570">
        <v>1339.2660550458725</v>
      </c>
      <c r="W9" s="570">
        <v>78.780356179168962</v>
      </c>
      <c r="X9" s="510">
        <f t="shared" si="4"/>
        <v>2</v>
      </c>
      <c r="Y9" s="709"/>
      <c r="Z9" s="569">
        <v>17</v>
      </c>
      <c r="AA9" s="570">
        <v>1324.1584158415847</v>
      </c>
      <c r="AB9" s="570">
        <v>77.891671520093212</v>
      </c>
      <c r="AC9" s="510">
        <f t="shared" si="5"/>
        <v>2</v>
      </c>
      <c r="AD9" s="709"/>
      <c r="AE9" s="569">
        <v>17</v>
      </c>
      <c r="AF9" s="570">
        <v>1328.9361702127662</v>
      </c>
      <c r="AG9" s="570">
        <v>78.172715894868603</v>
      </c>
      <c r="AH9" s="510">
        <f t="shared" si="6"/>
        <v>2</v>
      </c>
      <c r="AI9" s="709"/>
      <c r="AJ9" s="569">
        <v>17</v>
      </c>
      <c r="AK9" s="570">
        <v>1348.0373831775707</v>
      </c>
      <c r="AL9" s="570">
        <v>79.296316657504164</v>
      </c>
      <c r="AM9" s="510">
        <f t="shared" si="7"/>
        <v>2</v>
      </c>
      <c r="AN9" s="709"/>
      <c r="AO9" s="569">
        <v>17</v>
      </c>
      <c r="AP9" s="570">
        <v>1339.5027027027015</v>
      </c>
      <c r="AQ9" s="570">
        <v>78.794276629570675</v>
      </c>
      <c r="AR9" s="510">
        <f t="shared" si="8"/>
        <v>2</v>
      </c>
      <c r="AS9" s="709"/>
      <c r="AT9" s="569">
        <v>17</v>
      </c>
      <c r="AU9" s="570">
        <v>1330.5600000000006</v>
      </c>
      <c r="AV9" s="570">
        <v>78.268235294117687</v>
      </c>
      <c r="AW9" s="510">
        <f t="shared" si="9"/>
        <v>2</v>
      </c>
      <c r="AX9" s="681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667"/>
      <c r="C10" s="510">
        <v>4</v>
      </c>
      <c r="D10" s="227" t="s">
        <v>375</v>
      </c>
      <c r="E10" s="182">
        <v>17</v>
      </c>
      <c r="F10" s="510">
        <v>1440</v>
      </c>
      <c r="G10" s="511">
        <v>84.7</v>
      </c>
      <c r="H10" s="709"/>
      <c r="I10" s="512">
        <f t="shared" si="0"/>
        <v>17</v>
      </c>
      <c r="J10" s="512">
        <f t="shared" si="1"/>
        <v>1166.4828876320794</v>
      </c>
      <c r="K10" s="200">
        <f t="shared" si="2"/>
        <v>68.616640448945844</v>
      </c>
      <c r="L10" s="641"/>
      <c r="M10" s="517">
        <f>RANK(K10, K$7:$K$21)</f>
        <v>8</v>
      </c>
      <c r="N10" s="659"/>
      <c r="O10" s="659"/>
      <c r="P10" s="510">
        <v>17</v>
      </c>
      <c r="Q10" s="511">
        <v>1277.4193548387077</v>
      </c>
      <c r="R10" s="511">
        <v>75.142314990512219</v>
      </c>
      <c r="S10" s="510">
        <f t="shared" si="3"/>
        <v>3</v>
      </c>
      <c r="T10" s="709"/>
      <c r="U10" s="569">
        <v>17</v>
      </c>
      <c r="V10" s="570">
        <v>1271.2499999999982</v>
      </c>
      <c r="W10" s="570">
        <v>74.77941176470577</v>
      </c>
      <c r="X10" s="510">
        <f t="shared" si="4"/>
        <v>3</v>
      </c>
      <c r="Y10" s="709"/>
      <c r="Z10" s="569">
        <v>17</v>
      </c>
      <c r="AA10" s="570">
        <v>1076.2499999999984</v>
      </c>
      <c r="AB10" s="570">
        <v>63.308823529411669</v>
      </c>
      <c r="AC10" s="510">
        <f t="shared" si="5"/>
        <v>9</v>
      </c>
      <c r="AD10" s="709"/>
      <c r="AE10" s="569">
        <v>17</v>
      </c>
      <c r="AF10" s="570">
        <v>1082.2222222222197</v>
      </c>
      <c r="AG10" s="570">
        <v>63.6601307189541</v>
      </c>
      <c r="AH10" s="510">
        <f t="shared" si="6"/>
        <v>8</v>
      </c>
      <c r="AI10" s="709"/>
      <c r="AJ10" s="569">
        <v>17</v>
      </c>
      <c r="AK10" s="570">
        <v>1072.7272727272712</v>
      </c>
      <c r="AL10" s="570">
        <v>63.101604278074774</v>
      </c>
      <c r="AM10" s="510">
        <f t="shared" si="7"/>
        <v>10</v>
      </c>
      <c r="AN10" s="709"/>
      <c r="AO10" s="569">
        <v>17</v>
      </c>
      <c r="AP10" s="570">
        <v>1201.8749999999982</v>
      </c>
      <c r="AQ10" s="570">
        <v>70.698529411764596</v>
      </c>
      <c r="AR10" s="510">
        <f t="shared" si="8"/>
        <v>7</v>
      </c>
      <c r="AS10" s="709"/>
      <c r="AT10" s="569">
        <v>17</v>
      </c>
      <c r="AU10" s="570">
        <v>1183.6363636363621</v>
      </c>
      <c r="AV10" s="570">
        <v>69.625668449197775</v>
      </c>
      <c r="AW10" s="510">
        <f t="shared" si="9"/>
        <v>8</v>
      </c>
      <c r="AX10" s="681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667"/>
      <c r="C11" s="510">
        <v>5</v>
      </c>
      <c r="D11" s="227" t="s">
        <v>376</v>
      </c>
      <c r="E11" s="182">
        <v>21</v>
      </c>
      <c r="F11" s="510">
        <v>1385</v>
      </c>
      <c r="G11" s="511">
        <v>65.900000000000006</v>
      </c>
      <c r="H11" s="709"/>
      <c r="I11" s="512">
        <f t="shared" si="0"/>
        <v>20.857142857142858</v>
      </c>
      <c r="J11" s="512">
        <f t="shared" si="1"/>
        <v>1287.2190245099193</v>
      </c>
      <c r="K11" s="200">
        <f t="shared" si="2"/>
        <v>61.732035772285428</v>
      </c>
      <c r="L11" s="641"/>
      <c r="M11" s="517">
        <f>RANK(K11, K$7:$K$21)</f>
        <v>10</v>
      </c>
      <c r="N11" s="659"/>
      <c r="O11" s="659"/>
      <c r="P11" s="510">
        <v>21</v>
      </c>
      <c r="Q11" s="511">
        <v>1291.5254237288129</v>
      </c>
      <c r="R11" s="511">
        <v>61.501210653752999</v>
      </c>
      <c r="S11" s="510">
        <f t="shared" si="3"/>
        <v>10</v>
      </c>
      <c r="T11" s="709"/>
      <c r="U11" s="569">
        <v>21</v>
      </c>
      <c r="V11" s="570">
        <v>1295.882352941177</v>
      </c>
      <c r="W11" s="570">
        <v>61.708683473389385</v>
      </c>
      <c r="X11" s="510">
        <f t="shared" si="4"/>
        <v>10</v>
      </c>
      <c r="Y11" s="709"/>
      <c r="Z11" s="569">
        <v>21</v>
      </c>
      <c r="AA11" s="570">
        <v>1290.3092783505158</v>
      </c>
      <c r="AB11" s="570">
        <v>61.443298969072181</v>
      </c>
      <c r="AC11" s="510">
        <f t="shared" si="5"/>
        <v>10</v>
      </c>
      <c r="AD11" s="709"/>
      <c r="AE11" s="569">
        <v>21</v>
      </c>
      <c r="AF11" s="570">
        <v>1280.9638554216863</v>
      </c>
      <c r="AG11" s="570">
        <v>60.998278829604111</v>
      </c>
      <c r="AH11" s="510">
        <f t="shared" si="6"/>
        <v>10</v>
      </c>
      <c r="AI11" s="709"/>
      <c r="AJ11" s="569">
        <v>20</v>
      </c>
      <c r="AK11" s="570">
        <v>1281.5217391304348</v>
      </c>
      <c r="AL11" s="570">
        <v>64.076086956521735</v>
      </c>
      <c r="AM11" s="510">
        <f t="shared" si="7"/>
        <v>9</v>
      </c>
      <c r="AN11" s="709"/>
      <c r="AO11" s="569">
        <v>21</v>
      </c>
      <c r="AP11" s="570">
        <v>1283.4146341463411</v>
      </c>
      <c r="AQ11" s="570">
        <v>61.114982578397196</v>
      </c>
      <c r="AR11" s="510">
        <f t="shared" si="8"/>
        <v>10</v>
      </c>
      <c r="AS11" s="709"/>
      <c r="AT11" s="569">
        <v>21</v>
      </c>
      <c r="AU11" s="570">
        <v>1286.9158878504682</v>
      </c>
      <c r="AV11" s="570">
        <v>61.281708945260391</v>
      </c>
      <c r="AW11" s="510">
        <f t="shared" si="9"/>
        <v>10</v>
      </c>
      <c r="AX11" s="681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667"/>
      <c r="C12" s="510">
        <v>6</v>
      </c>
      <c r="D12" s="227" t="s">
        <v>377</v>
      </c>
      <c r="E12" s="182">
        <v>19</v>
      </c>
      <c r="F12" s="510">
        <v>1440</v>
      </c>
      <c r="G12" s="511">
        <v>75.8</v>
      </c>
      <c r="H12" s="709"/>
      <c r="I12" s="512">
        <f t="shared" si="0"/>
        <v>19</v>
      </c>
      <c r="J12" s="512">
        <f t="shared" si="1"/>
        <v>1331.1494141031849</v>
      </c>
      <c r="K12" s="200">
        <f t="shared" si="2"/>
        <v>70.060495479114991</v>
      </c>
      <c r="L12" s="641"/>
      <c r="M12" s="517">
        <f>RANK(K12, K$7:$K$21)</f>
        <v>7</v>
      </c>
      <c r="N12" s="659"/>
      <c r="O12" s="659"/>
      <c r="P12" s="510">
        <v>19</v>
      </c>
      <c r="Q12" s="511">
        <v>1324.4680851063831</v>
      </c>
      <c r="R12" s="511">
        <v>69.708846584546478</v>
      </c>
      <c r="S12" s="510">
        <f t="shared" si="3"/>
        <v>8</v>
      </c>
      <c r="T12" s="709"/>
      <c r="U12" s="569">
        <v>19</v>
      </c>
      <c r="V12" s="570">
        <v>1331.7073170731703</v>
      </c>
      <c r="W12" s="570">
        <v>70.089858793324751</v>
      </c>
      <c r="X12" s="510">
        <f t="shared" si="4"/>
        <v>8</v>
      </c>
      <c r="Y12" s="709"/>
      <c r="Z12" s="569">
        <v>19</v>
      </c>
      <c r="AA12" s="570">
        <v>1342.0253164556955</v>
      </c>
      <c r="AB12" s="570">
        <v>70.63291139240502</v>
      </c>
      <c r="AC12" s="510">
        <f t="shared" si="5"/>
        <v>7</v>
      </c>
      <c r="AD12" s="709"/>
      <c r="AE12" s="569">
        <v>19</v>
      </c>
      <c r="AF12" s="570">
        <v>1322.9032258064528</v>
      </c>
      <c r="AG12" s="570">
        <v>69.626485568760671</v>
      </c>
      <c r="AH12" s="510">
        <f t="shared" si="6"/>
        <v>6</v>
      </c>
      <c r="AI12" s="709"/>
      <c r="AJ12" s="569">
        <v>19</v>
      </c>
      <c r="AK12" s="570">
        <v>1312.1739130434771</v>
      </c>
      <c r="AL12" s="570">
        <v>69.061784897025106</v>
      </c>
      <c r="AM12" s="510">
        <f t="shared" si="7"/>
        <v>7</v>
      </c>
      <c r="AN12" s="709"/>
      <c r="AO12" s="569">
        <v>19</v>
      </c>
      <c r="AP12" s="570">
        <v>1342.2680412371137</v>
      </c>
      <c r="AQ12" s="570">
        <v>70.645686380900727</v>
      </c>
      <c r="AR12" s="510">
        <f t="shared" si="8"/>
        <v>8</v>
      </c>
      <c r="AS12" s="709"/>
      <c r="AT12" s="569">
        <v>19</v>
      </c>
      <c r="AU12" s="570">
        <v>1342.5000000000016</v>
      </c>
      <c r="AV12" s="570">
        <v>70.657894736842195</v>
      </c>
      <c r="AW12" s="510">
        <f t="shared" si="9"/>
        <v>7</v>
      </c>
      <c r="AX12" s="681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667"/>
      <c r="C13" s="510">
        <v>7</v>
      </c>
      <c r="D13" s="227" t="s">
        <v>693</v>
      </c>
      <c r="E13" s="182">
        <v>18</v>
      </c>
      <c r="F13" s="510">
        <v>1385</v>
      </c>
      <c r="G13" s="511">
        <v>76.900000000000006</v>
      </c>
      <c r="H13" s="709"/>
      <c r="I13" s="512">
        <f t="shared" si="0"/>
        <v>18</v>
      </c>
      <c r="J13" s="512">
        <f t="shared" si="1"/>
        <v>1279.0932581000332</v>
      </c>
      <c r="K13" s="200">
        <f t="shared" si="2"/>
        <v>71.060736561112961</v>
      </c>
      <c r="L13" s="641"/>
      <c r="M13" s="517">
        <f>RANK(K13, K$7:$K$21)</f>
        <v>6</v>
      </c>
      <c r="N13" s="659"/>
      <c r="O13" s="659"/>
      <c r="P13" s="510">
        <v>18</v>
      </c>
      <c r="Q13" s="511">
        <v>1292.2580645161293</v>
      </c>
      <c r="R13" s="511">
        <v>71.792114695340516</v>
      </c>
      <c r="S13" s="510">
        <f t="shared" si="3"/>
        <v>6</v>
      </c>
      <c r="T13" s="709"/>
      <c r="U13" s="569">
        <v>18</v>
      </c>
      <c r="V13" s="570">
        <v>1276.0465116279067</v>
      </c>
      <c r="W13" s="570">
        <v>70.891472868217036</v>
      </c>
      <c r="X13" s="510">
        <f t="shared" si="4"/>
        <v>6</v>
      </c>
      <c r="Y13" s="709"/>
      <c r="Z13" s="569">
        <v>18</v>
      </c>
      <c r="AA13" s="570">
        <v>1286.9230769230762</v>
      </c>
      <c r="AB13" s="570">
        <v>71.495726495726458</v>
      </c>
      <c r="AC13" s="510">
        <f t="shared" si="5"/>
        <v>5</v>
      </c>
      <c r="AD13" s="709"/>
      <c r="AE13" s="569">
        <v>18</v>
      </c>
      <c r="AF13" s="570">
        <v>1280.322580645161</v>
      </c>
      <c r="AG13" s="570">
        <v>71.129032258064498</v>
      </c>
      <c r="AH13" s="510">
        <f t="shared" si="6"/>
        <v>4</v>
      </c>
      <c r="AI13" s="709"/>
      <c r="AJ13" s="569">
        <v>18</v>
      </c>
      <c r="AK13" s="570">
        <v>1270.2857142857129</v>
      </c>
      <c r="AL13" s="570">
        <v>70.571428571428498</v>
      </c>
      <c r="AM13" s="510">
        <f t="shared" si="7"/>
        <v>6</v>
      </c>
      <c r="AN13" s="709"/>
      <c r="AO13" s="569">
        <v>18</v>
      </c>
      <c r="AP13" s="570">
        <v>1275.4639175257735</v>
      </c>
      <c r="AQ13" s="570">
        <v>70.85910652920964</v>
      </c>
      <c r="AR13" s="510">
        <f t="shared" si="8"/>
        <v>6</v>
      </c>
      <c r="AS13" s="709"/>
      <c r="AT13" s="569">
        <v>18</v>
      </c>
      <c r="AU13" s="570">
        <v>1272.3529411764721</v>
      </c>
      <c r="AV13" s="570">
        <v>70.686274509804008</v>
      </c>
      <c r="AW13" s="510">
        <f t="shared" si="9"/>
        <v>6</v>
      </c>
      <c r="AX13" s="681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667"/>
      <c r="C14" s="510">
        <v>8</v>
      </c>
      <c r="D14" s="227" t="s">
        <v>696</v>
      </c>
      <c r="E14" s="182">
        <v>18</v>
      </c>
      <c r="F14" s="510">
        <v>1385</v>
      </c>
      <c r="G14" s="511">
        <v>76.900000000000006</v>
      </c>
      <c r="H14" s="709"/>
      <c r="I14" s="512">
        <f t="shared" si="0"/>
        <v>18</v>
      </c>
      <c r="J14" s="512">
        <f t="shared" si="1"/>
        <v>1279.3484885328064</v>
      </c>
      <c r="K14" s="200">
        <f t="shared" si="2"/>
        <v>71.074916029600359</v>
      </c>
      <c r="L14" s="641"/>
      <c r="M14" s="517">
        <f>RANK(K14, K$7:$K$21)</f>
        <v>5</v>
      </c>
      <c r="N14" s="659"/>
      <c r="O14" s="659"/>
      <c r="P14" s="510">
        <v>18</v>
      </c>
      <c r="Q14" s="511">
        <v>1270.9090909090924</v>
      </c>
      <c r="R14" s="511">
        <v>70.60606060606068</v>
      </c>
      <c r="S14" s="510">
        <f t="shared" si="3"/>
        <v>7</v>
      </c>
      <c r="T14" s="709"/>
      <c r="U14" s="569">
        <v>18</v>
      </c>
      <c r="V14" s="570">
        <v>1273.44827586207</v>
      </c>
      <c r="W14" s="570">
        <v>70.74712643678167</v>
      </c>
      <c r="X14" s="510">
        <f t="shared" si="4"/>
        <v>7</v>
      </c>
      <c r="Y14" s="709"/>
      <c r="Z14" s="569">
        <v>18</v>
      </c>
      <c r="AA14" s="570">
        <v>1284.2105263157903</v>
      </c>
      <c r="AB14" s="570">
        <v>71.34502923976612</v>
      </c>
      <c r="AC14" s="510">
        <f t="shared" si="5"/>
        <v>6</v>
      </c>
      <c r="AD14" s="709"/>
      <c r="AE14" s="569">
        <v>18</v>
      </c>
      <c r="AF14" s="570">
        <v>1277.3684210526305</v>
      </c>
      <c r="AG14" s="570">
        <v>70.964912280701697</v>
      </c>
      <c r="AH14" s="510">
        <f t="shared" si="6"/>
        <v>5</v>
      </c>
      <c r="AI14" s="709"/>
      <c r="AJ14" s="569">
        <v>18</v>
      </c>
      <c r="AK14" s="570">
        <v>1282.8571428571424</v>
      </c>
      <c r="AL14" s="570">
        <v>71.269841269841251</v>
      </c>
      <c r="AM14" s="510">
        <f t="shared" si="7"/>
        <v>5</v>
      </c>
      <c r="AN14" s="709"/>
      <c r="AO14" s="569">
        <v>18</v>
      </c>
      <c r="AP14" s="570">
        <v>1285.217391304348</v>
      </c>
      <c r="AQ14" s="570">
        <v>71.400966183574894</v>
      </c>
      <c r="AR14" s="510">
        <f t="shared" si="8"/>
        <v>5</v>
      </c>
      <c r="AS14" s="709"/>
      <c r="AT14" s="569">
        <v>18</v>
      </c>
      <c r="AU14" s="570">
        <v>1281.4285714285711</v>
      </c>
      <c r="AV14" s="570">
        <v>71.190476190476176</v>
      </c>
      <c r="AW14" s="510">
        <f t="shared" si="9"/>
        <v>5</v>
      </c>
      <c r="AX14" s="681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667"/>
      <c r="C15" s="510">
        <v>9</v>
      </c>
      <c r="D15" s="227" t="s">
        <v>763</v>
      </c>
      <c r="E15" s="182">
        <v>16</v>
      </c>
      <c r="F15" s="510">
        <v>1440</v>
      </c>
      <c r="G15" s="511">
        <v>90</v>
      </c>
      <c r="H15" s="709"/>
      <c r="I15" s="512">
        <f t="shared" si="0"/>
        <v>16</v>
      </c>
      <c r="J15" s="512">
        <f t="shared" si="1"/>
        <v>1330.734776802519</v>
      </c>
      <c r="K15" s="200">
        <f t="shared" si="2"/>
        <v>83.17092355015744</v>
      </c>
      <c r="L15" s="641"/>
      <c r="M15" s="517">
        <f>RANK(K15, K$7:$K$21)</f>
        <v>1</v>
      </c>
      <c r="N15" s="659"/>
      <c r="O15" s="659"/>
      <c r="P15" s="510">
        <v>16</v>
      </c>
      <c r="Q15" s="511">
        <v>1336.6666666666663</v>
      </c>
      <c r="R15" s="511">
        <v>83.541666666666643</v>
      </c>
      <c r="S15" s="510">
        <f t="shared" si="3"/>
        <v>1</v>
      </c>
      <c r="T15" s="709"/>
      <c r="U15" s="569">
        <v>16</v>
      </c>
      <c r="V15" s="570">
        <v>1327.7777777777785</v>
      </c>
      <c r="W15" s="570">
        <v>82.986111111111157</v>
      </c>
      <c r="X15" s="510">
        <f t="shared" si="4"/>
        <v>1</v>
      </c>
      <c r="Y15" s="709"/>
      <c r="Z15" s="569">
        <v>16</v>
      </c>
      <c r="AA15" s="570">
        <v>1320.0000000000005</v>
      </c>
      <c r="AB15" s="570">
        <v>82.500000000000028</v>
      </c>
      <c r="AC15" s="510">
        <f t="shared" si="5"/>
        <v>1</v>
      </c>
      <c r="AD15" s="709"/>
      <c r="AE15" s="569">
        <v>16</v>
      </c>
      <c r="AF15" s="570">
        <v>1329.8901098901099</v>
      </c>
      <c r="AG15" s="570">
        <v>83.118131868131869</v>
      </c>
      <c r="AH15" s="510">
        <f t="shared" si="6"/>
        <v>1</v>
      </c>
      <c r="AI15" s="709"/>
      <c r="AJ15" s="569">
        <v>16</v>
      </c>
      <c r="AK15" s="570">
        <v>1341.3861386138608</v>
      </c>
      <c r="AL15" s="570">
        <v>83.8366336633663</v>
      </c>
      <c r="AM15" s="510">
        <f t="shared" si="7"/>
        <v>1</v>
      </c>
      <c r="AN15" s="709"/>
      <c r="AO15" s="569">
        <v>16</v>
      </c>
      <c r="AP15" s="570">
        <v>1322.4193548387093</v>
      </c>
      <c r="AQ15" s="570">
        <v>82.651209677419331</v>
      </c>
      <c r="AR15" s="510">
        <f t="shared" si="8"/>
        <v>1</v>
      </c>
      <c r="AS15" s="709"/>
      <c r="AT15" s="569">
        <v>16</v>
      </c>
      <c r="AU15" s="570">
        <v>1337.003389830508</v>
      </c>
      <c r="AV15" s="570">
        <v>83.562711864406751</v>
      </c>
      <c r="AW15" s="510">
        <f t="shared" si="9"/>
        <v>1</v>
      </c>
      <c r="AX15" s="681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667"/>
      <c r="C16" s="510">
        <v>10</v>
      </c>
      <c r="D16" s="227" t="s">
        <v>914</v>
      </c>
      <c r="E16" s="182">
        <v>19</v>
      </c>
      <c r="F16" s="510">
        <v>1440</v>
      </c>
      <c r="G16" s="511">
        <v>75.8</v>
      </c>
      <c r="H16" s="709"/>
      <c r="I16" s="512">
        <f t="shared" si="0"/>
        <v>19</v>
      </c>
      <c r="J16" s="512">
        <f t="shared" si="1"/>
        <v>1241.1131420467518</v>
      </c>
      <c r="K16" s="200">
        <f t="shared" si="2"/>
        <v>65.321744318250083</v>
      </c>
      <c r="L16" s="641"/>
      <c r="M16" s="517">
        <f>RANK(K16, K$7:$K$21)</f>
        <v>9</v>
      </c>
      <c r="N16" s="659"/>
      <c r="O16" s="659"/>
      <c r="P16" s="510">
        <v>19</v>
      </c>
      <c r="Q16" s="511">
        <v>1232.0896551724138</v>
      </c>
      <c r="R16" s="511">
        <v>64.846823956442833</v>
      </c>
      <c r="S16" s="510">
        <f t="shared" si="3"/>
        <v>9</v>
      </c>
      <c r="T16" s="709"/>
      <c r="U16" s="569">
        <v>19</v>
      </c>
      <c r="V16" s="570">
        <v>1243.8059405940587</v>
      </c>
      <c r="W16" s="570">
        <v>65.463470557582042</v>
      </c>
      <c r="X16" s="510">
        <f t="shared" si="4"/>
        <v>9</v>
      </c>
      <c r="Y16" s="709"/>
      <c r="Z16" s="569">
        <v>19</v>
      </c>
      <c r="AA16" s="570">
        <v>1255.3978021978021</v>
      </c>
      <c r="AB16" s="570">
        <v>66.073568536726427</v>
      </c>
      <c r="AC16" s="510">
        <f t="shared" si="5"/>
        <v>8</v>
      </c>
      <c r="AD16" s="709"/>
      <c r="AE16" s="569">
        <v>19</v>
      </c>
      <c r="AF16" s="570">
        <v>1255.2552631578938</v>
      </c>
      <c r="AG16" s="570">
        <v>66.066066481994412</v>
      </c>
      <c r="AH16" s="510">
        <f t="shared" si="6"/>
        <v>7</v>
      </c>
      <c r="AI16" s="709"/>
      <c r="AJ16" s="569">
        <v>19</v>
      </c>
      <c r="AK16" s="570">
        <v>1264.1435294117643</v>
      </c>
      <c r="AL16" s="570">
        <v>66.533869969040225</v>
      </c>
      <c r="AM16" s="510">
        <f t="shared" si="7"/>
        <v>8</v>
      </c>
      <c r="AN16" s="709"/>
      <c r="AO16" s="569">
        <v>19</v>
      </c>
      <c r="AP16" s="570">
        <v>1219.7179856115108</v>
      </c>
      <c r="AQ16" s="570">
        <v>64.195683453237407</v>
      </c>
      <c r="AR16" s="510">
        <f t="shared" si="8"/>
        <v>9</v>
      </c>
      <c r="AS16" s="709"/>
      <c r="AT16" s="569">
        <v>19</v>
      </c>
      <c r="AU16" s="570">
        <v>1217.3818181818183</v>
      </c>
      <c r="AV16" s="570">
        <v>64.072727272727278</v>
      </c>
      <c r="AW16" s="510">
        <f t="shared" si="9"/>
        <v>9</v>
      </c>
      <c r="AX16" s="681"/>
      <c r="AZ16" s="362" t="e">
        <f>RANK(AX16, $K$7:AX$21)</f>
        <v>#N/A</v>
      </c>
      <c r="BB16" s="359" t="e">
        <f t="shared" si="10"/>
        <v>#N/A</v>
      </c>
    </row>
    <row r="17" spans="2:54">
      <c r="B17" s="667"/>
      <c r="C17" s="510">
        <v>11</v>
      </c>
      <c r="D17" s="227"/>
      <c r="E17" s="182"/>
      <c r="F17" s="510"/>
      <c r="G17" s="511"/>
      <c r="H17" s="709"/>
      <c r="I17" s="202"/>
      <c r="J17" s="202"/>
      <c r="K17" s="202"/>
      <c r="L17" s="641"/>
      <c r="M17" s="517" t="e">
        <f>RANK(K17, K$7:$K$21)</f>
        <v>#N/A</v>
      </c>
      <c r="N17" s="659"/>
      <c r="O17" s="659"/>
      <c r="P17" s="510"/>
      <c r="Q17" s="511"/>
      <c r="R17" s="511"/>
      <c r="S17" s="510" t="e">
        <f t="shared" si="3"/>
        <v>#N/A</v>
      </c>
      <c r="T17" s="709"/>
      <c r="U17" s="569"/>
      <c r="V17" s="570"/>
      <c r="W17" s="570"/>
      <c r="X17" s="510" t="e">
        <f t="shared" si="4"/>
        <v>#N/A</v>
      </c>
      <c r="Y17" s="709"/>
      <c r="Z17" s="569"/>
      <c r="AA17" s="570"/>
      <c r="AB17" s="570"/>
      <c r="AC17" s="510" t="e">
        <f t="shared" si="5"/>
        <v>#N/A</v>
      </c>
      <c r="AD17" s="709"/>
      <c r="AE17" s="569"/>
      <c r="AF17" s="570"/>
      <c r="AG17" s="570"/>
      <c r="AH17" s="510" t="e">
        <f t="shared" si="6"/>
        <v>#N/A</v>
      </c>
      <c r="AI17" s="709"/>
      <c r="AJ17" s="569"/>
      <c r="AK17" s="570"/>
      <c r="AL17" s="570"/>
      <c r="AM17" s="510" t="e">
        <f t="shared" si="7"/>
        <v>#N/A</v>
      </c>
      <c r="AN17" s="709"/>
      <c r="AO17" s="569"/>
      <c r="AP17" s="570"/>
      <c r="AQ17" s="570"/>
      <c r="AR17" s="510" t="e">
        <f t="shared" si="8"/>
        <v>#N/A</v>
      </c>
      <c r="AS17" s="709"/>
      <c r="AT17" s="569"/>
      <c r="AU17" s="570"/>
      <c r="AV17" s="570"/>
      <c r="AW17" s="510" t="e">
        <f t="shared" si="9"/>
        <v>#N/A</v>
      </c>
      <c r="AX17" s="681"/>
      <c r="AZ17" s="362" t="e">
        <f>RANK(AX17, $K$7:AX$21)</f>
        <v>#N/A</v>
      </c>
      <c r="BB17" s="359" t="e">
        <f t="shared" si="10"/>
        <v>#N/A</v>
      </c>
    </row>
    <row r="18" spans="2:54">
      <c r="B18" s="667"/>
      <c r="C18" s="510">
        <v>12</v>
      </c>
      <c r="D18" s="227"/>
      <c r="E18" s="182"/>
      <c r="F18" s="510"/>
      <c r="G18" s="511"/>
      <c r="H18" s="709"/>
      <c r="I18" s="202"/>
      <c r="J18" s="202"/>
      <c r="K18" s="202"/>
      <c r="L18" s="641"/>
      <c r="M18" s="517" t="e">
        <f>RANK(K18, K$7:$K$21)</f>
        <v>#N/A</v>
      </c>
      <c r="N18" s="659"/>
      <c r="O18" s="659"/>
      <c r="P18" s="510"/>
      <c r="Q18" s="511"/>
      <c r="R18" s="511"/>
      <c r="S18" s="510" t="e">
        <f t="shared" si="3"/>
        <v>#N/A</v>
      </c>
      <c r="T18" s="709"/>
      <c r="U18" s="569"/>
      <c r="V18" s="570"/>
      <c r="W18" s="570"/>
      <c r="X18" s="510" t="e">
        <f t="shared" si="4"/>
        <v>#N/A</v>
      </c>
      <c r="Y18" s="709"/>
      <c r="Z18" s="569"/>
      <c r="AA18" s="570"/>
      <c r="AB18" s="570"/>
      <c r="AC18" s="510" t="e">
        <f t="shared" si="5"/>
        <v>#N/A</v>
      </c>
      <c r="AD18" s="709"/>
      <c r="AE18" s="569"/>
      <c r="AF18" s="570"/>
      <c r="AG18" s="570"/>
      <c r="AH18" s="510" t="e">
        <f t="shared" si="6"/>
        <v>#N/A</v>
      </c>
      <c r="AI18" s="709"/>
      <c r="AJ18" s="569"/>
      <c r="AK18" s="570"/>
      <c r="AL18" s="570"/>
      <c r="AM18" s="510" t="e">
        <f t="shared" si="7"/>
        <v>#N/A</v>
      </c>
      <c r="AN18" s="709"/>
      <c r="AO18" s="569"/>
      <c r="AP18" s="570"/>
      <c r="AQ18" s="570"/>
      <c r="AR18" s="510" t="e">
        <f t="shared" si="8"/>
        <v>#N/A</v>
      </c>
      <c r="AS18" s="709"/>
      <c r="AT18" s="569"/>
      <c r="AU18" s="570"/>
      <c r="AV18" s="570"/>
      <c r="AW18" s="510" t="e">
        <f t="shared" si="9"/>
        <v>#N/A</v>
      </c>
      <c r="AX18" s="681"/>
      <c r="AZ18" s="362" t="e">
        <f>RANK(AX18, $K$7:AX$21)</f>
        <v>#N/A</v>
      </c>
      <c r="BB18" s="359" t="e">
        <f t="shared" si="10"/>
        <v>#N/A</v>
      </c>
    </row>
    <row r="19" spans="2:54">
      <c r="B19" s="667"/>
      <c r="C19" s="510">
        <v>13</v>
      </c>
      <c r="D19" s="227"/>
      <c r="E19" s="182"/>
      <c r="F19" s="510"/>
      <c r="G19" s="511"/>
      <c r="H19" s="709"/>
      <c r="I19" s="202"/>
      <c r="J19" s="202"/>
      <c r="K19" s="202"/>
      <c r="L19" s="641"/>
      <c r="M19" s="517" t="e">
        <f>RANK(K19, K$7:$K$21)</f>
        <v>#N/A</v>
      </c>
      <c r="N19" s="659"/>
      <c r="O19" s="659"/>
      <c r="P19" s="510"/>
      <c r="Q19" s="511"/>
      <c r="R19" s="511"/>
      <c r="S19" s="510" t="e">
        <f t="shared" si="3"/>
        <v>#N/A</v>
      </c>
      <c r="T19" s="709"/>
      <c r="U19" s="569"/>
      <c r="V19" s="570"/>
      <c r="W19" s="570"/>
      <c r="X19" s="510" t="e">
        <f t="shared" si="4"/>
        <v>#N/A</v>
      </c>
      <c r="Y19" s="709"/>
      <c r="Z19" s="569"/>
      <c r="AA19" s="570"/>
      <c r="AB19" s="570"/>
      <c r="AC19" s="510" t="e">
        <f t="shared" si="5"/>
        <v>#N/A</v>
      </c>
      <c r="AD19" s="709"/>
      <c r="AE19" s="569"/>
      <c r="AF19" s="570"/>
      <c r="AG19" s="570"/>
      <c r="AH19" s="510" t="e">
        <f t="shared" si="6"/>
        <v>#N/A</v>
      </c>
      <c r="AI19" s="709"/>
      <c r="AJ19" s="569"/>
      <c r="AK19" s="570"/>
      <c r="AL19" s="570"/>
      <c r="AM19" s="510" t="e">
        <f t="shared" si="7"/>
        <v>#N/A</v>
      </c>
      <c r="AN19" s="709"/>
      <c r="AO19" s="569"/>
      <c r="AP19" s="570"/>
      <c r="AQ19" s="570"/>
      <c r="AR19" s="510" t="e">
        <f t="shared" si="8"/>
        <v>#N/A</v>
      </c>
      <c r="AS19" s="709"/>
      <c r="AT19" s="569"/>
      <c r="AU19" s="570"/>
      <c r="AV19" s="570"/>
      <c r="AW19" s="510" t="e">
        <f t="shared" si="9"/>
        <v>#N/A</v>
      </c>
      <c r="AX19" s="681"/>
      <c r="AZ19" s="362" t="e">
        <f>RANK(AX19, $K$7:AX$21)</f>
        <v>#N/A</v>
      </c>
      <c r="BB19" s="359" t="e">
        <f t="shared" si="10"/>
        <v>#N/A</v>
      </c>
    </row>
    <row r="20" spans="2:54">
      <c r="B20" s="667"/>
      <c r="C20" s="510">
        <v>14</v>
      </c>
      <c r="D20" s="227"/>
      <c r="E20" s="182"/>
      <c r="F20" s="510"/>
      <c r="G20" s="511"/>
      <c r="H20" s="709"/>
      <c r="I20" s="202"/>
      <c r="J20" s="202"/>
      <c r="K20" s="202"/>
      <c r="L20" s="641"/>
      <c r="M20" s="517" t="e">
        <f>RANK(K20, K$7:$K$21)</f>
        <v>#N/A</v>
      </c>
      <c r="N20" s="659"/>
      <c r="O20" s="659"/>
      <c r="P20" s="510"/>
      <c r="Q20" s="511"/>
      <c r="R20" s="511"/>
      <c r="S20" s="510" t="e">
        <f t="shared" si="3"/>
        <v>#N/A</v>
      </c>
      <c r="T20" s="709"/>
      <c r="U20" s="569"/>
      <c r="V20" s="570"/>
      <c r="W20" s="570"/>
      <c r="X20" s="510" t="e">
        <f t="shared" si="4"/>
        <v>#N/A</v>
      </c>
      <c r="Y20" s="709"/>
      <c r="Z20" s="569"/>
      <c r="AA20" s="570"/>
      <c r="AB20" s="570"/>
      <c r="AC20" s="510" t="e">
        <f t="shared" si="5"/>
        <v>#N/A</v>
      </c>
      <c r="AD20" s="709"/>
      <c r="AE20" s="569"/>
      <c r="AF20" s="570"/>
      <c r="AG20" s="570"/>
      <c r="AH20" s="510" t="e">
        <f t="shared" si="6"/>
        <v>#N/A</v>
      </c>
      <c r="AI20" s="709"/>
      <c r="AJ20" s="569"/>
      <c r="AK20" s="570"/>
      <c r="AL20" s="570"/>
      <c r="AM20" s="510" t="e">
        <f t="shared" si="7"/>
        <v>#N/A</v>
      </c>
      <c r="AN20" s="709"/>
      <c r="AO20" s="569"/>
      <c r="AP20" s="570"/>
      <c r="AQ20" s="570"/>
      <c r="AR20" s="510" t="e">
        <f t="shared" si="8"/>
        <v>#N/A</v>
      </c>
      <c r="AS20" s="709"/>
      <c r="AT20" s="569"/>
      <c r="AU20" s="570"/>
      <c r="AV20" s="570"/>
      <c r="AW20" s="510" t="e">
        <f t="shared" si="9"/>
        <v>#N/A</v>
      </c>
      <c r="AX20" s="681"/>
      <c r="AZ20" s="362" t="e">
        <f>RANK(AX20, $K$7:AX$21)</f>
        <v>#N/A</v>
      </c>
      <c r="BB20" s="359" t="e">
        <f t="shared" si="10"/>
        <v>#N/A</v>
      </c>
    </row>
    <row r="21" spans="2:54">
      <c r="B21" s="667"/>
      <c r="C21" s="510">
        <v>15</v>
      </c>
      <c r="D21" s="227"/>
      <c r="E21" s="182"/>
      <c r="F21" s="510"/>
      <c r="G21" s="511"/>
      <c r="H21" s="710"/>
      <c r="I21" s="202"/>
      <c r="J21" s="202"/>
      <c r="K21" s="202"/>
      <c r="L21" s="642"/>
      <c r="M21" s="517" t="e">
        <f>RANK(K21, K$7:$K$21)</f>
        <v>#N/A</v>
      </c>
      <c r="N21" s="659"/>
      <c r="O21" s="659"/>
      <c r="P21" s="510"/>
      <c r="Q21" s="511"/>
      <c r="R21" s="511"/>
      <c r="S21" s="510" t="e">
        <f t="shared" si="3"/>
        <v>#N/A</v>
      </c>
      <c r="T21" s="710"/>
      <c r="U21" s="569"/>
      <c r="V21" s="570"/>
      <c r="W21" s="570"/>
      <c r="X21" s="510" t="e">
        <f t="shared" si="4"/>
        <v>#N/A</v>
      </c>
      <c r="Y21" s="710"/>
      <c r="Z21" s="569"/>
      <c r="AA21" s="570"/>
      <c r="AB21" s="570"/>
      <c r="AC21" s="510" t="e">
        <f t="shared" si="5"/>
        <v>#N/A</v>
      </c>
      <c r="AD21" s="710"/>
      <c r="AE21" s="569"/>
      <c r="AF21" s="570"/>
      <c r="AG21" s="570"/>
      <c r="AH21" s="510" t="e">
        <f t="shared" si="6"/>
        <v>#N/A</v>
      </c>
      <c r="AI21" s="710"/>
      <c r="AJ21" s="569"/>
      <c r="AK21" s="570"/>
      <c r="AL21" s="570"/>
      <c r="AM21" s="510" t="e">
        <f t="shared" si="7"/>
        <v>#N/A</v>
      </c>
      <c r="AN21" s="710"/>
      <c r="AO21" s="569"/>
      <c r="AP21" s="570"/>
      <c r="AQ21" s="570"/>
      <c r="AR21" s="510" t="e">
        <f t="shared" si="8"/>
        <v>#N/A</v>
      </c>
      <c r="AS21" s="710"/>
      <c r="AT21" s="569"/>
      <c r="AU21" s="570"/>
      <c r="AV21" s="570"/>
      <c r="AW21" s="510" t="e">
        <f t="shared" si="9"/>
        <v>#N/A</v>
      </c>
      <c r="AX21" s="681"/>
      <c r="AZ21" s="361" t="e">
        <f>RANK(AX21, $K$7:AX$21)</f>
        <v>#N/A</v>
      </c>
      <c r="BB21" s="359" t="e">
        <f t="shared" si="10"/>
        <v>#N/A</v>
      </c>
    </row>
    <row r="22" spans="2:54" ht="15.75">
      <c r="B22" s="685" t="s">
        <v>163</v>
      </c>
      <c r="C22" s="686"/>
      <c r="D22" s="686"/>
      <c r="E22" s="686"/>
      <c r="F22" s="686"/>
      <c r="G22" s="686"/>
      <c r="H22" s="686"/>
      <c r="I22" s="203"/>
      <c r="J22" s="203"/>
      <c r="K22" s="203"/>
      <c r="L22" s="203"/>
      <c r="M22" s="204"/>
      <c r="N22" s="660" t="s">
        <v>156</v>
      </c>
      <c r="O22" s="660" t="s">
        <v>105</v>
      </c>
      <c r="P22" s="666">
        <f>P2+7</f>
        <v>46091</v>
      </c>
      <c r="Q22" s="667"/>
      <c r="R22" s="667"/>
      <c r="S22" s="667"/>
      <c r="T22" s="667"/>
      <c r="U22" s="663">
        <f>P22+1</f>
        <v>46092</v>
      </c>
      <c r="V22" s="664"/>
      <c r="W22" s="664"/>
      <c r="X22" s="664"/>
      <c r="Y22" s="665"/>
      <c r="Z22" s="663">
        <f>U22+1</f>
        <v>46093</v>
      </c>
      <c r="AA22" s="664"/>
      <c r="AB22" s="664"/>
      <c r="AC22" s="664"/>
      <c r="AD22" s="665"/>
      <c r="AE22" s="663">
        <f>Z22+1</f>
        <v>46094</v>
      </c>
      <c r="AF22" s="664"/>
      <c r="AG22" s="664"/>
      <c r="AH22" s="664"/>
      <c r="AI22" s="665"/>
      <c r="AJ22" s="663">
        <f>AE22+1</f>
        <v>46095</v>
      </c>
      <c r="AK22" s="664"/>
      <c r="AL22" s="664"/>
      <c r="AM22" s="664"/>
      <c r="AN22" s="665"/>
      <c r="AO22" s="663">
        <f>AJ22+1</f>
        <v>46096</v>
      </c>
      <c r="AP22" s="664"/>
      <c r="AQ22" s="664"/>
      <c r="AR22" s="664"/>
      <c r="AS22" s="665"/>
      <c r="AT22" s="663">
        <f>AO22+1</f>
        <v>46097</v>
      </c>
      <c r="AU22" s="664"/>
      <c r="AV22" s="664"/>
      <c r="AW22" s="664"/>
      <c r="AX22" s="665"/>
    </row>
    <row r="23" spans="2:54" ht="15.75">
      <c r="B23" s="674"/>
      <c r="C23" s="674"/>
      <c r="D23" s="674"/>
      <c r="E23" s="674"/>
      <c r="F23" s="674"/>
      <c r="G23" s="674"/>
      <c r="H23" s="674"/>
      <c r="I23" s="205"/>
      <c r="J23" s="205"/>
      <c r="K23" s="205"/>
      <c r="L23" s="205"/>
      <c r="M23" s="206"/>
      <c r="N23" s="662"/>
      <c r="O23" s="662"/>
      <c r="P23" s="666" t="s">
        <v>336</v>
      </c>
      <c r="Q23" s="667"/>
      <c r="R23" s="667"/>
      <c r="S23" s="667"/>
      <c r="T23" s="667"/>
      <c r="U23" s="666" t="s">
        <v>337</v>
      </c>
      <c r="V23" s="667"/>
      <c r="W23" s="667"/>
      <c r="X23" s="667"/>
      <c r="Y23" s="667"/>
      <c r="Z23" s="666" t="s">
        <v>338</v>
      </c>
      <c r="AA23" s="667"/>
      <c r="AB23" s="667"/>
      <c r="AC23" s="667"/>
      <c r="AD23" s="667"/>
      <c r="AE23" s="666" t="s">
        <v>339</v>
      </c>
      <c r="AF23" s="667"/>
      <c r="AG23" s="667"/>
      <c r="AH23" s="667"/>
      <c r="AI23" s="667"/>
      <c r="AJ23" s="666" t="s">
        <v>340</v>
      </c>
      <c r="AK23" s="667"/>
      <c r="AL23" s="667"/>
      <c r="AM23" s="667"/>
      <c r="AN23" s="667"/>
      <c r="AO23" s="666" t="s">
        <v>341</v>
      </c>
      <c r="AP23" s="667"/>
      <c r="AQ23" s="667"/>
      <c r="AR23" s="667"/>
      <c r="AS23" s="667"/>
      <c r="AT23" s="666" t="s">
        <v>342</v>
      </c>
      <c r="AU23" s="667"/>
      <c r="AV23" s="667"/>
      <c r="AW23" s="667"/>
      <c r="AX23" s="667"/>
    </row>
    <row r="24" spans="2:54">
      <c r="B24" s="659" t="s">
        <v>154</v>
      </c>
      <c r="C24" s="659" t="s">
        <v>429</v>
      </c>
      <c r="D24" s="659"/>
      <c r="E24" s="659" t="s">
        <v>518</v>
      </c>
      <c r="F24" s="659"/>
      <c r="G24" s="659"/>
      <c r="H24" s="675" t="s">
        <v>416</v>
      </c>
      <c r="I24" s="643" t="s">
        <v>519</v>
      </c>
      <c r="J24" s="643"/>
      <c r="K24" s="643"/>
      <c r="L24" s="644" t="s">
        <v>416</v>
      </c>
      <c r="M24" s="650" t="s">
        <v>417</v>
      </c>
      <c r="N24" s="659"/>
      <c r="O24" s="659" t="s">
        <v>520</v>
      </c>
      <c r="P24" s="656" t="s">
        <v>521</v>
      </c>
      <c r="Q24" s="657"/>
      <c r="R24" s="657"/>
      <c r="S24" s="658"/>
      <c r="T24" s="659" t="s">
        <v>522</v>
      </c>
      <c r="U24" s="656" t="s">
        <v>521</v>
      </c>
      <c r="V24" s="657"/>
      <c r="W24" s="657"/>
      <c r="X24" s="658"/>
      <c r="Y24" s="659" t="s">
        <v>522</v>
      </c>
      <c r="Z24" s="656" t="s">
        <v>521</v>
      </c>
      <c r="AA24" s="657"/>
      <c r="AB24" s="657"/>
      <c r="AC24" s="658"/>
      <c r="AD24" s="659" t="s">
        <v>523</v>
      </c>
      <c r="AE24" s="656" t="s">
        <v>521</v>
      </c>
      <c r="AF24" s="657"/>
      <c r="AG24" s="657"/>
      <c r="AH24" s="658"/>
      <c r="AI24" s="659" t="s">
        <v>523</v>
      </c>
      <c r="AJ24" s="656" t="s">
        <v>418</v>
      </c>
      <c r="AK24" s="657"/>
      <c r="AL24" s="657"/>
      <c r="AM24" s="658"/>
      <c r="AN24" s="659" t="s">
        <v>523</v>
      </c>
      <c r="AO24" s="656" t="s">
        <v>524</v>
      </c>
      <c r="AP24" s="657"/>
      <c r="AQ24" s="657"/>
      <c r="AR24" s="658"/>
      <c r="AS24" s="659" t="s">
        <v>523</v>
      </c>
      <c r="AT24" s="656" t="s">
        <v>524</v>
      </c>
      <c r="AU24" s="657"/>
      <c r="AV24" s="657"/>
      <c r="AW24" s="658"/>
      <c r="AX24" s="659" t="s">
        <v>416</v>
      </c>
    </row>
    <row r="25" spans="2:54">
      <c r="B25" s="659"/>
      <c r="C25" s="659"/>
      <c r="D25" s="659"/>
      <c r="E25" s="659" t="s">
        <v>525</v>
      </c>
      <c r="F25" s="659"/>
      <c r="G25" s="659"/>
      <c r="H25" s="676"/>
      <c r="I25" s="643" t="s">
        <v>526</v>
      </c>
      <c r="J25" s="643"/>
      <c r="K25" s="643"/>
      <c r="L25" s="645"/>
      <c r="M25" s="651"/>
      <c r="N25" s="659"/>
      <c r="O25" s="659"/>
      <c r="P25" s="656" t="s">
        <v>424</v>
      </c>
      <c r="Q25" s="657"/>
      <c r="R25" s="657"/>
      <c r="S25" s="658"/>
      <c r="T25" s="659"/>
      <c r="U25" s="656" t="s">
        <v>424</v>
      </c>
      <c r="V25" s="657"/>
      <c r="W25" s="657"/>
      <c r="X25" s="658"/>
      <c r="Y25" s="659"/>
      <c r="Z25" s="656" t="s">
        <v>527</v>
      </c>
      <c r="AA25" s="657"/>
      <c r="AB25" s="657"/>
      <c r="AC25" s="658"/>
      <c r="AD25" s="659"/>
      <c r="AE25" s="656" t="s">
        <v>527</v>
      </c>
      <c r="AF25" s="657"/>
      <c r="AG25" s="657"/>
      <c r="AH25" s="658"/>
      <c r="AI25" s="659"/>
      <c r="AJ25" s="656" t="s">
        <v>424</v>
      </c>
      <c r="AK25" s="657"/>
      <c r="AL25" s="657"/>
      <c r="AM25" s="658"/>
      <c r="AN25" s="659"/>
      <c r="AO25" s="656" t="s">
        <v>527</v>
      </c>
      <c r="AP25" s="657"/>
      <c r="AQ25" s="657"/>
      <c r="AR25" s="658"/>
      <c r="AS25" s="659"/>
      <c r="AT25" s="656" t="s">
        <v>528</v>
      </c>
      <c r="AU25" s="657"/>
      <c r="AV25" s="657"/>
      <c r="AW25" s="658"/>
      <c r="AX25" s="659"/>
    </row>
    <row r="26" spans="2:54">
      <c r="B26" s="659"/>
      <c r="C26" s="659"/>
      <c r="D26" s="659"/>
      <c r="E26" s="320" t="s">
        <v>425</v>
      </c>
      <c r="F26" s="320" t="s">
        <v>426</v>
      </c>
      <c r="G26" s="320" t="s">
        <v>427</v>
      </c>
      <c r="H26" s="677"/>
      <c r="I26" s="319" t="s">
        <v>529</v>
      </c>
      <c r="J26" s="319" t="s">
        <v>426</v>
      </c>
      <c r="K26" s="319" t="s">
        <v>530</v>
      </c>
      <c r="L26" s="646"/>
      <c r="M26" s="652"/>
      <c r="N26" s="659"/>
      <c r="O26" s="659"/>
      <c r="P26" s="320" t="s">
        <v>531</v>
      </c>
      <c r="Q26" s="320" t="s">
        <v>426</v>
      </c>
      <c r="R26" s="320" t="s">
        <v>532</v>
      </c>
      <c r="S26" s="320" t="s">
        <v>533</v>
      </c>
      <c r="T26" s="659"/>
      <c r="U26" s="320" t="s">
        <v>425</v>
      </c>
      <c r="V26" s="320" t="s">
        <v>426</v>
      </c>
      <c r="W26" s="320" t="s">
        <v>427</v>
      </c>
      <c r="X26" s="320" t="s">
        <v>417</v>
      </c>
      <c r="Y26" s="659"/>
      <c r="Z26" s="320" t="s">
        <v>425</v>
      </c>
      <c r="AA26" s="320" t="s">
        <v>534</v>
      </c>
      <c r="AB26" s="320" t="s">
        <v>427</v>
      </c>
      <c r="AC26" s="320" t="s">
        <v>535</v>
      </c>
      <c r="AD26" s="659"/>
      <c r="AE26" s="320" t="s">
        <v>425</v>
      </c>
      <c r="AF26" s="320" t="s">
        <v>426</v>
      </c>
      <c r="AG26" s="320" t="s">
        <v>427</v>
      </c>
      <c r="AH26" s="320" t="s">
        <v>417</v>
      </c>
      <c r="AI26" s="659"/>
      <c r="AJ26" s="320" t="s">
        <v>536</v>
      </c>
      <c r="AK26" s="320" t="s">
        <v>426</v>
      </c>
      <c r="AL26" s="320" t="s">
        <v>532</v>
      </c>
      <c r="AM26" s="320" t="s">
        <v>533</v>
      </c>
      <c r="AN26" s="659"/>
      <c r="AO26" s="320" t="s">
        <v>425</v>
      </c>
      <c r="AP26" s="320" t="s">
        <v>426</v>
      </c>
      <c r="AQ26" s="320" t="s">
        <v>427</v>
      </c>
      <c r="AR26" s="320" t="s">
        <v>417</v>
      </c>
      <c r="AS26" s="659"/>
      <c r="AT26" s="320" t="s">
        <v>425</v>
      </c>
      <c r="AU26" s="320" t="s">
        <v>537</v>
      </c>
      <c r="AV26" s="320" t="s">
        <v>427</v>
      </c>
      <c r="AW26" s="320" t="s">
        <v>417</v>
      </c>
      <c r="AX26" s="659"/>
    </row>
    <row r="27" spans="2:54">
      <c r="B27" s="659" t="s">
        <v>132</v>
      </c>
      <c r="C27" s="321">
        <v>1</v>
      </c>
      <c r="D27" s="227"/>
      <c r="E27" s="182"/>
      <c r="F27" s="569"/>
      <c r="G27" s="570"/>
      <c r="H27" s="708" t="e">
        <f>AVERAGE(G27:G41)</f>
        <v>#DIV/0!</v>
      </c>
      <c r="I27" s="199" t="e">
        <f>AVERAGE(P27,U27,Z27,AE27,AJ27,AO27,AT27)</f>
        <v>#DIV/0!</v>
      </c>
      <c r="J27" s="199" t="e">
        <f>AVERAGE(Q27,V27,AA27,AF27,AK27,AP27,AU27)</f>
        <v>#DIV/0!</v>
      </c>
      <c r="K27" s="200" t="e">
        <f>AVERAGE(R27,W27,AB27,AG27,AL27,AQ27,AV27)</f>
        <v>#DIV/0!</v>
      </c>
      <c r="L27" s="640" t="str">
        <f>IFERROR(AVERAGE(K27:K41),"-")</f>
        <v>-</v>
      </c>
      <c r="M27" s="201" t="e">
        <f>RANK(K27, K$27:$K$41)</f>
        <v>#DIV/0!</v>
      </c>
      <c r="N27" s="659"/>
      <c r="O27" s="659"/>
      <c r="P27" s="182"/>
      <c r="Q27" s="570"/>
      <c r="R27" s="570"/>
      <c r="S27" s="321" t="e">
        <f t="shared" ref="S27:S41" si="11">RANK(R27, R$27:R$41)</f>
        <v>#N/A</v>
      </c>
      <c r="T27" s="708" t="e">
        <f>AVERAGE(R27:R41)</f>
        <v>#DIV/0!</v>
      </c>
      <c r="U27" s="182"/>
      <c r="V27" s="570"/>
      <c r="W27" s="570"/>
      <c r="X27" s="475" t="e">
        <f t="shared" ref="X27:X41" si="12">RANK(W27, W$27:W$41)</f>
        <v>#N/A</v>
      </c>
      <c r="Y27" s="708" t="e">
        <f t="shared" ref="Y27" si="13">AVERAGE(W27:W41)</f>
        <v>#DIV/0!</v>
      </c>
      <c r="Z27" s="182"/>
      <c r="AA27" s="570"/>
      <c r="AB27" s="570"/>
      <c r="AC27" s="475" t="e">
        <f t="shared" ref="AC27:AC41" si="14">RANK(AB27, AB$27:AB$41)</f>
        <v>#N/A</v>
      </c>
      <c r="AD27" s="708" t="e">
        <f t="shared" ref="AD27" si="15">AVERAGE(AB27:AB41)</f>
        <v>#DIV/0!</v>
      </c>
      <c r="AE27" s="182"/>
      <c r="AF27" s="570"/>
      <c r="AG27" s="570"/>
      <c r="AH27" s="475" t="e">
        <f t="shared" ref="AH27:AH41" si="16">RANK(AG27, AG$27:AG$41)</f>
        <v>#N/A</v>
      </c>
      <c r="AI27" s="708" t="e">
        <f t="shared" ref="AI27" si="17">AVERAGE(AG27:AG41)</f>
        <v>#DIV/0!</v>
      </c>
      <c r="AJ27" s="182"/>
      <c r="AK27" s="570"/>
      <c r="AL27" s="570"/>
      <c r="AM27" s="475" t="e">
        <f t="shared" ref="AM27:AM41" si="18">RANK(AL27, AL$27:AL$41)</f>
        <v>#N/A</v>
      </c>
      <c r="AN27" s="708" t="e">
        <f t="shared" ref="AN27" si="19">AVERAGE(AL27:AL41)</f>
        <v>#DIV/0!</v>
      </c>
      <c r="AO27" s="182"/>
      <c r="AP27" s="570"/>
      <c r="AQ27" s="570"/>
      <c r="AR27" s="475" t="e">
        <f t="shared" ref="AR27:AR41" si="20">RANK(AQ27, AQ$27:AQ$41)</f>
        <v>#N/A</v>
      </c>
      <c r="AS27" s="708" t="e">
        <f t="shared" ref="AS27" si="21">AVERAGE(AQ27:AQ41)</f>
        <v>#DIV/0!</v>
      </c>
      <c r="AT27" s="182"/>
      <c r="AU27" s="570"/>
      <c r="AV27" s="570"/>
      <c r="AW27" s="475" t="e">
        <f t="shared" ref="AW27:AW41" si="22">RANK(AV27, AV$27:AV$41)</f>
        <v>#N/A</v>
      </c>
      <c r="AX27" s="681" t="e">
        <f t="shared" ref="AX27" si="23">AVERAGE(AV27:AV41)</f>
        <v>#DIV/0!</v>
      </c>
    </row>
    <row r="28" spans="2:54">
      <c r="B28" s="667"/>
      <c r="C28" s="321">
        <v>2</v>
      </c>
      <c r="D28" s="227"/>
      <c r="E28" s="182"/>
      <c r="F28" s="569"/>
      <c r="G28" s="570"/>
      <c r="H28" s="709"/>
      <c r="I28" s="199" t="e">
        <f t="shared" ref="I28:I33" si="24">AVERAGE(P28,U28,Z28,AE28,AJ28,AO28,AT28)</f>
        <v>#DIV/0!</v>
      </c>
      <c r="J28" s="199" t="e">
        <f t="shared" ref="J28:J33" si="25">AVERAGE(Q28,V28,AA28,AF28,AK28,AP28,AU28)</f>
        <v>#DIV/0!</v>
      </c>
      <c r="K28" s="200" t="e">
        <f t="shared" ref="K28:K33" si="26">AVERAGE(R28,W28,AB28,AG28,AL28,AQ28,AV28)</f>
        <v>#DIV/0!</v>
      </c>
      <c r="L28" s="641"/>
      <c r="M28" s="201" t="e">
        <f>RANK(K28, K$27:$K$41)</f>
        <v>#DIV/0!</v>
      </c>
      <c r="N28" s="659"/>
      <c r="O28" s="659"/>
      <c r="P28" s="569"/>
      <c r="Q28" s="570"/>
      <c r="R28" s="570"/>
      <c r="S28" s="321" t="e">
        <f t="shared" si="11"/>
        <v>#N/A</v>
      </c>
      <c r="T28" s="709"/>
      <c r="U28" s="569"/>
      <c r="V28" s="570"/>
      <c r="W28" s="570"/>
      <c r="X28" s="475" t="e">
        <f t="shared" si="12"/>
        <v>#N/A</v>
      </c>
      <c r="Y28" s="709"/>
      <c r="Z28" s="569"/>
      <c r="AA28" s="570"/>
      <c r="AB28" s="570"/>
      <c r="AC28" s="475" t="e">
        <f t="shared" si="14"/>
        <v>#N/A</v>
      </c>
      <c r="AD28" s="709"/>
      <c r="AE28" s="569"/>
      <c r="AF28" s="570"/>
      <c r="AG28" s="570"/>
      <c r="AH28" s="475" t="e">
        <f t="shared" si="16"/>
        <v>#N/A</v>
      </c>
      <c r="AI28" s="709"/>
      <c r="AJ28" s="569"/>
      <c r="AK28" s="570"/>
      <c r="AL28" s="570"/>
      <c r="AM28" s="475" t="e">
        <f t="shared" si="18"/>
        <v>#N/A</v>
      </c>
      <c r="AN28" s="709"/>
      <c r="AO28" s="569"/>
      <c r="AP28" s="570"/>
      <c r="AQ28" s="570"/>
      <c r="AR28" s="475" t="e">
        <f t="shared" si="20"/>
        <v>#N/A</v>
      </c>
      <c r="AS28" s="709"/>
      <c r="AT28" s="569"/>
      <c r="AU28" s="570"/>
      <c r="AV28" s="570"/>
      <c r="AW28" s="475" t="e">
        <f t="shared" si="22"/>
        <v>#N/A</v>
      </c>
      <c r="AX28" s="681"/>
    </row>
    <row r="29" spans="2:54">
      <c r="B29" s="667"/>
      <c r="C29" s="321">
        <v>3</v>
      </c>
      <c r="D29" s="227"/>
      <c r="E29" s="182"/>
      <c r="F29" s="569"/>
      <c r="G29" s="570"/>
      <c r="H29" s="709"/>
      <c r="I29" s="199" t="e">
        <f t="shared" si="24"/>
        <v>#DIV/0!</v>
      </c>
      <c r="J29" s="199" t="e">
        <f t="shared" si="25"/>
        <v>#DIV/0!</v>
      </c>
      <c r="K29" s="200" t="e">
        <f t="shared" si="26"/>
        <v>#DIV/0!</v>
      </c>
      <c r="L29" s="641"/>
      <c r="M29" s="201" t="e">
        <f>RANK(K29, K$27:$K$41)</f>
        <v>#DIV/0!</v>
      </c>
      <c r="N29" s="659"/>
      <c r="O29" s="659"/>
      <c r="P29" s="569"/>
      <c r="Q29" s="570"/>
      <c r="R29" s="570"/>
      <c r="S29" s="321" t="e">
        <f t="shared" si="11"/>
        <v>#N/A</v>
      </c>
      <c r="T29" s="709"/>
      <c r="U29" s="569"/>
      <c r="V29" s="570"/>
      <c r="W29" s="570"/>
      <c r="X29" s="475" t="e">
        <f t="shared" si="12"/>
        <v>#N/A</v>
      </c>
      <c r="Y29" s="709"/>
      <c r="Z29" s="569"/>
      <c r="AA29" s="570"/>
      <c r="AB29" s="570"/>
      <c r="AC29" s="475" t="e">
        <f t="shared" si="14"/>
        <v>#N/A</v>
      </c>
      <c r="AD29" s="709"/>
      <c r="AE29" s="569"/>
      <c r="AF29" s="570"/>
      <c r="AG29" s="570"/>
      <c r="AH29" s="475" t="e">
        <f t="shared" si="16"/>
        <v>#N/A</v>
      </c>
      <c r="AI29" s="709"/>
      <c r="AJ29" s="569"/>
      <c r="AK29" s="570"/>
      <c r="AL29" s="570"/>
      <c r="AM29" s="475" t="e">
        <f t="shared" si="18"/>
        <v>#N/A</v>
      </c>
      <c r="AN29" s="709"/>
      <c r="AO29" s="569"/>
      <c r="AP29" s="570"/>
      <c r="AQ29" s="570"/>
      <c r="AR29" s="475" t="e">
        <f t="shared" si="20"/>
        <v>#N/A</v>
      </c>
      <c r="AS29" s="709"/>
      <c r="AT29" s="569"/>
      <c r="AU29" s="570"/>
      <c r="AV29" s="570"/>
      <c r="AW29" s="475" t="e">
        <f t="shared" si="22"/>
        <v>#N/A</v>
      </c>
      <c r="AX29" s="681"/>
    </row>
    <row r="30" spans="2:54">
      <c r="B30" s="667"/>
      <c r="C30" s="321">
        <v>4</v>
      </c>
      <c r="D30" s="227"/>
      <c r="E30" s="182"/>
      <c r="F30" s="569"/>
      <c r="G30" s="570"/>
      <c r="H30" s="709"/>
      <c r="I30" s="199" t="e">
        <f t="shared" si="24"/>
        <v>#DIV/0!</v>
      </c>
      <c r="J30" s="199" t="e">
        <f t="shared" si="25"/>
        <v>#DIV/0!</v>
      </c>
      <c r="K30" s="200" t="e">
        <f t="shared" si="26"/>
        <v>#DIV/0!</v>
      </c>
      <c r="L30" s="641"/>
      <c r="M30" s="201" t="e">
        <f>RANK(K30, K$27:$K$41)</f>
        <v>#DIV/0!</v>
      </c>
      <c r="N30" s="659"/>
      <c r="O30" s="659"/>
      <c r="P30" s="569"/>
      <c r="Q30" s="570"/>
      <c r="R30" s="570"/>
      <c r="S30" s="321" t="e">
        <f t="shared" si="11"/>
        <v>#N/A</v>
      </c>
      <c r="T30" s="709"/>
      <c r="U30" s="569"/>
      <c r="V30" s="570"/>
      <c r="W30" s="570"/>
      <c r="X30" s="475" t="e">
        <f t="shared" si="12"/>
        <v>#N/A</v>
      </c>
      <c r="Y30" s="709"/>
      <c r="Z30" s="569"/>
      <c r="AA30" s="570"/>
      <c r="AB30" s="570"/>
      <c r="AC30" s="475" t="e">
        <f t="shared" si="14"/>
        <v>#N/A</v>
      </c>
      <c r="AD30" s="709"/>
      <c r="AE30" s="569"/>
      <c r="AF30" s="570"/>
      <c r="AG30" s="570"/>
      <c r="AH30" s="475" t="e">
        <f t="shared" si="16"/>
        <v>#N/A</v>
      </c>
      <c r="AI30" s="709"/>
      <c r="AJ30" s="569"/>
      <c r="AK30" s="570"/>
      <c r="AL30" s="570"/>
      <c r="AM30" s="475" t="e">
        <f t="shared" si="18"/>
        <v>#N/A</v>
      </c>
      <c r="AN30" s="709"/>
      <c r="AO30" s="569"/>
      <c r="AP30" s="570"/>
      <c r="AQ30" s="570"/>
      <c r="AR30" s="475" t="e">
        <f t="shared" si="20"/>
        <v>#N/A</v>
      </c>
      <c r="AS30" s="709"/>
      <c r="AT30" s="569"/>
      <c r="AU30" s="570"/>
      <c r="AV30" s="570"/>
      <c r="AW30" s="475" t="e">
        <f t="shared" si="22"/>
        <v>#N/A</v>
      </c>
      <c r="AX30" s="681"/>
    </row>
    <row r="31" spans="2:54">
      <c r="B31" s="667"/>
      <c r="C31" s="321">
        <v>5</v>
      </c>
      <c r="D31" s="227"/>
      <c r="E31" s="182"/>
      <c r="F31" s="569"/>
      <c r="G31" s="570"/>
      <c r="H31" s="709"/>
      <c r="I31" s="199" t="e">
        <f t="shared" si="24"/>
        <v>#DIV/0!</v>
      </c>
      <c r="J31" s="199" t="e">
        <f t="shared" si="25"/>
        <v>#DIV/0!</v>
      </c>
      <c r="K31" s="200" t="e">
        <f t="shared" si="26"/>
        <v>#DIV/0!</v>
      </c>
      <c r="L31" s="641"/>
      <c r="M31" s="201" t="e">
        <f>RANK(K31, K$27:$K$41)</f>
        <v>#DIV/0!</v>
      </c>
      <c r="N31" s="659"/>
      <c r="O31" s="659"/>
      <c r="P31" s="569"/>
      <c r="Q31" s="570"/>
      <c r="R31" s="570"/>
      <c r="S31" s="321" t="e">
        <f t="shared" si="11"/>
        <v>#N/A</v>
      </c>
      <c r="T31" s="709"/>
      <c r="U31" s="569"/>
      <c r="V31" s="570"/>
      <c r="W31" s="570"/>
      <c r="X31" s="475" t="e">
        <f t="shared" si="12"/>
        <v>#N/A</v>
      </c>
      <c r="Y31" s="709"/>
      <c r="Z31" s="569"/>
      <c r="AA31" s="570"/>
      <c r="AB31" s="570"/>
      <c r="AC31" s="475" t="e">
        <f t="shared" si="14"/>
        <v>#N/A</v>
      </c>
      <c r="AD31" s="709"/>
      <c r="AE31" s="569"/>
      <c r="AF31" s="570"/>
      <c r="AG31" s="570"/>
      <c r="AH31" s="475" t="e">
        <f t="shared" si="16"/>
        <v>#N/A</v>
      </c>
      <c r="AI31" s="709"/>
      <c r="AJ31" s="569"/>
      <c r="AK31" s="570"/>
      <c r="AL31" s="570"/>
      <c r="AM31" s="475" t="e">
        <f t="shared" si="18"/>
        <v>#N/A</v>
      </c>
      <c r="AN31" s="709"/>
      <c r="AO31" s="569"/>
      <c r="AP31" s="570"/>
      <c r="AQ31" s="570"/>
      <c r="AR31" s="475" t="e">
        <f t="shared" si="20"/>
        <v>#N/A</v>
      </c>
      <c r="AS31" s="709"/>
      <c r="AT31" s="569"/>
      <c r="AU31" s="570"/>
      <c r="AV31" s="570"/>
      <c r="AW31" s="475" t="e">
        <f t="shared" si="22"/>
        <v>#N/A</v>
      </c>
      <c r="AX31" s="681"/>
    </row>
    <row r="32" spans="2:54">
      <c r="B32" s="667"/>
      <c r="C32" s="321">
        <v>6</v>
      </c>
      <c r="D32" s="227"/>
      <c r="E32" s="182"/>
      <c r="F32" s="569"/>
      <c r="G32" s="570"/>
      <c r="H32" s="709"/>
      <c r="I32" s="199" t="e">
        <f t="shared" si="24"/>
        <v>#DIV/0!</v>
      </c>
      <c r="J32" s="199" t="e">
        <f t="shared" si="25"/>
        <v>#DIV/0!</v>
      </c>
      <c r="K32" s="200" t="e">
        <f t="shared" si="26"/>
        <v>#DIV/0!</v>
      </c>
      <c r="L32" s="641"/>
      <c r="M32" s="201" t="e">
        <f>RANK(K32, K$27:$K$41)</f>
        <v>#DIV/0!</v>
      </c>
      <c r="N32" s="659"/>
      <c r="O32" s="659"/>
      <c r="P32" s="569"/>
      <c r="Q32" s="570"/>
      <c r="R32" s="570"/>
      <c r="S32" s="321" t="e">
        <f t="shared" si="11"/>
        <v>#N/A</v>
      </c>
      <c r="T32" s="709"/>
      <c r="U32" s="569"/>
      <c r="V32" s="570"/>
      <c r="W32" s="570"/>
      <c r="X32" s="475" t="e">
        <f t="shared" si="12"/>
        <v>#N/A</v>
      </c>
      <c r="Y32" s="709"/>
      <c r="Z32" s="569"/>
      <c r="AA32" s="570"/>
      <c r="AB32" s="570"/>
      <c r="AC32" s="475" t="e">
        <f t="shared" si="14"/>
        <v>#N/A</v>
      </c>
      <c r="AD32" s="709"/>
      <c r="AE32" s="569"/>
      <c r="AF32" s="570"/>
      <c r="AG32" s="570"/>
      <c r="AH32" s="475" t="e">
        <f t="shared" si="16"/>
        <v>#N/A</v>
      </c>
      <c r="AI32" s="709"/>
      <c r="AJ32" s="569"/>
      <c r="AK32" s="570"/>
      <c r="AL32" s="570"/>
      <c r="AM32" s="475" t="e">
        <f t="shared" si="18"/>
        <v>#N/A</v>
      </c>
      <c r="AN32" s="709"/>
      <c r="AO32" s="569"/>
      <c r="AP32" s="570"/>
      <c r="AQ32" s="570"/>
      <c r="AR32" s="475" t="e">
        <f t="shared" si="20"/>
        <v>#N/A</v>
      </c>
      <c r="AS32" s="709"/>
      <c r="AT32" s="569"/>
      <c r="AU32" s="570"/>
      <c r="AV32" s="570"/>
      <c r="AW32" s="475" t="e">
        <f t="shared" si="22"/>
        <v>#N/A</v>
      </c>
      <c r="AX32" s="681"/>
    </row>
    <row r="33" spans="2:50">
      <c r="B33" s="667"/>
      <c r="C33" s="321">
        <v>7</v>
      </c>
      <c r="D33" s="227"/>
      <c r="E33" s="182"/>
      <c r="F33" s="569"/>
      <c r="G33" s="570"/>
      <c r="H33" s="709"/>
      <c r="I33" s="199" t="e">
        <f t="shared" si="24"/>
        <v>#DIV/0!</v>
      </c>
      <c r="J33" s="199" t="e">
        <f t="shared" si="25"/>
        <v>#DIV/0!</v>
      </c>
      <c r="K33" s="200" t="e">
        <f t="shared" si="26"/>
        <v>#DIV/0!</v>
      </c>
      <c r="L33" s="641"/>
      <c r="M33" s="201" t="e">
        <f>RANK(K33, K$27:$K$41)</f>
        <v>#DIV/0!</v>
      </c>
      <c r="N33" s="659"/>
      <c r="O33" s="659"/>
      <c r="P33" s="569"/>
      <c r="Q33" s="570"/>
      <c r="R33" s="570"/>
      <c r="S33" s="321" t="e">
        <f t="shared" si="11"/>
        <v>#N/A</v>
      </c>
      <c r="T33" s="709"/>
      <c r="U33" s="569"/>
      <c r="V33" s="570"/>
      <c r="W33" s="570"/>
      <c r="X33" s="475" t="e">
        <f t="shared" si="12"/>
        <v>#N/A</v>
      </c>
      <c r="Y33" s="709"/>
      <c r="Z33" s="569"/>
      <c r="AA33" s="570"/>
      <c r="AB33" s="570"/>
      <c r="AC33" s="475" t="e">
        <f t="shared" si="14"/>
        <v>#N/A</v>
      </c>
      <c r="AD33" s="709"/>
      <c r="AE33" s="569"/>
      <c r="AF33" s="570"/>
      <c r="AG33" s="570"/>
      <c r="AH33" s="475" t="e">
        <f t="shared" si="16"/>
        <v>#N/A</v>
      </c>
      <c r="AI33" s="709"/>
      <c r="AJ33" s="569"/>
      <c r="AK33" s="570"/>
      <c r="AL33" s="570"/>
      <c r="AM33" s="475" t="e">
        <f t="shared" si="18"/>
        <v>#N/A</v>
      </c>
      <c r="AN33" s="709"/>
      <c r="AO33" s="569"/>
      <c r="AP33" s="570"/>
      <c r="AQ33" s="570"/>
      <c r="AR33" s="475" t="e">
        <f t="shared" si="20"/>
        <v>#N/A</v>
      </c>
      <c r="AS33" s="709"/>
      <c r="AT33" s="569"/>
      <c r="AU33" s="570"/>
      <c r="AV33" s="570"/>
      <c r="AW33" s="475" t="e">
        <f t="shared" si="22"/>
        <v>#N/A</v>
      </c>
      <c r="AX33" s="681"/>
    </row>
    <row r="34" spans="2:50">
      <c r="B34" s="667"/>
      <c r="C34" s="321">
        <v>8</v>
      </c>
      <c r="D34" s="227"/>
      <c r="E34" s="182"/>
      <c r="F34" s="569"/>
      <c r="G34" s="570"/>
      <c r="H34" s="709"/>
      <c r="I34" s="424" t="e">
        <f t="shared" ref="I34:I37" si="27">AVERAGE(P34,U34,Z34,AE34,AJ34,AO34,AT34)</f>
        <v>#DIV/0!</v>
      </c>
      <c r="J34" s="424" t="e">
        <f t="shared" ref="J34:J37" si="28">AVERAGE(Q34,V34,AA34,AF34,AK34,AP34,AU34)</f>
        <v>#DIV/0!</v>
      </c>
      <c r="K34" s="200" t="e">
        <f t="shared" ref="K34:K37" si="29">AVERAGE(R34,W34,AB34,AG34,AL34,AQ34,AV34)</f>
        <v>#DIV/0!</v>
      </c>
      <c r="L34" s="641"/>
      <c r="M34" s="201" t="e">
        <f>RANK(K34, K$27:$K$41)</f>
        <v>#DIV/0!</v>
      </c>
      <c r="N34" s="659"/>
      <c r="O34" s="659"/>
      <c r="P34" s="569"/>
      <c r="Q34" s="570"/>
      <c r="R34" s="570"/>
      <c r="S34" s="321" t="e">
        <f t="shared" si="11"/>
        <v>#N/A</v>
      </c>
      <c r="T34" s="709"/>
      <c r="U34" s="569"/>
      <c r="V34" s="570"/>
      <c r="W34" s="570"/>
      <c r="X34" s="475" t="e">
        <f t="shared" si="12"/>
        <v>#N/A</v>
      </c>
      <c r="Y34" s="709"/>
      <c r="Z34" s="569"/>
      <c r="AA34" s="570"/>
      <c r="AB34" s="570"/>
      <c r="AC34" s="475" t="e">
        <f t="shared" si="14"/>
        <v>#N/A</v>
      </c>
      <c r="AD34" s="709"/>
      <c r="AE34" s="569"/>
      <c r="AF34" s="570"/>
      <c r="AG34" s="570"/>
      <c r="AH34" s="475" t="e">
        <f t="shared" si="16"/>
        <v>#N/A</v>
      </c>
      <c r="AI34" s="709"/>
      <c r="AJ34" s="569"/>
      <c r="AK34" s="570"/>
      <c r="AL34" s="570"/>
      <c r="AM34" s="475" t="e">
        <f t="shared" si="18"/>
        <v>#N/A</v>
      </c>
      <c r="AN34" s="709"/>
      <c r="AO34" s="569"/>
      <c r="AP34" s="570"/>
      <c r="AQ34" s="570"/>
      <c r="AR34" s="475" t="e">
        <f t="shared" si="20"/>
        <v>#N/A</v>
      </c>
      <c r="AS34" s="709"/>
      <c r="AT34" s="569"/>
      <c r="AU34" s="570"/>
      <c r="AV34" s="570"/>
      <c r="AW34" s="475" t="e">
        <f t="shared" si="22"/>
        <v>#N/A</v>
      </c>
      <c r="AX34" s="681"/>
    </row>
    <row r="35" spans="2:50">
      <c r="B35" s="667"/>
      <c r="C35" s="321">
        <v>9</v>
      </c>
      <c r="D35" s="227"/>
      <c r="E35" s="182"/>
      <c r="F35" s="569"/>
      <c r="G35" s="570"/>
      <c r="H35" s="709"/>
      <c r="I35" s="424" t="e">
        <f t="shared" si="27"/>
        <v>#DIV/0!</v>
      </c>
      <c r="J35" s="424" t="e">
        <f t="shared" si="28"/>
        <v>#DIV/0!</v>
      </c>
      <c r="K35" s="200" t="e">
        <f t="shared" si="29"/>
        <v>#DIV/0!</v>
      </c>
      <c r="L35" s="641"/>
      <c r="M35" s="201" t="e">
        <f>RANK(K35, K$27:$K$41)</f>
        <v>#DIV/0!</v>
      </c>
      <c r="N35" s="659"/>
      <c r="O35" s="659"/>
      <c r="P35" s="569"/>
      <c r="Q35" s="570"/>
      <c r="R35" s="570"/>
      <c r="S35" s="321" t="e">
        <f t="shared" si="11"/>
        <v>#N/A</v>
      </c>
      <c r="T35" s="709"/>
      <c r="U35" s="569"/>
      <c r="V35" s="570"/>
      <c r="W35" s="570"/>
      <c r="X35" s="475" t="e">
        <f t="shared" si="12"/>
        <v>#N/A</v>
      </c>
      <c r="Y35" s="709"/>
      <c r="Z35" s="569"/>
      <c r="AA35" s="570"/>
      <c r="AB35" s="570"/>
      <c r="AC35" s="475" t="e">
        <f t="shared" si="14"/>
        <v>#N/A</v>
      </c>
      <c r="AD35" s="709"/>
      <c r="AE35" s="569"/>
      <c r="AF35" s="570"/>
      <c r="AG35" s="570"/>
      <c r="AH35" s="475" t="e">
        <f t="shared" si="16"/>
        <v>#N/A</v>
      </c>
      <c r="AI35" s="709"/>
      <c r="AJ35" s="569"/>
      <c r="AK35" s="570"/>
      <c r="AL35" s="570"/>
      <c r="AM35" s="475" t="e">
        <f t="shared" si="18"/>
        <v>#N/A</v>
      </c>
      <c r="AN35" s="709"/>
      <c r="AO35" s="569"/>
      <c r="AP35" s="570"/>
      <c r="AQ35" s="570"/>
      <c r="AR35" s="475" t="e">
        <f t="shared" si="20"/>
        <v>#N/A</v>
      </c>
      <c r="AS35" s="709"/>
      <c r="AT35" s="569"/>
      <c r="AU35" s="570"/>
      <c r="AV35" s="570"/>
      <c r="AW35" s="475" t="e">
        <f t="shared" si="22"/>
        <v>#N/A</v>
      </c>
      <c r="AX35" s="681"/>
    </row>
    <row r="36" spans="2:50">
      <c r="B36" s="667"/>
      <c r="C36" s="321">
        <v>10</v>
      </c>
      <c r="D36" s="227"/>
      <c r="E36" s="182"/>
      <c r="F36" s="569"/>
      <c r="G36" s="570"/>
      <c r="H36" s="709"/>
      <c r="I36" s="424" t="e">
        <f t="shared" si="27"/>
        <v>#DIV/0!</v>
      </c>
      <c r="J36" s="424" t="e">
        <f t="shared" si="28"/>
        <v>#DIV/0!</v>
      </c>
      <c r="K36" s="200" t="e">
        <f t="shared" si="29"/>
        <v>#DIV/0!</v>
      </c>
      <c r="L36" s="641"/>
      <c r="M36" s="201" t="e">
        <f>RANK(K36, K$27:$K$41)</f>
        <v>#DIV/0!</v>
      </c>
      <c r="N36" s="659"/>
      <c r="O36" s="659"/>
      <c r="P36" s="569"/>
      <c r="Q36" s="570"/>
      <c r="R36" s="570"/>
      <c r="S36" s="321" t="e">
        <f t="shared" si="11"/>
        <v>#N/A</v>
      </c>
      <c r="T36" s="709"/>
      <c r="U36" s="569"/>
      <c r="V36" s="570"/>
      <c r="W36" s="570"/>
      <c r="X36" s="475" t="e">
        <f t="shared" si="12"/>
        <v>#N/A</v>
      </c>
      <c r="Y36" s="709"/>
      <c r="Z36" s="569"/>
      <c r="AA36" s="570"/>
      <c r="AB36" s="570"/>
      <c r="AC36" s="475" t="e">
        <f t="shared" si="14"/>
        <v>#N/A</v>
      </c>
      <c r="AD36" s="709"/>
      <c r="AE36" s="569"/>
      <c r="AF36" s="570"/>
      <c r="AG36" s="570"/>
      <c r="AH36" s="475" t="e">
        <f t="shared" si="16"/>
        <v>#N/A</v>
      </c>
      <c r="AI36" s="709"/>
      <c r="AJ36" s="569"/>
      <c r="AK36" s="570"/>
      <c r="AL36" s="570"/>
      <c r="AM36" s="475" t="e">
        <f t="shared" si="18"/>
        <v>#N/A</v>
      </c>
      <c r="AN36" s="709"/>
      <c r="AO36" s="569"/>
      <c r="AP36" s="570"/>
      <c r="AQ36" s="570"/>
      <c r="AR36" s="475" t="e">
        <f t="shared" si="20"/>
        <v>#N/A</v>
      </c>
      <c r="AS36" s="709"/>
      <c r="AT36" s="569"/>
      <c r="AU36" s="570"/>
      <c r="AV36" s="570"/>
      <c r="AW36" s="475" t="e">
        <f t="shared" si="22"/>
        <v>#N/A</v>
      </c>
      <c r="AX36" s="681"/>
    </row>
    <row r="37" spans="2:50">
      <c r="B37" s="667"/>
      <c r="C37" s="321">
        <v>11</v>
      </c>
      <c r="D37" s="227"/>
      <c r="E37" s="182"/>
      <c r="F37" s="569"/>
      <c r="G37" s="570"/>
      <c r="H37" s="709"/>
      <c r="I37" s="424" t="e">
        <f t="shared" si="27"/>
        <v>#DIV/0!</v>
      </c>
      <c r="J37" s="424" t="e">
        <f t="shared" si="28"/>
        <v>#DIV/0!</v>
      </c>
      <c r="K37" s="200" t="e">
        <f t="shared" si="29"/>
        <v>#DIV/0!</v>
      </c>
      <c r="L37" s="641"/>
      <c r="M37" s="201" t="e">
        <f>RANK(K37, K$27:$K$41)</f>
        <v>#DIV/0!</v>
      </c>
      <c r="N37" s="659"/>
      <c r="O37" s="659"/>
      <c r="P37" s="569"/>
      <c r="Q37" s="570"/>
      <c r="R37" s="570"/>
      <c r="S37" s="321" t="e">
        <f t="shared" si="11"/>
        <v>#N/A</v>
      </c>
      <c r="T37" s="709"/>
      <c r="U37" s="569"/>
      <c r="V37" s="570"/>
      <c r="W37" s="570"/>
      <c r="X37" s="475" t="e">
        <f t="shared" si="12"/>
        <v>#N/A</v>
      </c>
      <c r="Y37" s="709"/>
      <c r="Z37" s="569"/>
      <c r="AA37" s="570"/>
      <c r="AB37" s="570"/>
      <c r="AC37" s="475" t="e">
        <f t="shared" si="14"/>
        <v>#N/A</v>
      </c>
      <c r="AD37" s="709"/>
      <c r="AE37" s="569"/>
      <c r="AF37" s="570"/>
      <c r="AG37" s="570"/>
      <c r="AH37" s="475" t="e">
        <f t="shared" si="16"/>
        <v>#N/A</v>
      </c>
      <c r="AI37" s="709"/>
      <c r="AJ37" s="569"/>
      <c r="AK37" s="570"/>
      <c r="AL37" s="570"/>
      <c r="AM37" s="475" t="e">
        <f t="shared" si="18"/>
        <v>#N/A</v>
      </c>
      <c r="AN37" s="709"/>
      <c r="AO37" s="569"/>
      <c r="AP37" s="570"/>
      <c r="AQ37" s="570"/>
      <c r="AR37" s="475" t="e">
        <f t="shared" si="20"/>
        <v>#N/A</v>
      </c>
      <c r="AS37" s="709"/>
      <c r="AT37" s="569"/>
      <c r="AU37" s="570"/>
      <c r="AV37" s="570"/>
      <c r="AW37" s="475" t="e">
        <f t="shared" si="22"/>
        <v>#N/A</v>
      </c>
      <c r="AX37" s="681"/>
    </row>
    <row r="38" spans="2:50">
      <c r="B38" s="667"/>
      <c r="C38" s="321">
        <v>12</v>
      </c>
      <c r="D38" s="227"/>
      <c r="E38" s="182"/>
      <c r="F38" s="569"/>
      <c r="G38" s="570"/>
      <c r="H38" s="709"/>
      <c r="I38" s="477"/>
      <c r="J38" s="477"/>
      <c r="K38" s="200"/>
      <c r="L38" s="641"/>
      <c r="M38" s="201" t="e">
        <f>RANK(K38, K$27:$K$41)</f>
        <v>#DIV/0!</v>
      </c>
      <c r="N38" s="659"/>
      <c r="O38" s="659"/>
      <c r="P38" s="569"/>
      <c r="Q38" s="570"/>
      <c r="R38" s="570"/>
      <c r="S38" s="321" t="e">
        <f t="shared" si="11"/>
        <v>#N/A</v>
      </c>
      <c r="T38" s="709"/>
      <c r="U38" s="569"/>
      <c r="V38" s="570"/>
      <c r="W38" s="570"/>
      <c r="X38" s="475" t="e">
        <f t="shared" si="12"/>
        <v>#N/A</v>
      </c>
      <c r="Y38" s="709"/>
      <c r="Z38" s="569"/>
      <c r="AA38" s="570"/>
      <c r="AB38" s="570"/>
      <c r="AC38" s="475" t="e">
        <f t="shared" si="14"/>
        <v>#N/A</v>
      </c>
      <c r="AD38" s="709"/>
      <c r="AE38" s="569"/>
      <c r="AF38" s="570"/>
      <c r="AG38" s="570"/>
      <c r="AH38" s="475" t="e">
        <f t="shared" si="16"/>
        <v>#N/A</v>
      </c>
      <c r="AI38" s="709"/>
      <c r="AJ38" s="569"/>
      <c r="AK38" s="570"/>
      <c r="AL38" s="570"/>
      <c r="AM38" s="475" t="e">
        <f t="shared" si="18"/>
        <v>#N/A</v>
      </c>
      <c r="AN38" s="709"/>
      <c r="AO38" s="569"/>
      <c r="AP38" s="570"/>
      <c r="AQ38" s="570"/>
      <c r="AR38" s="475" t="e">
        <f t="shared" si="20"/>
        <v>#N/A</v>
      </c>
      <c r="AS38" s="709"/>
      <c r="AT38" s="569"/>
      <c r="AU38" s="570"/>
      <c r="AV38" s="570"/>
      <c r="AW38" s="475" t="e">
        <f t="shared" si="22"/>
        <v>#N/A</v>
      </c>
      <c r="AX38" s="681"/>
    </row>
    <row r="39" spans="2:50">
      <c r="B39" s="667"/>
      <c r="C39" s="321">
        <v>13</v>
      </c>
      <c r="D39" s="227"/>
      <c r="E39" s="182"/>
      <c r="F39" s="569"/>
      <c r="G39" s="570"/>
      <c r="H39" s="709"/>
      <c r="I39" s="202"/>
      <c r="J39" s="202"/>
      <c r="K39" s="202"/>
      <c r="L39" s="641"/>
      <c r="M39" s="201" t="e">
        <f>RANK(K39, K$27:$K$41)</f>
        <v>#DIV/0!</v>
      </c>
      <c r="N39" s="659"/>
      <c r="O39" s="659"/>
      <c r="P39" s="569"/>
      <c r="Q39" s="570"/>
      <c r="R39" s="570"/>
      <c r="S39" s="321" t="e">
        <f t="shared" si="11"/>
        <v>#N/A</v>
      </c>
      <c r="T39" s="709"/>
      <c r="U39" s="569"/>
      <c r="V39" s="570"/>
      <c r="W39" s="570"/>
      <c r="X39" s="475" t="e">
        <f t="shared" si="12"/>
        <v>#N/A</v>
      </c>
      <c r="Y39" s="709"/>
      <c r="Z39" s="569"/>
      <c r="AA39" s="570"/>
      <c r="AB39" s="570"/>
      <c r="AC39" s="475" t="e">
        <f t="shared" si="14"/>
        <v>#N/A</v>
      </c>
      <c r="AD39" s="709"/>
      <c r="AE39" s="569"/>
      <c r="AF39" s="570"/>
      <c r="AG39" s="570"/>
      <c r="AH39" s="475" t="e">
        <f t="shared" si="16"/>
        <v>#N/A</v>
      </c>
      <c r="AI39" s="709"/>
      <c r="AJ39" s="569"/>
      <c r="AK39" s="570"/>
      <c r="AL39" s="570"/>
      <c r="AM39" s="475" t="e">
        <f t="shared" si="18"/>
        <v>#N/A</v>
      </c>
      <c r="AN39" s="709"/>
      <c r="AO39" s="569"/>
      <c r="AP39" s="570"/>
      <c r="AQ39" s="570"/>
      <c r="AR39" s="475" t="e">
        <f t="shared" si="20"/>
        <v>#N/A</v>
      </c>
      <c r="AS39" s="709"/>
      <c r="AT39" s="569"/>
      <c r="AU39" s="570"/>
      <c r="AV39" s="570"/>
      <c r="AW39" s="475" t="e">
        <f t="shared" si="22"/>
        <v>#N/A</v>
      </c>
      <c r="AX39" s="681"/>
    </row>
    <row r="40" spans="2:50">
      <c r="B40" s="667"/>
      <c r="C40" s="321">
        <v>14</v>
      </c>
      <c r="D40" s="227"/>
      <c r="E40" s="182"/>
      <c r="F40" s="569"/>
      <c r="G40" s="570"/>
      <c r="H40" s="709"/>
      <c r="I40" s="202"/>
      <c r="J40" s="202"/>
      <c r="K40" s="202"/>
      <c r="L40" s="641"/>
      <c r="M40" s="201" t="e">
        <f>RANK(K40, K$27:$K$41)</f>
        <v>#DIV/0!</v>
      </c>
      <c r="N40" s="659"/>
      <c r="O40" s="659"/>
      <c r="P40" s="569"/>
      <c r="Q40" s="570"/>
      <c r="R40" s="570"/>
      <c r="S40" s="321" t="e">
        <f t="shared" si="11"/>
        <v>#N/A</v>
      </c>
      <c r="T40" s="709"/>
      <c r="U40" s="569"/>
      <c r="V40" s="570"/>
      <c r="W40" s="570"/>
      <c r="X40" s="475" t="e">
        <f t="shared" si="12"/>
        <v>#N/A</v>
      </c>
      <c r="Y40" s="709"/>
      <c r="Z40" s="569"/>
      <c r="AA40" s="570"/>
      <c r="AB40" s="570"/>
      <c r="AC40" s="475" t="e">
        <f t="shared" si="14"/>
        <v>#N/A</v>
      </c>
      <c r="AD40" s="709"/>
      <c r="AE40" s="569"/>
      <c r="AF40" s="570"/>
      <c r="AG40" s="570"/>
      <c r="AH40" s="475" t="e">
        <f t="shared" si="16"/>
        <v>#N/A</v>
      </c>
      <c r="AI40" s="709"/>
      <c r="AJ40" s="569"/>
      <c r="AK40" s="570"/>
      <c r="AL40" s="570"/>
      <c r="AM40" s="475" t="e">
        <f t="shared" si="18"/>
        <v>#N/A</v>
      </c>
      <c r="AN40" s="709"/>
      <c r="AO40" s="569"/>
      <c r="AP40" s="570"/>
      <c r="AQ40" s="570"/>
      <c r="AR40" s="475" t="e">
        <f t="shared" si="20"/>
        <v>#N/A</v>
      </c>
      <c r="AS40" s="709"/>
      <c r="AT40" s="569"/>
      <c r="AU40" s="570"/>
      <c r="AV40" s="570"/>
      <c r="AW40" s="475" t="e">
        <f t="shared" si="22"/>
        <v>#N/A</v>
      </c>
      <c r="AX40" s="681"/>
    </row>
    <row r="41" spans="2:50">
      <c r="B41" s="667"/>
      <c r="C41" s="321">
        <v>15</v>
      </c>
      <c r="D41" s="227"/>
      <c r="E41" s="182"/>
      <c r="F41" s="569"/>
      <c r="G41" s="570"/>
      <c r="H41" s="710"/>
      <c r="I41" s="202"/>
      <c r="J41" s="202"/>
      <c r="K41" s="202"/>
      <c r="L41" s="642"/>
      <c r="M41" s="199" t="e">
        <f>RANK(K41, K$27:$K$41)</f>
        <v>#DIV/0!</v>
      </c>
      <c r="N41" s="659"/>
      <c r="O41" s="659"/>
      <c r="P41" s="569"/>
      <c r="Q41" s="570"/>
      <c r="R41" s="570"/>
      <c r="S41" s="321" t="e">
        <f t="shared" si="11"/>
        <v>#N/A</v>
      </c>
      <c r="T41" s="710"/>
      <c r="U41" s="569"/>
      <c r="V41" s="570"/>
      <c r="W41" s="570"/>
      <c r="X41" s="475" t="e">
        <f t="shared" si="12"/>
        <v>#N/A</v>
      </c>
      <c r="Y41" s="710"/>
      <c r="Z41" s="569"/>
      <c r="AA41" s="570"/>
      <c r="AB41" s="570"/>
      <c r="AC41" s="475" t="e">
        <f t="shared" si="14"/>
        <v>#N/A</v>
      </c>
      <c r="AD41" s="710"/>
      <c r="AE41" s="569"/>
      <c r="AF41" s="570"/>
      <c r="AG41" s="570"/>
      <c r="AH41" s="475" t="e">
        <f t="shared" si="16"/>
        <v>#N/A</v>
      </c>
      <c r="AI41" s="710"/>
      <c r="AJ41" s="569"/>
      <c r="AK41" s="570"/>
      <c r="AL41" s="570"/>
      <c r="AM41" s="475" t="e">
        <f t="shared" si="18"/>
        <v>#N/A</v>
      </c>
      <c r="AN41" s="710"/>
      <c r="AO41" s="569"/>
      <c r="AP41" s="570"/>
      <c r="AQ41" s="570"/>
      <c r="AR41" s="475" t="e">
        <f t="shared" si="20"/>
        <v>#N/A</v>
      </c>
      <c r="AS41" s="710"/>
      <c r="AT41" s="569"/>
      <c r="AU41" s="570"/>
      <c r="AV41" s="570"/>
      <c r="AW41" s="475" t="e">
        <f t="shared" si="22"/>
        <v>#N/A</v>
      </c>
      <c r="AX41" s="681"/>
    </row>
    <row r="42" spans="2:50" ht="15.75">
      <c r="B42" s="685" t="s">
        <v>163</v>
      </c>
      <c r="C42" s="686"/>
      <c r="D42" s="686"/>
      <c r="E42" s="686"/>
      <c r="F42" s="686"/>
      <c r="G42" s="686"/>
      <c r="H42" s="686"/>
      <c r="I42" s="208"/>
      <c r="J42" s="203"/>
      <c r="K42" s="208"/>
      <c r="L42" s="208"/>
      <c r="M42" s="204"/>
      <c r="N42" s="660" t="s">
        <v>156</v>
      </c>
      <c r="O42" s="660" t="s">
        <v>105</v>
      </c>
      <c r="P42" s="666">
        <f>P22+7</f>
        <v>46098</v>
      </c>
      <c r="Q42" s="667"/>
      <c r="R42" s="667"/>
      <c r="S42" s="667"/>
      <c r="T42" s="667"/>
      <c r="U42" s="663">
        <f>P42+1</f>
        <v>46099</v>
      </c>
      <c r="V42" s="664"/>
      <c r="W42" s="664"/>
      <c r="X42" s="664"/>
      <c r="Y42" s="665"/>
      <c r="Z42" s="663">
        <f>U42+1</f>
        <v>46100</v>
      </c>
      <c r="AA42" s="664"/>
      <c r="AB42" s="664"/>
      <c r="AC42" s="664"/>
      <c r="AD42" s="665"/>
      <c r="AE42" s="663">
        <f>Z42+1</f>
        <v>46101</v>
      </c>
      <c r="AF42" s="664"/>
      <c r="AG42" s="664"/>
      <c r="AH42" s="664"/>
      <c r="AI42" s="665"/>
      <c r="AJ42" s="663">
        <f>AE42+1</f>
        <v>46102</v>
      </c>
      <c r="AK42" s="664"/>
      <c r="AL42" s="664"/>
      <c r="AM42" s="664"/>
      <c r="AN42" s="665"/>
      <c r="AO42" s="663">
        <f>AJ42+1</f>
        <v>46103</v>
      </c>
      <c r="AP42" s="664"/>
      <c r="AQ42" s="664"/>
      <c r="AR42" s="664"/>
      <c r="AS42" s="665"/>
      <c r="AT42" s="663">
        <f>AO42+1</f>
        <v>46104</v>
      </c>
      <c r="AU42" s="664"/>
      <c r="AV42" s="664"/>
      <c r="AW42" s="664"/>
      <c r="AX42" s="665"/>
    </row>
    <row r="43" spans="2:50" ht="15.75">
      <c r="B43" s="674"/>
      <c r="C43" s="674"/>
      <c r="D43" s="674"/>
      <c r="E43" s="674"/>
      <c r="F43" s="674"/>
      <c r="G43" s="674"/>
      <c r="H43" s="674"/>
      <c r="I43" s="205"/>
      <c r="J43" s="205"/>
      <c r="K43" s="205"/>
      <c r="L43" s="205"/>
      <c r="M43" s="206"/>
      <c r="N43" s="662"/>
      <c r="O43" s="662"/>
      <c r="P43" s="666" t="s">
        <v>336</v>
      </c>
      <c r="Q43" s="667"/>
      <c r="R43" s="667"/>
      <c r="S43" s="667"/>
      <c r="T43" s="667"/>
      <c r="U43" s="666" t="s">
        <v>337</v>
      </c>
      <c r="V43" s="667"/>
      <c r="W43" s="667"/>
      <c r="X43" s="667"/>
      <c r="Y43" s="667"/>
      <c r="Z43" s="666" t="s">
        <v>338</v>
      </c>
      <c r="AA43" s="667"/>
      <c r="AB43" s="667"/>
      <c r="AC43" s="667"/>
      <c r="AD43" s="667"/>
      <c r="AE43" s="666" t="s">
        <v>339</v>
      </c>
      <c r="AF43" s="667"/>
      <c r="AG43" s="667"/>
      <c r="AH43" s="667"/>
      <c r="AI43" s="667"/>
      <c r="AJ43" s="666" t="s">
        <v>340</v>
      </c>
      <c r="AK43" s="667"/>
      <c r="AL43" s="667"/>
      <c r="AM43" s="667"/>
      <c r="AN43" s="667"/>
      <c r="AO43" s="666" t="s">
        <v>341</v>
      </c>
      <c r="AP43" s="667"/>
      <c r="AQ43" s="667"/>
      <c r="AR43" s="667"/>
      <c r="AS43" s="667"/>
      <c r="AT43" s="666" t="s">
        <v>342</v>
      </c>
      <c r="AU43" s="667"/>
      <c r="AV43" s="667"/>
      <c r="AW43" s="667"/>
      <c r="AX43" s="667"/>
    </row>
    <row r="44" spans="2:50">
      <c r="B44" s="659" t="s">
        <v>605</v>
      </c>
      <c r="C44" s="659" t="s">
        <v>606</v>
      </c>
      <c r="D44" s="659"/>
      <c r="E44" s="659" t="s">
        <v>607</v>
      </c>
      <c r="F44" s="659"/>
      <c r="G44" s="659"/>
      <c r="H44" s="675" t="s">
        <v>608</v>
      </c>
      <c r="I44" s="643" t="s">
        <v>609</v>
      </c>
      <c r="J44" s="643"/>
      <c r="K44" s="643"/>
      <c r="L44" s="644" t="s">
        <v>608</v>
      </c>
      <c r="M44" s="650" t="s">
        <v>610</v>
      </c>
      <c r="N44" s="659"/>
      <c r="O44" s="659" t="s">
        <v>611</v>
      </c>
      <c r="P44" s="656" t="s">
        <v>900</v>
      </c>
      <c r="Q44" s="657"/>
      <c r="R44" s="657"/>
      <c r="S44" s="658"/>
      <c r="T44" s="659" t="s">
        <v>901</v>
      </c>
      <c r="U44" s="656" t="s">
        <v>900</v>
      </c>
      <c r="V44" s="657"/>
      <c r="W44" s="657"/>
      <c r="X44" s="658"/>
      <c r="Y44" s="659" t="s">
        <v>901</v>
      </c>
      <c r="Z44" s="656" t="s">
        <v>900</v>
      </c>
      <c r="AA44" s="657"/>
      <c r="AB44" s="657"/>
      <c r="AC44" s="658"/>
      <c r="AD44" s="659" t="s">
        <v>901</v>
      </c>
      <c r="AE44" s="656" t="s">
        <v>900</v>
      </c>
      <c r="AF44" s="657"/>
      <c r="AG44" s="657"/>
      <c r="AH44" s="658"/>
      <c r="AI44" s="659" t="s">
        <v>901</v>
      </c>
      <c r="AJ44" s="656" t="s">
        <v>900</v>
      </c>
      <c r="AK44" s="657"/>
      <c r="AL44" s="657"/>
      <c r="AM44" s="658"/>
      <c r="AN44" s="659" t="s">
        <v>901</v>
      </c>
      <c r="AO44" s="656" t="s">
        <v>900</v>
      </c>
      <c r="AP44" s="657"/>
      <c r="AQ44" s="657"/>
      <c r="AR44" s="658"/>
      <c r="AS44" s="659" t="s">
        <v>901</v>
      </c>
      <c r="AT44" s="656" t="s">
        <v>900</v>
      </c>
      <c r="AU44" s="657"/>
      <c r="AV44" s="657"/>
      <c r="AW44" s="658"/>
      <c r="AX44" s="659" t="s">
        <v>901</v>
      </c>
    </row>
    <row r="45" spans="2:50">
      <c r="B45" s="659"/>
      <c r="C45" s="659"/>
      <c r="D45" s="659"/>
      <c r="E45" s="659" t="s">
        <v>613</v>
      </c>
      <c r="F45" s="659"/>
      <c r="G45" s="659"/>
      <c r="H45" s="676"/>
      <c r="I45" s="643" t="s">
        <v>613</v>
      </c>
      <c r="J45" s="643"/>
      <c r="K45" s="643"/>
      <c r="L45" s="645"/>
      <c r="M45" s="651"/>
      <c r="N45" s="659"/>
      <c r="O45" s="659"/>
      <c r="P45" s="656" t="s">
        <v>902</v>
      </c>
      <c r="Q45" s="657"/>
      <c r="R45" s="657"/>
      <c r="S45" s="658"/>
      <c r="T45" s="659"/>
      <c r="U45" s="656" t="s">
        <v>902</v>
      </c>
      <c r="V45" s="657"/>
      <c r="W45" s="657"/>
      <c r="X45" s="658"/>
      <c r="Y45" s="659"/>
      <c r="Z45" s="656" t="s">
        <v>902</v>
      </c>
      <c r="AA45" s="657"/>
      <c r="AB45" s="657"/>
      <c r="AC45" s="658"/>
      <c r="AD45" s="659"/>
      <c r="AE45" s="656" t="s">
        <v>902</v>
      </c>
      <c r="AF45" s="657"/>
      <c r="AG45" s="657"/>
      <c r="AH45" s="658"/>
      <c r="AI45" s="659"/>
      <c r="AJ45" s="656" t="s">
        <v>902</v>
      </c>
      <c r="AK45" s="657"/>
      <c r="AL45" s="657"/>
      <c r="AM45" s="658"/>
      <c r="AN45" s="659"/>
      <c r="AO45" s="656" t="s">
        <v>902</v>
      </c>
      <c r="AP45" s="657"/>
      <c r="AQ45" s="657"/>
      <c r="AR45" s="658"/>
      <c r="AS45" s="659"/>
      <c r="AT45" s="656" t="s">
        <v>902</v>
      </c>
      <c r="AU45" s="657"/>
      <c r="AV45" s="657"/>
      <c r="AW45" s="658"/>
      <c r="AX45" s="659"/>
    </row>
    <row r="46" spans="2:50">
      <c r="B46" s="659"/>
      <c r="C46" s="659"/>
      <c r="D46" s="659"/>
      <c r="E46" s="326" t="s">
        <v>615</v>
      </c>
      <c r="F46" s="326" t="s">
        <v>616</v>
      </c>
      <c r="G46" s="326" t="s">
        <v>617</v>
      </c>
      <c r="H46" s="677"/>
      <c r="I46" s="325" t="s">
        <v>615</v>
      </c>
      <c r="J46" s="325" t="s">
        <v>616</v>
      </c>
      <c r="K46" s="325" t="s">
        <v>617</v>
      </c>
      <c r="L46" s="646"/>
      <c r="M46" s="652"/>
      <c r="N46" s="659"/>
      <c r="O46" s="659"/>
      <c r="P46" s="532" t="s">
        <v>903</v>
      </c>
      <c r="Q46" s="532" t="s">
        <v>904</v>
      </c>
      <c r="R46" s="532" t="s">
        <v>905</v>
      </c>
      <c r="S46" s="532" t="s">
        <v>906</v>
      </c>
      <c r="T46" s="659"/>
      <c r="U46" s="532" t="s">
        <v>903</v>
      </c>
      <c r="V46" s="532" t="s">
        <v>904</v>
      </c>
      <c r="W46" s="532" t="s">
        <v>905</v>
      </c>
      <c r="X46" s="532" t="s">
        <v>906</v>
      </c>
      <c r="Y46" s="659"/>
      <c r="Z46" s="532" t="s">
        <v>903</v>
      </c>
      <c r="AA46" s="532" t="s">
        <v>904</v>
      </c>
      <c r="AB46" s="532" t="s">
        <v>905</v>
      </c>
      <c r="AC46" s="532" t="s">
        <v>906</v>
      </c>
      <c r="AD46" s="659"/>
      <c r="AE46" s="532" t="s">
        <v>903</v>
      </c>
      <c r="AF46" s="532" t="s">
        <v>904</v>
      </c>
      <c r="AG46" s="532" t="s">
        <v>905</v>
      </c>
      <c r="AH46" s="532" t="s">
        <v>906</v>
      </c>
      <c r="AI46" s="659"/>
      <c r="AJ46" s="532" t="s">
        <v>903</v>
      </c>
      <c r="AK46" s="532" t="s">
        <v>904</v>
      </c>
      <c r="AL46" s="532" t="s">
        <v>905</v>
      </c>
      <c r="AM46" s="532" t="s">
        <v>906</v>
      </c>
      <c r="AN46" s="659"/>
      <c r="AO46" s="532" t="s">
        <v>903</v>
      </c>
      <c r="AP46" s="532" t="s">
        <v>904</v>
      </c>
      <c r="AQ46" s="532" t="s">
        <v>905</v>
      </c>
      <c r="AR46" s="532" t="s">
        <v>906</v>
      </c>
      <c r="AS46" s="659"/>
      <c r="AT46" s="532" t="s">
        <v>903</v>
      </c>
      <c r="AU46" s="532" t="s">
        <v>904</v>
      </c>
      <c r="AV46" s="532" t="s">
        <v>905</v>
      </c>
      <c r="AW46" s="532" t="s">
        <v>906</v>
      </c>
      <c r="AX46" s="659"/>
    </row>
    <row r="47" spans="2:50">
      <c r="B47" s="659" t="s">
        <v>619</v>
      </c>
      <c r="C47" s="327">
        <v>1</v>
      </c>
      <c r="D47" s="227"/>
      <c r="E47" s="182"/>
      <c r="F47" s="569"/>
      <c r="G47" s="570"/>
      <c r="H47" s="708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40" t="str">
        <f>IFERROR(AVERAGE(K47:K61),"-")</f>
        <v>-</v>
      </c>
      <c r="M47" s="201" t="e">
        <f>RANK(K47, K$47:$K$61)</f>
        <v>#DIV/0!</v>
      </c>
      <c r="N47" s="659"/>
      <c r="O47" s="659"/>
      <c r="P47" s="182"/>
      <c r="Q47" s="570"/>
      <c r="R47" s="570"/>
      <c r="S47" s="533" t="e">
        <f>RANK(R47, R$47:R$61)</f>
        <v>#N/A</v>
      </c>
      <c r="T47" s="681" t="e">
        <f>AVERAGE(R47:R61)</f>
        <v>#DIV/0!</v>
      </c>
      <c r="U47" s="182"/>
      <c r="V47" s="570"/>
      <c r="W47" s="570"/>
      <c r="X47" s="533" t="e">
        <f>RANK(W47, W$47:W$61)</f>
        <v>#N/A</v>
      </c>
      <c r="Y47" s="681" t="e">
        <f>AVERAGE(W47:W61)</f>
        <v>#DIV/0!</v>
      </c>
      <c r="Z47" s="182"/>
      <c r="AA47" s="570"/>
      <c r="AB47" s="570"/>
      <c r="AC47" s="533" t="e">
        <f>RANK(AB47, AB$47:AB$61)</f>
        <v>#N/A</v>
      </c>
      <c r="AD47" s="681" t="e">
        <f>AVERAGE(AB47:AB61)</f>
        <v>#DIV/0!</v>
      </c>
      <c r="AE47" s="182"/>
      <c r="AF47" s="570"/>
      <c r="AG47" s="570"/>
      <c r="AH47" s="533" t="e">
        <f>RANK(AG47, AG$47:AG$61)</f>
        <v>#N/A</v>
      </c>
      <c r="AI47" s="681" t="e">
        <f>AVERAGE(AG47:AG61)</f>
        <v>#DIV/0!</v>
      </c>
      <c r="AJ47" s="182"/>
      <c r="AK47" s="570"/>
      <c r="AL47" s="570"/>
      <c r="AM47" s="533" t="e">
        <f>RANK(AL47, AL$47:AL$61)</f>
        <v>#N/A</v>
      </c>
      <c r="AN47" s="681" t="e">
        <f>AVERAGE(AL47:AL61)</f>
        <v>#DIV/0!</v>
      </c>
      <c r="AO47" s="182"/>
      <c r="AP47" s="570"/>
      <c r="AQ47" s="570"/>
      <c r="AR47" s="533" t="e">
        <f>RANK(AQ47, AQ$47:AQ$61)</f>
        <v>#N/A</v>
      </c>
      <c r="AS47" s="681" t="e">
        <f>AVERAGE(AQ47:AQ61)</f>
        <v>#DIV/0!</v>
      </c>
      <c r="AT47" s="182"/>
      <c r="AU47" s="570"/>
      <c r="AV47" s="570"/>
      <c r="AW47" s="533" t="e">
        <f>RANK(AV47, AV$47:AV$61)</f>
        <v>#N/A</v>
      </c>
      <c r="AX47" s="681" t="e">
        <f>AVERAGE(AV47:AV61)</f>
        <v>#DIV/0!</v>
      </c>
    </row>
    <row r="48" spans="2:50">
      <c r="B48" s="667"/>
      <c r="C48" s="327">
        <v>2</v>
      </c>
      <c r="D48" s="227"/>
      <c r="E48" s="182"/>
      <c r="F48" s="569"/>
      <c r="G48" s="570"/>
      <c r="H48" s="709"/>
      <c r="I48" s="199" t="e">
        <f t="shared" ref="I48:I53" si="30">AVERAGE(P48,U48,Z48,AE48,AJ48,AO48,AT48)</f>
        <v>#DIV/0!</v>
      </c>
      <c r="J48" s="199" t="e">
        <f t="shared" ref="J48:J53" si="31">AVERAGE(Q48,V48,AA48,AF48,AK48,AP48,AU48)</f>
        <v>#DIV/0!</v>
      </c>
      <c r="K48" s="200" t="e">
        <f t="shared" ref="K48:K53" si="32">AVERAGE(R48,W48,AB48,AG48,AL48,AQ48,AV48)</f>
        <v>#DIV/0!</v>
      </c>
      <c r="L48" s="641"/>
      <c r="M48" s="201" t="e">
        <f>RANK(K48, K$47:$K$61)</f>
        <v>#DIV/0!</v>
      </c>
      <c r="N48" s="659"/>
      <c r="O48" s="659"/>
      <c r="P48" s="569"/>
      <c r="Q48" s="570"/>
      <c r="R48" s="570"/>
      <c r="S48" s="533" t="e">
        <f t="shared" ref="S48:S61" si="33">RANK(R48, R$47:R$61)</f>
        <v>#N/A</v>
      </c>
      <c r="T48" s="681"/>
      <c r="U48" s="569"/>
      <c r="V48" s="570"/>
      <c r="W48" s="570"/>
      <c r="X48" s="533" t="e">
        <f t="shared" ref="X48:X61" si="34">RANK(W48, W$47:W$61)</f>
        <v>#N/A</v>
      </c>
      <c r="Y48" s="681"/>
      <c r="Z48" s="569"/>
      <c r="AA48" s="570"/>
      <c r="AB48" s="570"/>
      <c r="AC48" s="533" t="e">
        <f t="shared" ref="AC48:AC61" si="35">RANK(AB48, AB$47:AB$61)</f>
        <v>#N/A</v>
      </c>
      <c r="AD48" s="681"/>
      <c r="AE48" s="569"/>
      <c r="AF48" s="570"/>
      <c r="AG48" s="570"/>
      <c r="AH48" s="533" t="e">
        <f t="shared" ref="AH48:AH61" si="36">RANK(AG48, AG$47:AG$61)</f>
        <v>#N/A</v>
      </c>
      <c r="AI48" s="681"/>
      <c r="AJ48" s="569"/>
      <c r="AK48" s="570"/>
      <c r="AL48" s="570"/>
      <c r="AM48" s="533" t="e">
        <f t="shared" ref="AM48:AM61" si="37">RANK(AL48, AL$47:AL$61)</f>
        <v>#N/A</v>
      </c>
      <c r="AN48" s="681"/>
      <c r="AO48" s="569"/>
      <c r="AP48" s="570"/>
      <c r="AQ48" s="570"/>
      <c r="AR48" s="533" t="e">
        <f t="shared" ref="AR48:AR61" si="38">RANK(AQ48, AQ$47:AQ$61)</f>
        <v>#N/A</v>
      </c>
      <c r="AS48" s="681"/>
      <c r="AT48" s="569"/>
      <c r="AU48" s="570"/>
      <c r="AV48" s="570"/>
      <c r="AW48" s="533" t="e">
        <f t="shared" ref="AW48:AW61" si="39">RANK(AV48, AV$47:AV$61)</f>
        <v>#N/A</v>
      </c>
      <c r="AX48" s="681"/>
    </row>
    <row r="49" spans="2:50">
      <c r="B49" s="667"/>
      <c r="C49" s="327">
        <v>3</v>
      </c>
      <c r="D49" s="227"/>
      <c r="E49" s="182"/>
      <c r="F49" s="569"/>
      <c r="G49" s="570"/>
      <c r="H49" s="709"/>
      <c r="I49" s="199" t="e">
        <f t="shared" si="30"/>
        <v>#DIV/0!</v>
      </c>
      <c r="J49" s="199" t="e">
        <f t="shared" si="31"/>
        <v>#DIV/0!</v>
      </c>
      <c r="K49" s="200" t="e">
        <f t="shared" si="32"/>
        <v>#DIV/0!</v>
      </c>
      <c r="L49" s="641"/>
      <c r="M49" s="201" t="e">
        <f>RANK(K49, K$47:$K$61)</f>
        <v>#DIV/0!</v>
      </c>
      <c r="N49" s="659"/>
      <c r="O49" s="659"/>
      <c r="P49" s="569"/>
      <c r="Q49" s="570"/>
      <c r="R49" s="570"/>
      <c r="S49" s="533" t="e">
        <f t="shared" si="33"/>
        <v>#N/A</v>
      </c>
      <c r="T49" s="681"/>
      <c r="U49" s="569"/>
      <c r="V49" s="570"/>
      <c r="W49" s="570"/>
      <c r="X49" s="533" t="e">
        <f t="shared" si="34"/>
        <v>#N/A</v>
      </c>
      <c r="Y49" s="681"/>
      <c r="Z49" s="569"/>
      <c r="AA49" s="570"/>
      <c r="AB49" s="570"/>
      <c r="AC49" s="533" t="e">
        <f t="shared" si="35"/>
        <v>#N/A</v>
      </c>
      <c r="AD49" s="681"/>
      <c r="AE49" s="569"/>
      <c r="AF49" s="570"/>
      <c r="AG49" s="570"/>
      <c r="AH49" s="533" t="e">
        <f t="shared" si="36"/>
        <v>#N/A</v>
      </c>
      <c r="AI49" s="681"/>
      <c r="AJ49" s="569"/>
      <c r="AK49" s="570"/>
      <c r="AL49" s="570"/>
      <c r="AM49" s="533" t="e">
        <f t="shared" si="37"/>
        <v>#N/A</v>
      </c>
      <c r="AN49" s="681"/>
      <c r="AO49" s="569"/>
      <c r="AP49" s="570"/>
      <c r="AQ49" s="570"/>
      <c r="AR49" s="533" t="e">
        <f t="shared" si="38"/>
        <v>#N/A</v>
      </c>
      <c r="AS49" s="681"/>
      <c r="AT49" s="569"/>
      <c r="AU49" s="570"/>
      <c r="AV49" s="570"/>
      <c r="AW49" s="533" t="e">
        <f t="shared" si="39"/>
        <v>#N/A</v>
      </c>
      <c r="AX49" s="681"/>
    </row>
    <row r="50" spans="2:50">
      <c r="B50" s="667"/>
      <c r="C50" s="327">
        <v>4</v>
      </c>
      <c r="D50" s="227"/>
      <c r="E50" s="182"/>
      <c r="F50" s="569"/>
      <c r="G50" s="570"/>
      <c r="H50" s="709"/>
      <c r="I50" s="199" t="e">
        <f t="shared" si="30"/>
        <v>#DIV/0!</v>
      </c>
      <c r="J50" s="199" t="e">
        <f t="shared" si="31"/>
        <v>#DIV/0!</v>
      </c>
      <c r="K50" s="200" t="e">
        <f t="shared" si="32"/>
        <v>#DIV/0!</v>
      </c>
      <c r="L50" s="641"/>
      <c r="M50" s="201" t="e">
        <f>RANK(K50, K$47:$K$61)</f>
        <v>#DIV/0!</v>
      </c>
      <c r="N50" s="659"/>
      <c r="O50" s="659"/>
      <c r="P50" s="569"/>
      <c r="Q50" s="570"/>
      <c r="R50" s="570"/>
      <c r="S50" s="533" t="e">
        <f t="shared" si="33"/>
        <v>#N/A</v>
      </c>
      <c r="T50" s="681"/>
      <c r="U50" s="569"/>
      <c r="V50" s="570"/>
      <c r="W50" s="570"/>
      <c r="X50" s="533" t="e">
        <f t="shared" si="34"/>
        <v>#N/A</v>
      </c>
      <c r="Y50" s="681"/>
      <c r="Z50" s="569"/>
      <c r="AA50" s="570"/>
      <c r="AB50" s="570"/>
      <c r="AC50" s="533" t="e">
        <f t="shared" si="35"/>
        <v>#N/A</v>
      </c>
      <c r="AD50" s="681"/>
      <c r="AE50" s="569"/>
      <c r="AF50" s="570"/>
      <c r="AG50" s="570"/>
      <c r="AH50" s="533" t="e">
        <f t="shared" si="36"/>
        <v>#N/A</v>
      </c>
      <c r="AI50" s="681"/>
      <c r="AJ50" s="569"/>
      <c r="AK50" s="570"/>
      <c r="AL50" s="570"/>
      <c r="AM50" s="533" t="e">
        <f t="shared" si="37"/>
        <v>#N/A</v>
      </c>
      <c r="AN50" s="681"/>
      <c r="AO50" s="569"/>
      <c r="AP50" s="570"/>
      <c r="AQ50" s="570"/>
      <c r="AR50" s="533" t="e">
        <f t="shared" si="38"/>
        <v>#N/A</v>
      </c>
      <c r="AS50" s="681"/>
      <c r="AT50" s="569"/>
      <c r="AU50" s="570"/>
      <c r="AV50" s="570"/>
      <c r="AW50" s="533" t="e">
        <f t="shared" si="39"/>
        <v>#N/A</v>
      </c>
      <c r="AX50" s="681"/>
    </row>
    <row r="51" spans="2:50">
      <c r="B51" s="667"/>
      <c r="C51" s="327">
        <v>5</v>
      </c>
      <c r="D51" s="227"/>
      <c r="E51" s="182"/>
      <c r="F51" s="569"/>
      <c r="G51" s="570"/>
      <c r="H51" s="709"/>
      <c r="I51" s="199" t="e">
        <f t="shared" si="30"/>
        <v>#DIV/0!</v>
      </c>
      <c r="J51" s="199" t="e">
        <f t="shared" si="31"/>
        <v>#DIV/0!</v>
      </c>
      <c r="K51" s="200" t="e">
        <f t="shared" si="32"/>
        <v>#DIV/0!</v>
      </c>
      <c r="L51" s="641"/>
      <c r="M51" s="201" t="e">
        <f>RANK(K51, K$47:$K$61)</f>
        <v>#DIV/0!</v>
      </c>
      <c r="N51" s="659"/>
      <c r="O51" s="659"/>
      <c r="P51" s="569"/>
      <c r="Q51" s="570"/>
      <c r="R51" s="570"/>
      <c r="S51" s="533" t="e">
        <f t="shared" si="33"/>
        <v>#N/A</v>
      </c>
      <c r="T51" s="681"/>
      <c r="U51" s="569"/>
      <c r="V51" s="570"/>
      <c r="W51" s="570"/>
      <c r="X51" s="533" t="e">
        <f t="shared" si="34"/>
        <v>#N/A</v>
      </c>
      <c r="Y51" s="681"/>
      <c r="Z51" s="569"/>
      <c r="AA51" s="570"/>
      <c r="AB51" s="570"/>
      <c r="AC51" s="533" t="e">
        <f t="shared" si="35"/>
        <v>#N/A</v>
      </c>
      <c r="AD51" s="681"/>
      <c r="AE51" s="569"/>
      <c r="AF51" s="570"/>
      <c r="AG51" s="570"/>
      <c r="AH51" s="533" t="e">
        <f t="shared" si="36"/>
        <v>#N/A</v>
      </c>
      <c r="AI51" s="681"/>
      <c r="AJ51" s="569"/>
      <c r="AK51" s="570"/>
      <c r="AL51" s="570"/>
      <c r="AM51" s="533" t="e">
        <f t="shared" si="37"/>
        <v>#N/A</v>
      </c>
      <c r="AN51" s="681"/>
      <c r="AO51" s="569"/>
      <c r="AP51" s="570"/>
      <c r="AQ51" s="570"/>
      <c r="AR51" s="533" t="e">
        <f t="shared" si="38"/>
        <v>#N/A</v>
      </c>
      <c r="AS51" s="681"/>
      <c r="AT51" s="569"/>
      <c r="AU51" s="570"/>
      <c r="AV51" s="570"/>
      <c r="AW51" s="533" t="e">
        <f t="shared" si="39"/>
        <v>#N/A</v>
      </c>
      <c r="AX51" s="681"/>
    </row>
    <row r="52" spans="2:50">
      <c r="B52" s="667"/>
      <c r="C52" s="327">
        <v>6</v>
      </c>
      <c r="D52" s="227"/>
      <c r="E52" s="182"/>
      <c r="F52" s="569"/>
      <c r="G52" s="570"/>
      <c r="H52" s="709"/>
      <c r="I52" s="199" t="e">
        <f t="shared" si="30"/>
        <v>#DIV/0!</v>
      </c>
      <c r="J52" s="199" t="e">
        <f t="shared" si="31"/>
        <v>#DIV/0!</v>
      </c>
      <c r="K52" s="200" t="e">
        <f t="shared" si="32"/>
        <v>#DIV/0!</v>
      </c>
      <c r="L52" s="641"/>
      <c r="M52" s="201" t="e">
        <f>RANK(K52, K$47:$K$61)</f>
        <v>#DIV/0!</v>
      </c>
      <c r="N52" s="659"/>
      <c r="O52" s="659"/>
      <c r="P52" s="569"/>
      <c r="Q52" s="570"/>
      <c r="R52" s="570"/>
      <c r="S52" s="533" t="e">
        <f t="shared" si="33"/>
        <v>#N/A</v>
      </c>
      <c r="T52" s="681"/>
      <c r="U52" s="569"/>
      <c r="V52" s="570"/>
      <c r="W52" s="570"/>
      <c r="X52" s="533" t="e">
        <f t="shared" si="34"/>
        <v>#N/A</v>
      </c>
      <c r="Y52" s="681"/>
      <c r="Z52" s="569"/>
      <c r="AA52" s="570"/>
      <c r="AB52" s="570"/>
      <c r="AC52" s="533" t="e">
        <f t="shared" si="35"/>
        <v>#N/A</v>
      </c>
      <c r="AD52" s="681"/>
      <c r="AE52" s="569"/>
      <c r="AF52" s="570"/>
      <c r="AG52" s="570"/>
      <c r="AH52" s="533" t="e">
        <f t="shared" si="36"/>
        <v>#N/A</v>
      </c>
      <c r="AI52" s="681"/>
      <c r="AJ52" s="569"/>
      <c r="AK52" s="570"/>
      <c r="AL52" s="570"/>
      <c r="AM52" s="533" t="e">
        <f t="shared" si="37"/>
        <v>#N/A</v>
      </c>
      <c r="AN52" s="681"/>
      <c r="AO52" s="569"/>
      <c r="AP52" s="570"/>
      <c r="AQ52" s="570"/>
      <c r="AR52" s="533" t="e">
        <f t="shared" si="38"/>
        <v>#N/A</v>
      </c>
      <c r="AS52" s="681"/>
      <c r="AT52" s="569"/>
      <c r="AU52" s="570"/>
      <c r="AV52" s="570"/>
      <c r="AW52" s="533" t="e">
        <f t="shared" si="39"/>
        <v>#N/A</v>
      </c>
      <c r="AX52" s="681"/>
    </row>
    <row r="53" spans="2:50">
      <c r="B53" s="667"/>
      <c r="C53" s="327">
        <v>7</v>
      </c>
      <c r="D53" s="227"/>
      <c r="E53" s="182"/>
      <c r="F53" s="569"/>
      <c r="G53" s="570"/>
      <c r="H53" s="709"/>
      <c r="I53" s="199" t="e">
        <f t="shared" si="30"/>
        <v>#DIV/0!</v>
      </c>
      <c r="J53" s="199" t="e">
        <f t="shared" si="31"/>
        <v>#DIV/0!</v>
      </c>
      <c r="K53" s="200" t="e">
        <f t="shared" si="32"/>
        <v>#DIV/0!</v>
      </c>
      <c r="L53" s="641"/>
      <c r="M53" s="201" t="e">
        <f>RANK(K53, K$47:$K$61)</f>
        <v>#DIV/0!</v>
      </c>
      <c r="N53" s="659"/>
      <c r="O53" s="659"/>
      <c r="P53" s="569"/>
      <c r="Q53" s="570"/>
      <c r="R53" s="570"/>
      <c r="S53" s="533" t="e">
        <f t="shared" si="33"/>
        <v>#N/A</v>
      </c>
      <c r="T53" s="681"/>
      <c r="U53" s="569"/>
      <c r="V53" s="570"/>
      <c r="W53" s="570"/>
      <c r="X53" s="533" t="e">
        <f t="shared" si="34"/>
        <v>#N/A</v>
      </c>
      <c r="Y53" s="681"/>
      <c r="Z53" s="569"/>
      <c r="AA53" s="570"/>
      <c r="AB53" s="570"/>
      <c r="AC53" s="533" t="e">
        <f t="shared" si="35"/>
        <v>#N/A</v>
      </c>
      <c r="AD53" s="681"/>
      <c r="AE53" s="569"/>
      <c r="AF53" s="570"/>
      <c r="AG53" s="570"/>
      <c r="AH53" s="533" t="e">
        <f t="shared" si="36"/>
        <v>#N/A</v>
      </c>
      <c r="AI53" s="681"/>
      <c r="AJ53" s="569"/>
      <c r="AK53" s="570"/>
      <c r="AL53" s="570"/>
      <c r="AM53" s="533" t="e">
        <f t="shared" si="37"/>
        <v>#N/A</v>
      </c>
      <c r="AN53" s="681"/>
      <c r="AO53" s="569"/>
      <c r="AP53" s="570"/>
      <c r="AQ53" s="570"/>
      <c r="AR53" s="533" t="e">
        <f t="shared" si="38"/>
        <v>#N/A</v>
      </c>
      <c r="AS53" s="681"/>
      <c r="AT53" s="569"/>
      <c r="AU53" s="570"/>
      <c r="AV53" s="570"/>
      <c r="AW53" s="533" t="e">
        <f t="shared" si="39"/>
        <v>#N/A</v>
      </c>
      <c r="AX53" s="681"/>
    </row>
    <row r="54" spans="2:50">
      <c r="B54" s="667"/>
      <c r="C54" s="327">
        <v>8</v>
      </c>
      <c r="D54" s="227"/>
      <c r="E54" s="182"/>
      <c r="F54" s="569"/>
      <c r="G54" s="570"/>
      <c r="H54" s="709"/>
      <c r="I54" s="427" t="e">
        <f t="shared" ref="I54:I56" si="40">AVERAGE(P54,U54,Z54,AE54,AJ54,AO54,AT54)</f>
        <v>#DIV/0!</v>
      </c>
      <c r="J54" s="427" t="e">
        <f t="shared" ref="J54:J56" si="41">AVERAGE(Q54,V54,AA54,AF54,AK54,AP54,AU54)</f>
        <v>#DIV/0!</v>
      </c>
      <c r="K54" s="200" t="e">
        <f t="shared" ref="K54:K56" si="42">AVERAGE(R54,W54,AB54,AG54,AL54,AQ54,AV54)</f>
        <v>#DIV/0!</v>
      </c>
      <c r="L54" s="641"/>
      <c r="M54" s="201" t="e">
        <f>RANK(K54, K$47:$K$61)</f>
        <v>#DIV/0!</v>
      </c>
      <c r="N54" s="659"/>
      <c r="O54" s="659"/>
      <c r="P54" s="569"/>
      <c r="Q54" s="570"/>
      <c r="R54" s="570"/>
      <c r="S54" s="533" t="e">
        <f t="shared" si="33"/>
        <v>#N/A</v>
      </c>
      <c r="T54" s="681"/>
      <c r="U54" s="569"/>
      <c r="V54" s="570"/>
      <c r="W54" s="570"/>
      <c r="X54" s="533" t="e">
        <f t="shared" si="34"/>
        <v>#N/A</v>
      </c>
      <c r="Y54" s="681"/>
      <c r="Z54" s="569"/>
      <c r="AA54" s="570"/>
      <c r="AB54" s="570"/>
      <c r="AC54" s="533" t="e">
        <f t="shared" si="35"/>
        <v>#N/A</v>
      </c>
      <c r="AD54" s="681"/>
      <c r="AE54" s="569"/>
      <c r="AF54" s="570"/>
      <c r="AG54" s="570"/>
      <c r="AH54" s="533" t="e">
        <f t="shared" si="36"/>
        <v>#N/A</v>
      </c>
      <c r="AI54" s="681"/>
      <c r="AJ54" s="569"/>
      <c r="AK54" s="570"/>
      <c r="AL54" s="570"/>
      <c r="AM54" s="533" t="e">
        <f t="shared" si="37"/>
        <v>#N/A</v>
      </c>
      <c r="AN54" s="681"/>
      <c r="AO54" s="569"/>
      <c r="AP54" s="570"/>
      <c r="AQ54" s="570"/>
      <c r="AR54" s="533" t="e">
        <f t="shared" si="38"/>
        <v>#N/A</v>
      </c>
      <c r="AS54" s="681"/>
      <c r="AT54" s="569"/>
      <c r="AU54" s="570"/>
      <c r="AV54" s="570"/>
      <c r="AW54" s="533" t="e">
        <f t="shared" si="39"/>
        <v>#N/A</v>
      </c>
      <c r="AX54" s="681"/>
    </row>
    <row r="55" spans="2:50">
      <c r="B55" s="667"/>
      <c r="C55" s="327">
        <v>9</v>
      </c>
      <c r="D55" s="227"/>
      <c r="E55" s="182"/>
      <c r="F55" s="569"/>
      <c r="G55" s="570"/>
      <c r="H55" s="709"/>
      <c r="I55" s="427" t="e">
        <f t="shared" si="40"/>
        <v>#DIV/0!</v>
      </c>
      <c r="J55" s="427" t="e">
        <f t="shared" si="41"/>
        <v>#DIV/0!</v>
      </c>
      <c r="K55" s="200" t="e">
        <f t="shared" si="42"/>
        <v>#DIV/0!</v>
      </c>
      <c r="L55" s="641"/>
      <c r="M55" s="201" t="e">
        <f>RANK(K55, K$47:$K$61)</f>
        <v>#DIV/0!</v>
      </c>
      <c r="N55" s="659"/>
      <c r="O55" s="659"/>
      <c r="P55" s="569"/>
      <c r="Q55" s="570"/>
      <c r="R55" s="570"/>
      <c r="S55" s="533" t="e">
        <f t="shared" si="33"/>
        <v>#N/A</v>
      </c>
      <c r="T55" s="681"/>
      <c r="U55" s="569"/>
      <c r="V55" s="570"/>
      <c r="W55" s="570"/>
      <c r="X55" s="533" t="e">
        <f t="shared" si="34"/>
        <v>#N/A</v>
      </c>
      <c r="Y55" s="681"/>
      <c r="Z55" s="569"/>
      <c r="AA55" s="570"/>
      <c r="AB55" s="570"/>
      <c r="AC55" s="533" t="e">
        <f t="shared" si="35"/>
        <v>#N/A</v>
      </c>
      <c r="AD55" s="681"/>
      <c r="AE55" s="569"/>
      <c r="AF55" s="570"/>
      <c r="AG55" s="570"/>
      <c r="AH55" s="533" t="e">
        <f t="shared" si="36"/>
        <v>#N/A</v>
      </c>
      <c r="AI55" s="681"/>
      <c r="AJ55" s="569"/>
      <c r="AK55" s="570"/>
      <c r="AL55" s="570"/>
      <c r="AM55" s="533" t="e">
        <f t="shared" si="37"/>
        <v>#N/A</v>
      </c>
      <c r="AN55" s="681"/>
      <c r="AO55" s="569"/>
      <c r="AP55" s="570"/>
      <c r="AQ55" s="570"/>
      <c r="AR55" s="533" t="e">
        <f t="shared" si="38"/>
        <v>#N/A</v>
      </c>
      <c r="AS55" s="681"/>
      <c r="AT55" s="569"/>
      <c r="AU55" s="570"/>
      <c r="AV55" s="570"/>
      <c r="AW55" s="533" t="e">
        <f t="shared" si="39"/>
        <v>#N/A</v>
      </c>
      <c r="AX55" s="681"/>
    </row>
    <row r="56" spans="2:50">
      <c r="B56" s="667"/>
      <c r="C56" s="327">
        <v>10</v>
      </c>
      <c r="D56" s="227"/>
      <c r="E56" s="182"/>
      <c r="F56" s="569"/>
      <c r="G56" s="570"/>
      <c r="H56" s="709"/>
      <c r="I56" s="427" t="e">
        <f t="shared" si="40"/>
        <v>#DIV/0!</v>
      </c>
      <c r="J56" s="427" t="e">
        <f t="shared" si="41"/>
        <v>#DIV/0!</v>
      </c>
      <c r="K56" s="200" t="e">
        <f t="shared" si="42"/>
        <v>#DIV/0!</v>
      </c>
      <c r="L56" s="641"/>
      <c r="M56" s="201" t="e">
        <f>RANK(K56, K$47:$K$61)</f>
        <v>#DIV/0!</v>
      </c>
      <c r="N56" s="659"/>
      <c r="O56" s="659"/>
      <c r="P56" s="569"/>
      <c r="Q56" s="570"/>
      <c r="R56" s="570"/>
      <c r="S56" s="533" t="e">
        <f t="shared" si="33"/>
        <v>#N/A</v>
      </c>
      <c r="T56" s="681"/>
      <c r="U56" s="569"/>
      <c r="V56" s="570"/>
      <c r="W56" s="570"/>
      <c r="X56" s="533" t="e">
        <f t="shared" si="34"/>
        <v>#N/A</v>
      </c>
      <c r="Y56" s="681"/>
      <c r="Z56" s="569"/>
      <c r="AA56" s="570"/>
      <c r="AB56" s="570"/>
      <c r="AC56" s="533" t="e">
        <f t="shared" si="35"/>
        <v>#N/A</v>
      </c>
      <c r="AD56" s="681"/>
      <c r="AE56" s="569"/>
      <c r="AF56" s="570"/>
      <c r="AG56" s="570"/>
      <c r="AH56" s="533" t="e">
        <f t="shared" si="36"/>
        <v>#N/A</v>
      </c>
      <c r="AI56" s="681"/>
      <c r="AJ56" s="569"/>
      <c r="AK56" s="570"/>
      <c r="AL56" s="570"/>
      <c r="AM56" s="533" t="e">
        <f t="shared" si="37"/>
        <v>#N/A</v>
      </c>
      <c r="AN56" s="681"/>
      <c r="AO56" s="569"/>
      <c r="AP56" s="570"/>
      <c r="AQ56" s="570"/>
      <c r="AR56" s="533" t="e">
        <f t="shared" si="38"/>
        <v>#N/A</v>
      </c>
      <c r="AS56" s="681"/>
      <c r="AT56" s="569"/>
      <c r="AU56" s="570"/>
      <c r="AV56" s="570"/>
      <c r="AW56" s="533" t="e">
        <f t="shared" si="39"/>
        <v>#N/A</v>
      </c>
      <c r="AX56" s="681"/>
    </row>
    <row r="57" spans="2:50">
      <c r="B57" s="667"/>
      <c r="C57" s="327">
        <v>11</v>
      </c>
      <c r="D57" s="227"/>
      <c r="E57" s="182"/>
      <c r="F57" s="569"/>
      <c r="G57" s="570"/>
      <c r="H57" s="709"/>
      <c r="I57" s="464"/>
      <c r="J57" s="464"/>
      <c r="K57" s="200"/>
      <c r="L57" s="641"/>
      <c r="M57" s="201" t="e">
        <f>RANK(K57, K$47:$K$61)</f>
        <v>#DIV/0!</v>
      </c>
      <c r="N57" s="659"/>
      <c r="O57" s="659"/>
      <c r="P57" s="569"/>
      <c r="Q57" s="570"/>
      <c r="R57" s="570"/>
      <c r="S57" s="533" t="e">
        <f t="shared" si="33"/>
        <v>#N/A</v>
      </c>
      <c r="T57" s="681"/>
      <c r="U57" s="569"/>
      <c r="V57" s="570"/>
      <c r="W57" s="570"/>
      <c r="X57" s="533" t="e">
        <f t="shared" si="34"/>
        <v>#N/A</v>
      </c>
      <c r="Y57" s="681"/>
      <c r="Z57" s="569"/>
      <c r="AA57" s="570"/>
      <c r="AB57" s="570"/>
      <c r="AC57" s="533" t="e">
        <f t="shared" si="35"/>
        <v>#N/A</v>
      </c>
      <c r="AD57" s="681"/>
      <c r="AE57" s="569"/>
      <c r="AF57" s="570"/>
      <c r="AG57" s="570"/>
      <c r="AH57" s="533" t="e">
        <f t="shared" si="36"/>
        <v>#N/A</v>
      </c>
      <c r="AI57" s="681"/>
      <c r="AJ57" s="569"/>
      <c r="AK57" s="570"/>
      <c r="AL57" s="570"/>
      <c r="AM57" s="533" t="e">
        <f t="shared" si="37"/>
        <v>#N/A</v>
      </c>
      <c r="AN57" s="681"/>
      <c r="AO57" s="569"/>
      <c r="AP57" s="570"/>
      <c r="AQ57" s="570"/>
      <c r="AR57" s="533" t="e">
        <f t="shared" si="38"/>
        <v>#N/A</v>
      </c>
      <c r="AS57" s="681"/>
      <c r="AT57" s="569"/>
      <c r="AU57" s="570"/>
      <c r="AV57" s="570"/>
      <c r="AW57" s="533" t="e">
        <f t="shared" si="39"/>
        <v>#N/A</v>
      </c>
      <c r="AX57" s="681"/>
    </row>
    <row r="58" spans="2:50">
      <c r="B58" s="667"/>
      <c r="C58" s="327">
        <v>12</v>
      </c>
      <c r="D58" s="227"/>
      <c r="E58" s="182"/>
      <c r="F58" s="569"/>
      <c r="G58" s="570"/>
      <c r="H58" s="709"/>
      <c r="I58" s="479"/>
      <c r="J58" s="479"/>
      <c r="K58" s="200"/>
      <c r="L58" s="641"/>
      <c r="M58" s="201" t="e">
        <f>RANK(K58, K$47:$K$61)</f>
        <v>#DIV/0!</v>
      </c>
      <c r="N58" s="659"/>
      <c r="O58" s="659"/>
      <c r="P58" s="569"/>
      <c r="Q58" s="570"/>
      <c r="R58" s="570"/>
      <c r="S58" s="533" t="e">
        <f t="shared" si="33"/>
        <v>#N/A</v>
      </c>
      <c r="T58" s="681"/>
      <c r="U58" s="569"/>
      <c r="V58" s="570"/>
      <c r="W58" s="570"/>
      <c r="X58" s="533" t="e">
        <f t="shared" si="34"/>
        <v>#N/A</v>
      </c>
      <c r="Y58" s="681"/>
      <c r="Z58" s="569"/>
      <c r="AA58" s="570"/>
      <c r="AB58" s="570"/>
      <c r="AC58" s="533" t="e">
        <f t="shared" si="35"/>
        <v>#N/A</v>
      </c>
      <c r="AD58" s="681"/>
      <c r="AE58" s="569"/>
      <c r="AF58" s="570"/>
      <c r="AG58" s="570"/>
      <c r="AH58" s="533" t="e">
        <f t="shared" si="36"/>
        <v>#N/A</v>
      </c>
      <c r="AI58" s="681"/>
      <c r="AJ58" s="569"/>
      <c r="AK58" s="570"/>
      <c r="AL58" s="570"/>
      <c r="AM58" s="533" t="e">
        <f t="shared" si="37"/>
        <v>#N/A</v>
      </c>
      <c r="AN58" s="681"/>
      <c r="AO58" s="569"/>
      <c r="AP58" s="570"/>
      <c r="AQ58" s="570"/>
      <c r="AR58" s="533" t="e">
        <f t="shared" si="38"/>
        <v>#N/A</v>
      </c>
      <c r="AS58" s="681"/>
      <c r="AT58" s="569"/>
      <c r="AU58" s="570"/>
      <c r="AV58" s="570"/>
      <c r="AW58" s="533" t="e">
        <f t="shared" si="39"/>
        <v>#N/A</v>
      </c>
      <c r="AX58" s="681"/>
    </row>
    <row r="59" spans="2:50">
      <c r="B59" s="667"/>
      <c r="C59" s="327">
        <v>13</v>
      </c>
      <c r="D59" s="227"/>
      <c r="E59" s="182"/>
      <c r="F59" s="569"/>
      <c r="G59" s="570"/>
      <c r="H59" s="709"/>
      <c r="I59" s="202"/>
      <c r="J59" s="202"/>
      <c r="K59" s="202"/>
      <c r="L59" s="641"/>
      <c r="M59" s="201" t="e">
        <f>RANK(K59, K$47:$K$61)</f>
        <v>#DIV/0!</v>
      </c>
      <c r="N59" s="659"/>
      <c r="O59" s="659"/>
      <c r="P59" s="569"/>
      <c r="Q59" s="570"/>
      <c r="R59" s="570"/>
      <c r="S59" s="533" t="e">
        <f t="shared" si="33"/>
        <v>#N/A</v>
      </c>
      <c r="T59" s="681"/>
      <c r="U59" s="569"/>
      <c r="V59" s="570"/>
      <c r="W59" s="570"/>
      <c r="X59" s="533" t="e">
        <f t="shared" si="34"/>
        <v>#N/A</v>
      </c>
      <c r="Y59" s="681"/>
      <c r="Z59" s="569"/>
      <c r="AA59" s="570"/>
      <c r="AB59" s="570"/>
      <c r="AC59" s="533" t="e">
        <f t="shared" si="35"/>
        <v>#N/A</v>
      </c>
      <c r="AD59" s="681"/>
      <c r="AE59" s="569"/>
      <c r="AF59" s="570"/>
      <c r="AG59" s="570"/>
      <c r="AH59" s="533" t="e">
        <f t="shared" si="36"/>
        <v>#N/A</v>
      </c>
      <c r="AI59" s="681"/>
      <c r="AJ59" s="569"/>
      <c r="AK59" s="570"/>
      <c r="AL59" s="570"/>
      <c r="AM59" s="533" t="e">
        <f t="shared" si="37"/>
        <v>#N/A</v>
      </c>
      <c r="AN59" s="681"/>
      <c r="AO59" s="569"/>
      <c r="AP59" s="570"/>
      <c r="AQ59" s="570"/>
      <c r="AR59" s="533" t="e">
        <f t="shared" si="38"/>
        <v>#N/A</v>
      </c>
      <c r="AS59" s="681"/>
      <c r="AT59" s="569"/>
      <c r="AU59" s="570"/>
      <c r="AV59" s="570"/>
      <c r="AW59" s="533" t="e">
        <f t="shared" si="39"/>
        <v>#N/A</v>
      </c>
      <c r="AX59" s="681"/>
    </row>
    <row r="60" spans="2:50">
      <c r="B60" s="667"/>
      <c r="C60" s="327">
        <v>14</v>
      </c>
      <c r="D60" s="227"/>
      <c r="E60" s="182"/>
      <c r="F60" s="569"/>
      <c r="G60" s="570"/>
      <c r="H60" s="709"/>
      <c r="I60" s="202"/>
      <c r="J60" s="202"/>
      <c r="K60" s="202"/>
      <c r="L60" s="641"/>
      <c r="M60" s="201" t="e">
        <f>RANK(K60, K$47:$K$61)</f>
        <v>#DIV/0!</v>
      </c>
      <c r="N60" s="659"/>
      <c r="O60" s="659"/>
      <c r="P60" s="569"/>
      <c r="Q60" s="570"/>
      <c r="R60" s="570"/>
      <c r="S60" s="533" t="e">
        <f t="shared" si="33"/>
        <v>#N/A</v>
      </c>
      <c r="T60" s="681"/>
      <c r="U60" s="569"/>
      <c r="V60" s="570"/>
      <c r="W60" s="570"/>
      <c r="X60" s="533" t="e">
        <f t="shared" si="34"/>
        <v>#N/A</v>
      </c>
      <c r="Y60" s="681"/>
      <c r="Z60" s="569"/>
      <c r="AA60" s="570"/>
      <c r="AB60" s="570"/>
      <c r="AC60" s="533" t="e">
        <f t="shared" si="35"/>
        <v>#N/A</v>
      </c>
      <c r="AD60" s="681"/>
      <c r="AE60" s="569"/>
      <c r="AF60" s="570"/>
      <c r="AG60" s="570"/>
      <c r="AH60" s="533" t="e">
        <f t="shared" si="36"/>
        <v>#N/A</v>
      </c>
      <c r="AI60" s="681"/>
      <c r="AJ60" s="569"/>
      <c r="AK60" s="570"/>
      <c r="AL60" s="570"/>
      <c r="AM60" s="533" t="e">
        <f t="shared" si="37"/>
        <v>#N/A</v>
      </c>
      <c r="AN60" s="681"/>
      <c r="AO60" s="569"/>
      <c r="AP60" s="570"/>
      <c r="AQ60" s="570"/>
      <c r="AR60" s="533" t="e">
        <f t="shared" si="38"/>
        <v>#N/A</v>
      </c>
      <c r="AS60" s="681"/>
      <c r="AT60" s="569"/>
      <c r="AU60" s="570"/>
      <c r="AV60" s="570"/>
      <c r="AW60" s="533" t="e">
        <f t="shared" si="39"/>
        <v>#N/A</v>
      </c>
      <c r="AX60" s="681"/>
    </row>
    <row r="61" spans="2:50">
      <c r="B61" s="667"/>
      <c r="C61" s="327">
        <v>15</v>
      </c>
      <c r="D61" s="227"/>
      <c r="E61" s="182"/>
      <c r="F61" s="569"/>
      <c r="G61" s="570"/>
      <c r="H61" s="710"/>
      <c r="I61" s="202"/>
      <c r="J61" s="202"/>
      <c r="K61" s="202"/>
      <c r="L61" s="642"/>
      <c r="M61" s="201" t="e">
        <f>RANK(K61, K$47:$K$61)</f>
        <v>#DIV/0!</v>
      </c>
      <c r="N61" s="659"/>
      <c r="O61" s="659"/>
      <c r="P61" s="569"/>
      <c r="Q61" s="570"/>
      <c r="R61" s="570"/>
      <c r="S61" s="533" t="e">
        <f t="shared" si="33"/>
        <v>#N/A</v>
      </c>
      <c r="T61" s="681"/>
      <c r="U61" s="569"/>
      <c r="V61" s="570"/>
      <c r="W61" s="570"/>
      <c r="X61" s="533" t="e">
        <f t="shared" si="34"/>
        <v>#N/A</v>
      </c>
      <c r="Y61" s="681"/>
      <c r="Z61" s="569"/>
      <c r="AA61" s="570"/>
      <c r="AB61" s="570"/>
      <c r="AC61" s="533" t="e">
        <f t="shared" si="35"/>
        <v>#N/A</v>
      </c>
      <c r="AD61" s="681"/>
      <c r="AE61" s="569"/>
      <c r="AF61" s="570"/>
      <c r="AG61" s="570"/>
      <c r="AH61" s="533" t="e">
        <f t="shared" si="36"/>
        <v>#N/A</v>
      </c>
      <c r="AI61" s="681"/>
      <c r="AJ61" s="569"/>
      <c r="AK61" s="570"/>
      <c r="AL61" s="570"/>
      <c r="AM61" s="533" t="e">
        <f t="shared" si="37"/>
        <v>#N/A</v>
      </c>
      <c r="AN61" s="681"/>
      <c r="AO61" s="569"/>
      <c r="AP61" s="570"/>
      <c r="AQ61" s="570"/>
      <c r="AR61" s="533" t="e">
        <f t="shared" si="38"/>
        <v>#N/A</v>
      </c>
      <c r="AS61" s="681"/>
      <c r="AT61" s="569"/>
      <c r="AU61" s="570"/>
      <c r="AV61" s="570"/>
      <c r="AW61" s="533" t="e">
        <f t="shared" si="39"/>
        <v>#N/A</v>
      </c>
      <c r="AX61" s="681"/>
    </row>
    <row r="62" spans="2:50" ht="15.75">
      <c r="B62" s="671" t="s">
        <v>163</v>
      </c>
      <c r="C62" s="672"/>
      <c r="D62" s="672"/>
      <c r="E62" s="672"/>
      <c r="F62" s="672"/>
      <c r="G62" s="672"/>
      <c r="H62" s="673"/>
      <c r="I62" s="208"/>
      <c r="J62" s="208"/>
      <c r="K62" s="208"/>
      <c r="L62" s="208"/>
      <c r="M62" s="207"/>
      <c r="N62" s="660" t="s">
        <v>156</v>
      </c>
      <c r="O62" s="660" t="s">
        <v>105</v>
      </c>
      <c r="P62" s="666">
        <f>P42+7</f>
        <v>46105</v>
      </c>
      <c r="Q62" s="667"/>
      <c r="R62" s="667"/>
      <c r="S62" s="667"/>
      <c r="T62" s="667"/>
      <c r="U62" s="663">
        <f>P62+1</f>
        <v>46106</v>
      </c>
      <c r="V62" s="664"/>
      <c r="W62" s="664"/>
      <c r="X62" s="664"/>
      <c r="Y62" s="665"/>
      <c r="Z62" s="663">
        <f>U62+1</f>
        <v>46107</v>
      </c>
      <c r="AA62" s="664"/>
      <c r="AB62" s="664"/>
      <c r="AC62" s="664"/>
      <c r="AD62" s="665"/>
      <c r="AE62" s="663">
        <f>Z62+1</f>
        <v>46108</v>
      </c>
      <c r="AF62" s="664"/>
      <c r="AG62" s="664"/>
      <c r="AH62" s="664"/>
      <c r="AI62" s="665"/>
      <c r="AJ62" s="663">
        <f>AE62+1</f>
        <v>46109</v>
      </c>
      <c r="AK62" s="664"/>
      <c r="AL62" s="664"/>
      <c r="AM62" s="664"/>
      <c r="AN62" s="665"/>
      <c r="AO62" s="663">
        <f>AJ62+1</f>
        <v>46110</v>
      </c>
      <c r="AP62" s="664"/>
      <c r="AQ62" s="664"/>
      <c r="AR62" s="664"/>
      <c r="AS62" s="665"/>
      <c r="AT62" s="663">
        <f>AO62+1</f>
        <v>46111</v>
      </c>
      <c r="AU62" s="664"/>
      <c r="AV62" s="664"/>
      <c r="AW62" s="664"/>
      <c r="AX62" s="665"/>
    </row>
    <row r="63" spans="2:50" ht="15.75">
      <c r="B63" s="674"/>
      <c r="C63" s="674"/>
      <c r="D63" s="674"/>
      <c r="E63" s="674"/>
      <c r="F63" s="674"/>
      <c r="G63" s="674"/>
      <c r="H63" s="674"/>
      <c r="I63" s="205"/>
      <c r="J63" s="205"/>
      <c r="K63" s="205"/>
      <c r="L63" s="205"/>
      <c r="M63" s="206"/>
      <c r="N63" s="662"/>
      <c r="O63" s="662"/>
      <c r="P63" s="666" t="s">
        <v>336</v>
      </c>
      <c r="Q63" s="667"/>
      <c r="R63" s="667"/>
      <c r="S63" s="667"/>
      <c r="T63" s="667"/>
      <c r="U63" s="666" t="s">
        <v>337</v>
      </c>
      <c r="V63" s="667"/>
      <c r="W63" s="667"/>
      <c r="X63" s="667"/>
      <c r="Y63" s="667"/>
      <c r="Z63" s="666" t="s">
        <v>338</v>
      </c>
      <c r="AA63" s="667"/>
      <c r="AB63" s="667"/>
      <c r="AC63" s="667"/>
      <c r="AD63" s="667"/>
      <c r="AE63" s="666" t="s">
        <v>339</v>
      </c>
      <c r="AF63" s="667"/>
      <c r="AG63" s="667"/>
      <c r="AH63" s="667"/>
      <c r="AI63" s="667"/>
      <c r="AJ63" s="666" t="s">
        <v>340</v>
      </c>
      <c r="AK63" s="667"/>
      <c r="AL63" s="667"/>
      <c r="AM63" s="667"/>
      <c r="AN63" s="667"/>
      <c r="AO63" s="666" t="s">
        <v>341</v>
      </c>
      <c r="AP63" s="667"/>
      <c r="AQ63" s="667"/>
      <c r="AR63" s="667"/>
      <c r="AS63" s="667"/>
      <c r="AT63" s="666" t="s">
        <v>342</v>
      </c>
      <c r="AU63" s="667"/>
      <c r="AV63" s="667"/>
      <c r="AW63" s="667"/>
      <c r="AX63" s="667"/>
    </row>
    <row r="64" spans="2:50">
      <c r="B64" s="659" t="s">
        <v>419</v>
      </c>
      <c r="C64" s="659" t="s">
        <v>429</v>
      </c>
      <c r="D64" s="659"/>
      <c r="E64" s="659" t="s">
        <v>420</v>
      </c>
      <c r="F64" s="659"/>
      <c r="G64" s="659"/>
      <c r="H64" s="675" t="s">
        <v>416</v>
      </c>
      <c r="I64" s="643" t="s">
        <v>421</v>
      </c>
      <c r="J64" s="643"/>
      <c r="K64" s="643"/>
      <c r="L64" s="644" t="s">
        <v>416</v>
      </c>
      <c r="M64" s="650" t="s">
        <v>417</v>
      </c>
      <c r="N64" s="659"/>
      <c r="O64" s="659" t="s">
        <v>422</v>
      </c>
      <c r="P64" s="656" t="s">
        <v>418</v>
      </c>
      <c r="Q64" s="657"/>
      <c r="R64" s="657"/>
      <c r="S64" s="658"/>
      <c r="T64" s="659" t="s">
        <v>416</v>
      </c>
      <c r="U64" s="656" t="s">
        <v>418</v>
      </c>
      <c r="V64" s="657"/>
      <c r="W64" s="657"/>
      <c r="X64" s="658"/>
      <c r="Y64" s="659" t="s">
        <v>416</v>
      </c>
      <c r="Z64" s="656" t="s">
        <v>418</v>
      </c>
      <c r="AA64" s="657"/>
      <c r="AB64" s="657"/>
      <c r="AC64" s="658"/>
      <c r="AD64" s="659" t="s">
        <v>416</v>
      </c>
      <c r="AE64" s="656" t="s">
        <v>418</v>
      </c>
      <c r="AF64" s="657"/>
      <c r="AG64" s="657"/>
      <c r="AH64" s="658"/>
      <c r="AI64" s="659" t="s">
        <v>416</v>
      </c>
      <c r="AJ64" s="656" t="s">
        <v>418</v>
      </c>
      <c r="AK64" s="657"/>
      <c r="AL64" s="657"/>
      <c r="AM64" s="658"/>
      <c r="AN64" s="659" t="s">
        <v>416</v>
      </c>
      <c r="AO64" s="656" t="s">
        <v>418</v>
      </c>
      <c r="AP64" s="657"/>
      <c r="AQ64" s="657"/>
      <c r="AR64" s="658"/>
      <c r="AS64" s="659" t="s">
        <v>416</v>
      </c>
      <c r="AT64" s="656" t="s">
        <v>418</v>
      </c>
      <c r="AU64" s="657"/>
      <c r="AV64" s="657"/>
      <c r="AW64" s="658"/>
      <c r="AX64" s="659" t="s">
        <v>416</v>
      </c>
    </row>
    <row r="65" spans="2:50">
      <c r="B65" s="659"/>
      <c r="C65" s="659"/>
      <c r="D65" s="659"/>
      <c r="E65" s="659" t="s">
        <v>423</v>
      </c>
      <c r="F65" s="659"/>
      <c r="G65" s="659"/>
      <c r="H65" s="676"/>
      <c r="I65" s="643" t="s">
        <v>423</v>
      </c>
      <c r="J65" s="643"/>
      <c r="K65" s="643"/>
      <c r="L65" s="645"/>
      <c r="M65" s="651"/>
      <c r="N65" s="659"/>
      <c r="O65" s="659"/>
      <c r="P65" s="656" t="s">
        <v>424</v>
      </c>
      <c r="Q65" s="657"/>
      <c r="R65" s="657"/>
      <c r="S65" s="658"/>
      <c r="T65" s="659"/>
      <c r="U65" s="656" t="s">
        <v>424</v>
      </c>
      <c r="V65" s="657"/>
      <c r="W65" s="657"/>
      <c r="X65" s="658"/>
      <c r="Y65" s="659"/>
      <c r="Z65" s="656" t="s">
        <v>424</v>
      </c>
      <c r="AA65" s="657"/>
      <c r="AB65" s="657"/>
      <c r="AC65" s="658"/>
      <c r="AD65" s="659"/>
      <c r="AE65" s="656" t="s">
        <v>424</v>
      </c>
      <c r="AF65" s="657"/>
      <c r="AG65" s="657"/>
      <c r="AH65" s="658"/>
      <c r="AI65" s="659"/>
      <c r="AJ65" s="656" t="s">
        <v>424</v>
      </c>
      <c r="AK65" s="657"/>
      <c r="AL65" s="657"/>
      <c r="AM65" s="658"/>
      <c r="AN65" s="659"/>
      <c r="AO65" s="656" t="s">
        <v>424</v>
      </c>
      <c r="AP65" s="657"/>
      <c r="AQ65" s="657"/>
      <c r="AR65" s="658"/>
      <c r="AS65" s="659"/>
      <c r="AT65" s="656" t="s">
        <v>424</v>
      </c>
      <c r="AU65" s="657"/>
      <c r="AV65" s="657"/>
      <c r="AW65" s="658"/>
      <c r="AX65" s="659"/>
    </row>
    <row r="66" spans="2:50">
      <c r="B66" s="659"/>
      <c r="C66" s="659"/>
      <c r="D66" s="659"/>
      <c r="E66" s="308" t="s">
        <v>425</v>
      </c>
      <c r="F66" s="308" t="s">
        <v>426</v>
      </c>
      <c r="G66" s="308" t="s">
        <v>427</v>
      </c>
      <c r="H66" s="677"/>
      <c r="I66" s="307" t="s">
        <v>425</v>
      </c>
      <c r="J66" s="307" t="s">
        <v>426</v>
      </c>
      <c r="K66" s="307" t="s">
        <v>427</v>
      </c>
      <c r="L66" s="646"/>
      <c r="M66" s="652"/>
      <c r="N66" s="659"/>
      <c r="O66" s="659"/>
      <c r="P66" s="308" t="s">
        <v>425</v>
      </c>
      <c r="Q66" s="308" t="s">
        <v>426</v>
      </c>
      <c r="R66" s="308" t="s">
        <v>427</v>
      </c>
      <c r="S66" s="308" t="s">
        <v>417</v>
      </c>
      <c r="T66" s="659"/>
      <c r="U66" s="308" t="s">
        <v>425</v>
      </c>
      <c r="V66" s="308" t="s">
        <v>426</v>
      </c>
      <c r="W66" s="308" t="s">
        <v>427</v>
      </c>
      <c r="X66" s="308" t="s">
        <v>417</v>
      </c>
      <c r="Y66" s="659"/>
      <c r="Z66" s="308" t="s">
        <v>425</v>
      </c>
      <c r="AA66" s="308" t="s">
        <v>426</v>
      </c>
      <c r="AB66" s="308" t="s">
        <v>427</v>
      </c>
      <c r="AC66" s="308" t="s">
        <v>417</v>
      </c>
      <c r="AD66" s="659"/>
      <c r="AE66" s="308" t="s">
        <v>425</v>
      </c>
      <c r="AF66" s="308" t="s">
        <v>426</v>
      </c>
      <c r="AG66" s="308" t="s">
        <v>427</v>
      </c>
      <c r="AH66" s="308" t="s">
        <v>417</v>
      </c>
      <c r="AI66" s="659"/>
      <c r="AJ66" s="308" t="s">
        <v>425</v>
      </c>
      <c r="AK66" s="308" t="s">
        <v>426</v>
      </c>
      <c r="AL66" s="308" t="s">
        <v>427</v>
      </c>
      <c r="AM66" s="308" t="s">
        <v>417</v>
      </c>
      <c r="AN66" s="659"/>
      <c r="AO66" s="308" t="s">
        <v>425</v>
      </c>
      <c r="AP66" s="308" t="s">
        <v>426</v>
      </c>
      <c r="AQ66" s="308" t="s">
        <v>427</v>
      </c>
      <c r="AR66" s="308" t="s">
        <v>417</v>
      </c>
      <c r="AS66" s="659"/>
      <c r="AT66" s="308" t="s">
        <v>425</v>
      </c>
      <c r="AU66" s="308" t="s">
        <v>426</v>
      </c>
      <c r="AV66" s="308" t="s">
        <v>427</v>
      </c>
      <c r="AW66" s="308" t="s">
        <v>417</v>
      </c>
      <c r="AX66" s="659"/>
    </row>
    <row r="67" spans="2:50">
      <c r="B67" s="659" t="s">
        <v>457</v>
      </c>
      <c r="C67" s="309">
        <v>1</v>
      </c>
      <c r="D67" s="227"/>
      <c r="E67" s="182"/>
      <c r="F67" s="569"/>
      <c r="G67" s="570"/>
      <c r="H67" s="708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40" t="str">
        <f>IFERROR(AVERAGE(K67:K81),"-")</f>
        <v>-</v>
      </c>
      <c r="M67" s="201" t="e">
        <f>RANK(K67, K$67:$K$81)</f>
        <v>#DIV/0!</v>
      </c>
      <c r="N67" s="659"/>
      <c r="O67" s="659"/>
      <c r="P67" s="182"/>
      <c r="Q67" s="570"/>
      <c r="R67" s="570"/>
      <c r="S67" s="309" t="e">
        <f>RANK(R67, R$67:R$81)</f>
        <v>#N/A</v>
      </c>
      <c r="T67" s="708" t="e">
        <f>AVERAGE(R67:R81)</f>
        <v>#DIV/0!</v>
      </c>
      <c r="U67" s="182"/>
      <c r="V67" s="570"/>
      <c r="W67" s="570"/>
      <c r="X67" s="475" t="e">
        <f t="shared" ref="X67:X81" si="43">RANK(W67, W$67:W$81)</f>
        <v>#N/A</v>
      </c>
      <c r="Y67" s="708" t="e">
        <f t="shared" ref="Y67" si="44">AVERAGE(W67:W81)</f>
        <v>#DIV/0!</v>
      </c>
      <c r="Z67" s="182"/>
      <c r="AA67" s="570"/>
      <c r="AB67" s="570"/>
      <c r="AC67" s="475" t="e">
        <f t="shared" ref="AC67:AC81" si="45">RANK(AB67, AB$67:AB$81)</f>
        <v>#N/A</v>
      </c>
      <c r="AD67" s="708" t="e">
        <f t="shared" ref="AD67" si="46">AVERAGE(AB67:AB81)</f>
        <v>#DIV/0!</v>
      </c>
      <c r="AE67" s="182"/>
      <c r="AF67" s="570"/>
      <c r="AG67" s="570"/>
      <c r="AH67" s="475" t="e">
        <f t="shared" ref="AH67:AH81" si="47">RANK(AG67, AG$67:AG$81)</f>
        <v>#N/A</v>
      </c>
      <c r="AI67" s="708" t="e">
        <f t="shared" ref="AI67" si="48">AVERAGE(AG67:AG81)</f>
        <v>#DIV/0!</v>
      </c>
      <c r="AJ67" s="182"/>
      <c r="AK67" s="570"/>
      <c r="AL67" s="570"/>
      <c r="AM67" s="475" t="e">
        <f t="shared" ref="AM67:AM81" si="49">RANK(AL67, AL$67:AL$81)</f>
        <v>#N/A</v>
      </c>
      <c r="AN67" s="708" t="e">
        <f t="shared" ref="AN67" si="50">AVERAGE(AL67:AL81)</f>
        <v>#DIV/0!</v>
      </c>
      <c r="AO67" s="182"/>
      <c r="AP67" s="570"/>
      <c r="AQ67" s="570"/>
      <c r="AR67" s="475" t="e">
        <f t="shared" ref="AR67:AR81" si="51">RANK(AQ67, AQ$67:AQ$81)</f>
        <v>#N/A</v>
      </c>
      <c r="AS67" s="708" t="e">
        <f t="shared" ref="AS67" si="52">AVERAGE(AQ67:AQ81)</f>
        <v>#DIV/0!</v>
      </c>
      <c r="AT67" s="182"/>
      <c r="AU67" s="570"/>
      <c r="AV67" s="570"/>
      <c r="AW67" s="475" t="e">
        <f t="shared" ref="AW67:AW81" si="53">RANK(AV67, AV$67:AV$81)</f>
        <v>#N/A</v>
      </c>
      <c r="AX67" s="681" t="e">
        <f t="shared" ref="AX67" si="54">AVERAGE(AV67:AV81)</f>
        <v>#DIV/0!</v>
      </c>
    </row>
    <row r="68" spans="2:50">
      <c r="B68" s="667"/>
      <c r="C68" s="309">
        <v>2</v>
      </c>
      <c r="D68" s="227"/>
      <c r="E68" s="182"/>
      <c r="F68" s="569"/>
      <c r="G68" s="570"/>
      <c r="H68" s="709"/>
      <c r="I68" s="199" t="e">
        <f t="shared" ref="I68:I74" si="55">AVERAGE(P68,U68,Z68,AE68,AJ68,AO68,AT68)</f>
        <v>#DIV/0!</v>
      </c>
      <c r="J68" s="199" t="e">
        <f t="shared" ref="J68:J74" si="56">AVERAGE(Q68,V68,AA68,AF68,AK68,AP68,AU68)</f>
        <v>#DIV/0!</v>
      </c>
      <c r="K68" s="200" t="e">
        <f t="shared" ref="K68:K74" si="57">AVERAGE(R68,W68,AB68,AG68,AL68,AQ68,AV68)</f>
        <v>#DIV/0!</v>
      </c>
      <c r="L68" s="641"/>
      <c r="M68" s="201" t="e">
        <f>RANK(K68, K$67:$K$81)</f>
        <v>#DIV/0!</v>
      </c>
      <c r="N68" s="659"/>
      <c r="O68" s="659"/>
      <c r="P68" s="569"/>
      <c r="Q68" s="570"/>
      <c r="R68" s="570"/>
      <c r="S68" s="339" t="e">
        <f t="shared" ref="S68:S81" si="58">RANK(R68, R$67:R$81)</f>
        <v>#N/A</v>
      </c>
      <c r="T68" s="709"/>
      <c r="U68" s="569"/>
      <c r="V68" s="570"/>
      <c r="W68" s="570"/>
      <c r="X68" s="475" t="e">
        <f t="shared" si="43"/>
        <v>#N/A</v>
      </c>
      <c r="Y68" s="709"/>
      <c r="Z68" s="569"/>
      <c r="AA68" s="570"/>
      <c r="AB68" s="570"/>
      <c r="AC68" s="475" t="e">
        <f t="shared" si="45"/>
        <v>#N/A</v>
      </c>
      <c r="AD68" s="709"/>
      <c r="AE68" s="569"/>
      <c r="AF68" s="570"/>
      <c r="AG68" s="570"/>
      <c r="AH68" s="475" t="e">
        <f t="shared" si="47"/>
        <v>#N/A</v>
      </c>
      <c r="AI68" s="709"/>
      <c r="AJ68" s="569"/>
      <c r="AK68" s="570"/>
      <c r="AL68" s="570"/>
      <c r="AM68" s="475" t="e">
        <f t="shared" si="49"/>
        <v>#N/A</v>
      </c>
      <c r="AN68" s="709"/>
      <c r="AO68" s="569"/>
      <c r="AP68" s="570"/>
      <c r="AQ68" s="570"/>
      <c r="AR68" s="475" t="e">
        <f t="shared" si="51"/>
        <v>#N/A</v>
      </c>
      <c r="AS68" s="709"/>
      <c r="AT68" s="569"/>
      <c r="AU68" s="570"/>
      <c r="AV68" s="570"/>
      <c r="AW68" s="475" t="e">
        <f t="shared" si="53"/>
        <v>#N/A</v>
      </c>
      <c r="AX68" s="681"/>
    </row>
    <row r="69" spans="2:50">
      <c r="B69" s="667"/>
      <c r="C69" s="309">
        <v>3</v>
      </c>
      <c r="D69" s="227"/>
      <c r="E69" s="182"/>
      <c r="F69" s="569"/>
      <c r="G69" s="570"/>
      <c r="H69" s="709"/>
      <c r="I69" s="199" t="e">
        <f t="shared" si="55"/>
        <v>#DIV/0!</v>
      </c>
      <c r="J69" s="199" t="e">
        <f t="shared" si="56"/>
        <v>#DIV/0!</v>
      </c>
      <c r="K69" s="200" t="e">
        <f t="shared" si="57"/>
        <v>#DIV/0!</v>
      </c>
      <c r="L69" s="641"/>
      <c r="M69" s="201" t="e">
        <f>RANK(K69, K$67:$K$81)</f>
        <v>#DIV/0!</v>
      </c>
      <c r="N69" s="659"/>
      <c r="O69" s="659"/>
      <c r="P69" s="569"/>
      <c r="Q69" s="570"/>
      <c r="R69" s="570"/>
      <c r="S69" s="339" t="e">
        <f t="shared" si="58"/>
        <v>#N/A</v>
      </c>
      <c r="T69" s="709"/>
      <c r="U69" s="569"/>
      <c r="V69" s="570"/>
      <c r="W69" s="570"/>
      <c r="X69" s="475" t="e">
        <f t="shared" si="43"/>
        <v>#N/A</v>
      </c>
      <c r="Y69" s="709"/>
      <c r="Z69" s="569"/>
      <c r="AA69" s="570"/>
      <c r="AB69" s="570"/>
      <c r="AC69" s="475" t="e">
        <f t="shared" si="45"/>
        <v>#N/A</v>
      </c>
      <c r="AD69" s="709"/>
      <c r="AE69" s="569"/>
      <c r="AF69" s="570"/>
      <c r="AG69" s="570"/>
      <c r="AH69" s="475" t="e">
        <f t="shared" si="47"/>
        <v>#N/A</v>
      </c>
      <c r="AI69" s="709"/>
      <c r="AJ69" s="569"/>
      <c r="AK69" s="570"/>
      <c r="AL69" s="570"/>
      <c r="AM69" s="475" t="e">
        <f t="shared" si="49"/>
        <v>#N/A</v>
      </c>
      <c r="AN69" s="709"/>
      <c r="AO69" s="569"/>
      <c r="AP69" s="570"/>
      <c r="AQ69" s="570"/>
      <c r="AR69" s="475" t="e">
        <f t="shared" si="51"/>
        <v>#N/A</v>
      </c>
      <c r="AS69" s="709"/>
      <c r="AT69" s="569"/>
      <c r="AU69" s="570"/>
      <c r="AV69" s="570"/>
      <c r="AW69" s="475" t="e">
        <f t="shared" si="53"/>
        <v>#N/A</v>
      </c>
      <c r="AX69" s="681"/>
    </row>
    <row r="70" spans="2:50">
      <c r="B70" s="667"/>
      <c r="C70" s="309">
        <v>4</v>
      </c>
      <c r="D70" s="227"/>
      <c r="E70" s="182"/>
      <c r="F70" s="569"/>
      <c r="G70" s="570"/>
      <c r="H70" s="709"/>
      <c r="I70" s="199" t="e">
        <f t="shared" si="55"/>
        <v>#DIV/0!</v>
      </c>
      <c r="J70" s="199" t="e">
        <f t="shared" si="56"/>
        <v>#DIV/0!</v>
      </c>
      <c r="K70" s="200" t="e">
        <f t="shared" si="57"/>
        <v>#DIV/0!</v>
      </c>
      <c r="L70" s="641"/>
      <c r="M70" s="201" t="e">
        <f>RANK(K70, K$67:$K$81)</f>
        <v>#DIV/0!</v>
      </c>
      <c r="N70" s="659"/>
      <c r="O70" s="659"/>
      <c r="P70" s="569"/>
      <c r="Q70" s="570"/>
      <c r="R70" s="570"/>
      <c r="S70" s="339" t="e">
        <f t="shared" si="58"/>
        <v>#N/A</v>
      </c>
      <c r="T70" s="709"/>
      <c r="U70" s="569"/>
      <c r="V70" s="570"/>
      <c r="W70" s="570"/>
      <c r="X70" s="475" t="e">
        <f t="shared" si="43"/>
        <v>#N/A</v>
      </c>
      <c r="Y70" s="709"/>
      <c r="Z70" s="569"/>
      <c r="AA70" s="570"/>
      <c r="AB70" s="570"/>
      <c r="AC70" s="475" t="e">
        <f t="shared" si="45"/>
        <v>#N/A</v>
      </c>
      <c r="AD70" s="709"/>
      <c r="AE70" s="569"/>
      <c r="AF70" s="570"/>
      <c r="AG70" s="570"/>
      <c r="AH70" s="475" t="e">
        <f t="shared" si="47"/>
        <v>#N/A</v>
      </c>
      <c r="AI70" s="709"/>
      <c r="AJ70" s="569"/>
      <c r="AK70" s="570"/>
      <c r="AL70" s="570"/>
      <c r="AM70" s="475" t="e">
        <f t="shared" si="49"/>
        <v>#N/A</v>
      </c>
      <c r="AN70" s="709"/>
      <c r="AO70" s="569"/>
      <c r="AP70" s="570"/>
      <c r="AQ70" s="570"/>
      <c r="AR70" s="475" t="e">
        <f t="shared" si="51"/>
        <v>#N/A</v>
      </c>
      <c r="AS70" s="709"/>
      <c r="AT70" s="569"/>
      <c r="AU70" s="570"/>
      <c r="AV70" s="570"/>
      <c r="AW70" s="475" t="e">
        <f t="shared" si="53"/>
        <v>#N/A</v>
      </c>
      <c r="AX70" s="681"/>
    </row>
    <row r="71" spans="2:50">
      <c r="B71" s="667"/>
      <c r="C71" s="309">
        <v>5</v>
      </c>
      <c r="D71" s="227"/>
      <c r="E71" s="182"/>
      <c r="F71" s="569"/>
      <c r="G71" s="570"/>
      <c r="H71" s="709"/>
      <c r="I71" s="199" t="e">
        <f t="shared" si="55"/>
        <v>#DIV/0!</v>
      </c>
      <c r="J71" s="199" t="e">
        <f t="shared" si="56"/>
        <v>#DIV/0!</v>
      </c>
      <c r="K71" s="200" t="e">
        <f t="shared" si="57"/>
        <v>#DIV/0!</v>
      </c>
      <c r="L71" s="641"/>
      <c r="M71" s="201" t="e">
        <f>RANK(K71, K$67:$K$81)</f>
        <v>#DIV/0!</v>
      </c>
      <c r="N71" s="659"/>
      <c r="O71" s="659"/>
      <c r="P71" s="569"/>
      <c r="Q71" s="570"/>
      <c r="R71" s="570"/>
      <c r="S71" s="339" t="e">
        <f t="shared" si="58"/>
        <v>#N/A</v>
      </c>
      <c r="T71" s="709"/>
      <c r="U71" s="569"/>
      <c r="V71" s="570"/>
      <c r="W71" s="570"/>
      <c r="X71" s="475" t="e">
        <f t="shared" si="43"/>
        <v>#N/A</v>
      </c>
      <c r="Y71" s="709"/>
      <c r="Z71" s="569"/>
      <c r="AA71" s="570"/>
      <c r="AB71" s="570"/>
      <c r="AC71" s="475" t="e">
        <f t="shared" si="45"/>
        <v>#N/A</v>
      </c>
      <c r="AD71" s="709"/>
      <c r="AE71" s="569"/>
      <c r="AF71" s="570"/>
      <c r="AG71" s="570"/>
      <c r="AH71" s="475" t="e">
        <f t="shared" si="47"/>
        <v>#N/A</v>
      </c>
      <c r="AI71" s="709"/>
      <c r="AJ71" s="569"/>
      <c r="AK71" s="570"/>
      <c r="AL71" s="570"/>
      <c r="AM71" s="475" t="e">
        <f t="shared" si="49"/>
        <v>#N/A</v>
      </c>
      <c r="AN71" s="709"/>
      <c r="AO71" s="569"/>
      <c r="AP71" s="570"/>
      <c r="AQ71" s="570"/>
      <c r="AR71" s="475" t="e">
        <f t="shared" si="51"/>
        <v>#N/A</v>
      </c>
      <c r="AS71" s="709"/>
      <c r="AT71" s="569"/>
      <c r="AU71" s="570"/>
      <c r="AV71" s="570"/>
      <c r="AW71" s="475" t="e">
        <f t="shared" si="53"/>
        <v>#N/A</v>
      </c>
      <c r="AX71" s="681"/>
    </row>
    <row r="72" spans="2:50">
      <c r="B72" s="667"/>
      <c r="C72" s="309">
        <v>6</v>
      </c>
      <c r="D72" s="227"/>
      <c r="E72" s="182"/>
      <c r="F72" s="569"/>
      <c r="G72" s="570"/>
      <c r="H72" s="709"/>
      <c r="I72" s="199" t="e">
        <f t="shared" si="55"/>
        <v>#DIV/0!</v>
      </c>
      <c r="J72" s="199" t="e">
        <f t="shared" si="56"/>
        <v>#DIV/0!</v>
      </c>
      <c r="K72" s="200" t="e">
        <f t="shared" si="57"/>
        <v>#DIV/0!</v>
      </c>
      <c r="L72" s="641"/>
      <c r="M72" s="201" t="e">
        <f>RANK(K72, K$67:$K$81)</f>
        <v>#DIV/0!</v>
      </c>
      <c r="N72" s="659"/>
      <c r="O72" s="659"/>
      <c r="P72" s="569"/>
      <c r="Q72" s="570"/>
      <c r="R72" s="570"/>
      <c r="S72" s="339" t="e">
        <f t="shared" si="58"/>
        <v>#N/A</v>
      </c>
      <c r="T72" s="709"/>
      <c r="U72" s="569"/>
      <c r="V72" s="570"/>
      <c r="W72" s="570"/>
      <c r="X72" s="475" t="e">
        <f t="shared" si="43"/>
        <v>#N/A</v>
      </c>
      <c r="Y72" s="709"/>
      <c r="Z72" s="569"/>
      <c r="AA72" s="570"/>
      <c r="AB72" s="570"/>
      <c r="AC72" s="475" t="e">
        <f t="shared" si="45"/>
        <v>#N/A</v>
      </c>
      <c r="AD72" s="709"/>
      <c r="AE72" s="569"/>
      <c r="AF72" s="570"/>
      <c r="AG72" s="570"/>
      <c r="AH72" s="475" t="e">
        <f t="shared" si="47"/>
        <v>#N/A</v>
      </c>
      <c r="AI72" s="709"/>
      <c r="AJ72" s="569"/>
      <c r="AK72" s="570"/>
      <c r="AL72" s="570"/>
      <c r="AM72" s="475" t="e">
        <f t="shared" si="49"/>
        <v>#N/A</v>
      </c>
      <c r="AN72" s="709"/>
      <c r="AO72" s="569"/>
      <c r="AP72" s="570"/>
      <c r="AQ72" s="570"/>
      <c r="AR72" s="475" t="e">
        <f t="shared" si="51"/>
        <v>#N/A</v>
      </c>
      <c r="AS72" s="709"/>
      <c r="AT72" s="569"/>
      <c r="AU72" s="570"/>
      <c r="AV72" s="570"/>
      <c r="AW72" s="475" t="e">
        <f t="shared" si="53"/>
        <v>#N/A</v>
      </c>
      <c r="AX72" s="681"/>
    </row>
    <row r="73" spans="2:50">
      <c r="B73" s="667"/>
      <c r="C73" s="309">
        <v>7</v>
      </c>
      <c r="D73" s="227"/>
      <c r="E73" s="182"/>
      <c r="F73" s="569"/>
      <c r="G73" s="570"/>
      <c r="H73" s="709"/>
      <c r="I73" s="199" t="e">
        <f t="shared" si="55"/>
        <v>#DIV/0!</v>
      </c>
      <c r="J73" s="199" t="e">
        <f t="shared" si="56"/>
        <v>#DIV/0!</v>
      </c>
      <c r="K73" s="200" t="e">
        <f t="shared" si="57"/>
        <v>#DIV/0!</v>
      </c>
      <c r="L73" s="641"/>
      <c r="M73" s="201" t="e">
        <f>RANK(K73, K$67:$K$81)</f>
        <v>#DIV/0!</v>
      </c>
      <c r="N73" s="659"/>
      <c r="O73" s="659"/>
      <c r="P73" s="569"/>
      <c r="Q73" s="570"/>
      <c r="R73" s="570"/>
      <c r="S73" s="339" t="e">
        <f t="shared" si="58"/>
        <v>#N/A</v>
      </c>
      <c r="T73" s="709"/>
      <c r="U73" s="569"/>
      <c r="V73" s="570"/>
      <c r="W73" s="570"/>
      <c r="X73" s="475" t="e">
        <f t="shared" si="43"/>
        <v>#N/A</v>
      </c>
      <c r="Y73" s="709"/>
      <c r="Z73" s="569"/>
      <c r="AA73" s="570"/>
      <c r="AB73" s="570"/>
      <c r="AC73" s="475" t="e">
        <f t="shared" si="45"/>
        <v>#N/A</v>
      </c>
      <c r="AD73" s="709"/>
      <c r="AE73" s="569"/>
      <c r="AF73" s="570"/>
      <c r="AG73" s="570"/>
      <c r="AH73" s="475" t="e">
        <f t="shared" si="47"/>
        <v>#N/A</v>
      </c>
      <c r="AI73" s="709"/>
      <c r="AJ73" s="569"/>
      <c r="AK73" s="570"/>
      <c r="AL73" s="570"/>
      <c r="AM73" s="475" t="e">
        <f t="shared" si="49"/>
        <v>#N/A</v>
      </c>
      <c r="AN73" s="709"/>
      <c r="AO73" s="569"/>
      <c r="AP73" s="570"/>
      <c r="AQ73" s="570"/>
      <c r="AR73" s="475" t="e">
        <f t="shared" si="51"/>
        <v>#N/A</v>
      </c>
      <c r="AS73" s="709"/>
      <c r="AT73" s="569"/>
      <c r="AU73" s="570"/>
      <c r="AV73" s="570"/>
      <c r="AW73" s="475" t="e">
        <f t="shared" si="53"/>
        <v>#N/A</v>
      </c>
      <c r="AX73" s="681"/>
    </row>
    <row r="74" spans="2:50">
      <c r="B74" s="667"/>
      <c r="C74" s="309">
        <v>8</v>
      </c>
      <c r="D74" s="227"/>
      <c r="E74" s="182"/>
      <c r="F74" s="569"/>
      <c r="G74" s="570"/>
      <c r="H74" s="709"/>
      <c r="I74" s="199" t="e">
        <f t="shared" si="55"/>
        <v>#DIV/0!</v>
      </c>
      <c r="J74" s="199" t="e">
        <f t="shared" si="56"/>
        <v>#DIV/0!</v>
      </c>
      <c r="K74" s="200" t="e">
        <f t="shared" si="57"/>
        <v>#DIV/0!</v>
      </c>
      <c r="L74" s="641"/>
      <c r="M74" s="201" t="e">
        <f>RANK(K74, K$67:$K$81)</f>
        <v>#DIV/0!</v>
      </c>
      <c r="N74" s="659"/>
      <c r="O74" s="659"/>
      <c r="P74" s="569"/>
      <c r="Q74" s="570"/>
      <c r="R74" s="570"/>
      <c r="S74" s="339" t="e">
        <f t="shared" si="58"/>
        <v>#N/A</v>
      </c>
      <c r="T74" s="709"/>
      <c r="U74" s="569"/>
      <c r="V74" s="570"/>
      <c r="W74" s="570"/>
      <c r="X74" s="475" t="e">
        <f t="shared" si="43"/>
        <v>#N/A</v>
      </c>
      <c r="Y74" s="709"/>
      <c r="Z74" s="569"/>
      <c r="AA74" s="570"/>
      <c r="AB74" s="570"/>
      <c r="AC74" s="475" t="e">
        <f t="shared" si="45"/>
        <v>#N/A</v>
      </c>
      <c r="AD74" s="709"/>
      <c r="AE74" s="569"/>
      <c r="AF74" s="570"/>
      <c r="AG74" s="570"/>
      <c r="AH74" s="475" t="e">
        <f t="shared" si="47"/>
        <v>#N/A</v>
      </c>
      <c r="AI74" s="709"/>
      <c r="AJ74" s="569"/>
      <c r="AK74" s="570"/>
      <c r="AL74" s="570"/>
      <c r="AM74" s="475" t="e">
        <f t="shared" si="49"/>
        <v>#N/A</v>
      </c>
      <c r="AN74" s="709"/>
      <c r="AO74" s="569"/>
      <c r="AP74" s="570"/>
      <c r="AQ74" s="570"/>
      <c r="AR74" s="475" t="e">
        <f t="shared" si="51"/>
        <v>#N/A</v>
      </c>
      <c r="AS74" s="709"/>
      <c r="AT74" s="569"/>
      <c r="AU74" s="570"/>
      <c r="AV74" s="570"/>
      <c r="AW74" s="475" t="e">
        <f t="shared" si="53"/>
        <v>#N/A</v>
      </c>
      <c r="AX74" s="681"/>
    </row>
    <row r="75" spans="2:50">
      <c r="B75" s="667"/>
      <c r="C75" s="309">
        <v>9</v>
      </c>
      <c r="D75" s="227"/>
      <c r="E75" s="182"/>
      <c r="F75" s="569"/>
      <c r="G75" s="570"/>
      <c r="H75" s="709"/>
      <c r="I75" s="428" t="e">
        <f t="shared" ref="I75:I76" si="59">AVERAGE(P75,U75,Z75,AE75,AJ75,AO75,AT75)</f>
        <v>#DIV/0!</v>
      </c>
      <c r="J75" s="428" t="e">
        <f t="shared" ref="J75:J76" si="60">AVERAGE(Q75,V75,AA75,AF75,AK75,AP75,AU75)</f>
        <v>#DIV/0!</v>
      </c>
      <c r="K75" s="200" t="e">
        <f t="shared" ref="K75:K76" si="61">AVERAGE(R75,W75,AB75,AG75,AL75,AQ75,AV75)</f>
        <v>#DIV/0!</v>
      </c>
      <c r="L75" s="641"/>
      <c r="M75" s="201" t="e">
        <f>RANK(K75, K$67:$K$81)</f>
        <v>#DIV/0!</v>
      </c>
      <c r="N75" s="659"/>
      <c r="O75" s="659"/>
      <c r="P75" s="569"/>
      <c r="Q75" s="570"/>
      <c r="R75" s="570"/>
      <c r="S75" s="339" t="e">
        <f t="shared" si="58"/>
        <v>#N/A</v>
      </c>
      <c r="T75" s="709"/>
      <c r="U75" s="569"/>
      <c r="V75" s="570"/>
      <c r="W75" s="570"/>
      <c r="X75" s="475" t="e">
        <f t="shared" si="43"/>
        <v>#N/A</v>
      </c>
      <c r="Y75" s="709"/>
      <c r="Z75" s="569"/>
      <c r="AA75" s="570"/>
      <c r="AB75" s="570"/>
      <c r="AC75" s="475" t="e">
        <f t="shared" si="45"/>
        <v>#N/A</v>
      </c>
      <c r="AD75" s="709"/>
      <c r="AE75" s="569"/>
      <c r="AF75" s="570"/>
      <c r="AG75" s="570"/>
      <c r="AH75" s="475" t="e">
        <f t="shared" si="47"/>
        <v>#N/A</v>
      </c>
      <c r="AI75" s="709"/>
      <c r="AJ75" s="569"/>
      <c r="AK75" s="570"/>
      <c r="AL75" s="570"/>
      <c r="AM75" s="475" t="e">
        <f t="shared" si="49"/>
        <v>#N/A</v>
      </c>
      <c r="AN75" s="709"/>
      <c r="AO75" s="569"/>
      <c r="AP75" s="570"/>
      <c r="AQ75" s="570"/>
      <c r="AR75" s="475" t="e">
        <f t="shared" si="51"/>
        <v>#N/A</v>
      </c>
      <c r="AS75" s="709"/>
      <c r="AT75" s="569"/>
      <c r="AU75" s="570"/>
      <c r="AV75" s="570"/>
      <c r="AW75" s="475" t="e">
        <f t="shared" si="53"/>
        <v>#N/A</v>
      </c>
      <c r="AX75" s="681"/>
    </row>
    <row r="76" spans="2:50">
      <c r="B76" s="667"/>
      <c r="C76" s="309">
        <v>10</v>
      </c>
      <c r="D76" s="227"/>
      <c r="E76" s="182"/>
      <c r="F76" s="569"/>
      <c r="G76" s="570"/>
      <c r="H76" s="709"/>
      <c r="I76" s="428" t="e">
        <f t="shared" si="59"/>
        <v>#DIV/0!</v>
      </c>
      <c r="J76" s="428" t="e">
        <f t="shared" si="60"/>
        <v>#DIV/0!</v>
      </c>
      <c r="K76" s="200" t="e">
        <f t="shared" si="61"/>
        <v>#DIV/0!</v>
      </c>
      <c r="L76" s="641"/>
      <c r="M76" s="201" t="e">
        <f>RANK(K76, K$67:$K$81)</f>
        <v>#DIV/0!</v>
      </c>
      <c r="N76" s="659"/>
      <c r="O76" s="659"/>
      <c r="P76" s="569"/>
      <c r="Q76" s="570"/>
      <c r="R76" s="570"/>
      <c r="S76" s="339" t="e">
        <f t="shared" si="58"/>
        <v>#N/A</v>
      </c>
      <c r="T76" s="709"/>
      <c r="U76" s="569"/>
      <c r="V76" s="570"/>
      <c r="W76" s="570"/>
      <c r="X76" s="475" t="e">
        <f t="shared" si="43"/>
        <v>#N/A</v>
      </c>
      <c r="Y76" s="709"/>
      <c r="Z76" s="569"/>
      <c r="AA76" s="570"/>
      <c r="AB76" s="570"/>
      <c r="AC76" s="475" t="e">
        <f t="shared" si="45"/>
        <v>#N/A</v>
      </c>
      <c r="AD76" s="709"/>
      <c r="AE76" s="569"/>
      <c r="AF76" s="570"/>
      <c r="AG76" s="570"/>
      <c r="AH76" s="475" t="e">
        <f t="shared" si="47"/>
        <v>#N/A</v>
      </c>
      <c r="AI76" s="709"/>
      <c r="AJ76" s="569"/>
      <c r="AK76" s="570"/>
      <c r="AL76" s="570"/>
      <c r="AM76" s="475" t="e">
        <f t="shared" si="49"/>
        <v>#N/A</v>
      </c>
      <c r="AN76" s="709"/>
      <c r="AO76" s="569"/>
      <c r="AP76" s="570"/>
      <c r="AQ76" s="570"/>
      <c r="AR76" s="475" t="e">
        <f t="shared" si="51"/>
        <v>#N/A</v>
      </c>
      <c r="AS76" s="709"/>
      <c r="AT76" s="569"/>
      <c r="AU76" s="570"/>
      <c r="AV76" s="570"/>
      <c r="AW76" s="475" t="e">
        <f t="shared" si="53"/>
        <v>#N/A</v>
      </c>
      <c r="AX76" s="681"/>
    </row>
    <row r="77" spans="2:50">
      <c r="B77" s="667"/>
      <c r="C77" s="309">
        <v>11</v>
      </c>
      <c r="D77" s="227"/>
      <c r="E77" s="182"/>
      <c r="F77" s="569"/>
      <c r="G77" s="570"/>
      <c r="H77" s="709"/>
      <c r="I77" s="466"/>
      <c r="J77" s="466"/>
      <c r="K77" s="200"/>
      <c r="L77" s="641"/>
      <c r="M77" s="201" t="e">
        <f>RANK(K77, K$67:$K$81)</f>
        <v>#DIV/0!</v>
      </c>
      <c r="N77" s="659"/>
      <c r="O77" s="659"/>
      <c r="P77" s="569"/>
      <c r="Q77" s="570"/>
      <c r="R77" s="570"/>
      <c r="S77" s="339" t="e">
        <f t="shared" si="58"/>
        <v>#N/A</v>
      </c>
      <c r="T77" s="709"/>
      <c r="U77" s="569"/>
      <c r="V77" s="570"/>
      <c r="W77" s="570"/>
      <c r="X77" s="475" t="e">
        <f t="shared" si="43"/>
        <v>#N/A</v>
      </c>
      <c r="Y77" s="709"/>
      <c r="Z77" s="569"/>
      <c r="AA77" s="570"/>
      <c r="AB77" s="570"/>
      <c r="AC77" s="475" t="e">
        <f t="shared" si="45"/>
        <v>#N/A</v>
      </c>
      <c r="AD77" s="709"/>
      <c r="AE77" s="569"/>
      <c r="AF77" s="570"/>
      <c r="AG77" s="570"/>
      <c r="AH77" s="475" t="e">
        <f t="shared" si="47"/>
        <v>#N/A</v>
      </c>
      <c r="AI77" s="709"/>
      <c r="AJ77" s="569"/>
      <c r="AK77" s="570"/>
      <c r="AL77" s="570"/>
      <c r="AM77" s="475" t="e">
        <f t="shared" si="49"/>
        <v>#N/A</v>
      </c>
      <c r="AN77" s="709"/>
      <c r="AO77" s="569"/>
      <c r="AP77" s="570"/>
      <c r="AQ77" s="570"/>
      <c r="AR77" s="475" t="e">
        <f t="shared" si="51"/>
        <v>#N/A</v>
      </c>
      <c r="AS77" s="709"/>
      <c r="AT77" s="569"/>
      <c r="AU77" s="570"/>
      <c r="AV77" s="570"/>
      <c r="AW77" s="475" t="e">
        <f t="shared" si="53"/>
        <v>#N/A</v>
      </c>
      <c r="AX77" s="681"/>
    </row>
    <row r="78" spans="2:50">
      <c r="B78" s="667"/>
      <c r="C78" s="309">
        <v>12</v>
      </c>
      <c r="D78" s="227"/>
      <c r="E78" s="182"/>
      <c r="F78" s="569"/>
      <c r="G78" s="570"/>
      <c r="H78" s="709"/>
      <c r="I78" s="466"/>
      <c r="J78" s="466"/>
      <c r="K78" s="200"/>
      <c r="L78" s="641"/>
      <c r="M78" s="201" t="e">
        <f>RANK(K78, K$67:$K$81)</f>
        <v>#DIV/0!</v>
      </c>
      <c r="N78" s="659"/>
      <c r="O78" s="659"/>
      <c r="P78" s="569"/>
      <c r="Q78" s="570"/>
      <c r="R78" s="570"/>
      <c r="S78" s="339" t="e">
        <f t="shared" si="58"/>
        <v>#N/A</v>
      </c>
      <c r="T78" s="709"/>
      <c r="U78" s="569"/>
      <c r="V78" s="570"/>
      <c r="W78" s="570"/>
      <c r="X78" s="475" t="e">
        <f t="shared" si="43"/>
        <v>#N/A</v>
      </c>
      <c r="Y78" s="709"/>
      <c r="Z78" s="569"/>
      <c r="AA78" s="570"/>
      <c r="AB78" s="570"/>
      <c r="AC78" s="475" t="e">
        <f t="shared" si="45"/>
        <v>#N/A</v>
      </c>
      <c r="AD78" s="709"/>
      <c r="AE78" s="569"/>
      <c r="AF78" s="570"/>
      <c r="AG78" s="570"/>
      <c r="AH78" s="475" t="e">
        <f t="shared" si="47"/>
        <v>#N/A</v>
      </c>
      <c r="AI78" s="709"/>
      <c r="AJ78" s="569"/>
      <c r="AK78" s="570"/>
      <c r="AL78" s="570"/>
      <c r="AM78" s="475" t="e">
        <f t="shared" si="49"/>
        <v>#N/A</v>
      </c>
      <c r="AN78" s="709"/>
      <c r="AO78" s="569"/>
      <c r="AP78" s="570"/>
      <c r="AQ78" s="570"/>
      <c r="AR78" s="475" t="e">
        <f t="shared" si="51"/>
        <v>#N/A</v>
      </c>
      <c r="AS78" s="709"/>
      <c r="AT78" s="569"/>
      <c r="AU78" s="570"/>
      <c r="AV78" s="570"/>
      <c r="AW78" s="475" t="e">
        <f t="shared" si="53"/>
        <v>#N/A</v>
      </c>
      <c r="AX78" s="681"/>
    </row>
    <row r="79" spans="2:50">
      <c r="B79" s="667"/>
      <c r="C79" s="309">
        <v>13</v>
      </c>
      <c r="D79" s="227"/>
      <c r="E79" s="182"/>
      <c r="F79" s="569"/>
      <c r="G79" s="570"/>
      <c r="H79" s="709"/>
      <c r="I79" s="202"/>
      <c r="J79" s="202"/>
      <c r="K79" s="202"/>
      <c r="L79" s="641"/>
      <c r="M79" s="201" t="e">
        <f>RANK(K79, K$67:$K$81)</f>
        <v>#DIV/0!</v>
      </c>
      <c r="N79" s="659"/>
      <c r="O79" s="659"/>
      <c r="P79" s="569"/>
      <c r="Q79" s="570"/>
      <c r="R79" s="570"/>
      <c r="S79" s="339" t="e">
        <f t="shared" si="58"/>
        <v>#N/A</v>
      </c>
      <c r="T79" s="709"/>
      <c r="U79" s="569"/>
      <c r="V79" s="570"/>
      <c r="W79" s="570"/>
      <c r="X79" s="475" t="e">
        <f t="shared" si="43"/>
        <v>#N/A</v>
      </c>
      <c r="Y79" s="709"/>
      <c r="Z79" s="569"/>
      <c r="AA79" s="570"/>
      <c r="AB79" s="570"/>
      <c r="AC79" s="475" t="e">
        <f t="shared" si="45"/>
        <v>#N/A</v>
      </c>
      <c r="AD79" s="709"/>
      <c r="AE79" s="569"/>
      <c r="AF79" s="570"/>
      <c r="AG79" s="570"/>
      <c r="AH79" s="475" t="e">
        <f t="shared" si="47"/>
        <v>#N/A</v>
      </c>
      <c r="AI79" s="709"/>
      <c r="AJ79" s="569"/>
      <c r="AK79" s="570"/>
      <c r="AL79" s="570"/>
      <c r="AM79" s="475" t="e">
        <f t="shared" si="49"/>
        <v>#N/A</v>
      </c>
      <c r="AN79" s="709"/>
      <c r="AO79" s="569"/>
      <c r="AP79" s="570"/>
      <c r="AQ79" s="570"/>
      <c r="AR79" s="475" t="e">
        <f t="shared" si="51"/>
        <v>#N/A</v>
      </c>
      <c r="AS79" s="709"/>
      <c r="AT79" s="569"/>
      <c r="AU79" s="570"/>
      <c r="AV79" s="570"/>
      <c r="AW79" s="475" t="e">
        <f t="shared" si="53"/>
        <v>#N/A</v>
      </c>
      <c r="AX79" s="681"/>
    </row>
    <row r="80" spans="2:50">
      <c r="B80" s="667"/>
      <c r="C80" s="309">
        <v>14</v>
      </c>
      <c r="D80" s="227"/>
      <c r="E80" s="182"/>
      <c r="F80" s="569"/>
      <c r="G80" s="570"/>
      <c r="H80" s="709"/>
      <c r="I80" s="202"/>
      <c r="J80" s="202"/>
      <c r="K80" s="202"/>
      <c r="L80" s="641"/>
      <c r="M80" s="201" t="e">
        <f>RANK(K80, K$67:$K$81)</f>
        <v>#DIV/0!</v>
      </c>
      <c r="N80" s="659"/>
      <c r="O80" s="659"/>
      <c r="P80" s="569"/>
      <c r="Q80" s="570"/>
      <c r="R80" s="570"/>
      <c r="S80" s="339" t="e">
        <f t="shared" si="58"/>
        <v>#N/A</v>
      </c>
      <c r="T80" s="709"/>
      <c r="U80" s="569"/>
      <c r="V80" s="570"/>
      <c r="W80" s="570"/>
      <c r="X80" s="475" t="e">
        <f t="shared" si="43"/>
        <v>#N/A</v>
      </c>
      <c r="Y80" s="709"/>
      <c r="Z80" s="569"/>
      <c r="AA80" s="570"/>
      <c r="AB80" s="570"/>
      <c r="AC80" s="475" t="e">
        <f t="shared" si="45"/>
        <v>#N/A</v>
      </c>
      <c r="AD80" s="709"/>
      <c r="AE80" s="569"/>
      <c r="AF80" s="570"/>
      <c r="AG80" s="570"/>
      <c r="AH80" s="475" t="e">
        <f t="shared" si="47"/>
        <v>#N/A</v>
      </c>
      <c r="AI80" s="709"/>
      <c r="AJ80" s="569"/>
      <c r="AK80" s="570"/>
      <c r="AL80" s="570"/>
      <c r="AM80" s="475" t="e">
        <f t="shared" si="49"/>
        <v>#N/A</v>
      </c>
      <c r="AN80" s="709"/>
      <c r="AO80" s="569"/>
      <c r="AP80" s="570"/>
      <c r="AQ80" s="570"/>
      <c r="AR80" s="475" t="e">
        <f t="shared" si="51"/>
        <v>#N/A</v>
      </c>
      <c r="AS80" s="709"/>
      <c r="AT80" s="569"/>
      <c r="AU80" s="570"/>
      <c r="AV80" s="570"/>
      <c r="AW80" s="475" t="e">
        <f t="shared" si="53"/>
        <v>#N/A</v>
      </c>
      <c r="AX80" s="681"/>
    </row>
    <row r="81" spans="2:50">
      <c r="B81" s="667"/>
      <c r="C81" s="309">
        <v>15</v>
      </c>
      <c r="D81" s="227"/>
      <c r="E81" s="182"/>
      <c r="F81" s="569"/>
      <c r="G81" s="570"/>
      <c r="H81" s="710"/>
      <c r="I81" s="202"/>
      <c r="J81" s="202"/>
      <c r="K81" s="202"/>
      <c r="L81" s="642"/>
      <c r="M81" s="201" t="e">
        <f>RANK(K81, K$67:$K$81)</f>
        <v>#DIV/0!</v>
      </c>
      <c r="N81" s="659"/>
      <c r="O81" s="659"/>
      <c r="P81" s="569"/>
      <c r="Q81" s="570"/>
      <c r="R81" s="570"/>
      <c r="S81" s="339" t="e">
        <f t="shared" si="58"/>
        <v>#N/A</v>
      </c>
      <c r="T81" s="710"/>
      <c r="U81" s="569"/>
      <c r="V81" s="570"/>
      <c r="W81" s="570"/>
      <c r="X81" s="475" t="e">
        <f t="shared" si="43"/>
        <v>#N/A</v>
      </c>
      <c r="Y81" s="710"/>
      <c r="Z81" s="569"/>
      <c r="AA81" s="570"/>
      <c r="AB81" s="570"/>
      <c r="AC81" s="475" t="e">
        <f t="shared" si="45"/>
        <v>#N/A</v>
      </c>
      <c r="AD81" s="710"/>
      <c r="AE81" s="569"/>
      <c r="AF81" s="570"/>
      <c r="AG81" s="570"/>
      <c r="AH81" s="475" t="e">
        <f t="shared" si="47"/>
        <v>#N/A</v>
      </c>
      <c r="AI81" s="710"/>
      <c r="AJ81" s="569"/>
      <c r="AK81" s="570"/>
      <c r="AL81" s="570"/>
      <c r="AM81" s="475" t="e">
        <f t="shared" si="49"/>
        <v>#N/A</v>
      </c>
      <c r="AN81" s="710"/>
      <c r="AO81" s="569"/>
      <c r="AP81" s="570"/>
      <c r="AQ81" s="570"/>
      <c r="AR81" s="475" t="e">
        <f t="shared" si="51"/>
        <v>#N/A</v>
      </c>
      <c r="AS81" s="710"/>
      <c r="AT81" s="569"/>
      <c r="AU81" s="570"/>
      <c r="AV81" s="570"/>
      <c r="AW81" s="475" t="e">
        <f t="shared" si="53"/>
        <v>#N/A</v>
      </c>
      <c r="AX81" s="681"/>
    </row>
    <row r="82" spans="2:50" ht="15.75">
      <c r="B82" s="671" t="s">
        <v>163</v>
      </c>
      <c r="C82" s="672"/>
      <c r="D82" s="672"/>
      <c r="E82" s="672"/>
      <c r="F82" s="672"/>
      <c r="G82" s="672"/>
      <c r="H82" s="673"/>
      <c r="I82" s="208"/>
      <c r="J82" s="208"/>
      <c r="K82" s="208"/>
      <c r="L82" s="208"/>
      <c r="M82" s="207"/>
      <c r="N82" s="660" t="s">
        <v>156</v>
      </c>
      <c r="O82" s="660" t="s">
        <v>105</v>
      </c>
      <c r="P82" s="666">
        <f>P62+7</f>
        <v>46112</v>
      </c>
      <c r="Q82" s="667"/>
      <c r="R82" s="667"/>
      <c r="S82" s="667"/>
      <c r="T82" s="667"/>
      <c r="U82" s="663">
        <f>P82+1</f>
        <v>46113</v>
      </c>
      <c r="V82" s="664"/>
      <c r="W82" s="664"/>
      <c r="X82" s="664"/>
      <c r="Y82" s="665"/>
      <c r="Z82" s="663">
        <f>U82+1</f>
        <v>46114</v>
      </c>
      <c r="AA82" s="664"/>
      <c r="AB82" s="664"/>
      <c r="AC82" s="664"/>
      <c r="AD82" s="665"/>
      <c r="AE82" s="663">
        <f>Z82+1</f>
        <v>46115</v>
      </c>
      <c r="AF82" s="664"/>
      <c r="AG82" s="664"/>
      <c r="AH82" s="664"/>
      <c r="AI82" s="665"/>
      <c r="AJ82" s="663">
        <f>AE82+1</f>
        <v>46116</v>
      </c>
      <c r="AK82" s="664"/>
      <c r="AL82" s="664"/>
      <c r="AM82" s="664"/>
      <c r="AN82" s="665"/>
      <c r="AO82" s="663">
        <f>AJ82+1</f>
        <v>46117</v>
      </c>
      <c r="AP82" s="664"/>
      <c r="AQ82" s="664"/>
      <c r="AR82" s="664"/>
      <c r="AS82" s="665"/>
      <c r="AT82" s="663">
        <f>AO82+1</f>
        <v>46118</v>
      </c>
      <c r="AU82" s="664"/>
      <c r="AV82" s="664"/>
      <c r="AW82" s="664"/>
      <c r="AX82" s="665"/>
    </row>
    <row r="83" spans="2:50" ht="15.75">
      <c r="B83" s="674"/>
      <c r="C83" s="674"/>
      <c r="D83" s="674"/>
      <c r="E83" s="674"/>
      <c r="F83" s="674"/>
      <c r="G83" s="674"/>
      <c r="H83" s="674"/>
      <c r="I83" s="205"/>
      <c r="J83" s="205"/>
      <c r="K83" s="205"/>
      <c r="L83" s="205"/>
      <c r="M83" s="206"/>
      <c r="N83" s="662"/>
      <c r="O83" s="662"/>
      <c r="P83" s="666" t="s">
        <v>336</v>
      </c>
      <c r="Q83" s="667"/>
      <c r="R83" s="667"/>
      <c r="S83" s="667"/>
      <c r="T83" s="667"/>
      <c r="U83" s="666" t="s">
        <v>337</v>
      </c>
      <c r="V83" s="667"/>
      <c r="W83" s="667"/>
      <c r="X83" s="667"/>
      <c r="Y83" s="667"/>
      <c r="Z83" s="666" t="s">
        <v>338</v>
      </c>
      <c r="AA83" s="667"/>
      <c r="AB83" s="667"/>
      <c r="AC83" s="667"/>
      <c r="AD83" s="667"/>
      <c r="AE83" s="666" t="s">
        <v>339</v>
      </c>
      <c r="AF83" s="667"/>
      <c r="AG83" s="667"/>
      <c r="AH83" s="667"/>
      <c r="AI83" s="667"/>
      <c r="AJ83" s="666" t="s">
        <v>340</v>
      </c>
      <c r="AK83" s="667"/>
      <c r="AL83" s="667"/>
      <c r="AM83" s="667"/>
      <c r="AN83" s="667"/>
      <c r="AO83" s="666" t="s">
        <v>341</v>
      </c>
      <c r="AP83" s="667"/>
      <c r="AQ83" s="667"/>
      <c r="AR83" s="667"/>
      <c r="AS83" s="667"/>
      <c r="AT83" s="666" t="s">
        <v>342</v>
      </c>
      <c r="AU83" s="667"/>
      <c r="AV83" s="667"/>
      <c r="AW83" s="667"/>
      <c r="AX83" s="667"/>
    </row>
    <row r="84" spans="2:50">
      <c r="B84" s="659" t="s">
        <v>460</v>
      </c>
      <c r="C84" s="659" t="s">
        <v>461</v>
      </c>
      <c r="D84" s="659"/>
      <c r="E84" s="659" t="s">
        <v>462</v>
      </c>
      <c r="F84" s="659"/>
      <c r="G84" s="659"/>
      <c r="H84" s="675" t="s">
        <v>463</v>
      </c>
      <c r="I84" s="643" t="s">
        <v>464</v>
      </c>
      <c r="J84" s="643"/>
      <c r="K84" s="643"/>
      <c r="L84" s="644" t="s">
        <v>463</v>
      </c>
      <c r="M84" s="650" t="s">
        <v>465</v>
      </c>
      <c r="N84" s="659"/>
      <c r="O84" s="659" t="s">
        <v>466</v>
      </c>
      <c r="P84" s="656" t="s">
        <v>467</v>
      </c>
      <c r="Q84" s="657"/>
      <c r="R84" s="657"/>
      <c r="S84" s="658"/>
      <c r="T84" s="659" t="s">
        <v>463</v>
      </c>
      <c r="U84" s="656" t="s">
        <v>467</v>
      </c>
      <c r="V84" s="657"/>
      <c r="W84" s="657"/>
      <c r="X84" s="658"/>
      <c r="Y84" s="659" t="s">
        <v>463</v>
      </c>
      <c r="Z84" s="656" t="s">
        <v>467</v>
      </c>
      <c r="AA84" s="657"/>
      <c r="AB84" s="657"/>
      <c r="AC84" s="658"/>
      <c r="AD84" s="659" t="s">
        <v>463</v>
      </c>
      <c r="AE84" s="656" t="s">
        <v>467</v>
      </c>
      <c r="AF84" s="657"/>
      <c r="AG84" s="657"/>
      <c r="AH84" s="658"/>
      <c r="AI84" s="659" t="s">
        <v>463</v>
      </c>
      <c r="AJ84" s="656" t="s">
        <v>467</v>
      </c>
      <c r="AK84" s="657"/>
      <c r="AL84" s="657"/>
      <c r="AM84" s="658"/>
      <c r="AN84" s="659" t="s">
        <v>463</v>
      </c>
      <c r="AO84" s="656" t="s">
        <v>467</v>
      </c>
      <c r="AP84" s="657"/>
      <c r="AQ84" s="657"/>
      <c r="AR84" s="658"/>
      <c r="AS84" s="659" t="s">
        <v>463</v>
      </c>
      <c r="AT84" s="656" t="s">
        <v>467</v>
      </c>
      <c r="AU84" s="657"/>
      <c r="AV84" s="657"/>
      <c r="AW84" s="658"/>
      <c r="AX84" s="659" t="s">
        <v>463</v>
      </c>
    </row>
    <row r="85" spans="2:50">
      <c r="B85" s="659"/>
      <c r="C85" s="659"/>
      <c r="D85" s="659"/>
      <c r="E85" s="659" t="s">
        <v>468</v>
      </c>
      <c r="F85" s="659"/>
      <c r="G85" s="659"/>
      <c r="H85" s="676"/>
      <c r="I85" s="643" t="s">
        <v>468</v>
      </c>
      <c r="J85" s="643"/>
      <c r="K85" s="643"/>
      <c r="L85" s="645"/>
      <c r="M85" s="651"/>
      <c r="N85" s="659"/>
      <c r="O85" s="659"/>
      <c r="P85" s="656" t="s">
        <v>469</v>
      </c>
      <c r="Q85" s="657"/>
      <c r="R85" s="657"/>
      <c r="S85" s="658"/>
      <c r="T85" s="659"/>
      <c r="U85" s="656" t="s">
        <v>469</v>
      </c>
      <c r="V85" s="657"/>
      <c r="W85" s="657"/>
      <c r="X85" s="658"/>
      <c r="Y85" s="659"/>
      <c r="Z85" s="656" t="s">
        <v>469</v>
      </c>
      <c r="AA85" s="657"/>
      <c r="AB85" s="657"/>
      <c r="AC85" s="658"/>
      <c r="AD85" s="659"/>
      <c r="AE85" s="656" t="s">
        <v>469</v>
      </c>
      <c r="AF85" s="657"/>
      <c r="AG85" s="657"/>
      <c r="AH85" s="658"/>
      <c r="AI85" s="659"/>
      <c r="AJ85" s="656" t="s">
        <v>469</v>
      </c>
      <c r="AK85" s="657"/>
      <c r="AL85" s="657"/>
      <c r="AM85" s="658"/>
      <c r="AN85" s="659"/>
      <c r="AO85" s="656" t="s">
        <v>469</v>
      </c>
      <c r="AP85" s="657"/>
      <c r="AQ85" s="657"/>
      <c r="AR85" s="658"/>
      <c r="AS85" s="659"/>
      <c r="AT85" s="656" t="s">
        <v>469</v>
      </c>
      <c r="AU85" s="657"/>
      <c r="AV85" s="657"/>
      <c r="AW85" s="658"/>
      <c r="AX85" s="659"/>
    </row>
    <row r="86" spans="2:50">
      <c r="B86" s="659"/>
      <c r="C86" s="659"/>
      <c r="D86" s="659"/>
      <c r="E86" s="302" t="s">
        <v>470</v>
      </c>
      <c r="F86" s="302" t="s">
        <v>471</v>
      </c>
      <c r="G86" s="302" t="s">
        <v>472</v>
      </c>
      <c r="H86" s="677"/>
      <c r="I86" s="303" t="s">
        <v>470</v>
      </c>
      <c r="J86" s="303" t="s">
        <v>471</v>
      </c>
      <c r="K86" s="303" t="s">
        <v>472</v>
      </c>
      <c r="L86" s="646"/>
      <c r="M86" s="652"/>
      <c r="N86" s="659"/>
      <c r="O86" s="659"/>
      <c r="P86" s="302" t="s">
        <v>470</v>
      </c>
      <c r="Q86" s="302" t="s">
        <v>471</v>
      </c>
      <c r="R86" s="302" t="s">
        <v>472</v>
      </c>
      <c r="S86" s="302" t="s">
        <v>465</v>
      </c>
      <c r="T86" s="659"/>
      <c r="U86" s="302" t="s">
        <v>470</v>
      </c>
      <c r="V86" s="302" t="s">
        <v>471</v>
      </c>
      <c r="W86" s="302" t="s">
        <v>472</v>
      </c>
      <c r="X86" s="302" t="s">
        <v>465</v>
      </c>
      <c r="Y86" s="659"/>
      <c r="Z86" s="302" t="s">
        <v>470</v>
      </c>
      <c r="AA86" s="302" t="s">
        <v>471</v>
      </c>
      <c r="AB86" s="302" t="s">
        <v>472</v>
      </c>
      <c r="AC86" s="302" t="s">
        <v>465</v>
      </c>
      <c r="AD86" s="659"/>
      <c r="AE86" s="302" t="s">
        <v>470</v>
      </c>
      <c r="AF86" s="302" t="s">
        <v>471</v>
      </c>
      <c r="AG86" s="302" t="s">
        <v>472</v>
      </c>
      <c r="AH86" s="302" t="s">
        <v>465</v>
      </c>
      <c r="AI86" s="659"/>
      <c r="AJ86" s="302" t="s">
        <v>470</v>
      </c>
      <c r="AK86" s="302" t="s">
        <v>471</v>
      </c>
      <c r="AL86" s="302" t="s">
        <v>472</v>
      </c>
      <c r="AM86" s="302" t="s">
        <v>465</v>
      </c>
      <c r="AN86" s="659"/>
      <c r="AO86" s="302" t="s">
        <v>470</v>
      </c>
      <c r="AP86" s="302" t="s">
        <v>471</v>
      </c>
      <c r="AQ86" s="302" t="s">
        <v>472</v>
      </c>
      <c r="AR86" s="302" t="s">
        <v>465</v>
      </c>
      <c r="AS86" s="659"/>
      <c r="AT86" s="302" t="s">
        <v>470</v>
      </c>
      <c r="AU86" s="302" t="s">
        <v>471</v>
      </c>
      <c r="AV86" s="302" t="s">
        <v>472</v>
      </c>
      <c r="AW86" s="302" t="s">
        <v>465</v>
      </c>
      <c r="AX86" s="659"/>
    </row>
    <row r="87" spans="2:50">
      <c r="B87" s="659" t="s">
        <v>476</v>
      </c>
      <c r="C87" s="301">
        <v>1</v>
      </c>
      <c r="D87" s="227"/>
      <c r="E87" s="182"/>
      <c r="F87" s="545"/>
      <c r="G87" s="546"/>
      <c r="H87" s="708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0" t="str">
        <f>IFERROR(AVERAGE(K87:K101),"-")</f>
        <v>-</v>
      </c>
      <c r="M87" s="201" t="e">
        <f>RANK(K87, K$87:$K$101)</f>
        <v>#DIV/0!</v>
      </c>
      <c r="N87" s="659"/>
      <c r="O87" s="659"/>
      <c r="P87" s="182"/>
      <c r="Q87" s="570"/>
      <c r="R87" s="570"/>
      <c r="S87" s="301" t="e">
        <f>RANK(R87, R$87:R$101)</f>
        <v>#N/A</v>
      </c>
      <c r="T87" s="708" t="e">
        <f>AVERAGE(R87:R101)</f>
        <v>#DIV/0!</v>
      </c>
      <c r="U87" s="182"/>
      <c r="V87" s="570"/>
      <c r="W87" s="570"/>
      <c r="X87" s="475" t="e">
        <f t="shared" ref="X87:X101" si="62">RANK(W87, W$87:W$101)</f>
        <v>#N/A</v>
      </c>
      <c r="Y87" s="708" t="e">
        <f t="shared" ref="Y87" si="63">AVERAGE(W87:W101)</f>
        <v>#DIV/0!</v>
      </c>
      <c r="Z87" s="182"/>
      <c r="AA87" s="570"/>
      <c r="AB87" s="570"/>
      <c r="AC87" s="475" t="e">
        <f t="shared" ref="AC87:AC101" si="64">RANK(AB87, AB$87:AB$101)</f>
        <v>#N/A</v>
      </c>
      <c r="AD87" s="708" t="e">
        <f t="shared" ref="AD87" si="65">AVERAGE(AB87:AB101)</f>
        <v>#DIV/0!</v>
      </c>
      <c r="AE87" s="182"/>
      <c r="AF87" s="570"/>
      <c r="AG87" s="570"/>
      <c r="AH87" s="475" t="e">
        <f t="shared" ref="AH87:AH101" si="66">RANK(AG87, AG$87:AG$101)</f>
        <v>#N/A</v>
      </c>
      <c r="AI87" s="708" t="e">
        <f t="shared" ref="AI87" si="67">AVERAGE(AG87:AG101)</f>
        <v>#DIV/0!</v>
      </c>
      <c r="AJ87" s="182"/>
      <c r="AK87" s="570"/>
      <c r="AL87" s="570"/>
      <c r="AM87" s="475" t="e">
        <f t="shared" ref="AM87:AM101" si="68">RANK(AL87, AL$87:AL$101)</f>
        <v>#N/A</v>
      </c>
      <c r="AN87" s="708" t="e">
        <f t="shared" ref="AN87" si="69">AVERAGE(AL87:AL101)</f>
        <v>#DIV/0!</v>
      </c>
      <c r="AO87" s="182"/>
      <c r="AP87" s="570"/>
      <c r="AQ87" s="570"/>
      <c r="AR87" s="475" t="e">
        <f t="shared" ref="AR87:AR101" si="70">RANK(AQ87, AQ$87:AQ$101)</f>
        <v>#N/A</v>
      </c>
      <c r="AS87" s="708" t="e">
        <f t="shared" ref="AS87" si="71">AVERAGE(AQ87:AQ101)</f>
        <v>#DIV/0!</v>
      </c>
      <c r="AT87" s="182"/>
      <c r="AU87" s="570"/>
      <c r="AV87" s="570"/>
      <c r="AW87" s="475" t="e">
        <f t="shared" ref="AW87:AW101" si="72">RANK(AV87, AV$87:AV$101)</f>
        <v>#N/A</v>
      </c>
      <c r="AX87" s="681" t="e">
        <f t="shared" ref="AX87" si="73">AVERAGE(AV87:AV101)</f>
        <v>#DIV/0!</v>
      </c>
    </row>
    <row r="88" spans="2:50">
      <c r="B88" s="667"/>
      <c r="C88" s="301">
        <v>2</v>
      </c>
      <c r="D88" s="227"/>
      <c r="E88" s="182"/>
      <c r="F88" s="545"/>
      <c r="G88" s="546"/>
      <c r="H88" s="709"/>
      <c r="I88" s="199" t="e">
        <f t="shared" ref="I88:K94" si="74">AVERAGE(P88,U88,Z88,AE88,AJ88,AO88,AT88)</f>
        <v>#DIV/0!</v>
      </c>
      <c r="J88" s="199" t="e">
        <f t="shared" si="74"/>
        <v>#DIV/0!</v>
      </c>
      <c r="K88" s="200" t="e">
        <f t="shared" si="74"/>
        <v>#DIV/0!</v>
      </c>
      <c r="L88" s="641"/>
      <c r="M88" s="201" t="e">
        <f>RANK(K88, K$87:$K$101)</f>
        <v>#DIV/0!</v>
      </c>
      <c r="N88" s="659"/>
      <c r="O88" s="659"/>
      <c r="P88" s="569"/>
      <c r="Q88" s="570"/>
      <c r="R88" s="570"/>
      <c r="S88" s="301" t="e">
        <f t="shared" ref="S88:S101" si="75">RANK(R88, R$87:R$101)</f>
        <v>#N/A</v>
      </c>
      <c r="T88" s="709"/>
      <c r="U88" s="569"/>
      <c r="V88" s="570"/>
      <c r="W88" s="570"/>
      <c r="X88" s="475" t="e">
        <f t="shared" si="62"/>
        <v>#N/A</v>
      </c>
      <c r="Y88" s="709"/>
      <c r="Z88" s="569"/>
      <c r="AA88" s="570"/>
      <c r="AB88" s="570"/>
      <c r="AC88" s="475" t="e">
        <f t="shared" si="64"/>
        <v>#N/A</v>
      </c>
      <c r="AD88" s="709"/>
      <c r="AE88" s="569"/>
      <c r="AF88" s="570"/>
      <c r="AG88" s="570"/>
      <c r="AH88" s="475" t="e">
        <f t="shared" si="66"/>
        <v>#N/A</v>
      </c>
      <c r="AI88" s="709"/>
      <c r="AJ88" s="569"/>
      <c r="AK88" s="570"/>
      <c r="AL88" s="570"/>
      <c r="AM88" s="475" t="e">
        <f t="shared" si="68"/>
        <v>#N/A</v>
      </c>
      <c r="AN88" s="709"/>
      <c r="AO88" s="569"/>
      <c r="AP88" s="570"/>
      <c r="AQ88" s="570"/>
      <c r="AR88" s="475" t="e">
        <f t="shared" si="70"/>
        <v>#N/A</v>
      </c>
      <c r="AS88" s="709"/>
      <c r="AT88" s="569"/>
      <c r="AU88" s="570"/>
      <c r="AV88" s="570"/>
      <c r="AW88" s="475" t="e">
        <f t="shared" si="72"/>
        <v>#N/A</v>
      </c>
      <c r="AX88" s="681"/>
    </row>
    <row r="89" spans="2:50">
      <c r="B89" s="667"/>
      <c r="C89" s="301">
        <v>3</v>
      </c>
      <c r="D89" s="227"/>
      <c r="E89" s="182"/>
      <c r="F89" s="545"/>
      <c r="G89" s="546"/>
      <c r="H89" s="709"/>
      <c r="I89" s="199" t="e">
        <f t="shared" si="74"/>
        <v>#DIV/0!</v>
      </c>
      <c r="J89" s="199" t="e">
        <f t="shared" si="74"/>
        <v>#DIV/0!</v>
      </c>
      <c r="K89" s="200" t="e">
        <f t="shared" si="74"/>
        <v>#DIV/0!</v>
      </c>
      <c r="L89" s="641"/>
      <c r="M89" s="201" t="e">
        <f>RANK(K89, K$87:$K$101)</f>
        <v>#DIV/0!</v>
      </c>
      <c r="N89" s="659"/>
      <c r="O89" s="659"/>
      <c r="P89" s="569"/>
      <c r="Q89" s="570"/>
      <c r="R89" s="570"/>
      <c r="S89" s="301" t="e">
        <f t="shared" si="75"/>
        <v>#N/A</v>
      </c>
      <c r="T89" s="709"/>
      <c r="U89" s="569"/>
      <c r="V89" s="570"/>
      <c r="W89" s="570"/>
      <c r="X89" s="475" t="e">
        <f t="shared" si="62"/>
        <v>#N/A</v>
      </c>
      <c r="Y89" s="709"/>
      <c r="Z89" s="569"/>
      <c r="AA89" s="570"/>
      <c r="AB89" s="570"/>
      <c r="AC89" s="475" t="e">
        <f t="shared" si="64"/>
        <v>#N/A</v>
      </c>
      <c r="AD89" s="709"/>
      <c r="AE89" s="569"/>
      <c r="AF89" s="570"/>
      <c r="AG89" s="570"/>
      <c r="AH89" s="475" t="e">
        <f t="shared" si="66"/>
        <v>#N/A</v>
      </c>
      <c r="AI89" s="709"/>
      <c r="AJ89" s="569"/>
      <c r="AK89" s="570"/>
      <c r="AL89" s="570"/>
      <c r="AM89" s="475" t="e">
        <f t="shared" si="68"/>
        <v>#N/A</v>
      </c>
      <c r="AN89" s="709"/>
      <c r="AO89" s="569"/>
      <c r="AP89" s="570"/>
      <c r="AQ89" s="570"/>
      <c r="AR89" s="475" t="e">
        <f t="shared" si="70"/>
        <v>#N/A</v>
      </c>
      <c r="AS89" s="709"/>
      <c r="AT89" s="569"/>
      <c r="AU89" s="570"/>
      <c r="AV89" s="570"/>
      <c r="AW89" s="475" t="e">
        <f t="shared" si="72"/>
        <v>#N/A</v>
      </c>
      <c r="AX89" s="681"/>
    </row>
    <row r="90" spans="2:50">
      <c r="B90" s="667"/>
      <c r="C90" s="301">
        <v>4</v>
      </c>
      <c r="D90" s="227"/>
      <c r="E90" s="182"/>
      <c r="F90" s="545"/>
      <c r="G90" s="546"/>
      <c r="H90" s="709"/>
      <c r="I90" s="199" t="e">
        <f t="shared" si="74"/>
        <v>#DIV/0!</v>
      </c>
      <c r="J90" s="199" t="e">
        <f t="shared" si="74"/>
        <v>#DIV/0!</v>
      </c>
      <c r="K90" s="200" t="e">
        <f t="shared" si="74"/>
        <v>#DIV/0!</v>
      </c>
      <c r="L90" s="641"/>
      <c r="M90" s="201" t="e">
        <f>RANK(K90, K$87:$K$101)</f>
        <v>#DIV/0!</v>
      </c>
      <c r="N90" s="659"/>
      <c r="O90" s="659"/>
      <c r="P90" s="569"/>
      <c r="Q90" s="570"/>
      <c r="R90" s="570"/>
      <c r="S90" s="301" t="e">
        <f t="shared" si="75"/>
        <v>#N/A</v>
      </c>
      <c r="T90" s="709"/>
      <c r="U90" s="569"/>
      <c r="V90" s="570"/>
      <c r="W90" s="570"/>
      <c r="X90" s="475" t="e">
        <f t="shared" si="62"/>
        <v>#N/A</v>
      </c>
      <c r="Y90" s="709"/>
      <c r="Z90" s="569"/>
      <c r="AA90" s="570"/>
      <c r="AB90" s="570"/>
      <c r="AC90" s="475" t="e">
        <f t="shared" si="64"/>
        <v>#N/A</v>
      </c>
      <c r="AD90" s="709"/>
      <c r="AE90" s="569"/>
      <c r="AF90" s="570"/>
      <c r="AG90" s="570"/>
      <c r="AH90" s="475" t="e">
        <f t="shared" si="66"/>
        <v>#N/A</v>
      </c>
      <c r="AI90" s="709"/>
      <c r="AJ90" s="569"/>
      <c r="AK90" s="570"/>
      <c r="AL90" s="570"/>
      <c r="AM90" s="475" t="e">
        <f t="shared" si="68"/>
        <v>#N/A</v>
      </c>
      <c r="AN90" s="709"/>
      <c r="AO90" s="569"/>
      <c r="AP90" s="570"/>
      <c r="AQ90" s="570"/>
      <c r="AR90" s="475" t="e">
        <f t="shared" si="70"/>
        <v>#N/A</v>
      </c>
      <c r="AS90" s="709"/>
      <c r="AT90" s="569"/>
      <c r="AU90" s="570"/>
      <c r="AV90" s="570"/>
      <c r="AW90" s="475" t="e">
        <f t="shared" si="72"/>
        <v>#N/A</v>
      </c>
      <c r="AX90" s="681"/>
    </row>
    <row r="91" spans="2:50">
      <c r="B91" s="667"/>
      <c r="C91" s="301">
        <v>5</v>
      </c>
      <c r="D91" s="227"/>
      <c r="E91" s="182"/>
      <c r="F91" s="545"/>
      <c r="G91" s="546"/>
      <c r="H91" s="709"/>
      <c r="I91" s="199" t="e">
        <f t="shared" si="74"/>
        <v>#DIV/0!</v>
      </c>
      <c r="J91" s="199" t="e">
        <f t="shared" si="74"/>
        <v>#DIV/0!</v>
      </c>
      <c r="K91" s="200" t="e">
        <f t="shared" si="74"/>
        <v>#DIV/0!</v>
      </c>
      <c r="L91" s="641"/>
      <c r="M91" s="201" t="e">
        <f>RANK(K91, K$87:$K$101)</f>
        <v>#DIV/0!</v>
      </c>
      <c r="N91" s="659"/>
      <c r="O91" s="659"/>
      <c r="P91" s="569"/>
      <c r="Q91" s="570"/>
      <c r="R91" s="570"/>
      <c r="S91" s="301" t="e">
        <f t="shared" si="75"/>
        <v>#N/A</v>
      </c>
      <c r="T91" s="709"/>
      <c r="U91" s="569"/>
      <c r="V91" s="570"/>
      <c r="W91" s="570"/>
      <c r="X91" s="475" t="e">
        <f t="shared" si="62"/>
        <v>#N/A</v>
      </c>
      <c r="Y91" s="709"/>
      <c r="Z91" s="569"/>
      <c r="AA91" s="570"/>
      <c r="AB91" s="570"/>
      <c r="AC91" s="475" t="e">
        <f t="shared" si="64"/>
        <v>#N/A</v>
      </c>
      <c r="AD91" s="709"/>
      <c r="AE91" s="569"/>
      <c r="AF91" s="570"/>
      <c r="AG91" s="570"/>
      <c r="AH91" s="475" t="e">
        <f t="shared" si="66"/>
        <v>#N/A</v>
      </c>
      <c r="AI91" s="709"/>
      <c r="AJ91" s="569"/>
      <c r="AK91" s="570"/>
      <c r="AL91" s="570"/>
      <c r="AM91" s="475" t="e">
        <f t="shared" si="68"/>
        <v>#N/A</v>
      </c>
      <c r="AN91" s="709"/>
      <c r="AO91" s="569"/>
      <c r="AP91" s="570"/>
      <c r="AQ91" s="570"/>
      <c r="AR91" s="475" t="e">
        <f t="shared" si="70"/>
        <v>#N/A</v>
      </c>
      <c r="AS91" s="709"/>
      <c r="AT91" s="569"/>
      <c r="AU91" s="570"/>
      <c r="AV91" s="570"/>
      <c r="AW91" s="475" t="e">
        <f t="shared" si="72"/>
        <v>#N/A</v>
      </c>
      <c r="AX91" s="681"/>
    </row>
    <row r="92" spans="2:50">
      <c r="B92" s="667"/>
      <c r="C92" s="301">
        <v>6</v>
      </c>
      <c r="D92" s="227"/>
      <c r="E92" s="182"/>
      <c r="F92" s="545"/>
      <c r="G92" s="546"/>
      <c r="H92" s="709"/>
      <c r="I92" s="199" t="e">
        <f t="shared" si="74"/>
        <v>#DIV/0!</v>
      </c>
      <c r="J92" s="199" t="e">
        <f t="shared" si="74"/>
        <v>#DIV/0!</v>
      </c>
      <c r="K92" s="200" t="e">
        <f t="shared" si="74"/>
        <v>#DIV/0!</v>
      </c>
      <c r="L92" s="641"/>
      <c r="M92" s="201" t="e">
        <f>RANK(K92, K$87:$K$101)</f>
        <v>#DIV/0!</v>
      </c>
      <c r="N92" s="659"/>
      <c r="O92" s="659"/>
      <c r="P92" s="569"/>
      <c r="Q92" s="570"/>
      <c r="R92" s="570"/>
      <c r="S92" s="301" t="e">
        <f t="shared" si="75"/>
        <v>#N/A</v>
      </c>
      <c r="T92" s="709"/>
      <c r="U92" s="569"/>
      <c r="V92" s="570"/>
      <c r="W92" s="570"/>
      <c r="X92" s="475" t="e">
        <f t="shared" si="62"/>
        <v>#N/A</v>
      </c>
      <c r="Y92" s="709"/>
      <c r="Z92" s="569"/>
      <c r="AA92" s="570"/>
      <c r="AB92" s="570"/>
      <c r="AC92" s="475" t="e">
        <f t="shared" si="64"/>
        <v>#N/A</v>
      </c>
      <c r="AD92" s="709"/>
      <c r="AE92" s="569"/>
      <c r="AF92" s="570"/>
      <c r="AG92" s="570"/>
      <c r="AH92" s="475" t="e">
        <f t="shared" si="66"/>
        <v>#N/A</v>
      </c>
      <c r="AI92" s="709"/>
      <c r="AJ92" s="569"/>
      <c r="AK92" s="570"/>
      <c r="AL92" s="570"/>
      <c r="AM92" s="475" t="e">
        <f t="shared" si="68"/>
        <v>#N/A</v>
      </c>
      <c r="AN92" s="709"/>
      <c r="AO92" s="569"/>
      <c r="AP92" s="570"/>
      <c r="AQ92" s="570"/>
      <c r="AR92" s="475" t="e">
        <f t="shared" si="70"/>
        <v>#N/A</v>
      </c>
      <c r="AS92" s="709"/>
      <c r="AT92" s="569"/>
      <c r="AU92" s="570"/>
      <c r="AV92" s="570"/>
      <c r="AW92" s="475" t="e">
        <f t="shared" si="72"/>
        <v>#N/A</v>
      </c>
      <c r="AX92" s="681"/>
    </row>
    <row r="93" spans="2:50">
      <c r="B93" s="667"/>
      <c r="C93" s="301">
        <v>7</v>
      </c>
      <c r="D93" s="227"/>
      <c r="E93" s="182"/>
      <c r="F93" s="545"/>
      <c r="G93" s="546"/>
      <c r="H93" s="709"/>
      <c r="I93" s="199" t="e">
        <f t="shared" si="74"/>
        <v>#DIV/0!</v>
      </c>
      <c r="J93" s="199" t="e">
        <f t="shared" si="74"/>
        <v>#DIV/0!</v>
      </c>
      <c r="K93" s="200" t="e">
        <f t="shared" si="74"/>
        <v>#DIV/0!</v>
      </c>
      <c r="L93" s="641"/>
      <c r="M93" s="201" t="e">
        <f>RANK(K93, K$87:$K$101)</f>
        <v>#DIV/0!</v>
      </c>
      <c r="N93" s="659"/>
      <c r="O93" s="659"/>
      <c r="P93" s="569"/>
      <c r="Q93" s="570"/>
      <c r="R93" s="570"/>
      <c r="S93" s="301" t="e">
        <f t="shared" si="75"/>
        <v>#N/A</v>
      </c>
      <c r="T93" s="709"/>
      <c r="U93" s="569"/>
      <c r="V93" s="570"/>
      <c r="W93" s="570"/>
      <c r="X93" s="475" t="e">
        <f t="shared" si="62"/>
        <v>#N/A</v>
      </c>
      <c r="Y93" s="709"/>
      <c r="Z93" s="569"/>
      <c r="AA93" s="570"/>
      <c r="AB93" s="570"/>
      <c r="AC93" s="475" t="e">
        <f t="shared" si="64"/>
        <v>#N/A</v>
      </c>
      <c r="AD93" s="709"/>
      <c r="AE93" s="569"/>
      <c r="AF93" s="570"/>
      <c r="AG93" s="570"/>
      <c r="AH93" s="475" t="e">
        <f t="shared" si="66"/>
        <v>#N/A</v>
      </c>
      <c r="AI93" s="709"/>
      <c r="AJ93" s="569"/>
      <c r="AK93" s="570"/>
      <c r="AL93" s="570"/>
      <c r="AM93" s="475" t="e">
        <f t="shared" si="68"/>
        <v>#N/A</v>
      </c>
      <c r="AN93" s="709"/>
      <c r="AO93" s="569"/>
      <c r="AP93" s="570"/>
      <c r="AQ93" s="570"/>
      <c r="AR93" s="475" t="e">
        <f t="shared" si="70"/>
        <v>#N/A</v>
      </c>
      <c r="AS93" s="709"/>
      <c r="AT93" s="569"/>
      <c r="AU93" s="570"/>
      <c r="AV93" s="570"/>
      <c r="AW93" s="475" t="e">
        <f t="shared" si="72"/>
        <v>#N/A</v>
      </c>
      <c r="AX93" s="681"/>
    </row>
    <row r="94" spans="2:50">
      <c r="B94" s="667"/>
      <c r="C94" s="301">
        <v>8</v>
      </c>
      <c r="D94" s="227"/>
      <c r="E94" s="182"/>
      <c r="F94" s="545"/>
      <c r="G94" s="546"/>
      <c r="H94" s="709"/>
      <c r="I94" s="199" t="e">
        <f t="shared" si="74"/>
        <v>#DIV/0!</v>
      </c>
      <c r="J94" s="199" t="e">
        <f t="shared" si="74"/>
        <v>#DIV/0!</v>
      </c>
      <c r="K94" s="200" t="e">
        <f t="shared" si="74"/>
        <v>#DIV/0!</v>
      </c>
      <c r="L94" s="641"/>
      <c r="M94" s="201" t="e">
        <f>RANK(K94, K$87:$K$101)</f>
        <v>#DIV/0!</v>
      </c>
      <c r="N94" s="659"/>
      <c r="O94" s="659"/>
      <c r="P94" s="569"/>
      <c r="Q94" s="570"/>
      <c r="R94" s="570"/>
      <c r="S94" s="301" t="e">
        <f t="shared" si="75"/>
        <v>#N/A</v>
      </c>
      <c r="T94" s="709"/>
      <c r="U94" s="569"/>
      <c r="V94" s="570"/>
      <c r="W94" s="570"/>
      <c r="X94" s="475" t="e">
        <f t="shared" si="62"/>
        <v>#N/A</v>
      </c>
      <c r="Y94" s="709"/>
      <c r="Z94" s="569"/>
      <c r="AA94" s="570"/>
      <c r="AB94" s="570"/>
      <c r="AC94" s="475" t="e">
        <f t="shared" si="64"/>
        <v>#N/A</v>
      </c>
      <c r="AD94" s="709"/>
      <c r="AE94" s="569"/>
      <c r="AF94" s="570"/>
      <c r="AG94" s="570"/>
      <c r="AH94" s="475" t="e">
        <f t="shared" si="66"/>
        <v>#N/A</v>
      </c>
      <c r="AI94" s="709"/>
      <c r="AJ94" s="569"/>
      <c r="AK94" s="570"/>
      <c r="AL94" s="570"/>
      <c r="AM94" s="475" t="e">
        <f t="shared" si="68"/>
        <v>#N/A</v>
      </c>
      <c r="AN94" s="709"/>
      <c r="AO94" s="569"/>
      <c r="AP94" s="570"/>
      <c r="AQ94" s="570"/>
      <c r="AR94" s="475" t="e">
        <f t="shared" si="70"/>
        <v>#N/A</v>
      </c>
      <c r="AS94" s="709"/>
      <c r="AT94" s="569"/>
      <c r="AU94" s="570"/>
      <c r="AV94" s="570"/>
      <c r="AW94" s="475" t="e">
        <f t="shared" si="72"/>
        <v>#N/A</v>
      </c>
      <c r="AX94" s="681"/>
    </row>
    <row r="95" spans="2:50">
      <c r="B95" s="667"/>
      <c r="C95" s="301">
        <v>9</v>
      </c>
      <c r="D95" s="227"/>
      <c r="E95" s="182"/>
      <c r="F95" s="545"/>
      <c r="G95" s="546"/>
      <c r="H95" s="709"/>
      <c r="I95" s="446" t="e">
        <f t="shared" ref="I95:I96" si="76">AVERAGE(P95,U95,Z95,AE95,AJ95,AO95,AT95)</f>
        <v>#DIV/0!</v>
      </c>
      <c r="J95" s="446" t="e">
        <f t="shared" ref="J95:J96" si="77">AVERAGE(Q95,V95,AA95,AF95,AK95,AP95,AU95)</f>
        <v>#DIV/0!</v>
      </c>
      <c r="K95" s="200" t="e">
        <f t="shared" ref="K95:K96" si="78">AVERAGE(R95,W95,AB95,AG95,AL95,AQ95,AV95)</f>
        <v>#DIV/0!</v>
      </c>
      <c r="L95" s="641"/>
      <c r="M95" s="201" t="e">
        <f>RANK(K95, K$87:$K$101)</f>
        <v>#DIV/0!</v>
      </c>
      <c r="N95" s="659"/>
      <c r="O95" s="659"/>
      <c r="P95" s="569"/>
      <c r="Q95" s="570"/>
      <c r="R95" s="570"/>
      <c r="S95" s="301" t="e">
        <f t="shared" si="75"/>
        <v>#N/A</v>
      </c>
      <c r="T95" s="709"/>
      <c r="U95" s="569"/>
      <c r="V95" s="570"/>
      <c r="W95" s="570"/>
      <c r="X95" s="475" t="e">
        <f t="shared" si="62"/>
        <v>#N/A</v>
      </c>
      <c r="Y95" s="709"/>
      <c r="Z95" s="569"/>
      <c r="AA95" s="570"/>
      <c r="AB95" s="570"/>
      <c r="AC95" s="475" t="e">
        <f t="shared" si="64"/>
        <v>#N/A</v>
      </c>
      <c r="AD95" s="709"/>
      <c r="AE95" s="569"/>
      <c r="AF95" s="570"/>
      <c r="AG95" s="570"/>
      <c r="AH95" s="475" t="e">
        <f t="shared" si="66"/>
        <v>#N/A</v>
      </c>
      <c r="AI95" s="709"/>
      <c r="AJ95" s="569"/>
      <c r="AK95" s="570"/>
      <c r="AL95" s="570"/>
      <c r="AM95" s="475" t="e">
        <f t="shared" si="68"/>
        <v>#N/A</v>
      </c>
      <c r="AN95" s="709"/>
      <c r="AO95" s="569"/>
      <c r="AP95" s="570"/>
      <c r="AQ95" s="570"/>
      <c r="AR95" s="475" t="e">
        <f t="shared" si="70"/>
        <v>#N/A</v>
      </c>
      <c r="AS95" s="709"/>
      <c r="AT95" s="569"/>
      <c r="AU95" s="570"/>
      <c r="AV95" s="570"/>
      <c r="AW95" s="475" t="e">
        <f t="shared" si="72"/>
        <v>#N/A</v>
      </c>
      <c r="AX95" s="681"/>
    </row>
    <row r="96" spans="2:50">
      <c r="B96" s="667"/>
      <c r="C96" s="301">
        <v>10</v>
      </c>
      <c r="D96" s="227"/>
      <c r="E96" s="182"/>
      <c r="F96" s="545"/>
      <c r="G96" s="546"/>
      <c r="H96" s="709"/>
      <c r="I96" s="446" t="e">
        <f t="shared" si="76"/>
        <v>#DIV/0!</v>
      </c>
      <c r="J96" s="446" t="e">
        <f t="shared" si="77"/>
        <v>#DIV/0!</v>
      </c>
      <c r="K96" s="200" t="e">
        <f t="shared" si="78"/>
        <v>#DIV/0!</v>
      </c>
      <c r="L96" s="641"/>
      <c r="M96" s="201" t="e">
        <f>RANK(K96, K$87:$K$101)</f>
        <v>#DIV/0!</v>
      </c>
      <c r="N96" s="659"/>
      <c r="O96" s="659"/>
      <c r="P96" s="569"/>
      <c r="Q96" s="570"/>
      <c r="R96" s="570"/>
      <c r="S96" s="301" t="e">
        <f t="shared" si="75"/>
        <v>#N/A</v>
      </c>
      <c r="T96" s="709"/>
      <c r="U96" s="569"/>
      <c r="V96" s="570"/>
      <c r="W96" s="570"/>
      <c r="X96" s="475" t="e">
        <f t="shared" si="62"/>
        <v>#N/A</v>
      </c>
      <c r="Y96" s="709"/>
      <c r="Z96" s="569"/>
      <c r="AA96" s="570"/>
      <c r="AB96" s="570"/>
      <c r="AC96" s="475" t="e">
        <f t="shared" si="64"/>
        <v>#N/A</v>
      </c>
      <c r="AD96" s="709"/>
      <c r="AE96" s="569"/>
      <c r="AF96" s="570"/>
      <c r="AG96" s="570"/>
      <c r="AH96" s="475" t="e">
        <f t="shared" si="66"/>
        <v>#N/A</v>
      </c>
      <c r="AI96" s="709"/>
      <c r="AJ96" s="569"/>
      <c r="AK96" s="570"/>
      <c r="AL96" s="570"/>
      <c r="AM96" s="475" t="e">
        <f t="shared" si="68"/>
        <v>#N/A</v>
      </c>
      <c r="AN96" s="709"/>
      <c r="AO96" s="569"/>
      <c r="AP96" s="570"/>
      <c r="AQ96" s="570"/>
      <c r="AR96" s="475" t="e">
        <f t="shared" si="70"/>
        <v>#N/A</v>
      </c>
      <c r="AS96" s="709"/>
      <c r="AT96" s="569"/>
      <c r="AU96" s="570"/>
      <c r="AV96" s="570"/>
      <c r="AW96" s="475" t="e">
        <f t="shared" si="72"/>
        <v>#N/A</v>
      </c>
      <c r="AX96" s="681"/>
    </row>
    <row r="97" spans="2:50">
      <c r="B97" s="667"/>
      <c r="C97" s="301">
        <v>11</v>
      </c>
      <c r="D97" s="227"/>
      <c r="E97" s="182"/>
      <c r="F97" s="545"/>
      <c r="G97" s="546"/>
      <c r="H97" s="709"/>
      <c r="I97" s="446"/>
      <c r="J97" s="446"/>
      <c r="K97" s="200"/>
      <c r="L97" s="641"/>
      <c r="M97" s="201" t="e">
        <f>RANK(K97, K$87:$K$101)</f>
        <v>#DIV/0!</v>
      </c>
      <c r="N97" s="659"/>
      <c r="O97" s="659"/>
      <c r="P97" s="569"/>
      <c r="Q97" s="570"/>
      <c r="R97" s="570"/>
      <c r="S97" s="301" t="e">
        <f t="shared" si="75"/>
        <v>#N/A</v>
      </c>
      <c r="T97" s="709"/>
      <c r="U97" s="569"/>
      <c r="V97" s="570"/>
      <c r="W97" s="570"/>
      <c r="X97" s="475" t="e">
        <f t="shared" si="62"/>
        <v>#N/A</v>
      </c>
      <c r="Y97" s="709"/>
      <c r="Z97" s="569"/>
      <c r="AA97" s="570"/>
      <c r="AB97" s="570"/>
      <c r="AC97" s="475" t="e">
        <f t="shared" si="64"/>
        <v>#N/A</v>
      </c>
      <c r="AD97" s="709"/>
      <c r="AE97" s="569"/>
      <c r="AF97" s="570"/>
      <c r="AG97" s="570"/>
      <c r="AH97" s="475" t="e">
        <f t="shared" si="66"/>
        <v>#N/A</v>
      </c>
      <c r="AI97" s="709"/>
      <c r="AJ97" s="569"/>
      <c r="AK97" s="570"/>
      <c r="AL97" s="570"/>
      <c r="AM97" s="475" t="e">
        <f t="shared" si="68"/>
        <v>#N/A</v>
      </c>
      <c r="AN97" s="709"/>
      <c r="AO97" s="569"/>
      <c r="AP97" s="570"/>
      <c r="AQ97" s="570"/>
      <c r="AR97" s="475" t="e">
        <f t="shared" si="70"/>
        <v>#N/A</v>
      </c>
      <c r="AS97" s="709"/>
      <c r="AT97" s="569"/>
      <c r="AU97" s="570"/>
      <c r="AV97" s="570"/>
      <c r="AW97" s="475" t="e">
        <f t="shared" si="72"/>
        <v>#N/A</v>
      </c>
      <c r="AX97" s="681"/>
    </row>
    <row r="98" spans="2:50">
      <c r="B98" s="667"/>
      <c r="C98" s="301">
        <v>12</v>
      </c>
      <c r="D98" s="227"/>
      <c r="E98" s="182"/>
      <c r="F98" s="545"/>
      <c r="G98" s="546"/>
      <c r="H98" s="709"/>
      <c r="I98" s="469"/>
      <c r="J98" s="469"/>
      <c r="K98" s="200"/>
      <c r="L98" s="641"/>
      <c r="M98" s="201" t="e">
        <f>RANK(K98, K$87:$K$101)</f>
        <v>#DIV/0!</v>
      </c>
      <c r="N98" s="659"/>
      <c r="O98" s="659"/>
      <c r="P98" s="569"/>
      <c r="Q98" s="570"/>
      <c r="R98" s="570"/>
      <c r="S98" s="301" t="e">
        <f t="shared" si="75"/>
        <v>#N/A</v>
      </c>
      <c r="T98" s="709"/>
      <c r="U98" s="569"/>
      <c r="V98" s="570"/>
      <c r="W98" s="570"/>
      <c r="X98" s="475" t="e">
        <f t="shared" si="62"/>
        <v>#N/A</v>
      </c>
      <c r="Y98" s="709"/>
      <c r="Z98" s="569"/>
      <c r="AA98" s="570"/>
      <c r="AB98" s="570"/>
      <c r="AC98" s="475" t="e">
        <f t="shared" si="64"/>
        <v>#N/A</v>
      </c>
      <c r="AD98" s="709"/>
      <c r="AE98" s="569"/>
      <c r="AF98" s="570"/>
      <c r="AG98" s="570"/>
      <c r="AH98" s="475" t="e">
        <f t="shared" si="66"/>
        <v>#N/A</v>
      </c>
      <c r="AI98" s="709"/>
      <c r="AJ98" s="569"/>
      <c r="AK98" s="570"/>
      <c r="AL98" s="570"/>
      <c r="AM98" s="475" t="e">
        <f t="shared" si="68"/>
        <v>#N/A</v>
      </c>
      <c r="AN98" s="709"/>
      <c r="AO98" s="569"/>
      <c r="AP98" s="570"/>
      <c r="AQ98" s="570"/>
      <c r="AR98" s="475" t="e">
        <f t="shared" si="70"/>
        <v>#N/A</v>
      </c>
      <c r="AS98" s="709"/>
      <c r="AT98" s="569"/>
      <c r="AU98" s="570"/>
      <c r="AV98" s="570"/>
      <c r="AW98" s="475" t="e">
        <f t="shared" si="72"/>
        <v>#N/A</v>
      </c>
      <c r="AX98" s="681"/>
    </row>
    <row r="99" spans="2:50">
      <c r="B99" s="667"/>
      <c r="C99" s="301">
        <v>13</v>
      </c>
      <c r="D99" s="227"/>
      <c r="E99" s="182"/>
      <c r="F99" s="545"/>
      <c r="G99" s="546"/>
      <c r="H99" s="709"/>
      <c r="I99" s="202"/>
      <c r="J99" s="202"/>
      <c r="K99" s="202"/>
      <c r="L99" s="641"/>
      <c r="M99" s="201" t="e">
        <f>RANK(K99, K$87:$K$101)</f>
        <v>#DIV/0!</v>
      </c>
      <c r="N99" s="659"/>
      <c r="O99" s="659"/>
      <c r="P99" s="569"/>
      <c r="Q99" s="570"/>
      <c r="R99" s="570"/>
      <c r="S99" s="301" t="e">
        <f t="shared" si="75"/>
        <v>#N/A</v>
      </c>
      <c r="T99" s="709"/>
      <c r="U99" s="569"/>
      <c r="V99" s="570"/>
      <c r="W99" s="570"/>
      <c r="X99" s="475" t="e">
        <f t="shared" si="62"/>
        <v>#N/A</v>
      </c>
      <c r="Y99" s="709"/>
      <c r="Z99" s="569"/>
      <c r="AA99" s="570"/>
      <c r="AB99" s="570"/>
      <c r="AC99" s="475" t="e">
        <f t="shared" si="64"/>
        <v>#N/A</v>
      </c>
      <c r="AD99" s="709"/>
      <c r="AE99" s="569"/>
      <c r="AF99" s="570"/>
      <c r="AG99" s="570"/>
      <c r="AH99" s="475" t="e">
        <f t="shared" si="66"/>
        <v>#N/A</v>
      </c>
      <c r="AI99" s="709"/>
      <c r="AJ99" s="569"/>
      <c r="AK99" s="570"/>
      <c r="AL99" s="570"/>
      <c r="AM99" s="475" t="e">
        <f t="shared" si="68"/>
        <v>#N/A</v>
      </c>
      <c r="AN99" s="709"/>
      <c r="AO99" s="569"/>
      <c r="AP99" s="570"/>
      <c r="AQ99" s="570"/>
      <c r="AR99" s="475" t="e">
        <f t="shared" si="70"/>
        <v>#N/A</v>
      </c>
      <c r="AS99" s="709"/>
      <c r="AT99" s="569"/>
      <c r="AU99" s="570"/>
      <c r="AV99" s="570"/>
      <c r="AW99" s="475" t="e">
        <f t="shared" si="72"/>
        <v>#N/A</v>
      </c>
      <c r="AX99" s="681"/>
    </row>
    <row r="100" spans="2:50">
      <c r="B100" s="667"/>
      <c r="C100" s="301">
        <v>14</v>
      </c>
      <c r="D100" s="227"/>
      <c r="E100" s="182"/>
      <c r="F100" s="545"/>
      <c r="G100" s="546"/>
      <c r="H100" s="709"/>
      <c r="I100" s="202"/>
      <c r="J100" s="202"/>
      <c r="K100" s="202"/>
      <c r="L100" s="641"/>
      <c r="M100" s="201" t="e">
        <f>RANK(K100, K$87:$K$101)</f>
        <v>#DIV/0!</v>
      </c>
      <c r="N100" s="659"/>
      <c r="O100" s="659"/>
      <c r="P100" s="569"/>
      <c r="Q100" s="570"/>
      <c r="R100" s="570"/>
      <c r="S100" s="301" t="e">
        <f t="shared" si="75"/>
        <v>#N/A</v>
      </c>
      <c r="T100" s="709"/>
      <c r="U100" s="569"/>
      <c r="V100" s="570"/>
      <c r="W100" s="570"/>
      <c r="X100" s="475" t="e">
        <f t="shared" si="62"/>
        <v>#N/A</v>
      </c>
      <c r="Y100" s="709"/>
      <c r="Z100" s="569"/>
      <c r="AA100" s="570"/>
      <c r="AB100" s="570"/>
      <c r="AC100" s="475" t="e">
        <f t="shared" si="64"/>
        <v>#N/A</v>
      </c>
      <c r="AD100" s="709"/>
      <c r="AE100" s="569"/>
      <c r="AF100" s="570"/>
      <c r="AG100" s="570"/>
      <c r="AH100" s="475" t="e">
        <f t="shared" si="66"/>
        <v>#N/A</v>
      </c>
      <c r="AI100" s="709"/>
      <c r="AJ100" s="569"/>
      <c r="AK100" s="570"/>
      <c r="AL100" s="570"/>
      <c r="AM100" s="475" t="e">
        <f t="shared" si="68"/>
        <v>#N/A</v>
      </c>
      <c r="AN100" s="709"/>
      <c r="AO100" s="569"/>
      <c r="AP100" s="570"/>
      <c r="AQ100" s="570"/>
      <c r="AR100" s="475" t="e">
        <f t="shared" si="70"/>
        <v>#N/A</v>
      </c>
      <c r="AS100" s="709"/>
      <c r="AT100" s="569"/>
      <c r="AU100" s="570"/>
      <c r="AV100" s="570"/>
      <c r="AW100" s="475" t="e">
        <f t="shared" si="72"/>
        <v>#N/A</v>
      </c>
      <c r="AX100" s="681"/>
    </row>
    <row r="101" spans="2:50">
      <c r="B101" s="667"/>
      <c r="C101" s="301">
        <v>15</v>
      </c>
      <c r="D101" s="227"/>
      <c r="E101" s="182"/>
      <c r="F101" s="545"/>
      <c r="G101" s="546"/>
      <c r="H101" s="710"/>
      <c r="I101" s="202"/>
      <c r="J101" s="202"/>
      <c r="K101" s="202"/>
      <c r="L101" s="642"/>
      <c r="M101" s="199" t="e">
        <f>RANK(K101, K$87:$K$101)</f>
        <v>#DIV/0!</v>
      </c>
      <c r="N101" s="659"/>
      <c r="O101" s="659"/>
      <c r="P101" s="569"/>
      <c r="Q101" s="570"/>
      <c r="R101" s="570"/>
      <c r="S101" s="301" t="e">
        <f t="shared" si="75"/>
        <v>#N/A</v>
      </c>
      <c r="T101" s="710"/>
      <c r="U101" s="569"/>
      <c r="V101" s="570"/>
      <c r="W101" s="570"/>
      <c r="X101" s="475" t="e">
        <f t="shared" si="62"/>
        <v>#N/A</v>
      </c>
      <c r="Y101" s="710"/>
      <c r="Z101" s="569"/>
      <c r="AA101" s="570"/>
      <c r="AB101" s="570"/>
      <c r="AC101" s="475" t="e">
        <f t="shared" si="64"/>
        <v>#N/A</v>
      </c>
      <c r="AD101" s="710"/>
      <c r="AE101" s="569"/>
      <c r="AF101" s="570"/>
      <c r="AG101" s="570"/>
      <c r="AH101" s="475" t="e">
        <f t="shared" si="66"/>
        <v>#N/A</v>
      </c>
      <c r="AI101" s="710"/>
      <c r="AJ101" s="569"/>
      <c r="AK101" s="570"/>
      <c r="AL101" s="570"/>
      <c r="AM101" s="475" t="e">
        <f t="shared" si="68"/>
        <v>#N/A</v>
      </c>
      <c r="AN101" s="710"/>
      <c r="AO101" s="569"/>
      <c r="AP101" s="570"/>
      <c r="AQ101" s="570"/>
      <c r="AR101" s="475" t="e">
        <f t="shared" si="70"/>
        <v>#N/A</v>
      </c>
      <c r="AS101" s="710"/>
      <c r="AT101" s="569"/>
      <c r="AU101" s="570"/>
      <c r="AV101" s="570"/>
      <c r="AW101" s="475" t="e">
        <f t="shared" si="72"/>
        <v>#N/A</v>
      </c>
      <c r="AX101" s="681"/>
    </row>
    <row r="102" spans="2:50" ht="15.75">
      <c r="B102" s="671" t="s">
        <v>163</v>
      </c>
      <c r="C102" s="672"/>
      <c r="D102" s="672"/>
      <c r="E102" s="672"/>
      <c r="F102" s="672"/>
      <c r="G102" s="672"/>
      <c r="H102" s="673"/>
      <c r="I102" s="208"/>
      <c r="J102" s="208"/>
      <c r="K102" s="208"/>
      <c r="L102" s="208"/>
      <c r="M102" s="207"/>
      <c r="N102" s="660" t="s">
        <v>156</v>
      </c>
      <c r="O102" s="660" t="s">
        <v>105</v>
      </c>
      <c r="P102" s="666">
        <f>P82+7</f>
        <v>46119</v>
      </c>
      <c r="Q102" s="667"/>
      <c r="R102" s="667"/>
      <c r="S102" s="667"/>
      <c r="T102" s="667"/>
      <c r="U102" s="663">
        <f>P102+1</f>
        <v>46120</v>
      </c>
      <c r="V102" s="664"/>
      <c r="W102" s="664"/>
      <c r="X102" s="664"/>
      <c r="Y102" s="665"/>
      <c r="Z102" s="663">
        <f>U102+1</f>
        <v>46121</v>
      </c>
      <c r="AA102" s="664"/>
      <c r="AB102" s="664"/>
      <c r="AC102" s="664"/>
      <c r="AD102" s="665"/>
      <c r="AE102" s="663">
        <f>Z102+1</f>
        <v>46122</v>
      </c>
      <c r="AF102" s="664"/>
      <c r="AG102" s="664"/>
      <c r="AH102" s="664"/>
      <c r="AI102" s="665"/>
      <c r="AJ102" s="663">
        <f>AE102+1</f>
        <v>46123</v>
      </c>
      <c r="AK102" s="664"/>
      <c r="AL102" s="664"/>
      <c r="AM102" s="664"/>
      <c r="AN102" s="665"/>
      <c r="AO102" s="663">
        <f>AJ102+1</f>
        <v>46124</v>
      </c>
      <c r="AP102" s="664"/>
      <c r="AQ102" s="664"/>
      <c r="AR102" s="664"/>
      <c r="AS102" s="665"/>
      <c r="AT102" s="663">
        <f>AO102+1</f>
        <v>46125</v>
      </c>
      <c r="AU102" s="664"/>
      <c r="AV102" s="664"/>
      <c r="AW102" s="664"/>
      <c r="AX102" s="665"/>
    </row>
    <row r="103" spans="2:50" ht="15.75">
      <c r="B103" s="674"/>
      <c r="C103" s="674"/>
      <c r="D103" s="674"/>
      <c r="E103" s="674"/>
      <c r="F103" s="674"/>
      <c r="G103" s="674"/>
      <c r="H103" s="674"/>
      <c r="I103" s="205"/>
      <c r="J103" s="205"/>
      <c r="K103" s="205"/>
      <c r="L103" s="205"/>
      <c r="M103" s="206"/>
      <c r="N103" s="662"/>
      <c r="O103" s="662"/>
      <c r="P103" s="666" t="s">
        <v>158</v>
      </c>
      <c r="Q103" s="667"/>
      <c r="R103" s="667"/>
      <c r="S103" s="667"/>
      <c r="T103" s="667"/>
      <c r="U103" s="666" t="s">
        <v>114</v>
      </c>
      <c r="V103" s="667"/>
      <c r="W103" s="667"/>
      <c r="X103" s="667"/>
      <c r="Y103" s="667"/>
      <c r="Z103" s="666" t="s">
        <v>159</v>
      </c>
      <c r="AA103" s="667"/>
      <c r="AB103" s="667"/>
      <c r="AC103" s="667"/>
      <c r="AD103" s="667"/>
      <c r="AE103" s="666" t="s">
        <v>157</v>
      </c>
      <c r="AF103" s="667"/>
      <c r="AG103" s="667"/>
      <c r="AH103" s="667"/>
      <c r="AI103" s="667"/>
      <c r="AJ103" s="666" t="s">
        <v>160</v>
      </c>
      <c r="AK103" s="667"/>
      <c r="AL103" s="667"/>
      <c r="AM103" s="667"/>
      <c r="AN103" s="667"/>
      <c r="AO103" s="666" t="s">
        <v>115</v>
      </c>
      <c r="AP103" s="667"/>
      <c r="AQ103" s="667"/>
      <c r="AR103" s="667"/>
      <c r="AS103" s="667"/>
      <c r="AT103" s="666" t="s">
        <v>162</v>
      </c>
      <c r="AU103" s="667"/>
      <c r="AV103" s="667"/>
      <c r="AW103" s="667"/>
      <c r="AX103" s="667"/>
    </row>
    <row r="104" spans="2:50">
      <c r="B104" s="659" t="s">
        <v>154</v>
      </c>
      <c r="C104" s="659" t="s">
        <v>429</v>
      </c>
      <c r="D104" s="659"/>
      <c r="E104" s="659" t="s">
        <v>420</v>
      </c>
      <c r="F104" s="659"/>
      <c r="G104" s="659"/>
      <c r="H104" s="675" t="s">
        <v>416</v>
      </c>
      <c r="I104" s="643" t="s">
        <v>421</v>
      </c>
      <c r="J104" s="643"/>
      <c r="K104" s="643"/>
      <c r="L104" s="644" t="s">
        <v>416</v>
      </c>
      <c r="M104" s="650" t="s">
        <v>417</v>
      </c>
      <c r="N104" s="659"/>
      <c r="O104" s="659" t="s">
        <v>422</v>
      </c>
      <c r="P104" s="656" t="s">
        <v>418</v>
      </c>
      <c r="Q104" s="657"/>
      <c r="R104" s="657"/>
      <c r="S104" s="658"/>
      <c r="T104" s="659" t="s">
        <v>416</v>
      </c>
      <c r="U104" s="656" t="s">
        <v>418</v>
      </c>
      <c r="V104" s="657"/>
      <c r="W104" s="657"/>
      <c r="X104" s="658"/>
      <c r="Y104" s="659" t="s">
        <v>416</v>
      </c>
      <c r="Z104" s="656" t="s">
        <v>418</v>
      </c>
      <c r="AA104" s="657"/>
      <c r="AB104" s="657"/>
      <c r="AC104" s="658"/>
      <c r="AD104" s="659" t="s">
        <v>416</v>
      </c>
      <c r="AE104" s="656" t="s">
        <v>418</v>
      </c>
      <c r="AF104" s="657"/>
      <c r="AG104" s="657"/>
      <c r="AH104" s="658"/>
      <c r="AI104" s="659" t="s">
        <v>416</v>
      </c>
      <c r="AJ104" s="656" t="s">
        <v>418</v>
      </c>
      <c r="AK104" s="657"/>
      <c r="AL104" s="657"/>
      <c r="AM104" s="658"/>
      <c r="AN104" s="659" t="s">
        <v>416</v>
      </c>
      <c r="AO104" s="656" t="s">
        <v>418</v>
      </c>
      <c r="AP104" s="657"/>
      <c r="AQ104" s="657"/>
      <c r="AR104" s="658"/>
      <c r="AS104" s="659" t="s">
        <v>416</v>
      </c>
      <c r="AT104" s="656" t="s">
        <v>418</v>
      </c>
      <c r="AU104" s="657"/>
      <c r="AV104" s="657"/>
      <c r="AW104" s="658"/>
      <c r="AX104" s="659" t="s">
        <v>416</v>
      </c>
    </row>
    <row r="105" spans="2:50">
      <c r="B105" s="659"/>
      <c r="C105" s="659"/>
      <c r="D105" s="659"/>
      <c r="E105" s="659" t="s">
        <v>423</v>
      </c>
      <c r="F105" s="659"/>
      <c r="G105" s="659"/>
      <c r="H105" s="676"/>
      <c r="I105" s="643" t="s">
        <v>423</v>
      </c>
      <c r="J105" s="643"/>
      <c r="K105" s="643"/>
      <c r="L105" s="645"/>
      <c r="M105" s="651"/>
      <c r="N105" s="659"/>
      <c r="O105" s="659"/>
      <c r="P105" s="656" t="s">
        <v>424</v>
      </c>
      <c r="Q105" s="657"/>
      <c r="R105" s="657"/>
      <c r="S105" s="658"/>
      <c r="T105" s="659"/>
      <c r="U105" s="656" t="s">
        <v>424</v>
      </c>
      <c r="V105" s="657"/>
      <c r="W105" s="657"/>
      <c r="X105" s="658"/>
      <c r="Y105" s="659"/>
      <c r="Z105" s="656" t="s">
        <v>424</v>
      </c>
      <c r="AA105" s="657"/>
      <c r="AB105" s="657"/>
      <c r="AC105" s="658"/>
      <c r="AD105" s="659"/>
      <c r="AE105" s="656" t="s">
        <v>424</v>
      </c>
      <c r="AF105" s="657"/>
      <c r="AG105" s="657"/>
      <c r="AH105" s="658"/>
      <c r="AI105" s="659"/>
      <c r="AJ105" s="656" t="s">
        <v>424</v>
      </c>
      <c r="AK105" s="657"/>
      <c r="AL105" s="657"/>
      <c r="AM105" s="658"/>
      <c r="AN105" s="659"/>
      <c r="AO105" s="656" t="s">
        <v>424</v>
      </c>
      <c r="AP105" s="657"/>
      <c r="AQ105" s="657"/>
      <c r="AR105" s="658"/>
      <c r="AS105" s="659"/>
      <c r="AT105" s="656" t="s">
        <v>424</v>
      </c>
      <c r="AU105" s="657"/>
      <c r="AV105" s="657"/>
      <c r="AW105" s="658"/>
      <c r="AX105" s="659"/>
    </row>
    <row r="106" spans="2:50">
      <c r="B106" s="659"/>
      <c r="C106" s="659"/>
      <c r="D106" s="659"/>
      <c r="E106" s="344" t="s">
        <v>425</v>
      </c>
      <c r="F106" s="344" t="s">
        <v>426</v>
      </c>
      <c r="G106" s="344" t="s">
        <v>427</v>
      </c>
      <c r="H106" s="677"/>
      <c r="I106" s="345" t="s">
        <v>425</v>
      </c>
      <c r="J106" s="345" t="s">
        <v>426</v>
      </c>
      <c r="K106" s="345" t="s">
        <v>427</v>
      </c>
      <c r="L106" s="646"/>
      <c r="M106" s="652"/>
      <c r="N106" s="659"/>
      <c r="O106" s="659"/>
      <c r="P106" s="344" t="s">
        <v>425</v>
      </c>
      <c r="Q106" s="344" t="s">
        <v>426</v>
      </c>
      <c r="R106" s="344" t="s">
        <v>427</v>
      </c>
      <c r="S106" s="344" t="s">
        <v>417</v>
      </c>
      <c r="T106" s="659"/>
      <c r="U106" s="344" t="s">
        <v>425</v>
      </c>
      <c r="V106" s="344" t="s">
        <v>426</v>
      </c>
      <c r="W106" s="344" t="s">
        <v>427</v>
      </c>
      <c r="X106" s="344" t="s">
        <v>417</v>
      </c>
      <c r="Y106" s="659"/>
      <c r="Z106" s="344" t="s">
        <v>425</v>
      </c>
      <c r="AA106" s="344" t="s">
        <v>426</v>
      </c>
      <c r="AB106" s="344" t="s">
        <v>427</v>
      </c>
      <c r="AC106" s="344" t="s">
        <v>417</v>
      </c>
      <c r="AD106" s="659"/>
      <c r="AE106" s="344" t="s">
        <v>425</v>
      </c>
      <c r="AF106" s="344" t="s">
        <v>426</v>
      </c>
      <c r="AG106" s="344" t="s">
        <v>427</v>
      </c>
      <c r="AH106" s="344" t="s">
        <v>417</v>
      </c>
      <c r="AI106" s="659"/>
      <c r="AJ106" s="344" t="s">
        <v>425</v>
      </c>
      <c r="AK106" s="344" t="s">
        <v>426</v>
      </c>
      <c r="AL106" s="344" t="s">
        <v>427</v>
      </c>
      <c r="AM106" s="344" t="s">
        <v>417</v>
      </c>
      <c r="AN106" s="659"/>
      <c r="AO106" s="344" t="s">
        <v>425</v>
      </c>
      <c r="AP106" s="344" t="s">
        <v>426</v>
      </c>
      <c r="AQ106" s="344" t="s">
        <v>427</v>
      </c>
      <c r="AR106" s="344" t="s">
        <v>417</v>
      </c>
      <c r="AS106" s="659"/>
      <c r="AT106" s="344" t="s">
        <v>425</v>
      </c>
      <c r="AU106" s="344" t="s">
        <v>426</v>
      </c>
      <c r="AV106" s="344" t="s">
        <v>427</v>
      </c>
      <c r="AW106" s="344" t="s">
        <v>417</v>
      </c>
      <c r="AX106" s="659"/>
    </row>
    <row r="107" spans="2:50">
      <c r="B107" s="659" t="s">
        <v>132</v>
      </c>
      <c r="C107" s="343">
        <v>1</v>
      </c>
      <c r="D107" s="227"/>
      <c r="E107" s="182"/>
      <c r="F107" s="510"/>
      <c r="G107" s="511"/>
      <c r="H107" s="708" t="e">
        <f>AVERAGE(G107:G121)</f>
        <v>#DIV/0!</v>
      </c>
      <c r="I107" s="199" t="e">
        <f>AVERAGE(P107,U107,Z107,AE107,AJ107,AO107,AT107)</f>
        <v>#DIV/0!</v>
      </c>
      <c r="J107" s="199" t="e">
        <f>AVERAGE(Q107,V107,AA107,AF107,AK107,AP107,AU107)</f>
        <v>#DIV/0!</v>
      </c>
      <c r="K107" s="200" t="e">
        <f>AVERAGE(R107,W107,AB107,AG107,AL107,AQ107,AV107)</f>
        <v>#DIV/0!</v>
      </c>
      <c r="L107" s="640" t="str">
        <f>IFERROR(AVERAGE(K107:K121),"-")</f>
        <v>-</v>
      </c>
      <c r="M107" s="201" t="e">
        <f>RANK(K107, K$107:$K$121)</f>
        <v>#DIV/0!</v>
      </c>
      <c r="N107" s="659"/>
      <c r="O107" s="659"/>
      <c r="P107" s="182"/>
      <c r="Q107" s="346"/>
      <c r="R107" s="346"/>
      <c r="S107" s="343" t="e">
        <f>RANK(R107, R$107:R$121)</f>
        <v>#N/A</v>
      </c>
      <c r="T107" s="708" t="e">
        <f>AVERAGE(R107:R121)</f>
        <v>#DIV/0!</v>
      </c>
      <c r="U107" s="182"/>
      <c r="V107" s="511"/>
      <c r="W107" s="511"/>
      <c r="X107" s="343" t="e">
        <f>RANK(W107, W$107:W$121)</f>
        <v>#N/A</v>
      </c>
      <c r="Y107" s="708" t="e">
        <f>AVERAGE(W107:W121)</f>
        <v>#DIV/0!</v>
      </c>
      <c r="Z107" s="182"/>
      <c r="AA107" s="511"/>
      <c r="AB107" s="511"/>
      <c r="AC107" s="343" t="e">
        <f>RANK(AB107, AB$107:AB$121)</f>
        <v>#N/A</v>
      </c>
      <c r="AD107" s="708" t="e">
        <f>AVERAGE(AB107:AB121)</f>
        <v>#DIV/0!</v>
      </c>
      <c r="AE107" s="182"/>
      <c r="AF107" s="511"/>
      <c r="AG107" s="511"/>
      <c r="AH107" s="343" t="e">
        <f>RANK(AG107, AG$107:AG$121)</f>
        <v>#N/A</v>
      </c>
      <c r="AI107" s="708" t="e">
        <f>AVERAGE(AG107:AG121)</f>
        <v>#DIV/0!</v>
      </c>
      <c r="AJ107" s="182"/>
      <c r="AK107" s="511"/>
      <c r="AL107" s="511"/>
      <c r="AM107" s="343" t="e">
        <f>RANK(AL107, AL$107:AL$121)</f>
        <v>#N/A</v>
      </c>
      <c r="AN107" s="708" t="e">
        <f>AVERAGE(AL107:AL121)</f>
        <v>#DIV/0!</v>
      </c>
      <c r="AO107" s="182"/>
      <c r="AP107" s="511"/>
      <c r="AQ107" s="511"/>
      <c r="AR107" s="343" t="e">
        <f>RANK(AQ107, AQ$107:AQ$121)</f>
        <v>#N/A</v>
      </c>
      <c r="AS107" s="708" t="e">
        <f>AVERAGE(AQ107:AQ121)</f>
        <v>#DIV/0!</v>
      </c>
      <c r="AT107" s="182"/>
      <c r="AU107" s="511"/>
      <c r="AV107" s="511"/>
      <c r="AW107" s="343" t="e">
        <f>RANK(AV107, AV$107:AV$121)</f>
        <v>#N/A</v>
      </c>
      <c r="AX107" s="681" t="e">
        <f>AVERAGE(AV107:AV121)</f>
        <v>#DIV/0!</v>
      </c>
    </row>
    <row r="108" spans="2:50">
      <c r="B108" s="667"/>
      <c r="C108" s="343">
        <v>2</v>
      </c>
      <c r="D108" s="227"/>
      <c r="E108" s="182"/>
      <c r="F108" s="510"/>
      <c r="G108" s="511"/>
      <c r="H108" s="709"/>
      <c r="I108" s="199" t="e">
        <f t="shared" ref="I108:I114" si="79">AVERAGE(P108,U108,Z108,AE108,AJ108,AO108,AT108)</f>
        <v>#DIV/0!</v>
      </c>
      <c r="J108" s="199" t="e">
        <f t="shared" ref="J108:J114" si="80">AVERAGE(Q108,V108,AA108,AF108,AK108,AP108,AU108)</f>
        <v>#DIV/0!</v>
      </c>
      <c r="K108" s="200" t="e">
        <f t="shared" ref="K108:K114" si="81">AVERAGE(R108,W108,AB108,AG108,AL108,AQ108,AV108)</f>
        <v>#DIV/0!</v>
      </c>
      <c r="L108" s="641"/>
      <c r="M108" s="358" t="e">
        <f>RANK(K108, K$107:$K$121)</f>
        <v>#DIV/0!</v>
      </c>
      <c r="N108" s="659"/>
      <c r="O108" s="659"/>
      <c r="P108" s="343"/>
      <c r="Q108" s="346"/>
      <c r="R108" s="346"/>
      <c r="S108" s="355" t="e">
        <f t="shared" ref="S108:S121" si="82">RANK(R108, R$107:R$121)</f>
        <v>#N/A</v>
      </c>
      <c r="T108" s="709"/>
      <c r="U108" s="510"/>
      <c r="V108" s="511"/>
      <c r="W108" s="511"/>
      <c r="X108" s="343" t="e">
        <f t="shared" ref="X108:X121" si="83">RANK(W108, W$107:W$121)</f>
        <v>#N/A</v>
      </c>
      <c r="Y108" s="709"/>
      <c r="Z108" s="510"/>
      <c r="AA108" s="511"/>
      <c r="AB108" s="511"/>
      <c r="AC108" s="343" t="e">
        <f t="shared" ref="AC108:AC121" si="84">RANK(AB108, AB$107:AB$121)</f>
        <v>#N/A</v>
      </c>
      <c r="AD108" s="709"/>
      <c r="AE108" s="510"/>
      <c r="AF108" s="511"/>
      <c r="AG108" s="511"/>
      <c r="AH108" s="343" t="e">
        <f t="shared" ref="AH108:AH121" si="85">RANK(AG108, AG$107:AG$121)</f>
        <v>#N/A</v>
      </c>
      <c r="AI108" s="709"/>
      <c r="AJ108" s="510"/>
      <c r="AK108" s="511"/>
      <c r="AL108" s="511"/>
      <c r="AM108" s="343" t="e">
        <f t="shared" ref="AM108:AM121" si="86">RANK(AL108, AL$107:AL$121)</f>
        <v>#N/A</v>
      </c>
      <c r="AN108" s="709"/>
      <c r="AO108" s="510"/>
      <c r="AP108" s="511"/>
      <c r="AQ108" s="511"/>
      <c r="AR108" s="343" t="e">
        <f t="shared" ref="AR108:AR121" si="87">RANK(AQ108, AQ$107:AQ$121)</f>
        <v>#N/A</v>
      </c>
      <c r="AS108" s="709"/>
      <c r="AT108" s="510"/>
      <c r="AU108" s="511"/>
      <c r="AV108" s="511"/>
      <c r="AW108" s="343" t="e">
        <f t="shared" ref="AW108:AW121" si="88">RANK(AV108, AV$107:AV$121)</f>
        <v>#N/A</v>
      </c>
      <c r="AX108" s="681"/>
    </row>
    <row r="109" spans="2:50">
      <c r="B109" s="667"/>
      <c r="C109" s="343">
        <v>3</v>
      </c>
      <c r="D109" s="227"/>
      <c r="E109" s="182"/>
      <c r="F109" s="510"/>
      <c r="G109" s="511"/>
      <c r="H109" s="709"/>
      <c r="I109" s="199" t="e">
        <f t="shared" si="79"/>
        <v>#DIV/0!</v>
      </c>
      <c r="J109" s="199" t="e">
        <f t="shared" si="80"/>
        <v>#DIV/0!</v>
      </c>
      <c r="K109" s="200" t="e">
        <f t="shared" si="81"/>
        <v>#DIV/0!</v>
      </c>
      <c r="L109" s="641"/>
      <c r="M109" s="358" t="e">
        <f>RANK(K109, K$107:$K$121)</f>
        <v>#DIV/0!</v>
      </c>
      <c r="N109" s="659"/>
      <c r="O109" s="659"/>
      <c r="P109" s="343"/>
      <c r="Q109" s="346"/>
      <c r="R109" s="346"/>
      <c r="S109" s="355" t="e">
        <f t="shared" si="82"/>
        <v>#N/A</v>
      </c>
      <c r="T109" s="709"/>
      <c r="U109" s="510"/>
      <c r="V109" s="511"/>
      <c r="W109" s="511"/>
      <c r="X109" s="343" t="e">
        <f t="shared" si="83"/>
        <v>#N/A</v>
      </c>
      <c r="Y109" s="709"/>
      <c r="Z109" s="510"/>
      <c r="AA109" s="511"/>
      <c r="AB109" s="511"/>
      <c r="AC109" s="343" t="e">
        <f t="shared" si="84"/>
        <v>#N/A</v>
      </c>
      <c r="AD109" s="709"/>
      <c r="AE109" s="510"/>
      <c r="AF109" s="511"/>
      <c r="AG109" s="511"/>
      <c r="AH109" s="343" t="e">
        <f t="shared" si="85"/>
        <v>#N/A</v>
      </c>
      <c r="AI109" s="709"/>
      <c r="AJ109" s="510"/>
      <c r="AK109" s="511"/>
      <c r="AL109" s="511"/>
      <c r="AM109" s="343" t="e">
        <f t="shared" si="86"/>
        <v>#N/A</v>
      </c>
      <c r="AN109" s="709"/>
      <c r="AO109" s="510"/>
      <c r="AP109" s="511"/>
      <c r="AQ109" s="511"/>
      <c r="AR109" s="343" t="e">
        <f t="shared" si="87"/>
        <v>#N/A</v>
      </c>
      <c r="AS109" s="709"/>
      <c r="AT109" s="510"/>
      <c r="AU109" s="511"/>
      <c r="AV109" s="511"/>
      <c r="AW109" s="343" t="e">
        <f t="shared" si="88"/>
        <v>#N/A</v>
      </c>
      <c r="AX109" s="681"/>
    </row>
    <row r="110" spans="2:50">
      <c r="B110" s="667"/>
      <c r="C110" s="343">
        <v>4</v>
      </c>
      <c r="D110" s="227"/>
      <c r="E110" s="182"/>
      <c r="F110" s="510"/>
      <c r="G110" s="511"/>
      <c r="H110" s="709"/>
      <c r="I110" s="199" t="e">
        <f t="shared" si="79"/>
        <v>#DIV/0!</v>
      </c>
      <c r="J110" s="199" t="e">
        <f t="shared" si="80"/>
        <v>#DIV/0!</v>
      </c>
      <c r="K110" s="200" t="e">
        <f t="shared" si="81"/>
        <v>#DIV/0!</v>
      </c>
      <c r="L110" s="641"/>
      <c r="M110" s="358" t="e">
        <f>RANK(K110, K$107:$K$121)</f>
        <v>#DIV/0!</v>
      </c>
      <c r="N110" s="659"/>
      <c r="O110" s="659"/>
      <c r="P110" s="343"/>
      <c r="Q110" s="346"/>
      <c r="R110" s="346"/>
      <c r="S110" s="355" t="e">
        <f t="shared" si="82"/>
        <v>#N/A</v>
      </c>
      <c r="T110" s="709"/>
      <c r="U110" s="510"/>
      <c r="V110" s="511"/>
      <c r="W110" s="511"/>
      <c r="X110" s="343" t="e">
        <f t="shared" si="83"/>
        <v>#N/A</v>
      </c>
      <c r="Y110" s="709"/>
      <c r="Z110" s="510"/>
      <c r="AA110" s="511"/>
      <c r="AB110" s="511"/>
      <c r="AC110" s="343" t="e">
        <f t="shared" si="84"/>
        <v>#N/A</v>
      </c>
      <c r="AD110" s="709"/>
      <c r="AE110" s="510"/>
      <c r="AF110" s="511"/>
      <c r="AG110" s="511"/>
      <c r="AH110" s="343" t="e">
        <f t="shared" si="85"/>
        <v>#N/A</v>
      </c>
      <c r="AI110" s="709"/>
      <c r="AJ110" s="510"/>
      <c r="AK110" s="511"/>
      <c r="AL110" s="511"/>
      <c r="AM110" s="343" t="e">
        <f t="shared" si="86"/>
        <v>#N/A</v>
      </c>
      <c r="AN110" s="709"/>
      <c r="AO110" s="510"/>
      <c r="AP110" s="511"/>
      <c r="AQ110" s="511"/>
      <c r="AR110" s="343" t="e">
        <f t="shared" si="87"/>
        <v>#N/A</v>
      </c>
      <c r="AS110" s="709"/>
      <c r="AT110" s="510"/>
      <c r="AU110" s="511"/>
      <c r="AV110" s="511"/>
      <c r="AW110" s="343" t="e">
        <f t="shared" si="88"/>
        <v>#N/A</v>
      </c>
      <c r="AX110" s="681"/>
    </row>
    <row r="111" spans="2:50">
      <c r="B111" s="667"/>
      <c r="C111" s="343">
        <v>5</v>
      </c>
      <c r="D111" s="227"/>
      <c r="E111" s="182"/>
      <c r="F111" s="510"/>
      <c r="G111" s="511"/>
      <c r="H111" s="709"/>
      <c r="I111" s="199" t="e">
        <f t="shared" si="79"/>
        <v>#DIV/0!</v>
      </c>
      <c r="J111" s="199" t="e">
        <f t="shared" si="80"/>
        <v>#DIV/0!</v>
      </c>
      <c r="K111" s="200" t="e">
        <f t="shared" si="81"/>
        <v>#DIV/0!</v>
      </c>
      <c r="L111" s="641"/>
      <c r="M111" s="358" t="e">
        <f>RANK(K111, K$107:$K$121)</f>
        <v>#DIV/0!</v>
      </c>
      <c r="N111" s="659"/>
      <c r="O111" s="659"/>
      <c r="P111" s="343"/>
      <c r="Q111" s="346"/>
      <c r="R111" s="346"/>
      <c r="S111" s="355" t="e">
        <f t="shared" si="82"/>
        <v>#N/A</v>
      </c>
      <c r="T111" s="709"/>
      <c r="U111" s="510"/>
      <c r="V111" s="511"/>
      <c r="W111" s="511"/>
      <c r="X111" s="343" t="e">
        <f t="shared" si="83"/>
        <v>#N/A</v>
      </c>
      <c r="Y111" s="709"/>
      <c r="Z111" s="510"/>
      <c r="AA111" s="511"/>
      <c r="AB111" s="511"/>
      <c r="AC111" s="343" t="e">
        <f t="shared" si="84"/>
        <v>#N/A</v>
      </c>
      <c r="AD111" s="709"/>
      <c r="AE111" s="510"/>
      <c r="AF111" s="511"/>
      <c r="AG111" s="511"/>
      <c r="AH111" s="343" t="e">
        <f t="shared" si="85"/>
        <v>#N/A</v>
      </c>
      <c r="AI111" s="709"/>
      <c r="AJ111" s="510"/>
      <c r="AK111" s="511"/>
      <c r="AL111" s="511"/>
      <c r="AM111" s="343" t="e">
        <f t="shared" si="86"/>
        <v>#N/A</v>
      </c>
      <c r="AN111" s="709"/>
      <c r="AO111" s="510"/>
      <c r="AP111" s="511"/>
      <c r="AQ111" s="511"/>
      <c r="AR111" s="343" t="e">
        <f t="shared" si="87"/>
        <v>#N/A</v>
      </c>
      <c r="AS111" s="709"/>
      <c r="AT111" s="510"/>
      <c r="AU111" s="511"/>
      <c r="AV111" s="511"/>
      <c r="AW111" s="343" t="e">
        <f t="shared" si="88"/>
        <v>#N/A</v>
      </c>
      <c r="AX111" s="681"/>
    </row>
    <row r="112" spans="2:50">
      <c r="B112" s="667"/>
      <c r="C112" s="343">
        <v>6</v>
      </c>
      <c r="D112" s="227"/>
      <c r="E112" s="182"/>
      <c r="F112" s="510"/>
      <c r="G112" s="511"/>
      <c r="H112" s="709"/>
      <c r="I112" s="199" t="e">
        <f t="shared" si="79"/>
        <v>#DIV/0!</v>
      </c>
      <c r="J112" s="199" t="e">
        <f t="shared" si="80"/>
        <v>#DIV/0!</v>
      </c>
      <c r="K112" s="200" t="e">
        <f t="shared" si="81"/>
        <v>#DIV/0!</v>
      </c>
      <c r="L112" s="641"/>
      <c r="M112" s="358" t="e">
        <f>RANK(K112, K$107:$K$121)</f>
        <v>#DIV/0!</v>
      </c>
      <c r="N112" s="659"/>
      <c r="O112" s="659"/>
      <c r="P112" s="343"/>
      <c r="Q112" s="346"/>
      <c r="R112" s="346"/>
      <c r="S112" s="355" t="e">
        <f t="shared" si="82"/>
        <v>#N/A</v>
      </c>
      <c r="T112" s="709"/>
      <c r="U112" s="510"/>
      <c r="V112" s="511"/>
      <c r="W112" s="511"/>
      <c r="X112" s="343" t="e">
        <f t="shared" si="83"/>
        <v>#N/A</v>
      </c>
      <c r="Y112" s="709"/>
      <c r="Z112" s="510"/>
      <c r="AA112" s="511"/>
      <c r="AB112" s="511"/>
      <c r="AC112" s="343" t="e">
        <f t="shared" si="84"/>
        <v>#N/A</v>
      </c>
      <c r="AD112" s="709"/>
      <c r="AE112" s="510"/>
      <c r="AF112" s="511"/>
      <c r="AG112" s="511"/>
      <c r="AH112" s="343" t="e">
        <f t="shared" si="85"/>
        <v>#N/A</v>
      </c>
      <c r="AI112" s="709"/>
      <c r="AJ112" s="510"/>
      <c r="AK112" s="511"/>
      <c r="AL112" s="511"/>
      <c r="AM112" s="343" t="e">
        <f t="shared" si="86"/>
        <v>#N/A</v>
      </c>
      <c r="AN112" s="709"/>
      <c r="AO112" s="510"/>
      <c r="AP112" s="511"/>
      <c r="AQ112" s="511"/>
      <c r="AR112" s="343" t="e">
        <f t="shared" si="87"/>
        <v>#N/A</v>
      </c>
      <c r="AS112" s="709"/>
      <c r="AT112" s="510"/>
      <c r="AU112" s="511"/>
      <c r="AV112" s="511"/>
      <c r="AW112" s="343" t="e">
        <f t="shared" si="88"/>
        <v>#N/A</v>
      </c>
      <c r="AX112" s="681"/>
    </row>
    <row r="113" spans="2:50">
      <c r="B113" s="667"/>
      <c r="C113" s="343">
        <v>7</v>
      </c>
      <c r="D113" s="227"/>
      <c r="E113" s="182"/>
      <c r="F113" s="510"/>
      <c r="G113" s="511"/>
      <c r="H113" s="709"/>
      <c r="I113" s="199" t="e">
        <f t="shared" si="79"/>
        <v>#DIV/0!</v>
      </c>
      <c r="J113" s="199" t="e">
        <f t="shared" si="80"/>
        <v>#DIV/0!</v>
      </c>
      <c r="K113" s="200" t="e">
        <f t="shared" si="81"/>
        <v>#DIV/0!</v>
      </c>
      <c r="L113" s="641"/>
      <c r="M113" s="358" t="e">
        <f>RANK(K113, K$107:$K$121)</f>
        <v>#DIV/0!</v>
      </c>
      <c r="N113" s="659"/>
      <c r="O113" s="659"/>
      <c r="P113" s="343"/>
      <c r="Q113" s="346"/>
      <c r="R113" s="346"/>
      <c r="S113" s="355" t="e">
        <f t="shared" si="82"/>
        <v>#N/A</v>
      </c>
      <c r="T113" s="709"/>
      <c r="U113" s="510"/>
      <c r="V113" s="511"/>
      <c r="W113" s="511"/>
      <c r="X113" s="343" t="e">
        <f t="shared" si="83"/>
        <v>#N/A</v>
      </c>
      <c r="Y113" s="709"/>
      <c r="Z113" s="510"/>
      <c r="AA113" s="511"/>
      <c r="AB113" s="511"/>
      <c r="AC113" s="343" t="e">
        <f t="shared" si="84"/>
        <v>#N/A</v>
      </c>
      <c r="AD113" s="709"/>
      <c r="AE113" s="510"/>
      <c r="AF113" s="511"/>
      <c r="AG113" s="511"/>
      <c r="AH113" s="343" t="e">
        <f t="shared" si="85"/>
        <v>#N/A</v>
      </c>
      <c r="AI113" s="709"/>
      <c r="AJ113" s="510"/>
      <c r="AK113" s="511"/>
      <c r="AL113" s="511"/>
      <c r="AM113" s="343" t="e">
        <f t="shared" si="86"/>
        <v>#N/A</v>
      </c>
      <c r="AN113" s="709"/>
      <c r="AO113" s="510"/>
      <c r="AP113" s="511"/>
      <c r="AQ113" s="511"/>
      <c r="AR113" s="343" t="e">
        <f t="shared" si="87"/>
        <v>#N/A</v>
      </c>
      <c r="AS113" s="709"/>
      <c r="AT113" s="510"/>
      <c r="AU113" s="511"/>
      <c r="AV113" s="511"/>
      <c r="AW113" s="343" t="e">
        <f t="shared" si="88"/>
        <v>#N/A</v>
      </c>
      <c r="AX113" s="681"/>
    </row>
    <row r="114" spans="2:50">
      <c r="B114" s="667"/>
      <c r="C114" s="343">
        <v>8</v>
      </c>
      <c r="D114" s="227"/>
      <c r="E114" s="182"/>
      <c r="F114" s="510"/>
      <c r="G114" s="511"/>
      <c r="H114" s="709"/>
      <c r="I114" s="199" t="e">
        <f t="shared" si="79"/>
        <v>#DIV/0!</v>
      </c>
      <c r="J114" s="199" t="e">
        <f t="shared" si="80"/>
        <v>#DIV/0!</v>
      </c>
      <c r="K114" s="200" t="e">
        <f t="shared" si="81"/>
        <v>#DIV/0!</v>
      </c>
      <c r="L114" s="641"/>
      <c r="M114" s="358" t="e">
        <f>RANK(K114, K$107:$K$121)</f>
        <v>#DIV/0!</v>
      </c>
      <c r="N114" s="659"/>
      <c r="O114" s="659"/>
      <c r="P114" s="343"/>
      <c r="Q114" s="346"/>
      <c r="R114" s="346"/>
      <c r="S114" s="355" t="e">
        <f t="shared" si="82"/>
        <v>#N/A</v>
      </c>
      <c r="T114" s="709"/>
      <c r="U114" s="510"/>
      <c r="V114" s="511"/>
      <c r="W114" s="511"/>
      <c r="X114" s="343" t="e">
        <f t="shared" si="83"/>
        <v>#N/A</v>
      </c>
      <c r="Y114" s="709"/>
      <c r="Z114" s="510"/>
      <c r="AA114" s="511"/>
      <c r="AB114" s="511"/>
      <c r="AC114" s="343" t="e">
        <f t="shared" si="84"/>
        <v>#N/A</v>
      </c>
      <c r="AD114" s="709"/>
      <c r="AE114" s="510"/>
      <c r="AF114" s="511"/>
      <c r="AG114" s="511"/>
      <c r="AH114" s="343" t="e">
        <f t="shared" si="85"/>
        <v>#N/A</v>
      </c>
      <c r="AI114" s="709"/>
      <c r="AJ114" s="510"/>
      <c r="AK114" s="511"/>
      <c r="AL114" s="511"/>
      <c r="AM114" s="343" t="e">
        <f t="shared" si="86"/>
        <v>#N/A</v>
      </c>
      <c r="AN114" s="709"/>
      <c r="AO114" s="510"/>
      <c r="AP114" s="511"/>
      <c r="AQ114" s="511"/>
      <c r="AR114" s="343" t="e">
        <f t="shared" si="87"/>
        <v>#N/A</v>
      </c>
      <c r="AS114" s="709"/>
      <c r="AT114" s="510"/>
      <c r="AU114" s="511"/>
      <c r="AV114" s="511"/>
      <c r="AW114" s="343" t="e">
        <f t="shared" si="88"/>
        <v>#N/A</v>
      </c>
      <c r="AX114" s="681"/>
    </row>
    <row r="115" spans="2:50">
      <c r="B115" s="667"/>
      <c r="C115" s="343">
        <v>9</v>
      </c>
      <c r="D115" s="227"/>
      <c r="E115" s="182"/>
      <c r="F115" s="510"/>
      <c r="G115" s="511"/>
      <c r="H115" s="709"/>
      <c r="I115" s="357" t="e">
        <f t="shared" ref="I115:I116" si="89">AVERAGE(P115,U115,Z115,AE115,AJ115,AO115,AT115)</f>
        <v>#DIV/0!</v>
      </c>
      <c r="J115" s="357" t="e">
        <f t="shared" ref="J115:J116" si="90">AVERAGE(Q115,V115,AA115,AF115,AK115,AP115,AU115)</f>
        <v>#DIV/0!</v>
      </c>
      <c r="K115" s="200" t="e">
        <f t="shared" ref="K115:K116" si="91">AVERAGE(R115,W115,AB115,AG115,AL115,AQ115,AV115)</f>
        <v>#DIV/0!</v>
      </c>
      <c r="L115" s="641"/>
      <c r="M115" s="358" t="e">
        <f>RANK(K115, K$107:$K$121)</f>
        <v>#DIV/0!</v>
      </c>
      <c r="N115" s="659"/>
      <c r="O115" s="659"/>
      <c r="P115" s="343"/>
      <c r="Q115" s="346"/>
      <c r="R115" s="346"/>
      <c r="S115" s="355" t="e">
        <f t="shared" si="82"/>
        <v>#N/A</v>
      </c>
      <c r="T115" s="709"/>
      <c r="U115" s="510"/>
      <c r="V115" s="511"/>
      <c r="W115" s="511"/>
      <c r="X115" s="343" t="e">
        <f t="shared" si="83"/>
        <v>#N/A</v>
      </c>
      <c r="Y115" s="709"/>
      <c r="Z115" s="510"/>
      <c r="AA115" s="511"/>
      <c r="AB115" s="511"/>
      <c r="AC115" s="343" t="e">
        <f t="shared" si="84"/>
        <v>#N/A</v>
      </c>
      <c r="AD115" s="709"/>
      <c r="AE115" s="510"/>
      <c r="AF115" s="511"/>
      <c r="AG115" s="511"/>
      <c r="AH115" s="343" t="e">
        <f t="shared" si="85"/>
        <v>#N/A</v>
      </c>
      <c r="AI115" s="709"/>
      <c r="AJ115" s="510"/>
      <c r="AK115" s="511"/>
      <c r="AL115" s="511"/>
      <c r="AM115" s="343" t="e">
        <f t="shared" si="86"/>
        <v>#N/A</v>
      </c>
      <c r="AN115" s="709"/>
      <c r="AO115" s="510"/>
      <c r="AP115" s="511"/>
      <c r="AQ115" s="511"/>
      <c r="AR115" s="343" t="e">
        <f t="shared" si="87"/>
        <v>#N/A</v>
      </c>
      <c r="AS115" s="709"/>
      <c r="AT115" s="510"/>
      <c r="AU115" s="511"/>
      <c r="AV115" s="511"/>
      <c r="AW115" s="343" t="e">
        <f t="shared" si="88"/>
        <v>#N/A</v>
      </c>
      <c r="AX115" s="681"/>
    </row>
    <row r="116" spans="2:50">
      <c r="B116" s="667"/>
      <c r="C116" s="343">
        <v>10</v>
      </c>
      <c r="D116" s="227"/>
      <c r="E116" s="182"/>
      <c r="F116" s="510"/>
      <c r="G116" s="511"/>
      <c r="H116" s="709"/>
      <c r="I116" s="357" t="e">
        <f t="shared" si="89"/>
        <v>#DIV/0!</v>
      </c>
      <c r="J116" s="357" t="e">
        <f t="shared" si="90"/>
        <v>#DIV/0!</v>
      </c>
      <c r="K116" s="200" t="e">
        <f t="shared" si="91"/>
        <v>#DIV/0!</v>
      </c>
      <c r="L116" s="641"/>
      <c r="M116" s="358" t="e">
        <f>RANK(K116, K$107:$K$121)</f>
        <v>#DIV/0!</v>
      </c>
      <c r="N116" s="659"/>
      <c r="O116" s="659"/>
      <c r="P116" s="343"/>
      <c r="Q116" s="346"/>
      <c r="R116" s="346"/>
      <c r="S116" s="355" t="e">
        <f t="shared" si="82"/>
        <v>#N/A</v>
      </c>
      <c r="T116" s="709"/>
      <c r="U116" s="510"/>
      <c r="V116" s="511"/>
      <c r="W116" s="511"/>
      <c r="X116" s="343" t="e">
        <f t="shared" si="83"/>
        <v>#N/A</v>
      </c>
      <c r="Y116" s="709"/>
      <c r="Z116" s="510"/>
      <c r="AA116" s="511"/>
      <c r="AB116" s="511"/>
      <c r="AC116" s="343" t="e">
        <f t="shared" si="84"/>
        <v>#N/A</v>
      </c>
      <c r="AD116" s="709"/>
      <c r="AE116" s="510"/>
      <c r="AF116" s="511"/>
      <c r="AG116" s="511"/>
      <c r="AH116" s="343" t="e">
        <f t="shared" si="85"/>
        <v>#N/A</v>
      </c>
      <c r="AI116" s="709"/>
      <c r="AJ116" s="510"/>
      <c r="AK116" s="511"/>
      <c r="AL116" s="511"/>
      <c r="AM116" s="343" t="e">
        <f t="shared" si="86"/>
        <v>#N/A</v>
      </c>
      <c r="AN116" s="709"/>
      <c r="AO116" s="510"/>
      <c r="AP116" s="511"/>
      <c r="AQ116" s="511"/>
      <c r="AR116" s="343" t="e">
        <f t="shared" si="87"/>
        <v>#N/A</v>
      </c>
      <c r="AS116" s="709"/>
      <c r="AT116" s="510"/>
      <c r="AU116" s="511"/>
      <c r="AV116" s="511"/>
      <c r="AW116" s="343" t="e">
        <f t="shared" si="88"/>
        <v>#N/A</v>
      </c>
      <c r="AX116" s="681"/>
    </row>
    <row r="117" spans="2:50">
      <c r="B117" s="667"/>
      <c r="C117" s="343">
        <v>11</v>
      </c>
      <c r="D117" s="227"/>
      <c r="E117" s="182"/>
      <c r="F117" s="510"/>
      <c r="G117" s="511"/>
      <c r="H117" s="709"/>
      <c r="I117" s="202"/>
      <c r="J117" s="202"/>
      <c r="K117" s="202"/>
      <c r="L117" s="641"/>
      <c r="M117" s="358" t="e">
        <f>RANK(K117, K$107:$K$121)</f>
        <v>#DIV/0!</v>
      </c>
      <c r="N117" s="659"/>
      <c r="O117" s="659"/>
      <c r="P117" s="343"/>
      <c r="Q117" s="346"/>
      <c r="R117" s="346"/>
      <c r="S117" s="355" t="e">
        <f t="shared" si="82"/>
        <v>#N/A</v>
      </c>
      <c r="T117" s="709"/>
      <c r="U117" s="510"/>
      <c r="V117" s="511"/>
      <c r="W117" s="511"/>
      <c r="X117" s="343" t="e">
        <f t="shared" si="83"/>
        <v>#N/A</v>
      </c>
      <c r="Y117" s="709"/>
      <c r="Z117" s="510"/>
      <c r="AA117" s="511"/>
      <c r="AB117" s="511"/>
      <c r="AC117" s="343" t="e">
        <f t="shared" si="84"/>
        <v>#N/A</v>
      </c>
      <c r="AD117" s="709"/>
      <c r="AE117" s="510"/>
      <c r="AF117" s="511"/>
      <c r="AG117" s="511"/>
      <c r="AH117" s="343" t="e">
        <f t="shared" si="85"/>
        <v>#N/A</v>
      </c>
      <c r="AI117" s="709"/>
      <c r="AJ117" s="510"/>
      <c r="AK117" s="511"/>
      <c r="AL117" s="511"/>
      <c r="AM117" s="343" t="e">
        <f t="shared" si="86"/>
        <v>#N/A</v>
      </c>
      <c r="AN117" s="709"/>
      <c r="AO117" s="510"/>
      <c r="AP117" s="511"/>
      <c r="AQ117" s="511"/>
      <c r="AR117" s="343" t="e">
        <f t="shared" si="87"/>
        <v>#N/A</v>
      </c>
      <c r="AS117" s="709"/>
      <c r="AT117" s="510"/>
      <c r="AU117" s="511"/>
      <c r="AV117" s="511"/>
      <c r="AW117" s="343" t="e">
        <f t="shared" si="88"/>
        <v>#N/A</v>
      </c>
      <c r="AX117" s="681"/>
    </row>
    <row r="118" spans="2:50">
      <c r="B118" s="667"/>
      <c r="C118" s="343">
        <v>12</v>
      </c>
      <c r="D118" s="227"/>
      <c r="E118" s="182"/>
      <c r="F118" s="510"/>
      <c r="G118" s="511"/>
      <c r="H118" s="709"/>
      <c r="I118" s="202"/>
      <c r="J118" s="202"/>
      <c r="K118" s="202"/>
      <c r="L118" s="641"/>
      <c r="M118" s="358" t="e">
        <f>RANK(K118, K$107:$K$121)</f>
        <v>#DIV/0!</v>
      </c>
      <c r="N118" s="659"/>
      <c r="O118" s="659"/>
      <c r="P118" s="343"/>
      <c r="Q118" s="346"/>
      <c r="R118" s="346"/>
      <c r="S118" s="355" t="e">
        <f t="shared" si="82"/>
        <v>#N/A</v>
      </c>
      <c r="T118" s="709"/>
      <c r="U118" s="510"/>
      <c r="V118" s="511"/>
      <c r="W118" s="511"/>
      <c r="X118" s="343" t="e">
        <f t="shared" si="83"/>
        <v>#N/A</v>
      </c>
      <c r="Y118" s="709"/>
      <c r="Z118" s="510"/>
      <c r="AA118" s="511"/>
      <c r="AB118" s="511"/>
      <c r="AC118" s="343" t="e">
        <f t="shared" si="84"/>
        <v>#N/A</v>
      </c>
      <c r="AD118" s="709"/>
      <c r="AE118" s="510"/>
      <c r="AF118" s="511"/>
      <c r="AG118" s="511"/>
      <c r="AH118" s="343" t="e">
        <f t="shared" si="85"/>
        <v>#N/A</v>
      </c>
      <c r="AI118" s="709"/>
      <c r="AJ118" s="510"/>
      <c r="AK118" s="511"/>
      <c r="AL118" s="511"/>
      <c r="AM118" s="343" t="e">
        <f t="shared" si="86"/>
        <v>#N/A</v>
      </c>
      <c r="AN118" s="709"/>
      <c r="AO118" s="510"/>
      <c r="AP118" s="511"/>
      <c r="AQ118" s="511"/>
      <c r="AR118" s="343" t="e">
        <f t="shared" si="87"/>
        <v>#N/A</v>
      </c>
      <c r="AS118" s="709"/>
      <c r="AT118" s="510"/>
      <c r="AU118" s="511"/>
      <c r="AV118" s="511"/>
      <c r="AW118" s="343" t="e">
        <f t="shared" si="88"/>
        <v>#N/A</v>
      </c>
      <c r="AX118" s="681"/>
    </row>
    <row r="119" spans="2:50">
      <c r="B119" s="667"/>
      <c r="C119" s="343">
        <v>13</v>
      </c>
      <c r="D119" s="227"/>
      <c r="E119" s="182"/>
      <c r="F119" s="510"/>
      <c r="G119" s="511"/>
      <c r="H119" s="709"/>
      <c r="I119" s="202"/>
      <c r="J119" s="202"/>
      <c r="K119" s="202"/>
      <c r="L119" s="641"/>
      <c r="M119" s="358" t="e">
        <f>RANK(K119, K$107:$K$121)</f>
        <v>#DIV/0!</v>
      </c>
      <c r="N119" s="659"/>
      <c r="O119" s="659"/>
      <c r="P119" s="343"/>
      <c r="Q119" s="346"/>
      <c r="R119" s="346"/>
      <c r="S119" s="355" t="e">
        <f t="shared" si="82"/>
        <v>#N/A</v>
      </c>
      <c r="T119" s="709"/>
      <c r="U119" s="510"/>
      <c r="V119" s="511"/>
      <c r="W119" s="511"/>
      <c r="X119" s="343" t="e">
        <f t="shared" si="83"/>
        <v>#N/A</v>
      </c>
      <c r="Y119" s="709"/>
      <c r="Z119" s="510"/>
      <c r="AA119" s="511"/>
      <c r="AB119" s="511"/>
      <c r="AC119" s="343" t="e">
        <f t="shared" si="84"/>
        <v>#N/A</v>
      </c>
      <c r="AD119" s="709"/>
      <c r="AE119" s="510"/>
      <c r="AF119" s="511"/>
      <c r="AG119" s="511"/>
      <c r="AH119" s="343" t="e">
        <f t="shared" si="85"/>
        <v>#N/A</v>
      </c>
      <c r="AI119" s="709"/>
      <c r="AJ119" s="510"/>
      <c r="AK119" s="511"/>
      <c r="AL119" s="511"/>
      <c r="AM119" s="343" t="e">
        <f t="shared" si="86"/>
        <v>#N/A</v>
      </c>
      <c r="AN119" s="709"/>
      <c r="AO119" s="510"/>
      <c r="AP119" s="511"/>
      <c r="AQ119" s="511"/>
      <c r="AR119" s="343" t="e">
        <f t="shared" si="87"/>
        <v>#N/A</v>
      </c>
      <c r="AS119" s="709"/>
      <c r="AT119" s="510"/>
      <c r="AU119" s="511"/>
      <c r="AV119" s="511"/>
      <c r="AW119" s="343" t="e">
        <f t="shared" si="88"/>
        <v>#N/A</v>
      </c>
      <c r="AX119" s="681"/>
    </row>
    <row r="120" spans="2:50">
      <c r="B120" s="667"/>
      <c r="C120" s="343">
        <v>14</v>
      </c>
      <c r="D120" s="227"/>
      <c r="E120" s="182"/>
      <c r="F120" s="510"/>
      <c r="G120" s="511"/>
      <c r="H120" s="709"/>
      <c r="I120" s="202"/>
      <c r="J120" s="202"/>
      <c r="K120" s="202"/>
      <c r="L120" s="641"/>
      <c r="M120" s="358" t="e">
        <f>RANK(K120, K$107:$K$121)</f>
        <v>#DIV/0!</v>
      </c>
      <c r="N120" s="659"/>
      <c r="O120" s="659"/>
      <c r="P120" s="343"/>
      <c r="Q120" s="346"/>
      <c r="R120" s="346"/>
      <c r="S120" s="355" t="e">
        <f t="shared" si="82"/>
        <v>#N/A</v>
      </c>
      <c r="T120" s="709"/>
      <c r="U120" s="510"/>
      <c r="V120" s="511"/>
      <c r="W120" s="511"/>
      <c r="X120" s="343" t="e">
        <f t="shared" si="83"/>
        <v>#N/A</v>
      </c>
      <c r="Y120" s="709"/>
      <c r="Z120" s="510"/>
      <c r="AA120" s="511"/>
      <c r="AB120" s="511"/>
      <c r="AC120" s="343" t="e">
        <f t="shared" si="84"/>
        <v>#N/A</v>
      </c>
      <c r="AD120" s="709"/>
      <c r="AE120" s="510"/>
      <c r="AF120" s="511"/>
      <c r="AG120" s="511"/>
      <c r="AH120" s="343" t="e">
        <f t="shared" si="85"/>
        <v>#N/A</v>
      </c>
      <c r="AI120" s="709"/>
      <c r="AJ120" s="510"/>
      <c r="AK120" s="511"/>
      <c r="AL120" s="511"/>
      <c r="AM120" s="343" t="e">
        <f t="shared" si="86"/>
        <v>#N/A</v>
      </c>
      <c r="AN120" s="709"/>
      <c r="AO120" s="510"/>
      <c r="AP120" s="511"/>
      <c r="AQ120" s="511"/>
      <c r="AR120" s="343" t="e">
        <f t="shared" si="87"/>
        <v>#N/A</v>
      </c>
      <c r="AS120" s="709"/>
      <c r="AT120" s="510"/>
      <c r="AU120" s="511"/>
      <c r="AV120" s="511"/>
      <c r="AW120" s="343" t="e">
        <f t="shared" si="88"/>
        <v>#N/A</v>
      </c>
      <c r="AX120" s="681"/>
    </row>
    <row r="121" spans="2:50">
      <c r="B121" s="667"/>
      <c r="C121" s="343">
        <v>15</v>
      </c>
      <c r="D121" s="227"/>
      <c r="E121" s="182"/>
      <c r="F121" s="510"/>
      <c r="G121" s="511"/>
      <c r="H121" s="710"/>
      <c r="I121" s="202"/>
      <c r="J121" s="202"/>
      <c r="K121" s="202"/>
      <c r="L121" s="642"/>
      <c r="M121" s="358" t="e">
        <f>RANK(K121, K$107:$K$121)</f>
        <v>#DIV/0!</v>
      </c>
      <c r="N121" s="659"/>
      <c r="O121" s="659"/>
      <c r="P121" s="343"/>
      <c r="Q121" s="346"/>
      <c r="R121" s="346"/>
      <c r="S121" s="355" t="e">
        <f t="shared" si="82"/>
        <v>#N/A</v>
      </c>
      <c r="T121" s="710"/>
      <c r="U121" s="510"/>
      <c r="V121" s="511"/>
      <c r="W121" s="511"/>
      <c r="X121" s="343" t="e">
        <f t="shared" si="83"/>
        <v>#N/A</v>
      </c>
      <c r="Y121" s="710"/>
      <c r="Z121" s="510"/>
      <c r="AA121" s="511"/>
      <c r="AB121" s="511"/>
      <c r="AC121" s="343" t="e">
        <f t="shared" si="84"/>
        <v>#N/A</v>
      </c>
      <c r="AD121" s="710"/>
      <c r="AE121" s="510"/>
      <c r="AF121" s="511"/>
      <c r="AG121" s="511"/>
      <c r="AH121" s="343" t="e">
        <f t="shared" si="85"/>
        <v>#N/A</v>
      </c>
      <c r="AI121" s="710"/>
      <c r="AJ121" s="510"/>
      <c r="AK121" s="511"/>
      <c r="AL121" s="511"/>
      <c r="AM121" s="343" t="e">
        <f t="shared" si="86"/>
        <v>#N/A</v>
      </c>
      <c r="AN121" s="710"/>
      <c r="AO121" s="510"/>
      <c r="AP121" s="511"/>
      <c r="AQ121" s="511"/>
      <c r="AR121" s="343" t="e">
        <f t="shared" si="87"/>
        <v>#N/A</v>
      </c>
      <c r="AS121" s="710"/>
      <c r="AT121" s="510"/>
      <c r="AU121" s="511"/>
      <c r="AV121" s="511"/>
      <c r="AW121" s="343" t="e">
        <f t="shared" si="88"/>
        <v>#N/A</v>
      </c>
      <c r="AX121" s="681"/>
    </row>
    <row r="123" spans="2:50" ht="15.75">
      <c r="B123" s="698" t="s">
        <v>661</v>
      </c>
      <c r="C123" s="699"/>
      <c r="D123" s="699"/>
      <c r="E123" s="699"/>
      <c r="F123" s="699"/>
      <c r="G123" s="699"/>
      <c r="H123" s="700"/>
      <c r="I123" s="347"/>
      <c r="J123" s="347"/>
      <c r="K123" s="347"/>
      <c r="L123" s="347"/>
      <c r="M123" s="348"/>
    </row>
    <row r="124" spans="2:50" ht="15.75">
      <c r="B124" s="701"/>
      <c r="C124" s="701"/>
      <c r="D124" s="701"/>
      <c r="E124" s="701"/>
      <c r="F124" s="701"/>
      <c r="G124" s="701"/>
      <c r="H124" s="701"/>
      <c r="I124" s="349"/>
      <c r="J124" s="349"/>
      <c r="K124" s="349"/>
      <c r="L124" s="349"/>
      <c r="M124" s="350"/>
    </row>
    <row r="125" spans="2:50">
      <c r="B125" s="659" t="s">
        <v>662</v>
      </c>
      <c r="C125" s="659" t="s">
        <v>663</v>
      </c>
      <c r="D125" s="659"/>
      <c r="E125" s="659" t="s">
        <v>664</v>
      </c>
      <c r="F125" s="659"/>
      <c r="G125" s="659"/>
      <c r="H125" s="675" t="s">
        <v>665</v>
      </c>
      <c r="I125" s="702" t="s">
        <v>666</v>
      </c>
      <c r="J125" s="702"/>
      <c r="K125" s="702"/>
      <c r="L125" s="718" t="s">
        <v>665</v>
      </c>
      <c r="M125" s="721" t="s">
        <v>667</v>
      </c>
    </row>
    <row r="126" spans="2:50">
      <c r="B126" s="659"/>
      <c r="C126" s="659"/>
      <c r="D126" s="659"/>
      <c r="E126" s="659" t="s">
        <v>668</v>
      </c>
      <c r="F126" s="659"/>
      <c r="G126" s="659"/>
      <c r="H126" s="676"/>
      <c r="I126" s="702" t="s">
        <v>668</v>
      </c>
      <c r="J126" s="702"/>
      <c r="K126" s="702"/>
      <c r="L126" s="719"/>
      <c r="M126" s="722"/>
    </row>
    <row r="127" spans="2:50">
      <c r="B127" s="659"/>
      <c r="C127" s="659"/>
      <c r="D127" s="659"/>
      <c r="E127" s="344" t="s">
        <v>669</v>
      </c>
      <c r="F127" s="344" t="s">
        <v>670</v>
      </c>
      <c r="G127" s="344" t="s">
        <v>671</v>
      </c>
      <c r="H127" s="677"/>
      <c r="I127" s="351" t="s">
        <v>669</v>
      </c>
      <c r="J127" s="351" t="s">
        <v>670</v>
      </c>
      <c r="K127" s="351" t="s">
        <v>671</v>
      </c>
      <c r="L127" s="720"/>
      <c r="M127" s="723"/>
    </row>
    <row r="128" spans="2:50">
      <c r="B128" s="659" t="s">
        <v>677</v>
      </c>
      <c r="C128" s="343">
        <v>1</v>
      </c>
      <c r="D128" s="227"/>
      <c r="E128" s="182"/>
      <c r="F128" s="343"/>
      <c r="G128" s="346"/>
      <c r="H128" s="708" t="e">
        <f>AVERAGE(G128:G142)</f>
        <v>#DIV/0!</v>
      </c>
      <c r="I128" s="199" t="e">
        <f t="shared" ref="I128:J135" si="92">AVERAGEIF($D$7:$D$121,$D128,I$7:I$121)</f>
        <v>#DIV/0!</v>
      </c>
      <c r="J128" s="199" t="e">
        <f t="shared" si="92"/>
        <v>#DIV/0!</v>
      </c>
      <c r="K128" s="199" t="e">
        <f t="shared" ref="K128:K135" si="93">AVERAGEIF($D$7:$D$121,$D128,K$7:K$121)</f>
        <v>#DIV/0!</v>
      </c>
      <c r="L128" s="715" t="e">
        <f>AVERAGE(K128:K142)</f>
        <v>#DIV/0!</v>
      </c>
      <c r="M128" s="199" t="e">
        <f>RANK(K128, K$128:$K$142)</f>
        <v>#DIV/0!</v>
      </c>
    </row>
    <row r="129" spans="2:13" s="108" customFormat="1">
      <c r="B129" s="667"/>
      <c r="C129" s="343">
        <v>2</v>
      </c>
      <c r="D129" s="227"/>
      <c r="E129" s="182"/>
      <c r="F129" s="343"/>
      <c r="G129" s="346"/>
      <c r="H129" s="709"/>
      <c r="I129" s="199" t="e">
        <f t="shared" si="92"/>
        <v>#DIV/0!</v>
      </c>
      <c r="J129" s="199" t="e">
        <f t="shared" si="92"/>
        <v>#DIV/0!</v>
      </c>
      <c r="K129" s="199" t="e">
        <f t="shared" si="93"/>
        <v>#DIV/0!</v>
      </c>
      <c r="L129" s="716"/>
      <c r="M129" s="199" t="e">
        <f>RANK(K129, K$128:$K$142)</f>
        <v>#DIV/0!</v>
      </c>
    </row>
    <row r="130" spans="2:13" s="108" customFormat="1">
      <c r="B130" s="667"/>
      <c r="C130" s="343">
        <v>3</v>
      </c>
      <c r="D130" s="227"/>
      <c r="E130" s="182"/>
      <c r="F130" s="343"/>
      <c r="G130" s="346"/>
      <c r="H130" s="709"/>
      <c r="I130" s="199" t="e">
        <f t="shared" si="92"/>
        <v>#DIV/0!</v>
      </c>
      <c r="J130" s="199" t="e">
        <f t="shared" si="92"/>
        <v>#DIV/0!</v>
      </c>
      <c r="K130" s="199" t="e">
        <f t="shared" si="93"/>
        <v>#DIV/0!</v>
      </c>
      <c r="L130" s="716"/>
      <c r="M130" s="199" t="e">
        <f>RANK(K130, K$128:$K$142)</f>
        <v>#DIV/0!</v>
      </c>
    </row>
    <row r="131" spans="2:13" s="108" customFormat="1">
      <c r="B131" s="667"/>
      <c r="C131" s="343">
        <v>4</v>
      </c>
      <c r="D131" s="227"/>
      <c r="E131" s="182"/>
      <c r="F131" s="343"/>
      <c r="G131" s="346"/>
      <c r="H131" s="709"/>
      <c r="I131" s="199" t="e">
        <f t="shared" si="92"/>
        <v>#DIV/0!</v>
      </c>
      <c r="J131" s="199" t="e">
        <f t="shared" si="92"/>
        <v>#DIV/0!</v>
      </c>
      <c r="K131" s="199" t="e">
        <f t="shared" si="93"/>
        <v>#DIV/0!</v>
      </c>
      <c r="L131" s="716"/>
      <c r="M131" s="199" t="e">
        <f>RANK(K131, K$128:$K$142)</f>
        <v>#DIV/0!</v>
      </c>
    </row>
    <row r="132" spans="2:13" s="108" customFormat="1">
      <c r="B132" s="667"/>
      <c r="C132" s="343">
        <v>5</v>
      </c>
      <c r="D132" s="227"/>
      <c r="E132" s="182"/>
      <c r="F132" s="343"/>
      <c r="G132" s="346"/>
      <c r="H132" s="709"/>
      <c r="I132" s="199" t="e">
        <f t="shared" si="92"/>
        <v>#DIV/0!</v>
      </c>
      <c r="J132" s="199" t="e">
        <f t="shared" si="92"/>
        <v>#DIV/0!</v>
      </c>
      <c r="K132" s="199" t="e">
        <f t="shared" si="93"/>
        <v>#DIV/0!</v>
      </c>
      <c r="L132" s="716"/>
      <c r="M132" s="199" t="e">
        <f>RANK(K132, K$128:$K$142)</f>
        <v>#DIV/0!</v>
      </c>
    </row>
    <row r="133" spans="2:13" s="108" customFormat="1">
      <c r="B133" s="667"/>
      <c r="C133" s="343">
        <v>6</v>
      </c>
      <c r="D133" s="352"/>
      <c r="E133" s="182"/>
      <c r="F133" s="343"/>
      <c r="G133" s="346"/>
      <c r="H133" s="709"/>
      <c r="I133" s="199" t="e">
        <f t="shared" si="92"/>
        <v>#DIV/0!</v>
      </c>
      <c r="J133" s="199" t="e">
        <f t="shared" si="92"/>
        <v>#DIV/0!</v>
      </c>
      <c r="K133" s="199" t="e">
        <f t="shared" si="93"/>
        <v>#DIV/0!</v>
      </c>
      <c r="L133" s="716"/>
      <c r="M133" s="199" t="e">
        <f>RANK(K133, K$128:$K$142)</f>
        <v>#DIV/0!</v>
      </c>
    </row>
    <row r="134" spans="2:13" s="108" customFormat="1">
      <c r="B134" s="667"/>
      <c r="C134" s="343">
        <v>7</v>
      </c>
      <c r="D134" s="227"/>
      <c r="E134" s="182"/>
      <c r="F134" s="343"/>
      <c r="G134" s="346"/>
      <c r="H134" s="709"/>
      <c r="I134" s="199" t="e">
        <f t="shared" si="92"/>
        <v>#DIV/0!</v>
      </c>
      <c r="J134" s="199" t="e">
        <f t="shared" si="92"/>
        <v>#DIV/0!</v>
      </c>
      <c r="K134" s="199" t="e">
        <f t="shared" si="93"/>
        <v>#DIV/0!</v>
      </c>
      <c r="L134" s="716"/>
      <c r="M134" s="199" t="e">
        <f>RANK(K134, K$128:$K$142)</f>
        <v>#DIV/0!</v>
      </c>
    </row>
    <row r="135" spans="2:13" s="108" customFormat="1">
      <c r="B135" s="667"/>
      <c r="C135" s="343">
        <v>8</v>
      </c>
      <c r="D135" s="227"/>
      <c r="E135" s="182"/>
      <c r="F135" s="343"/>
      <c r="G135" s="346"/>
      <c r="H135" s="709"/>
      <c r="I135" s="199" t="e">
        <f t="shared" si="92"/>
        <v>#DIV/0!</v>
      </c>
      <c r="J135" s="199" t="e">
        <f t="shared" si="92"/>
        <v>#DIV/0!</v>
      </c>
      <c r="K135" s="199" t="e">
        <f t="shared" si="93"/>
        <v>#DIV/0!</v>
      </c>
      <c r="L135" s="716"/>
      <c r="M135" s="199" t="e">
        <f>RANK(K135, K$128:$K$142)</f>
        <v>#DIV/0!</v>
      </c>
    </row>
    <row r="136" spans="2:13" s="108" customFormat="1">
      <c r="B136" s="667"/>
      <c r="C136" s="343">
        <v>9</v>
      </c>
      <c r="D136" s="227"/>
      <c r="E136" s="343"/>
      <c r="F136" s="343"/>
      <c r="G136" s="343"/>
      <c r="H136" s="709"/>
      <c r="I136" s="199"/>
      <c r="J136" s="199"/>
      <c r="K136" s="199"/>
      <c r="L136" s="716"/>
      <c r="M136" s="199" t="e">
        <f>RANK(K136, K$128:$K$142)</f>
        <v>#DIV/0!</v>
      </c>
    </row>
    <row r="137" spans="2:13" s="108" customFormat="1">
      <c r="B137" s="667"/>
      <c r="C137" s="343">
        <v>10</v>
      </c>
      <c r="D137" s="227"/>
      <c r="E137" s="343"/>
      <c r="F137" s="343"/>
      <c r="G137" s="343"/>
      <c r="H137" s="709"/>
      <c r="I137" s="199"/>
      <c r="J137" s="199"/>
      <c r="K137" s="199"/>
      <c r="L137" s="716"/>
      <c r="M137" s="199" t="e">
        <f>RANK(K137, K$128:$K$142)</f>
        <v>#DIV/0!</v>
      </c>
    </row>
    <row r="138" spans="2:13" s="108" customFormat="1">
      <c r="B138" s="667"/>
      <c r="C138" s="343">
        <v>11</v>
      </c>
      <c r="D138" s="227"/>
      <c r="E138" s="343"/>
      <c r="F138" s="343"/>
      <c r="G138" s="343"/>
      <c r="H138" s="709"/>
      <c r="I138" s="199"/>
      <c r="J138" s="199"/>
      <c r="K138" s="199"/>
      <c r="L138" s="716"/>
      <c r="M138" s="199" t="e">
        <f>RANK(K138, K$128:$K$142)</f>
        <v>#DIV/0!</v>
      </c>
    </row>
    <row r="139" spans="2:13" s="108" customFormat="1">
      <c r="B139" s="667"/>
      <c r="C139" s="343">
        <v>12</v>
      </c>
      <c r="D139" s="227"/>
      <c r="E139" s="343"/>
      <c r="F139" s="343"/>
      <c r="G139" s="343"/>
      <c r="H139" s="709"/>
      <c r="I139" s="199"/>
      <c r="J139" s="199"/>
      <c r="K139" s="199"/>
      <c r="L139" s="716"/>
      <c r="M139" s="199" t="e">
        <f>RANK(K139, K$128:$K$142)</f>
        <v>#DIV/0!</v>
      </c>
    </row>
    <row r="140" spans="2:13" s="108" customFormat="1">
      <c r="B140" s="667"/>
      <c r="C140" s="343">
        <v>13</v>
      </c>
      <c r="D140" s="227"/>
      <c r="E140" s="343"/>
      <c r="F140" s="343"/>
      <c r="G140" s="343"/>
      <c r="H140" s="709"/>
      <c r="I140" s="199"/>
      <c r="J140" s="199"/>
      <c r="K140" s="199"/>
      <c r="L140" s="716"/>
      <c r="M140" s="199" t="e">
        <f>RANK(K140, K$128:$K$142)</f>
        <v>#DIV/0!</v>
      </c>
    </row>
    <row r="141" spans="2:13" s="108" customFormat="1">
      <c r="B141" s="667"/>
      <c r="C141" s="343">
        <v>14</v>
      </c>
      <c r="D141" s="227"/>
      <c r="E141" s="343"/>
      <c r="F141" s="343"/>
      <c r="G141" s="343"/>
      <c r="H141" s="709"/>
      <c r="I141" s="199"/>
      <c r="J141" s="199"/>
      <c r="K141" s="199"/>
      <c r="L141" s="716"/>
      <c r="M141" s="199" t="e">
        <f>RANK(K141, K$128:$K$142)</f>
        <v>#DIV/0!</v>
      </c>
    </row>
    <row r="142" spans="2:13" s="108" customFormat="1">
      <c r="B142" s="667"/>
      <c r="C142" s="343">
        <v>15</v>
      </c>
      <c r="D142" s="227"/>
      <c r="E142" s="343"/>
      <c r="F142" s="343"/>
      <c r="G142" s="343"/>
      <c r="H142" s="710"/>
      <c r="I142" s="199"/>
      <c r="J142" s="199"/>
      <c r="K142" s="199"/>
      <c r="L142" s="717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P1" activePane="topRight" state="frozen"/>
      <selection activeCell="P2" sqref="P2:AX2"/>
      <selection pane="topRight" activeCell="L7" sqref="L7:L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83.877892489433421</v>
      </c>
    </row>
    <row r="2" spans="1:54" ht="15.75">
      <c r="A2" s="81"/>
      <c r="B2" s="671" t="s">
        <v>163</v>
      </c>
      <c r="C2" s="671"/>
      <c r="D2" s="671"/>
      <c r="E2" s="671"/>
      <c r="F2" s="671"/>
      <c r="G2" s="671"/>
      <c r="H2" s="671"/>
      <c r="I2" s="310"/>
      <c r="J2" s="310"/>
      <c r="K2" s="310"/>
      <c r="L2" s="310"/>
      <c r="M2" s="197"/>
      <c r="N2" s="660" t="s">
        <v>156</v>
      </c>
      <c r="O2" s="660" t="s">
        <v>155</v>
      </c>
      <c r="P2" s="687">
        <v>46084</v>
      </c>
      <c r="Q2" s="688"/>
      <c r="R2" s="688"/>
      <c r="S2" s="688"/>
      <c r="T2" s="689"/>
      <c r="U2" s="666">
        <f>P2+1</f>
        <v>46085</v>
      </c>
      <c r="V2" s="667"/>
      <c r="W2" s="667"/>
      <c r="X2" s="667"/>
      <c r="Y2" s="667"/>
      <c r="Z2" s="666">
        <f>U2+1</f>
        <v>46086</v>
      </c>
      <c r="AA2" s="667"/>
      <c r="AB2" s="667"/>
      <c r="AC2" s="667"/>
      <c r="AD2" s="667"/>
      <c r="AE2" s="666">
        <f>Z2+1</f>
        <v>46087</v>
      </c>
      <c r="AF2" s="667"/>
      <c r="AG2" s="667"/>
      <c r="AH2" s="667"/>
      <c r="AI2" s="667"/>
      <c r="AJ2" s="666">
        <f>AE2+1</f>
        <v>46088</v>
      </c>
      <c r="AK2" s="667"/>
      <c r="AL2" s="667"/>
      <c r="AM2" s="667"/>
      <c r="AN2" s="667"/>
      <c r="AO2" s="666">
        <f>AJ2+1</f>
        <v>46089</v>
      </c>
      <c r="AP2" s="667"/>
      <c r="AQ2" s="667"/>
      <c r="AR2" s="667"/>
      <c r="AS2" s="667"/>
      <c r="AT2" s="663">
        <f>AO2+1</f>
        <v>46090</v>
      </c>
      <c r="AU2" s="664"/>
      <c r="AV2" s="664"/>
      <c r="AW2" s="664"/>
      <c r="AX2" s="665"/>
    </row>
    <row r="3" spans="1:54" ht="15.75">
      <c r="A3" s="81"/>
      <c r="B3" s="690"/>
      <c r="C3" s="690"/>
      <c r="D3" s="690"/>
      <c r="E3" s="690"/>
      <c r="F3" s="690"/>
      <c r="G3" s="690"/>
      <c r="H3" s="690"/>
      <c r="I3" s="311"/>
      <c r="J3" s="311"/>
      <c r="K3" s="311"/>
      <c r="L3" s="311"/>
      <c r="M3" s="198"/>
      <c r="N3" s="662"/>
      <c r="O3" s="662"/>
      <c r="P3" s="663" t="s">
        <v>158</v>
      </c>
      <c r="Q3" s="664"/>
      <c r="R3" s="664"/>
      <c r="S3" s="664"/>
      <c r="T3" s="665"/>
      <c r="U3" s="663" t="s">
        <v>114</v>
      </c>
      <c r="V3" s="664"/>
      <c r="W3" s="664"/>
      <c r="X3" s="664"/>
      <c r="Y3" s="665"/>
      <c r="Z3" s="663" t="s">
        <v>159</v>
      </c>
      <c r="AA3" s="664"/>
      <c r="AB3" s="664"/>
      <c r="AC3" s="664"/>
      <c r="AD3" s="665"/>
      <c r="AE3" s="663" t="s">
        <v>157</v>
      </c>
      <c r="AF3" s="664"/>
      <c r="AG3" s="664"/>
      <c r="AH3" s="664"/>
      <c r="AI3" s="665"/>
      <c r="AJ3" s="663" t="s">
        <v>160</v>
      </c>
      <c r="AK3" s="664"/>
      <c r="AL3" s="664"/>
      <c r="AM3" s="664"/>
      <c r="AN3" s="665"/>
      <c r="AO3" s="663" t="s">
        <v>161</v>
      </c>
      <c r="AP3" s="664"/>
      <c r="AQ3" s="664"/>
      <c r="AR3" s="664"/>
      <c r="AS3" s="665"/>
      <c r="AT3" s="663" t="s">
        <v>162</v>
      </c>
      <c r="AU3" s="664"/>
      <c r="AV3" s="664"/>
      <c r="AW3" s="664"/>
      <c r="AX3" s="665"/>
    </row>
    <row r="4" spans="1:54" ht="14.25">
      <c r="A4" s="81"/>
      <c r="B4" s="659" t="s">
        <v>827</v>
      </c>
      <c r="C4" s="659" t="s">
        <v>828</v>
      </c>
      <c r="D4" s="659"/>
      <c r="E4" s="659" t="s">
        <v>829</v>
      </c>
      <c r="F4" s="659"/>
      <c r="G4" s="659"/>
      <c r="H4" s="675" t="s">
        <v>830</v>
      </c>
      <c r="I4" s="659" t="s">
        <v>831</v>
      </c>
      <c r="J4" s="659"/>
      <c r="K4" s="659"/>
      <c r="L4" s="675" t="s">
        <v>830</v>
      </c>
      <c r="M4" s="660" t="s">
        <v>832</v>
      </c>
      <c r="N4" s="659"/>
      <c r="O4" s="659" t="s">
        <v>833</v>
      </c>
      <c r="P4" s="656" t="s">
        <v>418</v>
      </c>
      <c r="Q4" s="657"/>
      <c r="R4" s="657"/>
      <c r="S4" s="658"/>
      <c r="T4" s="659" t="s">
        <v>416</v>
      </c>
      <c r="U4" s="656" t="s">
        <v>418</v>
      </c>
      <c r="V4" s="657"/>
      <c r="W4" s="657"/>
      <c r="X4" s="658"/>
      <c r="Y4" s="659" t="s">
        <v>416</v>
      </c>
      <c r="Z4" s="656" t="s">
        <v>418</v>
      </c>
      <c r="AA4" s="657"/>
      <c r="AB4" s="657"/>
      <c r="AC4" s="658"/>
      <c r="AD4" s="659" t="s">
        <v>416</v>
      </c>
      <c r="AE4" s="656" t="s">
        <v>418</v>
      </c>
      <c r="AF4" s="657"/>
      <c r="AG4" s="657"/>
      <c r="AH4" s="658"/>
      <c r="AI4" s="659" t="s">
        <v>416</v>
      </c>
      <c r="AJ4" s="656" t="s">
        <v>418</v>
      </c>
      <c r="AK4" s="657"/>
      <c r="AL4" s="657"/>
      <c r="AM4" s="658"/>
      <c r="AN4" s="659" t="s">
        <v>416</v>
      </c>
      <c r="AO4" s="656" t="s">
        <v>418</v>
      </c>
      <c r="AP4" s="657"/>
      <c r="AQ4" s="657"/>
      <c r="AR4" s="658"/>
      <c r="AS4" s="659" t="s">
        <v>416</v>
      </c>
      <c r="AT4" s="656" t="s">
        <v>418</v>
      </c>
      <c r="AU4" s="657"/>
      <c r="AV4" s="657"/>
      <c r="AW4" s="658"/>
      <c r="AX4" s="659" t="s">
        <v>416</v>
      </c>
    </row>
    <row r="5" spans="1:54" ht="14.25">
      <c r="A5" s="81"/>
      <c r="B5" s="659"/>
      <c r="C5" s="659"/>
      <c r="D5" s="659"/>
      <c r="E5" s="659" t="s">
        <v>834</v>
      </c>
      <c r="F5" s="659"/>
      <c r="G5" s="659"/>
      <c r="H5" s="676"/>
      <c r="I5" s="659" t="s">
        <v>834</v>
      </c>
      <c r="J5" s="659"/>
      <c r="K5" s="659"/>
      <c r="L5" s="676"/>
      <c r="M5" s="661"/>
      <c r="N5" s="659"/>
      <c r="O5" s="659"/>
      <c r="P5" s="656" t="s">
        <v>821</v>
      </c>
      <c r="Q5" s="657"/>
      <c r="R5" s="657"/>
      <c r="S5" s="658"/>
      <c r="T5" s="659"/>
      <c r="U5" s="656" t="s">
        <v>821</v>
      </c>
      <c r="V5" s="657"/>
      <c r="W5" s="657"/>
      <c r="X5" s="658"/>
      <c r="Y5" s="659"/>
      <c r="Z5" s="656" t="s">
        <v>821</v>
      </c>
      <c r="AA5" s="657"/>
      <c r="AB5" s="657"/>
      <c r="AC5" s="658"/>
      <c r="AD5" s="659"/>
      <c r="AE5" s="656" t="s">
        <v>821</v>
      </c>
      <c r="AF5" s="657"/>
      <c r="AG5" s="657"/>
      <c r="AH5" s="658"/>
      <c r="AI5" s="659"/>
      <c r="AJ5" s="656" t="s">
        <v>821</v>
      </c>
      <c r="AK5" s="657"/>
      <c r="AL5" s="657"/>
      <c r="AM5" s="658"/>
      <c r="AN5" s="659"/>
      <c r="AO5" s="656" t="s">
        <v>821</v>
      </c>
      <c r="AP5" s="657"/>
      <c r="AQ5" s="657"/>
      <c r="AR5" s="658"/>
      <c r="AS5" s="659"/>
      <c r="AT5" s="656" t="s">
        <v>821</v>
      </c>
      <c r="AU5" s="657"/>
      <c r="AV5" s="657"/>
      <c r="AW5" s="658"/>
      <c r="AX5" s="659"/>
    </row>
    <row r="6" spans="1:54" ht="14.25">
      <c r="A6" s="79"/>
      <c r="B6" s="659"/>
      <c r="C6" s="659"/>
      <c r="D6" s="659"/>
      <c r="E6" s="514" t="s">
        <v>835</v>
      </c>
      <c r="F6" s="514" t="s">
        <v>836</v>
      </c>
      <c r="G6" s="514" t="s">
        <v>837</v>
      </c>
      <c r="H6" s="677"/>
      <c r="I6" s="514" t="s">
        <v>835</v>
      </c>
      <c r="J6" s="514" t="s">
        <v>836</v>
      </c>
      <c r="K6" s="514" t="s">
        <v>837</v>
      </c>
      <c r="L6" s="677"/>
      <c r="M6" s="662"/>
      <c r="N6" s="659"/>
      <c r="O6" s="659"/>
      <c r="P6" s="514" t="s">
        <v>425</v>
      </c>
      <c r="Q6" s="514" t="s">
        <v>823</v>
      </c>
      <c r="R6" s="514" t="s">
        <v>824</v>
      </c>
      <c r="S6" s="514" t="s">
        <v>417</v>
      </c>
      <c r="T6" s="659"/>
      <c r="U6" s="514" t="s">
        <v>425</v>
      </c>
      <c r="V6" s="514" t="s">
        <v>823</v>
      </c>
      <c r="W6" s="514" t="s">
        <v>824</v>
      </c>
      <c r="X6" s="514" t="s">
        <v>417</v>
      </c>
      <c r="Y6" s="659"/>
      <c r="Z6" s="514" t="s">
        <v>425</v>
      </c>
      <c r="AA6" s="514" t="s">
        <v>823</v>
      </c>
      <c r="AB6" s="514" t="s">
        <v>824</v>
      </c>
      <c r="AC6" s="514" t="s">
        <v>417</v>
      </c>
      <c r="AD6" s="659"/>
      <c r="AE6" s="514" t="s">
        <v>425</v>
      </c>
      <c r="AF6" s="514" t="s">
        <v>823</v>
      </c>
      <c r="AG6" s="514" t="s">
        <v>824</v>
      </c>
      <c r="AH6" s="514" t="s">
        <v>417</v>
      </c>
      <c r="AI6" s="659"/>
      <c r="AJ6" s="514" t="s">
        <v>425</v>
      </c>
      <c r="AK6" s="514" t="s">
        <v>823</v>
      </c>
      <c r="AL6" s="514" t="s">
        <v>824</v>
      </c>
      <c r="AM6" s="514" t="s">
        <v>417</v>
      </c>
      <c r="AN6" s="659"/>
      <c r="AO6" s="514" t="s">
        <v>425</v>
      </c>
      <c r="AP6" s="514" t="s">
        <v>823</v>
      </c>
      <c r="AQ6" s="514" t="s">
        <v>824</v>
      </c>
      <c r="AR6" s="514" t="s">
        <v>417</v>
      </c>
      <c r="AS6" s="659"/>
      <c r="AT6" s="514" t="s">
        <v>425</v>
      </c>
      <c r="AU6" s="514" t="s">
        <v>823</v>
      </c>
      <c r="AV6" s="514" t="s">
        <v>824</v>
      </c>
      <c r="AW6" s="514" t="s">
        <v>417</v>
      </c>
      <c r="AX6" s="659"/>
    </row>
    <row r="7" spans="1:54" ht="14.25">
      <c r="A7" s="81"/>
      <c r="B7" s="659" t="s">
        <v>135</v>
      </c>
      <c r="C7" s="515">
        <v>1</v>
      </c>
      <c r="D7" s="227" t="s">
        <v>757</v>
      </c>
      <c r="E7" s="182">
        <v>14</v>
      </c>
      <c r="F7" s="545">
        <v>1500</v>
      </c>
      <c r="G7" s="546">
        <v>107.1</v>
      </c>
      <c r="H7" s="703">
        <f>AVERAGE(G7:G21)</f>
        <v>99.199999999999989</v>
      </c>
      <c r="I7" s="518">
        <f>AVERAGE(P7,U7,Z7,AE7,AJ7,AO7,AT7)</f>
        <v>13.714285714285714</v>
      </c>
      <c r="J7" s="518">
        <f>AVERAGE(Q7,V7,AA7,AF7,AK7,AP7,AU7)</f>
        <v>1234.146770653341</v>
      </c>
      <c r="K7" s="513">
        <f>AVERAGE(R7,W7,AB7,AG7,AL7,AQ7,AV7)</f>
        <v>90.07514527223114</v>
      </c>
      <c r="L7" s="703">
        <f>AVERAGE(K7:K21)</f>
        <v>83.877892489433421</v>
      </c>
      <c r="M7" s="517">
        <f>RANK(K7, K$7:$K$21)</f>
        <v>1</v>
      </c>
      <c r="N7" s="659"/>
      <c r="O7" s="659"/>
      <c r="P7" s="515">
        <v>13</v>
      </c>
      <c r="Q7" s="518">
        <v>1216.8000000000002</v>
      </c>
      <c r="R7" s="518">
        <v>93.600000000000009</v>
      </c>
      <c r="S7" s="518">
        <f>RANK(R7, R$7:R$21)</f>
        <v>1</v>
      </c>
      <c r="T7" s="725">
        <f>AVERAGE(R7:R21)</f>
        <v>85.352027126640152</v>
      </c>
      <c r="U7" s="573">
        <v>14</v>
      </c>
      <c r="V7" s="574">
        <v>1262.8571428571424</v>
      </c>
      <c r="W7" s="574">
        <v>90.204081632653029</v>
      </c>
      <c r="X7" s="518">
        <f>RANK(W7, W$7:W$21)</f>
        <v>1</v>
      </c>
      <c r="Y7" s="706">
        <f>AVERAGE(W7:W21)</f>
        <v>85.256969010325534</v>
      </c>
      <c r="Z7" s="573">
        <v>13</v>
      </c>
      <c r="AA7" s="574">
        <v>1231.5789473684201</v>
      </c>
      <c r="AB7" s="574">
        <v>94.736842105263094</v>
      </c>
      <c r="AC7" s="518">
        <f>RANK(AB7, AB$7:AB$21)</f>
        <v>1</v>
      </c>
      <c r="AD7" s="706">
        <f>AVERAGE(AB7:AB21)</f>
        <v>85.902506966738613</v>
      </c>
      <c r="AE7" s="573">
        <v>14</v>
      </c>
      <c r="AF7" s="574">
        <v>1219.9999999999995</v>
      </c>
      <c r="AG7" s="574">
        <v>87.14285714285711</v>
      </c>
      <c r="AH7" s="518">
        <f>RANK(AG7, AG$7:AG$21)</f>
        <v>1</v>
      </c>
      <c r="AI7" s="706">
        <f>AVERAGE(AG7:AG21)</f>
        <v>83.513273802671748</v>
      </c>
      <c r="AJ7" s="573">
        <v>14</v>
      </c>
      <c r="AK7" s="574">
        <v>1226.0869565217392</v>
      </c>
      <c r="AL7" s="574">
        <v>87.577639751552809</v>
      </c>
      <c r="AM7" s="518">
        <f>RANK(AL7, AL$7:AL$21)</f>
        <v>1</v>
      </c>
      <c r="AN7" s="706">
        <f>AVERAGE(AL7:AL21)</f>
        <v>82.602553176774549</v>
      </c>
      <c r="AO7" s="573">
        <v>14</v>
      </c>
      <c r="AP7" s="574">
        <v>1231.304347826087</v>
      </c>
      <c r="AQ7" s="574">
        <v>87.950310559006212</v>
      </c>
      <c r="AR7" s="518">
        <f>RANK(AQ7, AQ$7:AQ$21)</f>
        <v>1</v>
      </c>
      <c r="AS7" s="725">
        <f>AVERAGE(AQ7:AQ21)</f>
        <v>82.17014177887485</v>
      </c>
      <c r="AT7" s="573">
        <v>14</v>
      </c>
      <c r="AU7" s="574">
        <v>1250.4000000000003</v>
      </c>
      <c r="AV7" s="574">
        <v>89.314285714285731</v>
      </c>
      <c r="AW7" s="518">
        <f>RANK(AV7, AV$7:AV$21)</f>
        <v>1</v>
      </c>
      <c r="AX7" s="724">
        <f>AVERAGE(AV7:AV21)</f>
        <v>82.347775564008401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92"/>
      <c r="C8" s="515">
        <v>2</v>
      </c>
      <c r="D8" s="227" t="s">
        <v>801</v>
      </c>
      <c r="E8" s="182">
        <v>16</v>
      </c>
      <c r="F8" s="545">
        <v>1636</v>
      </c>
      <c r="G8" s="546">
        <v>102.3</v>
      </c>
      <c r="H8" s="704"/>
      <c r="I8" s="518">
        <f t="shared" ref="I8:I9" si="0">AVERAGE(P8,U8,Z8,AE8,AJ8,AO8,AT8)</f>
        <v>17</v>
      </c>
      <c r="J8" s="518">
        <f t="shared" ref="J8:J9" si="1">AVERAGE(Q8,V8,AA8,AF8,AK8,AP8,AU8)</f>
        <v>1425.0097611143108</v>
      </c>
      <c r="K8" s="513">
        <f t="shared" ref="K8:K9" si="2">AVERAGE(R8,W8,AB8,AG8,AL8,AQ8,AV8)</f>
        <v>83.824103594959482</v>
      </c>
      <c r="L8" s="704"/>
      <c r="M8" s="517">
        <f>RANK(K8, K$7:$K$21)</f>
        <v>2</v>
      </c>
      <c r="N8" s="659"/>
      <c r="O8" s="659"/>
      <c r="P8" s="515">
        <v>17</v>
      </c>
      <c r="Q8" s="518">
        <v>1438.610526315789</v>
      </c>
      <c r="R8" s="518">
        <v>84.624148606811119</v>
      </c>
      <c r="S8" s="518">
        <f t="shared" ref="S8:S21" si="3">RANK(R8, R$7:R$21)</f>
        <v>2</v>
      </c>
      <c r="T8" s="725"/>
      <c r="U8" s="573">
        <v>17</v>
      </c>
      <c r="V8" s="574">
        <v>1417.7560975609758</v>
      </c>
      <c r="W8" s="574">
        <v>83.397417503586809</v>
      </c>
      <c r="X8" s="518">
        <f t="shared" ref="X8:X21" si="4">RANK(W8, W$7:W$21)</f>
        <v>2</v>
      </c>
      <c r="Y8" s="706"/>
      <c r="Z8" s="573">
        <v>17</v>
      </c>
      <c r="AA8" s="574">
        <v>1456.1772151898726</v>
      </c>
      <c r="AB8" s="574">
        <v>85.657483246463102</v>
      </c>
      <c r="AC8" s="518">
        <f t="shared" ref="AC8:AC21" si="5">RANK(AB8, AB$7:AB$21)</f>
        <v>2</v>
      </c>
      <c r="AD8" s="706"/>
      <c r="AE8" s="573">
        <v>17</v>
      </c>
      <c r="AF8" s="574">
        <v>1451.0136986301372</v>
      </c>
      <c r="AG8" s="574">
        <v>85.353746978243365</v>
      </c>
      <c r="AH8" s="518">
        <f t="shared" ref="AH8:AH21" si="6">RANK(AG8, AG$7:AG$21)</f>
        <v>2</v>
      </c>
      <c r="AI8" s="706"/>
      <c r="AJ8" s="573">
        <v>17</v>
      </c>
      <c r="AK8" s="574">
        <v>1423.636363636364</v>
      </c>
      <c r="AL8" s="574">
        <v>83.743315508021411</v>
      </c>
      <c r="AM8" s="518">
        <f t="shared" ref="AM8:AM21" si="7">RANK(AL8, AL$7:AL$21)</f>
        <v>2</v>
      </c>
      <c r="AN8" s="706"/>
      <c r="AO8" s="573">
        <v>17</v>
      </c>
      <c r="AP8" s="574">
        <v>1403.1219512195125</v>
      </c>
      <c r="AQ8" s="574">
        <v>82.536585365853682</v>
      </c>
      <c r="AR8" s="518">
        <f t="shared" ref="AR8:AR21" si="8">RANK(AQ8, AQ$7:AQ$21)</f>
        <v>2</v>
      </c>
      <c r="AS8" s="725"/>
      <c r="AT8" s="573">
        <v>17</v>
      </c>
      <c r="AU8" s="574">
        <v>1384.7524752475254</v>
      </c>
      <c r="AV8" s="574">
        <v>81.456027955736786</v>
      </c>
      <c r="AW8" s="518">
        <f t="shared" ref="AW8:AW21" si="9">RANK(AV8, AV$7:AV$21)</f>
        <v>2</v>
      </c>
      <c r="AX8" s="724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692"/>
      <c r="C9" s="515">
        <v>3</v>
      </c>
      <c r="D9" s="227" t="s">
        <v>984</v>
      </c>
      <c r="E9" s="182">
        <v>17</v>
      </c>
      <c r="F9" s="545">
        <v>1500</v>
      </c>
      <c r="G9" s="546">
        <v>88.2</v>
      </c>
      <c r="H9" s="704"/>
      <c r="I9" s="518">
        <f t="shared" si="0"/>
        <v>16.857142857142858</v>
      </c>
      <c r="J9" s="518">
        <f t="shared" si="1"/>
        <v>1309.7467993767582</v>
      </c>
      <c r="K9" s="513">
        <f t="shared" si="2"/>
        <v>77.734428601109613</v>
      </c>
      <c r="L9" s="704"/>
      <c r="M9" s="517">
        <f>RANK(K9, K$7:$K$21)</f>
        <v>3</v>
      </c>
      <c r="N9" s="659"/>
      <c r="O9" s="659"/>
      <c r="P9" s="515">
        <v>17</v>
      </c>
      <c r="Q9" s="518">
        <v>1323.1428571428585</v>
      </c>
      <c r="R9" s="518">
        <v>77.831932773109315</v>
      </c>
      <c r="S9" s="518">
        <f t="shared" si="3"/>
        <v>3</v>
      </c>
      <c r="T9" s="725"/>
      <c r="U9" s="573">
        <v>16</v>
      </c>
      <c r="V9" s="574">
        <v>1314.7105263157885</v>
      </c>
      <c r="W9" s="574">
        <v>82.169407894736779</v>
      </c>
      <c r="X9" s="518">
        <f t="shared" si="4"/>
        <v>3</v>
      </c>
      <c r="Y9" s="706"/>
      <c r="Z9" s="573">
        <v>17</v>
      </c>
      <c r="AA9" s="574">
        <v>1314.3243243243244</v>
      </c>
      <c r="AB9" s="574">
        <v>77.313195548489674</v>
      </c>
      <c r="AC9" s="518">
        <f t="shared" si="5"/>
        <v>3</v>
      </c>
      <c r="AD9" s="706"/>
      <c r="AE9" s="573">
        <v>17</v>
      </c>
      <c r="AF9" s="574">
        <v>1326.7346938775513</v>
      </c>
      <c r="AG9" s="574">
        <v>78.043217286914782</v>
      </c>
      <c r="AH9" s="518">
        <f t="shared" si="6"/>
        <v>3</v>
      </c>
      <c r="AI9" s="706"/>
      <c r="AJ9" s="573">
        <v>17</v>
      </c>
      <c r="AK9" s="574">
        <v>1300.2739726027401</v>
      </c>
      <c r="AL9" s="574">
        <v>76.486704270749414</v>
      </c>
      <c r="AM9" s="518">
        <f t="shared" si="7"/>
        <v>3</v>
      </c>
      <c r="AN9" s="706"/>
      <c r="AO9" s="573">
        <v>17</v>
      </c>
      <c r="AP9" s="574">
        <v>1292.3999999999996</v>
      </c>
      <c r="AQ9" s="574">
        <v>76.023529411764684</v>
      </c>
      <c r="AR9" s="518">
        <f t="shared" si="8"/>
        <v>3</v>
      </c>
      <c r="AS9" s="725"/>
      <c r="AT9" s="573">
        <v>17</v>
      </c>
      <c r="AU9" s="574">
        <v>1296.6412213740457</v>
      </c>
      <c r="AV9" s="574">
        <v>76.273013022002687</v>
      </c>
      <c r="AW9" s="518">
        <f t="shared" si="9"/>
        <v>3</v>
      </c>
      <c r="AX9" s="724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692"/>
      <c r="C10" s="515">
        <v>4</v>
      </c>
      <c r="D10" s="227"/>
      <c r="E10" s="182"/>
      <c r="F10" s="545"/>
      <c r="G10" s="546"/>
      <c r="H10" s="704"/>
      <c r="I10" s="518"/>
      <c r="J10" s="518"/>
      <c r="K10" s="513"/>
      <c r="L10" s="704"/>
      <c r="M10" s="517" t="e">
        <f>RANK(K10, K$7:$K$21)</f>
        <v>#N/A</v>
      </c>
      <c r="N10" s="659"/>
      <c r="O10" s="659"/>
      <c r="P10" s="515"/>
      <c r="Q10" s="518"/>
      <c r="R10" s="518"/>
      <c r="S10" s="518" t="e">
        <f t="shared" si="3"/>
        <v>#N/A</v>
      </c>
      <c r="T10" s="725"/>
      <c r="U10" s="573"/>
      <c r="V10" s="574"/>
      <c r="W10" s="574"/>
      <c r="X10" s="518" t="e">
        <f t="shared" si="4"/>
        <v>#N/A</v>
      </c>
      <c r="Y10" s="706"/>
      <c r="Z10" s="573"/>
      <c r="AA10" s="574"/>
      <c r="AB10" s="574"/>
      <c r="AC10" s="518" t="e">
        <f t="shared" si="5"/>
        <v>#N/A</v>
      </c>
      <c r="AD10" s="706"/>
      <c r="AE10" s="573"/>
      <c r="AF10" s="574"/>
      <c r="AG10" s="574"/>
      <c r="AH10" s="518" t="e">
        <f t="shared" si="6"/>
        <v>#N/A</v>
      </c>
      <c r="AI10" s="706"/>
      <c r="AJ10" s="573"/>
      <c r="AK10" s="574"/>
      <c r="AL10" s="574"/>
      <c r="AM10" s="518" t="e">
        <f t="shared" si="7"/>
        <v>#N/A</v>
      </c>
      <c r="AN10" s="706"/>
      <c r="AO10" s="573"/>
      <c r="AP10" s="574"/>
      <c r="AQ10" s="574"/>
      <c r="AR10" s="518" t="e">
        <f t="shared" si="8"/>
        <v>#N/A</v>
      </c>
      <c r="AS10" s="725"/>
      <c r="AT10" s="573"/>
      <c r="AU10" s="574"/>
      <c r="AV10" s="574"/>
      <c r="AW10" s="518" t="e">
        <f t="shared" si="9"/>
        <v>#N/A</v>
      </c>
      <c r="AX10" s="724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692"/>
      <c r="C11" s="515">
        <v>5</v>
      </c>
      <c r="D11" s="227"/>
      <c r="E11" s="182"/>
      <c r="F11" s="545"/>
      <c r="G11" s="546"/>
      <c r="H11" s="704"/>
      <c r="I11" s="518"/>
      <c r="J11" s="518"/>
      <c r="K11" s="513"/>
      <c r="L11" s="704"/>
      <c r="M11" s="517" t="e">
        <f>RANK(K11, K$7:$K$21)</f>
        <v>#N/A</v>
      </c>
      <c r="N11" s="659"/>
      <c r="O11" s="659"/>
      <c r="P11" s="515"/>
      <c r="Q11" s="518"/>
      <c r="R11" s="518"/>
      <c r="S11" s="518" t="e">
        <f t="shared" si="3"/>
        <v>#N/A</v>
      </c>
      <c r="T11" s="725"/>
      <c r="U11" s="573"/>
      <c r="V11" s="574"/>
      <c r="W11" s="574"/>
      <c r="X11" s="518" t="e">
        <f t="shared" si="4"/>
        <v>#N/A</v>
      </c>
      <c r="Y11" s="706"/>
      <c r="Z11" s="573"/>
      <c r="AA11" s="574"/>
      <c r="AB11" s="574"/>
      <c r="AC11" s="518" t="e">
        <f t="shared" si="5"/>
        <v>#N/A</v>
      </c>
      <c r="AD11" s="706"/>
      <c r="AE11" s="573"/>
      <c r="AF11" s="574"/>
      <c r="AG11" s="574"/>
      <c r="AH11" s="518" t="e">
        <f t="shared" si="6"/>
        <v>#N/A</v>
      </c>
      <c r="AI11" s="706"/>
      <c r="AJ11" s="573"/>
      <c r="AK11" s="574"/>
      <c r="AL11" s="574"/>
      <c r="AM11" s="518" t="e">
        <f t="shared" si="7"/>
        <v>#N/A</v>
      </c>
      <c r="AN11" s="706"/>
      <c r="AO11" s="573"/>
      <c r="AP11" s="574"/>
      <c r="AQ11" s="574"/>
      <c r="AR11" s="518" t="e">
        <f t="shared" si="8"/>
        <v>#N/A</v>
      </c>
      <c r="AS11" s="725"/>
      <c r="AT11" s="573"/>
      <c r="AU11" s="574"/>
      <c r="AV11" s="574"/>
      <c r="AW11" s="518" t="e">
        <f t="shared" si="9"/>
        <v>#N/A</v>
      </c>
      <c r="AX11" s="724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692"/>
      <c r="C12" s="515">
        <v>6</v>
      </c>
      <c r="D12" s="227"/>
      <c r="E12" s="182"/>
      <c r="F12" s="545"/>
      <c r="G12" s="546"/>
      <c r="H12" s="704"/>
      <c r="I12" s="518"/>
      <c r="J12" s="518"/>
      <c r="K12" s="513"/>
      <c r="L12" s="704"/>
      <c r="M12" s="517" t="e">
        <f>RANK(K12, K$7:$K$21)</f>
        <v>#N/A</v>
      </c>
      <c r="N12" s="659"/>
      <c r="O12" s="659"/>
      <c r="P12" s="515"/>
      <c r="Q12" s="518"/>
      <c r="R12" s="518"/>
      <c r="S12" s="518" t="e">
        <f t="shared" si="3"/>
        <v>#N/A</v>
      </c>
      <c r="T12" s="725"/>
      <c r="U12" s="573"/>
      <c r="V12" s="574"/>
      <c r="W12" s="574"/>
      <c r="X12" s="518" t="e">
        <f t="shared" si="4"/>
        <v>#N/A</v>
      </c>
      <c r="Y12" s="706"/>
      <c r="Z12" s="573"/>
      <c r="AA12" s="574"/>
      <c r="AB12" s="574"/>
      <c r="AC12" s="518" t="e">
        <f t="shared" si="5"/>
        <v>#N/A</v>
      </c>
      <c r="AD12" s="706"/>
      <c r="AE12" s="573"/>
      <c r="AF12" s="574"/>
      <c r="AG12" s="574"/>
      <c r="AH12" s="518" t="e">
        <f t="shared" si="6"/>
        <v>#N/A</v>
      </c>
      <c r="AI12" s="706"/>
      <c r="AJ12" s="573"/>
      <c r="AK12" s="574"/>
      <c r="AL12" s="574"/>
      <c r="AM12" s="518" t="e">
        <f t="shared" si="7"/>
        <v>#N/A</v>
      </c>
      <c r="AN12" s="706"/>
      <c r="AO12" s="573"/>
      <c r="AP12" s="574"/>
      <c r="AQ12" s="574"/>
      <c r="AR12" s="518" t="e">
        <f t="shared" si="8"/>
        <v>#N/A</v>
      </c>
      <c r="AS12" s="725"/>
      <c r="AT12" s="573"/>
      <c r="AU12" s="574"/>
      <c r="AV12" s="574"/>
      <c r="AW12" s="518" t="e">
        <f t="shared" si="9"/>
        <v>#N/A</v>
      </c>
      <c r="AX12" s="724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692"/>
      <c r="C13" s="515">
        <v>7</v>
      </c>
      <c r="D13" s="498"/>
      <c r="E13" s="518"/>
      <c r="F13" s="518"/>
      <c r="G13" s="518"/>
      <c r="H13" s="704"/>
      <c r="I13" s="518"/>
      <c r="J13" s="518"/>
      <c r="K13" s="513"/>
      <c r="L13" s="704"/>
      <c r="M13" s="517" t="e">
        <f>RANK(K13, K$7:$K$21)</f>
        <v>#N/A</v>
      </c>
      <c r="N13" s="659"/>
      <c r="O13" s="659"/>
      <c r="P13" s="515"/>
      <c r="Q13" s="518"/>
      <c r="R13" s="518"/>
      <c r="S13" s="518" t="e">
        <f t="shared" si="3"/>
        <v>#N/A</v>
      </c>
      <c r="T13" s="725"/>
      <c r="U13" s="573"/>
      <c r="V13" s="574"/>
      <c r="W13" s="574"/>
      <c r="X13" s="518" t="e">
        <f t="shared" si="4"/>
        <v>#N/A</v>
      </c>
      <c r="Y13" s="706"/>
      <c r="Z13" s="573"/>
      <c r="AA13" s="574"/>
      <c r="AB13" s="574"/>
      <c r="AC13" s="518" t="e">
        <f t="shared" si="5"/>
        <v>#N/A</v>
      </c>
      <c r="AD13" s="706"/>
      <c r="AE13" s="573"/>
      <c r="AF13" s="574"/>
      <c r="AG13" s="574"/>
      <c r="AH13" s="518" t="e">
        <f t="shared" si="6"/>
        <v>#N/A</v>
      </c>
      <c r="AI13" s="706"/>
      <c r="AJ13" s="573"/>
      <c r="AK13" s="574"/>
      <c r="AL13" s="574"/>
      <c r="AM13" s="518" t="e">
        <f t="shared" si="7"/>
        <v>#N/A</v>
      </c>
      <c r="AN13" s="706"/>
      <c r="AO13" s="573"/>
      <c r="AP13" s="574"/>
      <c r="AQ13" s="574"/>
      <c r="AR13" s="518" t="e">
        <f t="shared" si="8"/>
        <v>#N/A</v>
      </c>
      <c r="AS13" s="725"/>
      <c r="AT13" s="573"/>
      <c r="AU13" s="574"/>
      <c r="AV13" s="574"/>
      <c r="AW13" s="518" t="e">
        <f t="shared" si="9"/>
        <v>#N/A</v>
      </c>
      <c r="AX13" s="724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692"/>
      <c r="C14" s="515">
        <v>8</v>
      </c>
      <c r="D14" s="498"/>
      <c r="E14" s="518"/>
      <c r="F14" s="518"/>
      <c r="G14" s="518"/>
      <c r="H14" s="704"/>
      <c r="I14" s="518"/>
      <c r="J14" s="518"/>
      <c r="K14" s="513"/>
      <c r="L14" s="704"/>
      <c r="M14" s="517" t="e">
        <f>RANK(K14, K$7:$K$21)</f>
        <v>#N/A</v>
      </c>
      <c r="N14" s="659"/>
      <c r="O14" s="659"/>
      <c r="P14" s="515"/>
      <c r="Q14" s="518"/>
      <c r="R14" s="518"/>
      <c r="S14" s="518" t="e">
        <f t="shared" si="3"/>
        <v>#N/A</v>
      </c>
      <c r="T14" s="725"/>
      <c r="U14" s="573"/>
      <c r="V14" s="574"/>
      <c r="W14" s="574"/>
      <c r="X14" s="518" t="e">
        <f t="shared" si="4"/>
        <v>#N/A</v>
      </c>
      <c r="Y14" s="706"/>
      <c r="Z14" s="573"/>
      <c r="AA14" s="574"/>
      <c r="AB14" s="574"/>
      <c r="AC14" s="518" t="e">
        <f t="shared" si="5"/>
        <v>#N/A</v>
      </c>
      <c r="AD14" s="706"/>
      <c r="AE14" s="573"/>
      <c r="AF14" s="574"/>
      <c r="AG14" s="574"/>
      <c r="AH14" s="518" t="e">
        <f t="shared" si="6"/>
        <v>#N/A</v>
      </c>
      <c r="AI14" s="706"/>
      <c r="AJ14" s="573"/>
      <c r="AK14" s="574"/>
      <c r="AL14" s="574"/>
      <c r="AM14" s="518" t="e">
        <f t="shared" si="7"/>
        <v>#N/A</v>
      </c>
      <c r="AN14" s="706"/>
      <c r="AO14" s="573"/>
      <c r="AP14" s="574"/>
      <c r="AQ14" s="574"/>
      <c r="AR14" s="518" t="e">
        <f t="shared" si="8"/>
        <v>#N/A</v>
      </c>
      <c r="AS14" s="725"/>
      <c r="AT14" s="573"/>
      <c r="AU14" s="574"/>
      <c r="AV14" s="574"/>
      <c r="AW14" s="518" t="e">
        <f t="shared" si="9"/>
        <v>#N/A</v>
      </c>
      <c r="AX14" s="724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692"/>
      <c r="C15" s="515">
        <v>9</v>
      </c>
      <c r="D15" s="498"/>
      <c r="E15" s="518"/>
      <c r="F15" s="518"/>
      <c r="G15" s="518"/>
      <c r="H15" s="704"/>
      <c r="I15" s="518"/>
      <c r="J15" s="518"/>
      <c r="K15" s="513"/>
      <c r="L15" s="704"/>
      <c r="M15" s="517" t="e">
        <f>RANK(K15, K$7:$K$21)</f>
        <v>#N/A</v>
      </c>
      <c r="N15" s="659"/>
      <c r="O15" s="659"/>
      <c r="P15" s="515"/>
      <c r="Q15" s="518"/>
      <c r="R15" s="518"/>
      <c r="S15" s="518" t="e">
        <f t="shared" si="3"/>
        <v>#N/A</v>
      </c>
      <c r="T15" s="725"/>
      <c r="U15" s="573"/>
      <c r="V15" s="574"/>
      <c r="W15" s="574"/>
      <c r="X15" s="518" t="e">
        <f t="shared" si="4"/>
        <v>#N/A</v>
      </c>
      <c r="Y15" s="706"/>
      <c r="Z15" s="573"/>
      <c r="AA15" s="574"/>
      <c r="AB15" s="574"/>
      <c r="AC15" s="518" t="e">
        <f t="shared" si="5"/>
        <v>#N/A</v>
      </c>
      <c r="AD15" s="706"/>
      <c r="AE15" s="573"/>
      <c r="AF15" s="574"/>
      <c r="AG15" s="574"/>
      <c r="AH15" s="518" t="e">
        <f t="shared" si="6"/>
        <v>#N/A</v>
      </c>
      <c r="AI15" s="706"/>
      <c r="AJ15" s="573"/>
      <c r="AK15" s="574"/>
      <c r="AL15" s="574"/>
      <c r="AM15" s="518" t="e">
        <f t="shared" si="7"/>
        <v>#N/A</v>
      </c>
      <c r="AN15" s="706"/>
      <c r="AO15" s="573"/>
      <c r="AP15" s="574"/>
      <c r="AQ15" s="574"/>
      <c r="AR15" s="518" t="e">
        <f t="shared" si="8"/>
        <v>#N/A</v>
      </c>
      <c r="AS15" s="725"/>
      <c r="AT15" s="573"/>
      <c r="AU15" s="574"/>
      <c r="AV15" s="574"/>
      <c r="AW15" s="518" t="e">
        <f t="shared" si="9"/>
        <v>#N/A</v>
      </c>
      <c r="AX15" s="724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692"/>
      <c r="C16" s="515">
        <v>10</v>
      </c>
      <c r="D16" s="498"/>
      <c r="E16" s="518"/>
      <c r="F16" s="518"/>
      <c r="G16" s="518"/>
      <c r="H16" s="704"/>
      <c r="I16" s="518"/>
      <c r="J16" s="518"/>
      <c r="K16" s="513"/>
      <c r="L16" s="704"/>
      <c r="M16" s="517" t="e">
        <f>RANK(K16, K$7:$K$21)</f>
        <v>#N/A</v>
      </c>
      <c r="N16" s="659"/>
      <c r="O16" s="659"/>
      <c r="P16" s="515"/>
      <c r="Q16" s="518"/>
      <c r="R16" s="518"/>
      <c r="S16" s="518" t="e">
        <f t="shared" si="3"/>
        <v>#N/A</v>
      </c>
      <c r="T16" s="725"/>
      <c r="U16" s="573"/>
      <c r="V16" s="574"/>
      <c r="W16" s="574"/>
      <c r="X16" s="518" t="e">
        <f t="shared" si="4"/>
        <v>#N/A</v>
      </c>
      <c r="Y16" s="706"/>
      <c r="Z16" s="573"/>
      <c r="AA16" s="574"/>
      <c r="AB16" s="574"/>
      <c r="AC16" s="518" t="e">
        <f t="shared" si="5"/>
        <v>#N/A</v>
      </c>
      <c r="AD16" s="706"/>
      <c r="AE16" s="573"/>
      <c r="AF16" s="574"/>
      <c r="AG16" s="574"/>
      <c r="AH16" s="518" t="e">
        <f t="shared" si="6"/>
        <v>#N/A</v>
      </c>
      <c r="AI16" s="706"/>
      <c r="AJ16" s="573"/>
      <c r="AK16" s="574"/>
      <c r="AL16" s="574"/>
      <c r="AM16" s="518" t="e">
        <f t="shared" si="7"/>
        <v>#N/A</v>
      </c>
      <c r="AN16" s="706"/>
      <c r="AO16" s="573"/>
      <c r="AP16" s="574"/>
      <c r="AQ16" s="574"/>
      <c r="AR16" s="518" t="e">
        <f t="shared" si="8"/>
        <v>#N/A</v>
      </c>
      <c r="AS16" s="725"/>
      <c r="AT16" s="573"/>
      <c r="AU16" s="574"/>
      <c r="AV16" s="574"/>
      <c r="AW16" s="518" t="e">
        <f t="shared" si="9"/>
        <v>#N/A</v>
      </c>
      <c r="AX16" s="724"/>
      <c r="AZ16" s="362" t="e">
        <f>RANK(AX16, $K$7:AX$21)</f>
        <v>#N/A</v>
      </c>
      <c r="BB16" s="359" t="e">
        <f t="shared" si="10"/>
        <v>#N/A</v>
      </c>
    </row>
    <row r="17" spans="2:54">
      <c r="B17" s="692"/>
      <c r="C17" s="515">
        <v>11</v>
      </c>
      <c r="D17" s="498"/>
      <c r="E17" s="518"/>
      <c r="F17" s="518"/>
      <c r="G17" s="518"/>
      <c r="H17" s="704"/>
      <c r="I17" s="518"/>
      <c r="J17" s="518"/>
      <c r="K17" s="513"/>
      <c r="L17" s="704"/>
      <c r="M17" s="517" t="e">
        <f>RANK(K17, K$7:$K$21)</f>
        <v>#N/A</v>
      </c>
      <c r="N17" s="659"/>
      <c r="O17" s="659"/>
      <c r="P17" s="515"/>
      <c r="Q17" s="518"/>
      <c r="R17" s="518"/>
      <c r="S17" s="518" t="e">
        <f t="shared" si="3"/>
        <v>#N/A</v>
      </c>
      <c r="T17" s="725"/>
      <c r="U17" s="573"/>
      <c r="V17" s="574"/>
      <c r="W17" s="574"/>
      <c r="X17" s="518" t="e">
        <f t="shared" si="4"/>
        <v>#N/A</v>
      </c>
      <c r="Y17" s="706"/>
      <c r="Z17" s="573"/>
      <c r="AA17" s="574"/>
      <c r="AB17" s="574"/>
      <c r="AC17" s="518" t="e">
        <f t="shared" si="5"/>
        <v>#N/A</v>
      </c>
      <c r="AD17" s="706"/>
      <c r="AE17" s="573"/>
      <c r="AF17" s="574"/>
      <c r="AG17" s="574"/>
      <c r="AH17" s="518" t="e">
        <f t="shared" si="6"/>
        <v>#N/A</v>
      </c>
      <c r="AI17" s="706"/>
      <c r="AJ17" s="573"/>
      <c r="AK17" s="574"/>
      <c r="AL17" s="574"/>
      <c r="AM17" s="518" t="e">
        <f t="shared" si="7"/>
        <v>#N/A</v>
      </c>
      <c r="AN17" s="706"/>
      <c r="AO17" s="573"/>
      <c r="AP17" s="574"/>
      <c r="AQ17" s="574"/>
      <c r="AR17" s="518" t="e">
        <f t="shared" si="8"/>
        <v>#N/A</v>
      </c>
      <c r="AS17" s="725"/>
      <c r="AT17" s="573"/>
      <c r="AU17" s="574"/>
      <c r="AV17" s="574"/>
      <c r="AW17" s="518" t="e">
        <f t="shared" si="9"/>
        <v>#N/A</v>
      </c>
      <c r="AX17" s="724"/>
      <c r="AZ17" s="362" t="e">
        <f>RANK(AX17, $K$7:AX$21)</f>
        <v>#N/A</v>
      </c>
      <c r="BB17" s="359" t="e">
        <f t="shared" si="10"/>
        <v>#N/A</v>
      </c>
    </row>
    <row r="18" spans="2:54">
      <c r="B18" s="692"/>
      <c r="C18" s="515">
        <v>12</v>
      </c>
      <c r="D18" s="498"/>
      <c r="E18" s="518"/>
      <c r="F18" s="518"/>
      <c r="G18" s="518"/>
      <c r="H18" s="704"/>
      <c r="I18" s="518"/>
      <c r="J18" s="518"/>
      <c r="K18" s="513"/>
      <c r="L18" s="704"/>
      <c r="M18" s="517" t="e">
        <f>RANK(K18, K$7:$K$21)</f>
        <v>#N/A</v>
      </c>
      <c r="N18" s="659"/>
      <c r="O18" s="659"/>
      <c r="P18" s="515"/>
      <c r="Q18" s="518"/>
      <c r="R18" s="518"/>
      <c r="S18" s="518" t="e">
        <f t="shared" si="3"/>
        <v>#N/A</v>
      </c>
      <c r="T18" s="725"/>
      <c r="U18" s="573"/>
      <c r="V18" s="574"/>
      <c r="W18" s="574"/>
      <c r="X18" s="518" t="e">
        <f t="shared" si="4"/>
        <v>#N/A</v>
      </c>
      <c r="Y18" s="706"/>
      <c r="Z18" s="573"/>
      <c r="AA18" s="574"/>
      <c r="AB18" s="574"/>
      <c r="AC18" s="518" t="e">
        <f t="shared" si="5"/>
        <v>#N/A</v>
      </c>
      <c r="AD18" s="706"/>
      <c r="AE18" s="573"/>
      <c r="AF18" s="574"/>
      <c r="AG18" s="574"/>
      <c r="AH18" s="518" t="e">
        <f t="shared" si="6"/>
        <v>#N/A</v>
      </c>
      <c r="AI18" s="706"/>
      <c r="AJ18" s="573"/>
      <c r="AK18" s="574"/>
      <c r="AL18" s="574"/>
      <c r="AM18" s="518" t="e">
        <f t="shared" si="7"/>
        <v>#N/A</v>
      </c>
      <c r="AN18" s="706"/>
      <c r="AO18" s="573"/>
      <c r="AP18" s="574"/>
      <c r="AQ18" s="574"/>
      <c r="AR18" s="518" t="e">
        <f t="shared" si="8"/>
        <v>#N/A</v>
      </c>
      <c r="AS18" s="725"/>
      <c r="AT18" s="573"/>
      <c r="AU18" s="574"/>
      <c r="AV18" s="574"/>
      <c r="AW18" s="518" t="e">
        <f t="shared" si="9"/>
        <v>#N/A</v>
      </c>
      <c r="AX18" s="724"/>
      <c r="AZ18" s="362" t="e">
        <f>RANK(AX18, $K$7:AX$21)</f>
        <v>#N/A</v>
      </c>
      <c r="BB18" s="359" t="e">
        <f t="shared" si="10"/>
        <v>#N/A</v>
      </c>
    </row>
    <row r="19" spans="2:54">
      <c r="B19" s="692"/>
      <c r="C19" s="515">
        <v>13</v>
      </c>
      <c r="D19" s="498"/>
      <c r="E19" s="518"/>
      <c r="F19" s="518"/>
      <c r="G19" s="518"/>
      <c r="H19" s="704"/>
      <c r="I19" s="515"/>
      <c r="J19" s="515"/>
      <c r="K19" s="515"/>
      <c r="L19" s="704"/>
      <c r="M19" s="517" t="e">
        <f>RANK(K19, K$7:$K$21)</f>
        <v>#N/A</v>
      </c>
      <c r="N19" s="659"/>
      <c r="O19" s="659"/>
      <c r="P19" s="515"/>
      <c r="Q19" s="518"/>
      <c r="R19" s="518"/>
      <c r="S19" s="518" t="e">
        <f t="shared" si="3"/>
        <v>#N/A</v>
      </c>
      <c r="T19" s="725"/>
      <c r="U19" s="573"/>
      <c r="V19" s="574"/>
      <c r="W19" s="574"/>
      <c r="X19" s="518" t="e">
        <f t="shared" si="4"/>
        <v>#N/A</v>
      </c>
      <c r="Y19" s="706"/>
      <c r="Z19" s="573"/>
      <c r="AA19" s="574"/>
      <c r="AB19" s="574"/>
      <c r="AC19" s="518" t="e">
        <f t="shared" si="5"/>
        <v>#N/A</v>
      </c>
      <c r="AD19" s="706"/>
      <c r="AE19" s="573"/>
      <c r="AF19" s="574"/>
      <c r="AG19" s="574"/>
      <c r="AH19" s="518" t="e">
        <f t="shared" si="6"/>
        <v>#N/A</v>
      </c>
      <c r="AI19" s="706"/>
      <c r="AJ19" s="573"/>
      <c r="AK19" s="574"/>
      <c r="AL19" s="574"/>
      <c r="AM19" s="518" t="e">
        <f t="shared" si="7"/>
        <v>#N/A</v>
      </c>
      <c r="AN19" s="706"/>
      <c r="AO19" s="573"/>
      <c r="AP19" s="574"/>
      <c r="AQ19" s="574"/>
      <c r="AR19" s="518" t="e">
        <f t="shared" si="8"/>
        <v>#N/A</v>
      </c>
      <c r="AS19" s="725"/>
      <c r="AT19" s="573"/>
      <c r="AU19" s="574"/>
      <c r="AV19" s="574"/>
      <c r="AW19" s="518" t="e">
        <f t="shared" si="9"/>
        <v>#N/A</v>
      </c>
      <c r="AX19" s="724"/>
      <c r="AZ19" s="362" t="e">
        <f>RANK(AX19, $K$7:AX$21)</f>
        <v>#N/A</v>
      </c>
      <c r="BB19" s="359" t="e">
        <f t="shared" si="10"/>
        <v>#N/A</v>
      </c>
    </row>
    <row r="20" spans="2:54">
      <c r="B20" s="692"/>
      <c r="C20" s="515">
        <v>14</v>
      </c>
      <c r="D20" s="498"/>
      <c r="E20" s="518"/>
      <c r="F20" s="518"/>
      <c r="G20" s="518"/>
      <c r="H20" s="704"/>
      <c r="I20" s="515"/>
      <c r="J20" s="515"/>
      <c r="K20" s="515"/>
      <c r="L20" s="704"/>
      <c r="M20" s="517" t="e">
        <f>RANK(K20, K$7:$K$21)</f>
        <v>#N/A</v>
      </c>
      <c r="N20" s="659"/>
      <c r="O20" s="659"/>
      <c r="P20" s="515"/>
      <c r="Q20" s="518"/>
      <c r="R20" s="518"/>
      <c r="S20" s="518" t="e">
        <f t="shared" si="3"/>
        <v>#N/A</v>
      </c>
      <c r="T20" s="725"/>
      <c r="U20" s="573"/>
      <c r="V20" s="574"/>
      <c r="W20" s="574"/>
      <c r="X20" s="518" t="e">
        <f t="shared" si="4"/>
        <v>#N/A</v>
      </c>
      <c r="Y20" s="706"/>
      <c r="Z20" s="573"/>
      <c r="AA20" s="574"/>
      <c r="AB20" s="574"/>
      <c r="AC20" s="518" t="e">
        <f t="shared" si="5"/>
        <v>#N/A</v>
      </c>
      <c r="AD20" s="706"/>
      <c r="AE20" s="573"/>
      <c r="AF20" s="574"/>
      <c r="AG20" s="574"/>
      <c r="AH20" s="518" t="e">
        <f t="shared" si="6"/>
        <v>#N/A</v>
      </c>
      <c r="AI20" s="706"/>
      <c r="AJ20" s="573"/>
      <c r="AK20" s="574"/>
      <c r="AL20" s="574"/>
      <c r="AM20" s="518" t="e">
        <f t="shared" si="7"/>
        <v>#N/A</v>
      </c>
      <c r="AN20" s="706"/>
      <c r="AO20" s="573"/>
      <c r="AP20" s="574"/>
      <c r="AQ20" s="574"/>
      <c r="AR20" s="518" t="e">
        <f t="shared" si="8"/>
        <v>#N/A</v>
      </c>
      <c r="AS20" s="725"/>
      <c r="AT20" s="573"/>
      <c r="AU20" s="574"/>
      <c r="AV20" s="574"/>
      <c r="AW20" s="518" t="e">
        <f t="shared" si="9"/>
        <v>#N/A</v>
      </c>
      <c r="AX20" s="724"/>
      <c r="AZ20" s="362" t="e">
        <f>RANK(AX20, $K$7:AX$21)</f>
        <v>#N/A</v>
      </c>
      <c r="BB20" s="359" t="e">
        <f t="shared" si="10"/>
        <v>#N/A</v>
      </c>
    </row>
    <row r="21" spans="2:54">
      <c r="B21" s="692"/>
      <c r="C21" s="515">
        <v>15</v>
      </c>
      <c r="D21" s="498"/>
      <c r="E21" s="518"/>
      <c r="F21" s="518"/>
      <c r="G21" s="518"/>
      <c r="H21" s="714"/>
      <c r="I21" s="515"/>
      <c r="J21" s="515"/>
      <c r="K21" s="515"/>
      <c r="L21" s="714"/>
      <c r="M21" s="517" t="e">
        <f>RANK(K21, K$7:$K$21)</f>
        <v>#N/A</v>
      </c>
      <c r="N21" s="659"/>
      <c r="O21" s="659"/>
      <c r="P21" s="515"/>
      <c r="Q21" s="518"/>
      <c r="R21" s="518"/>
      <c r="S21" s="518" t="e">
        <f t="shared" si="3"/>
        <v>#N/A</v>
      </c>
      <c r="T21" s="725"/>
      <c r="U21" s="573"/>
      <c r="V21" s="574"/>
      <c r="W21" s="574"/>
      <c r="X21" s="518" t="e">
        <f t="shared" si="4"/>
        <v>#N/A</v>
      </c>
      <c r="Y21" s="706"/>
      <c r="Z21" s="573"/>
      <c r="AA21" s="574"/>
      <c r="AB21" s="574"/>
      <c r="AC21" s="518" t="e">
        <f t="shared" si="5"/>
        <v>#N/A</v>
      </c>
      <c r="AD21" s="706"/>
      <c r="AE21" s="573"/>
      <c r="AF21" s="574"/>
      <c r="AG21" s="574"/>
      <c r="AH21" s="518" t="e">
        <f t="shared" si="6"/>
        <v>#N/A</v>
      </c>
      <c r="AI21" s="706"/>
      <c r="AJ21" s="573"/>
      <c r="AK21" s="574"/>
      <c r="AL21" s="574"/>
      <c r="AM21" s="518" t="e">
        <f t="shared" si="7"/>
        <v>#N/A</v>
      </c>
      <c r="AN21" s="706"/>
      <c r="AO21" s="573"/>
      <c r="AP21" s="574"/>
      <c r="AQ21" s="574"/>
      <c r="AR21" s="518" t="e">
        <f t="shared" si="8"/>
        <v>#N/A</v>
      </c>
      <c r="AS21" s="725"/>
      <c r="AT21" s="573"/>
      <c r="AU21" s="574"/>
      <c r="AV21" s="574"/>
      <c r="AW21" s="518" t="e">
        <f t="shared" si="9"/>
        <v>#N/A</v>
      </c>
      <c r="AX21" s="724"/>
      <c r="AZ21" s="361" t="e">
        <f>RANK(AX21, $K$7:AX$21)</f>
        <v>#N/A</v>
      </c>
      <c r="BB21" s="359" t="e">
        <f t="shared" si="10"/>
        <v>#N/A</v>
      </c>
    </row>
    <row r="22" spans="2:54" ht="15.75">
      <c r="B22" s="685" t="s">
        <v>163</v>
      </c>
      <c r="C22" s="686"/>
      <c r="D22" s="686"/>
      <c r="E22" s="686"/>
      <c r="F22" s="686"/>
      <c r="G22" s="686"/>
      <c r="H22" s="686"/>
      <c r="I22" s="203"/>
      <c r="J22" s="203"/>
      <c r="K22" s="203"/>
      <c r="L22" s="203"/>
      <c r="M22" s="204"/>
      <c r="N22" s="660" t="s">
        <v>156</v>
      </c>
      <c r="O22" s="660" t="s">
        <v>105</v>
      </c>
      <c r="P22" s="666">
        <f>P2+7</f>
        <v>46091</v>
      </c>
      <c r="Q22" s="667"/>
      <c r="R22" s="667"/>
      <c r="S22" s="667"/>
      <c r="T22" s="667"/>
      <c r="U22" s="663">
        <f>P22+1</f>
        <v>46092</v>
      </c>
      <c r="V22" s="664"/>
      <c r="W22" s="664"/>
      <c r="X22" s="664"/>
      <c r="Y22" s="665"/>
      <c r="Z22" s="663">
        <f>U22+1</f>
        <v>46093</v>
      </c>
      <c r="AA22" s="664"/>
      <c r="AB22" s="664"/>
      <c r="AC22" s="664"/>
      <c r="AD22" s="665"/>
      <c r="AE22" s="663">
        <f>Z22+1</f>
        <v>46094</v>
      </c>
      <c r="AF22" s="664"/>
      <c r="AG22" s="664"/>
      <c r="AH22" s="664"/>
      <c r="AI22" s="665"/>
      <c r="AJ22" s="663">
        <f>AE22+1</f>
        <v>46095</v>
      </c>
      <c r="AK22" s="664"/>
      <c r="AL22" s="664"/>
      <c r="AM22" s="664"/>
      <c r="AN22" s="665"/>
      <c r="AO22" s="663">
        <f>AJ22+1</f>
        <v>46096</v>
      </c>
      <c r="AP22" s="664"/>
      <c r="AQ22" s="664"/>
      <c r="AR22" s="664"/>
      <c r="AS22" s="665"/>
      <c r="AT22" s="663">
        <f>AO22+1</f>
        <v>46097</v>
      </c>
      <c r="AU22" s="664"/>
      <c r="AV22" s="664"/>
      <c r="AW22" s="664"/>
      <c r="AX22" s="665"/>
    </row>
    <row r="23" spans="2:54" ht="15.75">
      <c r="B23" s="674"/>
      <c r="C23" s="674"/>
      <c r="D23" s="674"/>
      <c r="E23" s="674"/>
      <c r="F23" s="674"/>
      <c r="G23" s="674"/>
      <c r="H23" s="674"/>
      <c r="I23" s="205"/>
      <c r="J23" s="205"/>
      <c r="K23" s="205"/>
      <c r="L23" s="205"/>
      <c r="M23" s="206"/>
      <c r="N23" s="662"/>
      <c r="O23" s="662"/>
      <c r="P23" s="666" t="s">
        <v>336</v>
      </c>
      <c r="Q23" s="667"/>
      <c r="R23" s="667"/>
      <c r="S23" s="667"/>
      <c r="T23" s="667"/>
      <c r="U23" s="666" t="s">
        <v>337</v>
      </c>
      <c r="V23" s="667"/>
      <c r="W23" s="667"/>
      <c r="X23" s="667"/>
      <c r="Y23" s="667"/>
      <c r="Z23" s="666" t="s">
        <v>338</v>
      </c>
      <c r="AA23" s="667"/>
      <c r="AB23" s="667"/>
      <c r="AC23" s="667"/>
      <c r="AD23" s="667"/>
      <c r="AE23" s="666" t="s">
        <v>339</v>
      </c>
      <c r="AF23" s="667"/>
      <c r="AG23" s="667"/>
      <c r="AH23" s="667"/>
      <c r="AI23" s="667"/>
      <c r="AJ23" s="666" t="s">
        <v>340</v>
      </c>
      <c r="AK23" s="667"/>
      <c r="AL23" s="667"/>
      <c r="AM23" s="667"/>
      <c r="AN23" s="667"/>
      <c r="AO23" s="666" t="s">
        <v>341</v>
      </c>
      <c r="AP23" s="667"/>
      <c r="AQ23" s="667"/>
      <c r="AR23" s="667"/>
      <c r="AS23" s="667"/>
      <c r="AT23" s="666" t="s">
        <v>342</v>
      </c>
      <c r="AU23" s="667"/>
      <c r="AV23" s="667"/>
      <c r="AW23" s="667"/>
      <c r="AX23" s="667"/>
    </row>
    <row r="24" spans="2:54">
      <c r="B24" s="659" t="s">
        <v>419</v>
      </c>
      <c r="C24" s="659" t="s">
        <v>429</v>
      </c>
      <c r="D24" s="659"/>
      <c r="E24" s="659" t="s">
        <v>420</v>
      </c>
      <c r="F24" s="659"/>
      <c r="G24" s="659"/>
      <c r="H24" s="675" t="s">
        <v>416</v>
      </c>
      <c r="I24" s="643" t="s">
        <v>421</v>
      </c>
      <c r="J24" s="643"/>
      <c r="K24" s="643"/>
      <c r="L24" s="644" t="s">
        <v>416</v>
      </c>
      <c r="M24" s="650" t="s">
        <v>417</v>
      </c>
      <c r="N24" s="659"/>
      <c r="O24" s="659" t="s">
        <v>422</v>
      </c>
      <c r="P24" s="656" t="s">
        <v>418</v>
      </c>
      <c r="Q24" s="657"/>
      <c r="R24" s="657"/>
      <c r="S24" s="658"/>
      <c r="T24" s="659" t="s">
        <v>416</v>
      </c>
      <c r="U24" s="656" t="s">
        <v>418</v>
      </c>
      <c r="V24" s="657"/>
      <c r="W24" s="657"/>
      <c r="X24" s="658"/>
      <c r="Y24" s="659" t="s">
        <v>416</v>
      </c>
      <c r="Z24" s="656" t="s">
        <v>418</v>
      </c>
      <c r="AA24" s="657"/>
      <c r="AB24" s="657"/>
      <c r="AC24" s="658"/>
      <c r="AD24" s="659" t="s">
        <v>416</v>
      </c>
      <c r="AE24" s="656" t="s">
        <v>418</v>
      </c>
      <c r="AF24" s="657"/>
      <c r="AG24" s="657"/>
      <c r="AH24" s="658"/>
      <c r="AI24" s="659" t="s">
        <v>416</v>
      </c>
      <c r="AJ24" s="656" t="s">
        <v>418</v>
      </c>
      <c r="AK24" s="657"/>
      <c r="AL24" s="657"/>
      <c r="AM24" s="658"/>
      <c r="AN24" s="659" t="s">
        <v>416</v>
      </c>
      <c r="AO24" s="656" t="s">
        <v>418</v>
      </c>
      <c r="AP24" s="657"/>
      <c r="AQ24" s="657"/>
      <c r="AR24" s="658"/>
      <c r="AS24" s="659" t="s">
        <v>416</v>
      </c>
      <c r="AT24" s="656" t="s">
        <v>418</v>
      </c>
      <c r="AU24" s="657"/>
      <c r="AV24" s="657"/>
      <c r="AW24" s="658"/>
      <c r="AX24" s="659" t="s">
        <v>416</v>
      </c>
    </row>
    <row r="25" spans="2:54">
      <c r="B25" s="659"/>
      <c r="C25" s="659"/>
      <c r="D25" s="659"/>
      <c r="E25" s="659" t="s">
        <v>423</v>
      </c>
      <c r="F25" s="659"/>
      <c r="G25" s="659"/>
      <c r="H25" s="676"/>
      <c r="I25" s="643" t="s">
        <v>423</v>
      </c>
      <c r="J25" s="643"/>
      <c r="K25" s="643"/>
      <c r="L25" s="645"/>
      <c r="M25" s="651"/>
      <c r="N25" s="659"/>
      <c r="O25" s="659"/>
      <c r="P25" s="656" t="s">
        <v>424</v>
      </c>
      <c r="Q25" s="657"/>
      <c r="R25" s="657"/>
      <c r="S25" s="658"/>
      <c r="T25" s="659"/>
      <c r="U25" s="656" t="s">
        <v>424</v>
      </c>
      <c r="V25" s="657"/>
      <c r="W25" s="657"/>
      <c r="X25" s="658"/>
      <c r="Y25" s="659"/>
      <c r="Z25" s="656" t="s">
        <v>424</v>
      </c>
      <c r="AA25" s="657"/>
      <c r="AB25" s="657"/>
      <c r="AC25" s="658"/>
      <c r="AD25" s="659"/>
      <c r="AE25" s="656" t="s">
        <v>424</v>
      </c>
      <c r="AF25" s="657"/>
      <c r="AG25" s="657"/>
      <c r="AH25" s="658"/>
      <c r="AI25" s="659"/>
      <c r="AJ25" s="656" t="s">
        <v>424</v>
      </c>
      <c r="AK25" s="657"/>
      <c r="AL25" s="657"/>
      <c r="AM25" s="658"/>
      <c r="AN25" s="659"/>
      <c r="AO25" s="656" t="s">
        <v>424</v>
      </c>
      <c r="AP25" s="657"/>
      <c r="AQ25" s="657"/>
      <c r="AR25" s="658"/>
      <c r="AS25" s="659"/>
      <c r="AT25" s="656" t="s">
        <v>424</v>
      </c>
      <c r="AU25" s="657"/>
      <c r="AV25" s="657"/>
      <c r="AW25" s="658"/>
      <c r="AX25" s="659"/>
    </row>
    <row r="26" spans="2:54">
      <c r="B26" s="659"/>
      <c r="C26" s="659"/>
      <c r="D26" s="659"/>
      <c r="E26" s="308" t="s">
        <v>425</v>
      </c>
      <c r="F26" s="308" t="s">
        <v>426</v>
      </c>
      <c r="G26" s="308" t="s">
        <v>427</v>
      </c>
      <c r="H26" s="677"/>
      <c r="I26" s="307" t="s">
        <v>425</v>
      </c>
      <c r="J26" s="307" t="s">
        <v>426</v>
      </c>
      <c r="K26" s="307" t="s">
        <v>427</v>
      </c>
      <c r="L26" s="646"/>
      <c r="M26" s="652"/>
      <c r="N26" s="659"/>
      <c r="O26" s="659"/>
      <c r="P26" s="308" t="s">
        <v>425</v>
      </c>
      <c r="Q26" s="308" t="s">
        <v>426</v>
      </c>
      <c r="R26" s="308" t="s">
        <v>427</v>
      </c>
      <c r="S26" s="308" t="s">
        <v>417</v>
      </c>
      <c r="T26" s="659"/>
      <c r="U26" s="308" t="s">
        <v>425</v>
      </c>
      <c r="V26" s="308" t="s">
        <v>426</v>
      </c>
      <c r="W26" s="308" t="s">
        <v>427</v>
      </c>
      <c r="X26" s="308" t="s">
        <v>417</v>
      </c>
      <c r="Y26" s="659"/>
      <c r="Z26" s="308" t="s">
        <v>425</v>
      </c>
      <c r="AA26" s="308" t="s">
        <v>426</v>
      </c>
      <c r="AB26" s="308" t="s">
        <v>427</v>
      </c>
      <c r="AC26" s="308" t="s">
        <v>417</v>
      </c>
      <c r="AD26" s="659"/>
      <c r="AE26" s="308" t="s">
        <v>425</v>
      </c>
      <c r="AF26" s="308" t="s">
        <v>426</v>
      </c>
      <c r="AG26" s="308" t="s">
        <v>427</v>
      </c>
      <c r="AH26" s="308" t="s">
        <v>417</v>
      </c>
      <c r="AI26" s="659"/>
      <c r="AJ26" s="308" t="s">
        <v>425</v>
      </c>
      <c r="AK26" s="308" t="s">
        <v>426</v>
      </c>
      <c r="AL26" s="308" t="s">
        <v>427</v>
      </c>
      <c r="AM26" s="308" t="s">
        <v>417</v>
      </c>
      <c r="AN26" s="659"/>
      <c r="AO26" s="308" t="s">
        <v>425</v>
      </c>
      <c r="AP26" s="308" t="s">
        <v>426</v>
      </c>
      <c r="AQ26" s="308" t="s">
        <v>427</v>
      </c>
      <c r="AR26" s="308" t="s">
        <v>417</v>
      </c>
      <c r="AS26" s="659"/>
      <c r="AT26" s="308" t="s">
        <v>425</v>
      </c>
      <c r="AU26" s="308" t="s">
        <v>426</v>
      </c>
      <c r="AV26" s="308" t="s">
        <v>427</v>
      </c>
      <c r="AW26" s="308" t="s">
        <v>417</v>
      </c>
      <c r="AX26" s="659"/>
    </row>
    <row r="27" spans="2:54">
      <c r="B27" s="659" t="s">
        <v>431</v>
      </c>
      <c r="C27" s="309">
        <v>1</v>
      </c>
      <c r="D27" s="227"/>
      <c r="E27" s="182"/>
      <c r="F27" s="569"/>
      <c r="G27" s="570"/>
      <c r="H27" s="708" t="e">
        <f>AVERAGE(G27:G41)</f>
        <v>#DIV/0!</v>
      </c>
      <c r="I27" s="199" t="e">
        <f>AVERAGE(P27,U27,Z27,AE27,AJ27,AO27,AT27)</f>
        <v>#DIV/0!</v>
      </c>
      <c r="J27" s="199" t="e">
        <f>AVERAGE(Q27,V27,AA27,AF27,AK27,AP27,AU27)</f>
        <v>#DIV/0!</v>
      </c>
      <c r="K27" s="200" t="e">
        <f>AVERAGE(R27,W27,AB27,AG27,AL27,AQ27,AV27)</f>
        <v>#DIV/0!</v>
      </c>
      <c r="L27" s="640" t="str">
        <f>IFERROR(AVERAGE(K27:K41),"-")</f>
        <v>-</v>
      </c>
      <c r="M27" s="201" t="e">
        <f>RANK(K27, K$27:$K$41)</f>
        <v>#DIV/0!</v>
      </c>
      <c r="N27" s="659"/>
      <c r="O27" s="659"/>
      <c r="P27" s="573"/>
      <c r="Q27" s="574"/>
      <c r="R27" s="574"/>
      <c r="S27" s="309" t="e">
        <f t="shared" ref="S27:S41" si="11">RANK(R27, R$27:R$41)</f>
        <v>#N/A</v>
      </c>
      <c r="T27" s="681" t="e">
        <f>AVERAGE(R27:R41)</f>
        <v>#DIV/0!</v>
      </c>
      <c r="U27" s="573"/>
      <c r="V27" s="574"/>
      <c r="W27" s="574"/>
      <c r="X27" s="475" t="e">
        <f t="shared" ref="X27:X41" si="12">RANK(W27, W$27:W$41)</f>
        <v>#N/A</v>
      </c>
      <c r="Y27" s="681" t="e">
        <f t="shared" ref="Y27" si="13">AVERAGE(W27:W41)</f>
        <v>#DIV/0!</v>
      </c>
      <c r="Z27" s="573"/>
      <c r="AA27" s="574"/>
      <c r="AB27" s="574"/>
      <c r="AC27" s="475" t="e">
        <f t="shared" ref="AC27:AC41" si="14">RANK(AB27, AB$27:AB$41)</f>
        <v>#N/A</v>
      </c>
      <c r="AD27" s="681" t="e">
        <f t="shared" ref="AD27" si="15">AVERAGE(AB27:AB41)</f>
        <v>#DIV/0!</v>
      </c>
      <c r="AE27" s="573"/>
      <c r="AF27" s="574"/>
      <c r="AG27" s="574"/>
      <c r="AH27" s="475" t="e">
        <f t="shared" ref="AH27:AH41" si="16">RANK(AG27, AG$27:AG$41)</f>
        <v>#N/A</v>
      </c>
      <c r="AI27" s="681" t="e">
        <f t="shared" ref="AI27" si="17">AVERAGE(AG27:AG41)</f>
        <v>#DIV/0!</v>
      </c>
      <c r="AJ27" s="573"/>
      <c r="AK27" s="574"/>
      <c r="AL27" s="574"/>
      <c r="AM27" s="475" t="e">
        <f t="shared" ref="AM27:AM41" si="18">RANK(AL27, AL$27:AL$41)</f>
        <v>#N/A</v>
      </c>
      <c r="AN27" s="681" t="e">
        <f t="shared" ref="AN27" si="19">AVERAGE(AL27:AL41)</f>
        <v>#DIV/0!</v>
      </c>
      <c r="AO27" s="573"/>
      <c r="AP27" s="574"/>
      <c r="AQ27" s="574"/>
      <c r="AR27" s="475" t="e">
        <f t="shared" ref="AR27:AR41" si="20">RANK(AQ27, AQ$27:AQ$41)</f>
        <v>#N/A</v>
      </c>
      <c r="AS27" s="681" t="e">
        <f t="shared" ref="AS27" si="21">AVERAGE(AQ27:AQ41)</f>
        <v>#DIV/0!</v>
      </c>
      <c r="AT27" s="573"/>
      <c r="AU27" s="574"/>
      <c r="AV27" s="574"/>
      <c r="AW27" s="475" t="e">
        <f t="shared" ref="AW27:AW41" si="22">RANK(AV27, AV$27:AV$41)</f>
        <v>#N/A</v>
      </c>
      <c r="AX27" s="681" t="e">
        <f t="shared" ref="AX27" si="23">AVERAGE(AV27:AV41)</f>
        <v>#DIV/0!</v>
      </c>
    </row>
    <row r="28" spans="2:54">
      <c r="B28" s="667"/>
      <c r="C28" s="309">
        <v>2</v>
      </c>
      <c r="D28" s="227"/>
      <c r="E28" s="182"/>
      <c r="F28" s="569"/>
      <c r="G28" s="570"/>
      <c r="H28" s="709"/>
      <c r="I28" s="199" t="e">
        <f t="shared" ref="I28:I32" si="24">AVERAGE(P28,U28,Z28,AE28,AJ28,AO28,AT28)</f>
        <v>#DIV/0!</v>
      </c>
      <c r="J28" s="199" t="e">
        <f t="shared" ref="J28:J32" si="25">AVERAGE(Q28,V28,AA28,AF28,AK28,AP28,AU28)</f>
        <v>#DIV/0!</v>
      </c>
      <c r="K28" s="200" t="e">
        <f t="shared" ref="K28:K32" si="26">AVERAGE(R28,W28,AB28,AG28,AL28,AQ28,AV28)</f>
        <v>#DIV/0!</v>
      </c>
      <c r="L28" s="641"/>
      <c r="M28" s="201" t="e">
        <f>RANK(K28, K$27:$K$41)</f>
        <v>#DIV/0!</v>
      </c>
      <c r="N28" s="659"/>
      <c r="O28" s="659"/>
      <c r="P28" s="573"/>
      <c r="Q28" s="574"/>
      <c r="R28" s="574"/>
      <c r="S28" s="309" t="e">
        <f t="shared" si="11"/>
        <v>#N/A</v>
      </c>
      <c r="T28" s="681"/>
      <c r="U28" s="573"/>
      <c r="V28" s="574"/>
      <c r="W28" s="574"/>
      <c r="X28" s="475" t="e">
        <f t="shared" si="12"/>
        <v>#N/A</v>
      </c>
      <c r="Y28" s="681"/>
      <c r="Z28" s="573"/>
      <c r="AA28" s="574"/>
      <c r="AB28" s="574"/>
      <c r="AC28" s="475" t="e">
        <f t="shared" si="14"/>
        <v>#N/A</v>
      </c>
      <c r="AD28" s="681"/>
      <c r="AE28" s="573"/>
      <c r="AF28" s="574"/>
      <c r="AG28" s="574"/>
      <c r="AH28" s="475" t="e">
        <f t="shared" si="16"/>
        <v>#N/A</v>
      </c>
      <c r="AI28" s="681"/>
      <c r="AJ28" s="573"/>
      <c r="AK28" s="574"/>
      <c r="AL28" s="574"/>
      <c r="AM28" s="475" t="e">
        <f t="shared" si="18"/>
        <v>#N/A</v>
      </c>
      <c r="AN28" s="681"/>
      <c r="AO28" s="573"/>
      <c r="AP28" s="574"/>
      <c r="AQ28" s="574"/>
      <c r="AR28" s="475" t="e">
        <f t="shared" si="20"/>
        <v>#N/A</v>
      </c>
      <c r="AS28" s="681"/>
      <c r="AT28" s="573"/>
      <c r="AU28" s="574"/>
      <c r="AV28" s="574"/>
      <c r="AW28" s="475" t="e">
        <f t="shared" si="22"/>
        <v>#N/A</v>
      </c>
      <c r="AX28" s="681"/>
    </row>
    <row r="29" spans="2:54">
      <c r="B29" s="667"/>
      <c r="C29" s="309">
        <v>3</v>
      </c>
      <c r="D29" s="227"/>
      <c r="E29" s="182"/>
      <c r="F29" s="569"/>
      <c r="G29" s="570"/>
      <c r="H29" s="709"/>
      <c r="I29" s="199" t="e">
        <f t="shared" si="24"/>
        <v>#DIV/0!</v>
      </c>
      <c r="J29" s="199" t="e">
        <f t="shared" si="25"/>
        <v>#DIV/0!</v>
      </c>
      <c r="K29" s="200" t="e">
        <f t="shared" si="26"/>
        <v>#DIV/0!</v>
      </c>
      <c r="L29" s="641"/>
      <c r="M29" s="201" t="e">
        <f>RANK(K29, K$27:$K$41)</f>
        <v>#DIV/0!</v>
      </c>
      <c r="N29" s="659"/>
      <c r="O29" s="659"/>
      <c r="P29" s="573"/>
      <c r="Q29" s="574"/>
      <c r="R29" s="574"/>
      <c r="S29" s="309" t="e">
        <f t="shared" si="11"/>
        <v>#N/A</v>
      </c>
      <c r="T29" s="681"/>
      <c r="U29" s="573"/>
      <c r="V29" s="574"/>
      <c r="W29" s="574"/>
      <c r="X29" s="475" t="e">
        <f t="shared" si="12"/>
        <v>#N/A</v>
      </c>
      <c r="Y29" s="681"/>
      <c r="Z29" s="573"/>
      <c r="AA29" s="574"/>
      <c r="AB29" s="574"/>
      <c r="AC29" s="475" t="e">
        <f t="shared" si="14"/>
        <v>#N/A</v>
      </c>
      <c r="AD29" s="681"/>
      <c r="AE29" s="573"/>
      <c r="AF29" s="574"/>
      <c r="AG29" s="574"/>
      <c r="AH29" s="475" t="e">
        <f t="shared" si="16"/>
        <v>#N/A</v>
      </c>
      <c r="AI29" s="681"/>
      <c r="AJ29" s="573"/>
      <c r="AK29" s="574"/>
      <c r="AL29" s="574"/>
      <c r="AM29" s="475" t="e">
        <f t="shared" si="18"/>
        <v>#N/A</v>
      </c>
      <c r="AN29" s="681"/>
      <c r="AO29" s="573"/>
      <c r="AP29" s="574"/>
      <c r="AQ29" s="574"/>
      <c r="AR29" s="475" t="e">
        <f t="shared" si="20"/>
        <v>#N/A</v>
      </c>
      <c r="AS29" s="681"/>
      <c r="AT29" s="573"/>
      <c r="AU29" s="574"/>
      <c r="AV29" s="574"/>
      <c r="AW29" s="475" t="e">
        <f t="shared" si="22"/>
        <v>#N/A</v>
      </c>
      <c r="AX29" s="681"/>
    </row>
    <row r="30" spans="2:54">
      <c r="B30" s="667"/>
      <c r="C30" s="309">
        <v>4</v>
      </c>
      <c r="D30" s="227"/>
      <c r="E30" s="182"/>
      <c r="F30" s="569"/>
      <c r="G30" s="570"/>
      <c r="H30" s="709"/>
      <c r="I30" s="199" t="e">
        <f t="shared" si="24"/>
        <v>#DIV/0!</v>
      </c>
      <c r="J30" s="199" t="e">
        <f t="shared" si="25"/>
        <v>#DIV/0!</v>
      </c>
      <c r="K30" s="200" t="e">
        <f t="shared" si="26"/>
        <v>#DIV/0!</v>
      </c>
      <c r="L30" s="641"/>
      <c r="M30" s="201" t="e">
        <f>RANK(K30, K$27:$K$41)</f>
        <v>#DIV/0!</v>
      </c>
      <c r="N30" s="659"/>
      <c r="O30" s="659"/>
      <c r="P30" s="573"/>
      <c r="Q30" s="574"/>
      <c r="R30" s="574"/>
      <c r="S30" s="309" t="e">
        <f t="shared" si="11"/>
        <v>#N/A</v>
      </c>
      <c r="T30" s="681"/>
      <c r="U30" s="573"/>
      <c r="V30" s="574"/>
      <c r="W30" s="574"/>
      <c r="X30" s="475" t="e">
        <f t="shared" si="12"/>
        <v>#N/A</v>
      </c>
      <c r="Y30" s="681"/>
      <c r="Z30" s="573"/>
      <c r="AA30" s="574"/>
      <c r="AB30" s="574"/>
      <c r="AC30" s="475" t="e">
        <f t="shared" si="14"/>
        <v>#N/A</v>
      </c>
      <c r="AD30" s="681"/>
      <c r="AE30" s="573"/>
      <c r="AF30" s="574"/>
      <c r="AG30" s="574"/>
      <c r="AH30" s="475" t="e">
        <f t="shared" si="16"/>
        <v>#N/A</v>
      </c>
      <c r="AI30" s="681"/>
      <c r="AJ30" s="573"/>
      <c r="AK30" s="574"/>
      <c r="AL30" s="574"/>
      <c r="AM30" s="475" t="e">
        <f t="shared" si="18"/>
        <v>#N/A</v>
      </c>
      <c r="AN30" s="681"/>
      <c r="AO30" s="573"/>
      <c r="AP30" s="574"/>
      <c r="AQ30" s="574"/>
      <c r="AR30" s="475" t="e">
        <f t="shared" si="20"/>
        <v>#N/A</v>
      </c>
      <c r="AS30" s="681"/>
      <c r="AT30" s="573"/>
      <c r="AU30" s="574"/>
      <c r="AV30" s="574"/>
      <c r="AW30" s="475" t="e">
        <f t="shared" si="22"/>
        <v>#N/A</v>
      </c>
      <c r="AX30" s="681"/>
    </row>
    <row r="31" spans="2:54">
      <c r="B31" s="667"/>
      <c r="C31" s="309">
        <v>5</v>
      </c>
      <c r="D31" s="227"/>
      <c r="E31" s="182"/>
      <c r="F31" s="569"/>
      <c r="G31" s="570"/>
      <c r="H31" s="709"/>
      <c r="I31" s="199" t="e">
        <f t="shared" si="24"/>
        <v>#DIV/0!</v>
      </c>
      <c r="J31" s="199" t="e">
        <f t="shared" si="25"/>
        <v>#DIV/0!</v>
      </c>
      <c r="K31" s="200" t="e">
        <f t="shared" si="26"/>
        <v>#DIV/0!</v>
      </c>
      <c r="L31" s="641"/>
      <c r="M31" s="201" t="e">
        <f>RANK(K31, K$27:$K$41)</f>
        <v>#DIV/0!</v>
      </c>
      <c r="N31" s="659"/>
      <c r="O31" s="659"/>
      <c r="P31" s="573"/>
      <c r="Q31" s="574"/>
      <c r="R31" s="574"/>
      <c r="S31" s="309" t="e">
        <f t="shared" si="11"/>
        <v>#N/A</v>
      </c>
      <c r="T31" s="681"/>
      <c r="U31" s="573"/>
      <c r="V31" s="574"/>
      <c r="W31" s="574"/>
      <c r="X31" s="475" t="e">
        <f t="shared" si="12"/>
        <v>#N/A</v>
      </c>
      <c r="Y31" s="681"/>
      <c r="Z31" s="573"/>
      <c r="AA31" s="574"/>
      <c r="AB31" s="574"/>
      <c r="AC31" s="475" t="e">
        <f t="shared" si="14"/>
        <v>#N/A</v>
      </c>
      <c r="AD31" s="681"/>
      <c r="AE31" s="573"/>
      <c r="AF31" s="574"/>
      <c r="AG31" s="574"/>
      <c r="AH31" s="475" t="e">
        <f t="shared" si="16"/>
        <v>#N/A</v>
      </c>
      <c r="AI31" s="681"/>
      <c r="AJ31" s="573"/>
      <c r="AK31" s="574"/>
      <c r="AL31" s="574"/>
      <c r="AM31" s="475" t="e">
        <f t="shared" si="18"/>
        <v>#N/A</v>
      </c>
      <c r="AN31" s="681"/>
      <c r="AO31" s="573"/>
      <c r="AP31" s="574"/>
      <c r="AQ31" s="574"/>
      <c r="AR31" s="475" t="e">
        <f t="shared" si="20"/>
        <v>#N/A</v>
      </c>
      <c r="AS31" s="681"/>
      <c r="AT31" s="573"/>
      <c r="AU31" s="574"/>
      <c r="AV31" s="574"/>
      <c r="AW31" s="475" t="e">
        <f t="shared" si="22"/>
        <v>#N/A</v>
      </c>
      <c r="AX31" s="681"/>
    </row>
    <row r="32" spans="2:54">
      <c r="B32" s="667"/>
      <c r="C32" s="309">
        <v>6</v>
      </c>
      <c r="D32" s="227"/>
      <c r="E32" s="182"/>
      <c r="F32" s="569"/>
      <c r="G32" s="570"/>
      <c r="H32" s="709"/>
      <c r="I32" s="199" t="e">
        <f t="shared" si="24"/>
        <v>#DIV/0!</v>
      </c>
      <c r="J32" s="199" t="e">
        <f t="shared" si="25"/>
        <v>#DIV/0!</v>
      </c>
      <c r="K32" s="200" t="e">
        <f t="shared" si="26"/>
        <v>#DIV/0!</v>
      </c>
      <c r="L32" s="641"/>
      <c r="M32" s="201" t="e">
        <f>RANK(K32, K$27:$K$41)</f>
        <v>#DIV/0!</v>
      </c>
      <c r="N32" s="659"/>
      <c r="O32" s="659"/>
      <c r="P32" s="573"/>
      <c r="Q32" s="574"/>
      <c r="R32" s="574"/>
      <c r="S32" s="309" t="e">
        <f t="shared" si="11"/>
        <v>#N/A</v>
      </c>
      <c r="T32" s="681"/>
      <c r="U32" s="573"/>
      <c r="V32" s="574"/>
      <c r="W32" s="574"/>
      <c r="X32" s="475" t="e">
        <f t="shared" si="12"/>
        <v>#N/A</v>
      </c>
      <c r="Y32" s="681"/>
      <c r="Z32" s="573"/>
      <c r="AA32" s="574"/>
      <c r="AB32" s="574"/>
      <c r="AC32" s="475" t="e">
        <f t="shared" si="14"/>
        <v>#N/A</v>
      </c>
      <c r="AD32" s="681"/>
      <c r="AE32" s="573"/>
      <c r="AF32" s="574"/>
      <c r="AG32" s="574"/>
      <c r="AH32" s="475" t="e">
        <f t="shared" si="16"/>
        <v>#N/A</v>
      </c>
      <c r="AI32" s="681"/>
      <c r="AJ32" s="573"/>
      <c r="AK32" s="574"/>
      <c r="AL32" s="574"/>
      <c r="AM32" s="475" t="e">
        <f t="shared" si="18"/>
        <v>#N/A</v>
      </c>
      <c r="AN32" s="681"/>
      <c r="AO32" s="573"/>
      <c r="AP32" s="574"/>
      <c r="AQ32" s="574"/>
      <c r="AR32" s="475" t="e">
        <f t="shared" si="20"/>
        <v>#N/A</v>
      </c>
      <c r="AS32" s="681"/>
      <c r="AT32" s="573"/>
      <c r="AU32" s="574"/>
      <c r="AV32" s="574"/>
      <c r="AW32" s="475" t="e">
        <f t="shared" si="22"/>
        <v>#N/A</v>
      </c>
      <c r="AX32" s="681"/>
    </row>
    <row r="33" spans="2:50">
      <c r="B33" s="667"/>
      <c r="C33" s="309">
        <v>7</v>
      </c>
      <c r="D33" s="227"/>
      <c r="E33" s="182"/>
      <c r="F33" s="569"/>
      <c r="G33" s="570"/>
      <c r="H33" s="709"/>
      <c r="I33" s="199"/>
      <c r="J33" s="199"/>
      <c r="K33" s="200"/>
      <c r="L33" s="641"/>
      <c r="M33" s="201" t="e">
        <f>RANK(K33, K$27:$K$41)</f>
        <v>#DIV/0!</v>
      </c>
      <c r="N33" s="659"/>
      <c r="O33" s="659"/>
      <c r="P33" s="573"/>
      <c r="Q33" s="574"/>
      <c r="R33" s="574"/>
      <c r="S33" s="309" t="e">
        <f t="shared" si="11"/>
        <v>#N/A</v>
      </c>
      <c r="T33" s="681"/>
      <c r="U33" s="573"/>
      <c r="V33" s="574"/>
      <c r="W33" s="574"/>
      <c r="X33" s="475" t="e">
        <f t="shared" si="12"/>
        <v>#N/A</v>
      </c>
      <c r="Y33" s="681"/>
      <c r="Z33" s="573"/>
      <c r="AA33" s="574"/>
      <c r="AB33" s="574"/>
      <c r="AC33" s="475" t="e">
        <f t="shared" si="14"/>
        <v>#N/A</v>
      </c>
      <c r="AD33" s="681"/>
      <c r="AE33" s="573"/>
      <c r="AF33" s="574"/>
      <c r="AG33" s="574"/>
      <c r="AH33" s="475" t="e">
        <f t="shared" si="16"/>
        <v>#N/A</v>
      </c>
      <c r="AI33" s="681"/>
      <c r="AJ33" s="573"/>
      <c r="AK33" s="574"/>
      <c r="AL33" s="574"/>
      <c r="AM33" s="475" t="e">
        <f t="shared" si="18"/>
        <v>#N/A</v>
      </c>
      <c r="AN33" s="681"/>
      <c r="AO33" s="573"/>
      <c r="AP33" s="574"/>
      <c r="AQ33" s="574"/>
      <c r="AR33" s="475" t="e">
        <f t="shared" si="20"/>
        <v>#N/A</v>
      </c>
      <c r="AS33" s="681"/>
      <c r="AT33" s="573"/>
      <c r="AU33" s="574"/>
      <c r="AV33" s="574"/>
      <c r="AW33" s="475" t="e">
        <f t="shared" si="22"/>
        <v>#N/A</v>
      </c>
      <c r="AX33" s="681"/>
    </row>
    <row r="34" spans="2:50">
      <c r="B34" s="667"/>
      <c r="C34" s="309">
        <v>8</v>
      </c>
      <c r="D34" s="227"/>
      <c r="E34" s="182"/>
      <c r="F34" s="569"/>
      <c r="G34" s="570"/>
      <c r="H34" s="709"/>
      <c r="I34" s="424"/>
      <c r="J34" s="424"/>
      <c r="K34" s="200"/>
      <c r="L34" s="641"/>
      <c r="M34" s="201" t="e">
        <f>RANK(K34, K$27:$K$41)</f>
        <v>#DIV/0!</v>
      </c>
      <c r="N34" s="659"/>
      <c r="O34" s="659"/>
      <c r="P34" s="573"/>
      <c r="Q34" s="574"/>
      <c r="R34" s="574"/>
      <c r="S34" s="309" t="e">
        <f t="shared" si="11"/>
        <v>#N/A</v>
      </c>
      <c r="T34" s="681"/>
      <c r="U34" s="573"/>
      <c r="V34" s="574"/>
      <c r="W34" s="574"/>
      <c r="X34" s="475" t="e">
        <f t="shared" si="12"/>
        <v>#N/A</v>
      </c>
      <c r="Y34" s="681"/>
      <c r="Z34" s="573"/>
      <c r="AA34" s="574"/>
      <c r="AB34" s="574"/>
      <c r="AC34" s="475" t="e">
        <f t="shared" si="14"/>
        <v>#N/A</v>
      </c>
      <c r="AD34" s="681"/>
      <c r="AE34" s="573"/>
      <c r="AF34" s="574"/>
      <c r="AG34" s="574"/>
      <c r="AH34" s="475" t="e">
        <f t="shared" si="16"/>
        <v>#N/A</v>
      </c>
      <c r="AI34" s="681"/>
      <c r="AJ34" s="573"/>
      <c r="AK34" s="574"/>
      <c r="AL34" s="574"/>
      <c r="AM34" s="475" t="e">
        <f t="shared" si="18"/>
        <v>#N/A</v>
      </c>
      <c r="AN34" s="681"/>
      <c r="AO34" s="573"/>
      <c r="AP34" s="574"/>
      <c r="AQ34" s="574"/>
      <c r="AR34" s="475" t="e">
        <f t="shared" si="20"/>
        <v>#N/A</v>
      </c>
      <c r="AS34" s="681"/>
      <c r="AT34" s="573"/>
      <c r="AU34" s="574"/>
      <c r="AV34" s="574"/>
      <c r="AW34" s="475" t="e">
        <f t="shared" si="22"/>
        <v>#N/A</v>
      </c>
      <c r="AX34" s="681"/>
    </row>
    <row r="35" spans="2:50">
      <c r="B35" s="667"/>
      <c r="C35" s="309">
        <v>9</v>
      </c>
      <c r="D35" s="227"/>
      <c r="E35" s="182"/>
      <c r="F35" s="569"/>
      <c r="G35" s="570"/>
      <c r="H35" s="709"/>
      <c r="I35" s="477"/>
      <c r="J35" s="477"/>
      <c r="K35" s="200"/>
      <c r="L35" s="641"/>
      <c r="M35" s="201" t="e">
        <f>RANK(K35, K$27:$K$41)</f>
        <v>#DIV/0!</v>
      </c>
      <c r="N35" s="659"/>
      <c r="O35" s="659"/>
      <c r="P35" s="573"/>
      <c r="Q35" s="574"/>
      <c r="R35" s="574"/>
      <c r="S35" s="309" t="e">
        <f t="shared" si="11"/>
        <v>#N/A</v>
      </c>
      <c r="T35" s="681"/>
      <c r="U35" s="573"/>
      <c r="V35" s="574"/>
      <c r="W35" s="574"/>
      <c r="X35" s="475" t="e">
        <f t="shared" si="12"/>
        <v>#N/A</v>
      </c>
      <c r="Y35" s="681"/>
      <c r="Z35" s="573"/>
      <c r="AA35" s="574"/>
      <c r="AB35" s="574"/>
      <c r="AC35" s="475" t="e">
        <f t="shared" si="14"/>
        <v>#N/A</v>
      </c>
      <c r="AD35" s="681"/>
      <c r="AE35" s="573"/>
      <c r="AF35" s="574"/>
      <c r="AG35" s="574"/>
      <c r="AH35" s="475" t="e">
        <f t="shared" si="16"/>
        <v>#N/A</v>
      </c>
      <c r="AI35" s="681"/>
      <c r="AJ35" s="573"/>
      <c r="AK35" s="574"/>
      <c r="AL35" s="574"/>
      <c r="AM35" s="475" t="e">
        <f t="shared" si="18"/>
        <v>#N/A</v>
      </c>
      <c r="AN35" s="681"/>
      <c r="AO35" s="573"/>
      <c r="AP35" s="574"/>
      <c r="AQ35" s="574"/>
      <c r="AR35" s="475" t="e">
        <f t="shared" si="20"/>
        <v>#N/A</v>
      </c>
      <c r="AS35" s="681"/>
      <c r="AT35" s="573"/>
      <c r="AU35" s="574"/>
      <c r="AV35" s="574"/>
      <c r="AW35" s="475" t="e">
        <f t="shared" si="22"/>
        <v>#N/A</v>
      </c>
      <c r="AX35" s="681"/>
    </row>
    <row r="36" spans="2:50">
      <c r="B36" s="667"/>
      <c r="C36" s="309">
        <v>10</v>
      </c>
      <c r="D36" s="227"/>
      <c r="E36" s="182"/>
      <c r="F36" s="569"/>
      <c r="G36" s="570"/>
      <c r="H36" s="709"/>
      <c r="I36" s="477"/>
      <c r="J36" s="477"/>
      <c r="K36" s="200"/>
      <c r="L36" s="641"/>
      <c r="M36" s="201" t="e">
        <f>RANK(K36, K$27:$K$41)</f>
        <v>#DIV/0!</v>
      </c>
      <c r="N36" s="659"/>
      <c r="O36" s="659"/>
      <c r="P36" s="573"/>
      <c r="Q36" s="574"/>
      <c r="R36" s="574"/>
      <c r="S36" s="309" t="e">
        <f t="shared" si="11"/>
        <v>#N/A</v>
      </c>
      <c r="T36" s="681"/>
      <c r="U36" s="573"/>
      <c r="V36" s="574"/>
      <c r="W36" s="574"/>
      <c r="X36" s="475" t="e">
        <f t="shared" si="12"/>
        <v>#N/A</v>
      </c>
      <c r="Y36" s="681"/>
      <c r="Z36" s="573"/>
      <c r="AA36" s="574"/>
      <c r="AB36" s="574"/>
      <c r="AC36" s="475" t="e">
        <f t="shared" si="14"/>
        <v>#N/A</v>
      </c>
      <c r="AD36" s="681"/>
      <c r="AE36" s="573"/>
      <c r="AF36" s="574"/>
      <c r="AG36" s="574"/>
      <c r="AH36" s="475" t="e">
        <f t="shared" si="16"/>
        <v>#N/A</v>
      </c>
      <c r="AI36" s="681"/>
      <c r="AJ36" s="573"/>
      <c r="AK36" s="574"/>
      <c r="AL36" s="574"/>
      <c r="AM36" s="475" t="e">
        <f t="shared" si="18"/>
        <v>#N/A</v>
      </c>
      <c r="AN36" s="681"/>
      <c r="AO36" s="573"/>
      <c r="AP36" s="574"/>
      <c r="AQ36" s="574"/>
      <c r="AR36" s="475" t="e">
        <f t="shared" si="20"/>
        <v>#N/A</v>
      </c>
      <c r="AS36" s="681"/>
      <c r="AT36" s="573"/>
      <c r="AU36" s="574"/>
      <c r="AV36" s="574"/>
      <c r="AW36" s="475" t="e">
        <f t="shared" si="22"/>
        <v>#N/A</v>
      </c>
      <c r="AX36" s="681"/>
    </row>
    <row r="37" spans="2:50">
      <c r="B37" s="667"/>
      <c r="C37" s="309">
        <v>11</v>
      </c>
      <c r="D37" s="227"/>
      <c r="E37" s="182"/>
      <c r="F37" s="569"/>
      <c r="G37" s="570"/>
      <c r="H37" s="709"/>
      <c r="I37" s="477"/>
      <c r="J37" s="477"/>
      <c r="K37" s="200"/>
      <c r="L37" s="641"/>
      <c r="M37" s="201" t="e">
        <f>RANK(K37, K$27:$K$41)</f>
        <v>#DIV/0!</v>
      </c>
      <c r="N37" s="659"/>
      <c r="O37" s="659"/>
      <c r="P37" s="573"/>
      <c r="Q37" s="574"/>
      <c r="R37" s="574"/>
      <c r="S37" s="309" t="e">
        <f t="shared" si="11"/>
        <v>#N/A</v>
      </c>
      <c r="T37" s="681"/>
      <c r="U37" s="573"/>
      <c r="V37" s="574"/>
      <c r="W37" s="574"/>
      <c r="X37" s="475" t="e">
        <f t="shared" si="12"/>
        <v>#N/A</v>
      </c>
      <c r="Y37" s="681"/>
      <c r="Z37" s="573"/>
      <c r="AA37" s="574"/>
      <c r="AB37" s="574"/>
      <c r="AC37" s="475" t="e">
        <f t="shared" si="14"/>
        <v>#N/A</v>
      </c>
      <c r="AD37" s="681"/>
      <c r="AE37" s="573"/>
      <c r="AF37" s="574"/>
      <c r="AG37" s="574"/>
      <c r="AH37" s="475" t="e">
        <f t="shared" si="16"/>
        <v>#N/A</v>
      </c>
      <c r="AI37" s="681"/>
      <c r="AJ37" s="573"/>
      <c r="AK37" s="574"/>
      <c r="AL37" s="574"/>
      <c r="AM37" s="475" t="e">
        <f t="shared" si="18"/>
        <v>#N/A</v>
      </c>
      <c r="AN37" s="681"/>
      <c r="AO37" s="573"/>
      <c r="AP37" s="574"/>
      <c r="AQ37" s="574"/>
      <c r="AR37" s="475" t="e">
        <f t="shared" si="20"/>
        <v>#N/A</v>
      </c>
      <c r="AS37" s="681"/>
      <c r="AT37" s="573"/>
      <c r="AU37" s="574"/>
      <c r="AV37" s="574"/>
      <c r="AW37" s="475" t="e">
        <f t="shared" si="22"/>
        <v>#N/A</v>
      </c>
      <c r="AX37" s="681"/>
    </row>
    <row r="38" spans="2:50">
      <c r="B38" s="667"/>
      <c r="C38" s="309">
        <v>12</v>
      </c>
      <c r="D38" s="227"/>
      <c r="E38" s="182"/>
      <c r="F38" s="569"/>
      <c r="G38" s="570"/>
      <c r="H38" s="709"/>
      <c r="I38" s="477"/>
      <c r="J38" s="477"/>
      <c r="K38" s="200"/>
      <c r="L38" s="641"/>
      <c r="M38" s="201" t="e">
        <f>RANK(K38, K$27:$K$41)</f>
        <v>#DIV/0!</v>
      </c>
      <c r="N38" s="659"/>
      <c r="O38" s="659"/>
      <c r="P38" s="573"/>
      <c r="Q38" s="574"/>
      <c r="R38" s="574"/>
      <c r="S38" s="309" t="e">
        <f t="shared" si="11"/>
        <v>#N/A</v>
      </c>
      <c r="T38" s="681"/>
      <c r="U38" s="573"/>
      <c r="V38" s="574"/>
      <c r="W38" s="574"/>
      <c r="X38" s="475" t="e">
        <f t="shared" si="12"/>
        <v>#N/A</v>
      </c>
      <c r="Y38" s="681"/>
      <c r="Z38" s="573"/>
      <c r="AA38" s="574"/>
      <c r="AB38" s="574"/>
      <c r="AC38" s="475" t="e">
        <f t="shared" si="14"/>
        <v>#N/A</v>
      </c>
      <c r="AD38" s="681"/>
      <c r="AE38" s="573"/>
      <c r="AF38" s="574"/>
      <c r="AG38" s="574"/>
      <c r="AH38" s="475" t="e">
        <f t="shared" si="16"/>
        <v>#N/A</v>
      </c>
      <c r="AI38" s="681"/>
      <c r="AJ38" s="573"/>
      <c r="AK38" s="574"/>
      <c r="AL38" s="574"/>
      <c r="AM38" s="475" t="e">
        <f t="shared" si="18"/>
        <v>#N/A</v>
      </c>
      <c r="AN38" s="681"/>
      <c r="AO38" s="573"/>
      <c r="AP38" s="574"/>
      <c r="AQ38" s="574"/>
      <c r="AR38" s="475" t="e">
        <f t="shared" si="20"/>
        <v>#N/A</v>
      </c>
      <c r="AS38" s="681"/>
      <c r="AT38" s="573"/>
      <c r="AU38" s="574"/>
      <c r="AV38" s="574"/>
      <c r="AW38" s="475" t="e">
        <f t="shared" si="22"/>
        <v>#N/A</v>
      </c>
      <c r="AX38" s="681"/>
    </row>
    <row r="39" spans="2:50">
      <c r="B39" s="667"/>
      <c r="C39" s="309">
        <v>13</v>
      </c>
      <c r="D39" s="227"/>
      <c r="E39" s="182"/>
      <c r="F39" s="569"/>
      <c r="G39" s="570"/>
      <c r="H39" s="709"/>
      <c r="I39" s="202"/>
      <c r="J39" s="202"/>
      <c r="K39" s="202"/>
      <c r="L39" s="641"/>
      <c r="M39" s="201" t="e">
        <f>RANK(K39, K$27:$K$41)</f>
        <v>#DIV/0!</v>
      </c>
      <c r="N39" s="659"/>
      <c r="O39" s="659"/>
      <c r="P39" s="573"/>
      <c r="Q39" s="574"/>
      <c r="R39" s="574"/>
      <c r="S39" s="309" t="e">
        <f t="shared" si="11"/>
        <v>#N/A</v>
      </c>
      <c r="T39" s="681"/>
      <c r="U39" s="573"/>
      <c r="V39" s="574"/>
      <c r="W39" s="574"/>
      <c r="X39" s="475" t="e">
        <f t="shared" si="12"/>
        <v>#N/A</v>
      </c>
      <c r="Y39" s="681"/>
      <c r="Z39" s="573"/>
      <c r="AA39" s="574"/>
      <c r="AB39" s="574"/>
      <c r="AC39" s="475" t="e">
        <f t="shared" si="14"/>
        <v>#N/A</v>
      </c>
      <c r="AD39" s="681"/>
      <c r="AE39" s="573"/>
      <c r="AF39" s="574"/>
      <c r="AG39" s="574"/>
      <c r="AH39" s="475" t="e">
        <f t="shared" si="16"/>
        <v>#N/A</v>
      </c>
      <c r="AI39" s="681"/>
      <c r="AJ39" s="573"/>
      <c r="AK39" s="574"/>
      <c r="AL39" s="574"/>
      <c r="AM39" s="475" t="e">
        <f t="shared" si="18"/>
        <v>#N/A</v>
      </c>
      <c r="AN39" s="681"/>
      <c r="AO39" s="573"/>
      <c r="AP39" s="574"/>
      <c r="AQ39" s="574"/>
      <c r="AR39" s="475" t="e">
        <f t="shared" si="20"/>
        <v>#N/A</v>
      </c>
      <c r="AS39" s="681"/>
      <c r="AT39" s="573"/>
      <c r="AU39" s="574"/>
      <c r="AV39" s="574"/>
      <c r="AW39" s="475" t="e">
        <f t="shared" si="22"/>
        <v>#N/A</v>
      </c>
      <c r="AX39" s="681"/>
    </row>
    <row r="40" spans="2:50">
      <c r="B40" s="667"/>
      <c r="C40" s="309">
        <v>14</v>
      </c>
      <c r="D40" s="227"/>
      <c r="E40" s="182"/>
      <c r="F40" s="569"/>
      <c r="G40" s="570"/>
      <c r="H40" s="709"/>
      <c r="I40" s="202"/>
      <c r="J40" s="202"/>
      <c r="K40" s="202"/>
      <c r="L40" s="641"/>
      <c r="M40" s="201" t="e">
        <f>RANK(K40, K$27:$K$41)</f>
        <v>#DIV/0!</v>
      </c>
      <c r="N40" s="659"/>
      <c r="O40" s="659"/>
      <c r="P40" s="573"/>
      <c r="Q40" s="574"/>
      <c r="R40" s="574"/>
      <c r="S40" s="309" t="e">
        <f t="shared" si="11"/>
        <v>#N/A</v>
      </c>
      <c r="T40" s="681"/>
      <c r="U40" s="573"/>
      <c r="V40" s="574"/>
      <c r="W40" s="574"/>
      <c r="X40" s="475" t="e">
        <f t="shared" si="12"/>
        <v>#N/A</v>
      </c>
      <c r="Y40" s="681"/>
      <c r="Z40" s="573"/>
      <c r="AA40" s="574"/>
      <c r="AB40" s="574"/>
      <c r="AC40" s="475" t="e">
        <f t="shared" si="14"/>
        <v>#N/A</v>
      </c>
      <c r="AD40" s="681"/>
      <c r="AE40" s="573"/>
      <c r="AF40" s="574"/>
      <c r="AG40" s="574"/>
      <c r="AH40" s="475" t="e">
        <f t="shared" si="16"/>
        <v>#N/A</v>
      </c>
      <c r="AI40" s="681"/>
      <c r="AJ40" s="573"/>
      <c r="AK40" s="574"/>
      <c r="AL40" s="574"/>
      <c r="AM40" s="475" t="e">
        <f t="shared" si="18"/>
        <v>#N/A</v>
      </c>
      <c r="AN40" s="681"/>
      <c r="AO40" s="573"/>
      <c r="AP40" s="574"/>
      <c r="AQ40" s="574"/>
      <c r="AR40" s="475" t="e">
        <f t="shared" si="20"/>
        <v>#N/A</v>
      </c>
      <c r="AS40" s="681"/>
      <c r="AT40" s="573"/>
      <c r="AU40" s="574"/>
      <c r="AV40" s="574"/>
      <c r="AW40" s="475" t="e">
        <f t="shared" si="22"/>
        <v>#N/A</v>
      </c>
      <c r="AX40" s="681"/>
    </row>
    <row r="41" spans="2:50">
      <c r="B41" s="667"/>
      <c r="C41" s="309">
        <v>15</v>
      </c>
      <c r="D41" s="227"/>
      <c r="E41" s="182"/>
      <c r="F41" s="569"/>
      <c r="G41" s="570"/>
      <c r="H41" s="710"/>
      <c r="I41" s="202"/>
      <c r="J41" s="202"/>
      <c r="K41" s="202"/>
      <c r="L41" s="642"/>
      <c r="M41" s="199" t="e">
        <f>RANK(K41, K$27:$K$41)</f>
        <v>#DIV/0!</v>
      </c>
      <c r="N41" s="659"/>
      <c r="O41" s="659"/>
      <c r="P41" s="573"/>
      <c r="Q41" s="574"/>
      <c r="R41" s="574"/>
      <c r="S41" s="309" t="e">
        <f t="shared" si="11"/>
        <v>#N/A</v>
      </c>
      <c r="T41" s="681"/>
      <c r="U41" s="573"/>
      <c r="V41" s="574"/>
      <c r="W41" s="574"/>
      <c r="X41" s="475" t="e">
        <f t="shared" si="12"/>
        <v>#N/A</v>
      </c>
      <c r="Y41" s="681"/>
      <c r="Z41" s="573"/>
      <c r="AA41" s="574"/>
      <c r="AB41" s="574"/>
      <c r="AC41" s="475" t="e">
        <f t="shared" si="14"/>
        <v>#N/A</v>
      </c>
      <c r="AD41" s="681"/>
      <c r="AE41" s="573"/>
      <c r="AF41" s="574"/>
      <c r="AG41" s="574"/>
      <c r="AH41" s="475" t="e">
        <f t="shared" si="16"/>
        <v>#N/A</v>
      </c>
      <c r="AI41" s="681"/>
      <c r="AJ41" s="573"/>
      <c r="AK41" s="574"/>
      <c r="AL41" s="574"/>
      <c r="AM41" s="475" t="e">
        <f t="shared" si="18"/>
        <v>#N/A</v>
      </c>
      <c r="AN41" s="681"/>
      <c r="AO41" s="573"/>
      <c r="AP41" s="574"/>
      <c r="AQ41" s="574"/>
      <c r="AR41" s="475" t="e">
        <f t="shared" si="20"/>
        <v>#N/A</v>
      </c>
      <c r="AS41" s="681"/>
      <c r="AT41" s="573"/>
      <c r="AU41" s="574"/>
      <c r="AV41" s="574"/>
      <c r="AW41" s="475" t="e">
        <f t="shared" si="22"/>
        <v>#N/A</v>
      </c>
      <c r="AX41" s="681"/>
    </row>
    <row r="42" spans="2:50" ht="15.75">
      <c r="B42" s="685" t="s">
        <v>163</v>
      </c>
      <c r="C42" s="686"/>
      <c r="D42" s="686"/>
      <c r="E42" s="686"/>
      <c r="F42" s="686"/>
      <c r="G42" s="686"/>
      <c r="H42" s="686"/>
      <c r="I42" s="208"/>
      <c r="J42" s="203"/>
      <c r="K42" s="208"/>
      <c r="L42" s="208"/>
      <c r="M42" s="204"/>
      <c r="N42" s="660" t="s">
        <v>156</v>
      </c>
      <c r="O42" s="660" t="s">
        <v>105</v>
      </c>
      <c r="P42" s="666">
        <f>P22+7</f>
        <v>46098</v>
      </c>
      <c r="Q42" s="667"/>
      <c r="R42" s="667"/>
      <c r="S42" s="667"/>
      <c r="T42" s="667"/>
      <c r="U42" s="663">
        <f>P42+1</f>
        <v>46099</v>
      </c>
      <c r="V42" s="664"/>
      <c r="W42" s="664"/>
      <c r="X42" s="664"/>
      <c r="Y42" s="665"/>
      <c r="Z42" s="663">
        <f>U42+1</f>
        <v>46100</v>
      </c>
      <c r="AA42" s="664"/>
      <c r="AB42" s="664"/>
      <c r="AC42" s="664"/>
      <c r="AD42" s="665"/>
      <c r="AE42" s="663">
        <f>Z42+1</f>
        <v>46101</v>
      </c>
      <c r="AF42" s="664"/>
      <c r="AG42" s="664"/>
      <c r="AH42" s="664"/>
      <c r="AI42" s="665"/>
      <c r="AJ42" s="663">
        <f>AE42+1</f>
        <v>46102</v>
      </c>
      <c r="AK42" s="664"/>
      <c r="AL42" s="664"/>
      <c r="AM42" s="664"/>
      <c r="AN42" s="665"/>
      <c r="AO42" s="663">
        <f>AJ42+1</f>
        <v>46103</v>
      </c>
      <c r="AP42" s="664"/>
      <c r="AQ42" s="664"/>
      <c r="AR42" s="664"/>
      <c r="AS42" s="665"/>
      <c r="AT42" s="663">
        <f>AO42+1</f>
        <v>46104</v>
      </c>
      <c r="AU42" s="664"/>
      <c r="AV42" s="664"/>
      <c r="AW42" s="664"/>
      <c r="AX42" s="665"/>
    </row>
    <row r="43" spans="2:50" ht="15.75">
      <c r="B43" s="674"/>
      <c r="C43" s="674"/>
      <c r="D43" s="674"/>
      <c r="E43" s="674"/>
      <c r="F43" s="674"/>
      <c r="G43" s="674"/>
      <c r="H43" s="674"/>
      <c r="I43" s="205"/>
      <c r="J43" s="205"/>
      <c r="K43" s="205"/>
      <c r="L43" s="205"/>
      <c r="M43" s="206"/>
      <c r="N43" s="662"/>
      <c r="O43" s="662"/>
      <c r="P43" s="666" t="s">
        <v>336</v>
      </c>
      <c r="Q43" s="667"/>
      <c r="R43" s="667"/>
      <c r="S43" s="667"/>
      <c r="T43" s="667"/>
      <c r="U43" s="666" t="s">
        <v>337</v>
      </c>
      <c r="V43" s="667"/>
      <c r="W43" s="667"/>
      <c r="X43" s="667"/>
      <c r="Y43" s="667"/>
      <c r="Z43" s="666" t="s">
        <v>338</v>
      </c>
      <c r="AA43" s="667"/>
      <c r="AB43" s="667"/>
      <c r="AC43" s="667"/>
      <c r="AD43" s="667"/>
      <c r="AE43" s="666" t="s">
        <v>339</v>
      </c>
      <c r="AF43" s="667"/>
      <c r="AG43" s="667"/>
      <c r="AH43" s="667"/>
      <c r="AI43" s="667"/>
      <c r="AJ43" s="666" t="s">
        <v>340</v>
      </c>
      <c r="AK43" s="667"/>
      <c r="AL43" s="667"/>
      <c r="AM43" s="667"/>
      <c r="AN43" s="667"/>
      <c r="AO43" s="666" t="s">
        <v>341</v>
      </c>
      <c r="AP43" s="667"/>
      <c r="AQ43" s="667"/>
      <c r="AR43" s="667"/>
      <c r="AS43" s="667"/>
      <c r="AT43" s="666" t="s">
        <v>342</v>
      </c>
      <c r="AU43" s="667"/>
      <c r="AV43" s="667"/>
      <c r="AW43" s="667"/>
      <c r="AX43" s="667"/>
    </row>
    <row r="44" spans="2:50">
      <c r="B44" s="659" t="s">
        <v>419</v>
      </c>
      <c r="C44" s="659" t="s">
        <v>429</v>
      </c>
      <c r="D44" s="659"/>
      <c r="E44" s="659" t="s">
        <v>420</v>
      </c>
      <c r="F44" s="659"/>
      <c r="G44" s="659"/>
      <c r="H44" s="675" t="s">
        <v>416</v>
      </c>
      <c r="I44" s="643" t="s">
        <v>421</v>
      </c>
      <c r="J44" s="643"/>
      <c r="K44" s="643"/>
      <c r="L44" s="644" t="s">
        <v>416</v>
      </c>
      <c r="M44" s="650" t="s">
        <v>417</v>
      </c>
      <c r="N44" s="659"/>
      <c r="O44" s="659" t="s">
        <v>422</v>
      </c>
      <c r="P44" s="656" t="s">
        <v>900</v>
      </c>
      <c r="Q44" s="657"/>
      <c r="R44" s="657"/>
      <c r="S44" s="658"/>
      <c r="T44" s="659" t="s">
        <v>901</v>
      </c>
      <c r="U44" s="656" t="s">
        <v>900</v>
      </c>
      <c r="V44" s="657"/>
      <c r="W44" s="657"/>
      <c r="X44" s="658"/>
      <c r="Y44" s="659" t="s">
        <v>901</v>
      </c>
      <c r="Z44" s="656" t="s">
        <v>900</v>
      </c>
      <c r="AA44" s="657"/>
      <c r="AB44" s="657"/>
      <c r="AC44" s="658"/>
      <c r="AD44" s="659" t="s">
        <v>901</v>
      </c>
      <c r="AE44" s="656" t="s">
        <v>900</v>
      </c>
      <c r="AF44" s="657"/>
      <c r="AG44" s="657"/>
      <c r="AH44" s="658"/>
      <c r="AI44" s="659" t="s">
        <v>901</v>
      </c>
      <c r="AJ44" s="656" t="s">
        <v>900</v>
      </c>
      <c r="AK44" s="657"/>
      <c r="AL44" s="657"/>
      <c r="AM44" s="658"/>
      <c r="AN44" s="659" t="s">
        <v>901</v>
      </c>
      <c r="AO44" s="656" t="s">
        <v>900</v>
      </c>
      <c r="AP44" s="657"/>
      <c r="AQ44" s="657"/>
      <c r="AR44" s="658"/>
      <c r="AS44" s="659" t="s">
        <v>901</v>
      </c>
      <c r="AT44" s="656" t="s">
        <v>900</v>
      </c>
      <c r="AU44" s="657"/>
      <c r="AV44" s="657"/>
      <c r="AW44" s="658"/>
      <c r="AX44" s="659" t="s">
        <v>901</v>
      </c>
    </row>
    <row r="45" spans="2:50">
      <c r="B45" s="659"/>
      <c r="C45" s="659"/>
      <c r="D45" s="659"/>
      <c r="E45" s="659" t="s">
        <v>423</v>
      </c>
      <c r="F45" s="659"/>
      <c r="G45" s="659"/>
      <c r="H45" s="676"/>
      <c r="I45" s="643" t="s">
        <v>423</v>
      </c>
      <c r="J45" s="643"/>
      <c r="K45" s="643"/>
      <c r="L45" s="645"/>
      <c r="M45" s="651"/>
      <c r="N45" s="659"/>
      <c r="O45" s="659"/>
      <c r="P45" s="656" t="s">
        <v>902</v>
      </c>
      <c r="Q45" s="657"/>
      <c r="R45" s="657"/>
      <c r="S45" s="658"/>
      <c r="T45" s="659"/>
      <c r="U45" s="656" t="s">
        <v>902</v>
      </c>
      <c r="V45" s="657"/>
      <c r="W45" s="657"/>
      <c r="X45" s="658"/>
      <c r="Y45" s="659"/>
      <c r="Z45" s="656" t="s">
        <v>902</v>
      </c>
      <c r="AA45" s="657"/>
      <c r="AB45" s="657"/>
      <c r="AC45" s="658"/>
      <c r="AD45" s="659"/>
      <c r="AE45" s="656" t="s">
        <v>902</v>
      </c>
      <c r="AF45" s="657"/>
      <c r="AG45" s="657"/>
      <c r="AH45" s="658"/>
      <c r="AI45" s="659"/>
      <c r="AJ45" s="656" t="s">
        <v>902</v>
      </c>
      <c r="AK45" s="657"/>
      <c r="AL45" s="657"/>
      <c r="AM45" s="658"/>
      <c r="AN45" s="659"/>
      <c r="AO45" s="656" t="s">
        <v>902</v>
      </c>
      <c r="AP45" s="657"/>
      <c r="AQ45" s="657"/>
      <c r="AR45" s="658"/>
      <c r="AS45" s="659"/>
      <c r="AT45" s="656" t="s">
        <v>902</v>
      </c>
      <c r="AU45" s="657"/>
      <c r="AV45" s="657"/>
      <c r="AW45" s="658"/>
      <c r="AX45" s="659"/>
    </row>
    <row r="46" spans="2:50">
      <c r="B46" s="659"/>
      <c r="C46" s="659"/>
      <c r="D46" s="659"/>
      <c r="E46" s="308" t="s">
        <v>425</v>
      </c>
      <c r="F46" s="308" t="s">
        <v>426</v>
      </c>
      <c r="G46" s="308" t="s">
        <v>427</v>
      </c>
      <c r="H46" s="677"/>
      <c r="I46" s="307" t="s">
        <v>425</v>
      </c>
      <c r="J46" s="307" t="s">
        <v>426</v>
      </c>
      <c r="K46" s="307" t="s">
        <v>427</v>
      </c>
      <c r="L46" s="646"/>
      <c r="M46" s="652"/>
      <c r="N46" s="659"/>
      <c r="O46" s="659"/>
      <c r="P46" s="532" t="s">
        <v>903</v>
      </c>
      <c r="Q46" s="532" t="s">
        <v>904</v>
      </c>
      <c r="R46" s="532" t="s">
        <v>905</v>
      </c>
      <c r="S46" s="532" t="s">
        <v>906</v>
      </c>
      <c r="T46" s="659"/>
      <c r="U46" s="532" t="s">
        <v>903</v>
      </c>
      <c r="V46" s="532" t="s">
        <v>904</v>
      </c>
      <c r="W46" s="532" t="s">
        <v>905</v>
      </c>
      <c r="X46" s="532" t="s">
        <v>906</v>
      </c>
      <c r="Y46" s="659"/>
      <c r="Z46" s="532" t="s">
        <v>903</v>
      </c>
      <c r="AA46" s="532" t="s">
        <v>904</v>
      </c>
      <c r="AB46" s="532" t="s">
        <v>905</v>
      </c>
      <c r="AC46" s="532" t="s">
        <v>906</v>
      </c>
      <c r="AD46" s="659"/>
      <c r="AE46" s="532" t="s">
        <v>903</v>
      </c>
      <c r="AF46" s="532" t="s">
        <v>904</v>
      </c>
      <c r="AG46" s="532" t="s">
        <v>905</v>
      </c>
      <c r="AH46" s="532" t="s">
        <v>906</v>
      </c>
      <c r="AI46" s="659"/>
      <c r="AJ46" s="532" t="s">
        <v>903</v>
      </c>
      <c r="AK46" s="532" t="s">
        <v>904</v>
      </c>
      <c r="AL46" s="532" t="s">
        <v>905</v>
      </c>
      <c r="AM46" s="532" t="s">
        <v>906</v>
      </c>
      <c r="AN46" s="659"/>
      <c r="AO46" s="532" t="s">
        <v>903</v>
      </c>
      <c r="AP46" s="532" t="s">
        <v>904</v>
      </c>
      <c r="AQ46" s="532" t="s">
        <v>905</v>
      </c>
      <c r="AR46" s="532" t="s">
        <v>906</v>
      </c>
      <c r="AS46" s="659"/>
      <c r="AT46" s="532" t="s">
        <v>903</v>
      </c>
      <c r="AU46" s="532" t="s">
        <v>904</v>
      </c>
      <c r="AV46" s="532" t="s">
        <v>905</v>
      </c>
      <c r="AW46" s="532" t="s">
        <v>906</v>
      </c>
      <c r="AX46" s="659"/>
    </row>
    <row r="47" spans="2:50">
      <c r="B47" s="659" t="s">
        <v>431</v>
      </c>
      <c r="C47" s="309">
        <v>1</v>
      </c>
      <c r="D47" s="227"/>
      <c r="E47" s="182"/>
      <c r="F47" s="569"/>
      <c r="G47" s="570"/>
      <c r="H47" s="708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40" t="str">
        <f>IFERROR(AVERAGE(K47:K61),"-")</f>
        <v>-</v>
      </c>
      <c r="M47" s="201" t="e">
        <f>RANK(K47, K$47:$K$61)</f>
        <v>#DIV/0!</v>
      </c>
      <c r="N47" s="659"/>
      <c r="O47" s="659"/>
      <c r="P47" s="573"/>
      <c r="Q47" s="574"/>
      <c r="R47" s="574"/>
      <c r="S47" s="533" t="e">
        <f>RANK(R47, R$47:R$61)</f>
        <v>#N/A</v>
      </c>
      <c r="T47" s="667" t="e">
        <f>AVERAGE(R47:R61)</f>
        <v>#DIV/0!</v>
      </c>
      <c r="U47" s="573"/>
      <c r="V47" s="574"/>
      <c r="W47" s="574"/>
      <c r="X47" s="533" t="e">
        <f>RANK(W47, W$47:W$61)</f>
        <v>#N/A</v>
      </c>
      <c r="Y47" s="667" t="e">
        <f>AVERAGE(W47:W61)</f>
        <v>#DIV/0!</v>
      </c>
      <c r="Z47" s="573"/>
      <c r="AA47" s="574"/>
      <c r="AB47" s="574"/>
      <c r="AC47" s="533" t="e">
        <f>RANK(AB47, AB$47:AB$61)</f>
        <v>#N/A</v>
      </c>
      <c r="AD47" s="667" t="e">
        <f>AVERAGE(AB47:AB61)</f>
        <v>#DIV/0!</v>
      </c>
      <c r="AE47" s="573"/>
      <c r="AF47" s="574"/>
      <c r="AG47" s="574"/>
      <c r="AH47" s="533" t="e">
        <f>RANK(AG47, AG$47:AG$61)</f>
        <v>#N/A</v>
      </c>
      <c r="AI47" s="667" t="e">
        <f>AVERAGE(AG47:AG61)</f>
        <v>#DIV/0!</v>
      </c>
      <c r="AJ47" s="573"/>
      <c r="AK47" s="574"/>
      <c r="AL47" s="574"/>
      <c r="AM47" s="533" t="e">
        <f>RANK(AL47, AL$47:AL$61)</f>
        <v>#N/A</v>
      </c>
      <c r="AN47" s="667" t="e">
        <f>AVERAGE(AL47:AL61)</f>
        <v>#DIV/0!</v>
      </c>
      <c r="AO47" s="573"/>
      <c r="AP47" s="574"/>
      <c r="AQ47" s="574"/>
      <c r="AR47" s="533" t="e">
        <f>RANK(AQ47, AQ$47:AQ$61)</f>
        <v>#N/A</v>
      </c>
      <c r="AS47" s="667" t="e">
        <f>AVERAGE(AQ47:AQ61)</f>
        <v>#DIV/0!</v>
      </c>
      <c r="AT47" s="573"/>
      <c r="AU47" s="574"/>
      <c r="AV47" s="574"/>
      <c r="AW47" s="533" t="e">
        <f>RANK(AV47, AV$47:AV$61)</f>
        <v>#N/A</v>
      </c>
      <c r="AX47" s="667" t="e">
        <f>AVERAGE(AV47:AV61)</f>
        <v>#DIV/0!</v>
      </c>
    </row>
    <row r="48" spans="2:50">
      <c r="B48" s="667"/>
      <c r="C48" s="309">
        <v>2</v>
      </c>
      <c r="D48" s="227"/>
      <c r="E48" s="182"/>
      <c r="F48" s="569"/>
      <c r="G48" s="570"/>
      <c r="H48" s="709"/>
      <c r="I48" s="199" t="e">
        <f t="shared" ref="I48:I52" si="27">AVERAGE(P48,U48,Z48,AE48,AJ48,AO48,AT48)</f>
        <v>#DIV/0!</v>
      </c>
      <c r="J48" s="199" t="e">
        <f t="shared" ref="J48:J52" si="28">AVERAGE(Q48,V48,AA48,AF48,AK48,AP48,AU48)</f>
        <v>#DIV/0!</v>
      </c>
      <c r="K48" s="200" t="e">
        <f t="shared" ref="K48:K52" si="29">AVERAGE(R48,W48,AB48,AG48,AL48,AQ48,AV48)</f>
        <v>#DIV/0!</v>
      </c>
      <c r="L48" s="641"/>
      <c r="M48" s="201" t="e">
        <f>RANK(K48, K$47:$K$61)</f>
        <v>#DIV/0!</v>
      </c>
      <c r="N48" s="659"/>
      <c r="O48" s="659"/>
      <c r="P48" s="573"/>
      <c r="Q48" s="574"/>
      <c r="R48" s="574"/>
      <c r="S48" s="533" t="e">
        <f t="shared" ref="S48:S61" si="30">RANK(R48, R$47:R$61)</f>
        <v>#N/A</v>
      </c>
      <c r="T48" s="667"/>
      <c r="U48" s="573"/>
      <c r="V48" s="574"/>
      <c r="W48" s="574"/>
      <c r="X48" s="533" t="e">
        <f t="shared" ref="X48:X61" si="31">RANK(W48, W$47:W$61)</f>
        <v>#N/A</v>
      </c>
      <c r="Y48" s="667"/>
      <c r="Z48" s="573"/>
      <c r="AA48" s="574"/>
      <c r="AB48" s="574"/>
      <c r="AC48" s="533" t="e">
        <f t="shared" ref="AC48:AC61" si="32">RANK(AB48, AB$47:AB$61)</f>
        <v>#N/A</v>
      </c>
      <c r="AD48" s="667"/>
      <c r="AE48" s="573"/>
      <c r="AF48" s="574"/>
      <c r="AG48" s="574"/>
      <c r="AH48" s="533" t="e">
        <f t="shared" ref="AH48:AH61" si="33">RANK(AG48, AG$47:AG$61)</f>
        <v>#N/A</v>
      </c>
      <c r="AI48" s="667"/>
      <c r="AJ48" s="573"/>
      <c r="AK48" s="574"/>
      <c r="AL48" s="574"/>
      <c r="AM48" s="533" t="e">
        <f t="shared" ref="AM48:AM61" si="34">RANK(AL48, AL$47:AL$61)</f>
        <v>#N/A</v>
      </c>
      <c r="AN48" s="667"/>
      <c r="AO48" s="573"/>
      <c r="AP48" s="574"/>
      <c r="AQ48" s="574"/>
      <c r="AR48" s="533" t="e">
        <f t="shared" ref="AR48:AR61" si="35">RANK(AQ48, AQ$47:AQ$61)</f>
        <v>#N/A</v>
      </c>
      <c r="AS48" s="667"/>
      <c r="AT48" s="573"/>
      <c r="AU48" s="574"/>
      <c r="AV48" s="574"/>
      <c r="AW48" s="533" t="e">
        <f t="shared" ref="AW48:AW61" si="36">RANK(AV48, AV$47:AV$61)</f>
        <v>#N/A</v>
      </c>
      <c r="AX48" s="667"/>
    </row>
    <row r="49" spans="2:50">
      <c r="B49" s="667"/>
      <c r="C49" s="309">
        <v>3</v>
      </c>
      <c r="D49" s="227"/>
      <c r="E49" s="182"/>
      <c r="F49" s="569"/>
      <c r="G49" s="570"/>
      <c r="H49" s="709"/>
      <c r="I49" s="199" t="e">
        <f t="shared" si="27"/>
        <v>#DIV/0!</v>
      </c>
      <c r="J49" s="199" t="e">
        <f t="shared" si="28"/>
        <v>#DIV/0!</v>
      </c>
      <c r="K49" s="200" t="e">
        <f t="shared" si="29"/>
        <v>#DIV/0!</v>
      </c>
      <c r="L49" s="641"/>
      <c r="M49" s="201" t="e">
        <f>RANK(K49, K$47:$K$61)</f>
        <v>#DIV/0!</v>
      </c>
      <c r="N49" s="659"/>
      <c r="O49" s="659"/>
      <c r="P49" s="573"/>
      <c r="Q49" s="574"/>
      <c r="R49" s="574"/>
      <c r="S49" s="533" t="e">
        <f t="shared" si="30"/>
        <v>#N/A</v>
      </c>
      <c r="T49" s="667"/>
      <c r="U49" s="573"/>
      <c r="V49" s="574"/>
      <c r="W49" s="574"/>
      <c r="X49" s="533" t="e">
        <f t="shared" si="31"/>
        <v>#N/A</v>
      </c>
      <c r="Y49" s="667"/>
      <c r="Z49" s="573"/>
      <c r="AA49" s="574"/>
      <c r="AB49" s="574"/>
      <c r="AC49" s="533" t="e">
        <f t="shared" si="32"/>
        <v>#N/A</v>
      </c>
      <c r="AD49" s="667"/>
      <c r="AE49" s="573"/>
      <c r="AF49" s="574"/>
      <c r="AG49" s="574"/>
      <c r="AH49" s="533" t="e">
        <f t="shared" si="33"/>
        <v>#N/A</v>
      </c>
      <c r="AI49" s="667"/>
      <c r="AJ49" s="573"/>
      <c r="AK49" s="574"/>
      <c r="AL49" s="574"/>
      <c r="AM49" s="533" t="e">
        <f t="shared" si="34"/>
        <v>#N/A</v>
      </c>
      <c r="AN49" s="667"/>
      <c r="AO49" s="573"/>
      <c r="AP49" s="574"/>
      <c r="AQ49" s="574"/>
      <c r="AR49" s="533" t="e">
        <f t="shared" si="35"/>
        <v>#N/A</v>
      </c>
      <c r="AS49" s="667"/>
      <c r="AT49" s="573"/>
      <c r="AU49" s="574"/>
      <c r="AV49" s="574"/>
      <c r="AW49" s="533" t="e">
        <f t="shared" si="36"/>
        <v>#N/A</v>
      </c>
      <c r="AX49" s="667"/>
    </row>
    <row r="50" spans="2:50">
      <c r="B50" s="667"/>
      <c r="C50" s="309">
        <v>4</v>
      </c>
      <c r="D50" s="227"/>
      <c r="E50" s="182"/>
      <c r="F50" s="569"/>
      <c r="G50" s="570"/>
      <c r="H50" s="709"/>
      <c r="I50" s="199" t="e">
        <f t="shared" si="27"/>
        <v>#DIV/0!</v>
      </c>
      <c r="J50" s="199" t="e">
        <f t="shared" si="28"/>
        <v>#DIV/0!</v>
      </c>
      <c r="K50" s="200" t="e">
        <f t="shared" si="29"/>
        <v>#DIV/0!</v>
      </c>
      <c r="L50" s="641"/>
      <c r="M50" s="201" t="e">
        <f>RANK(K50, K$47:$K$61)</f>
        <v>#DIV/0!</v>
      </c>
      <c r="N50" s="659"/>
      <c r="O50" s="659"/>
      <c r="P50" s="573"/>
      <c r="Q50" s="574"/>
      <c r="R50" s="574"/>
      <c r="S50" s="533" t="e">
        <f t="shared" si="30"/>
        <v>#N/A</v>
      </c>
      <c r="T50" s="667"/>
      <c r="U50" s="573"/>
      <c r="V50" s="574"/>
      <c r="W50" s="574"/>
      <c r="X50" s="533" t="e">
        <f t="shared" si="31"/>
        <v>#N/A</v>
      </c>
      <c r="Y50" s="667"/>
      <c r="Z50" s="573"/>
      <c r="AA50" s="574"/>
      <c r="AB50" s="574"/>
      <c r="AC50" s="533" t="e">
        <f t="shared" si="32"/>
        <v>#N/A</v>
      </c>
      <c r="AD50" s="667"/>
      <c r="AE50" s="573"/>
      <c r="AF50" s="574"/>
      <c r="AG50" s="574"/>
      <c r="AH50" s="533" t="e">
        <f t="shared" si="33"/>
        <v>#N/A</v>
      </c>
      <c r="AI50" s="667"/>
      <c r="AJ50" s="573"/>
      <c r="AK50" s="574"/>
      <c r="AL50" s="574"/>
      <c r="AM50" s="533" t="e">
        <f t="shared" si="34"/>
        <v>#N/A</v>
      </c>
      <c r="AN50" s="667"/>
      <c r="AO50" s="573"/>
      <c r="AP50" s="574"/>
      <c r="AQ50" s="574"/>
      <c r="AR50" s="533" t="e">
        <f t="shared" si="35"/>
        <v>#N/A</v>
      </c>
      <c r="AS50" s="667"/>
      <c r="AT50" s="573"/>
      <c r="AU50" s="574"/>
      <c r="AV50" s="574"/>
      <c r="AW50" s="533" t="e">
        <f t="shared" si="36"/>
        <v>#N/A</v>
      </c>
      <c r="AX50" s="667"/>
    </row>
    <row r="51" spans="2:50">
      <c r="B51" s="667"/>
      <c r="C51" s="309">
        <v>5</v>
      </c>
      <c r="D51" s="227"/>
      <c r="E51" s="182"/>
      <c r="F51" s="569"/>
      <c r="G51" s="570"/>
      <c r="H51" s="709"/>
      <c r="I51" s="199" t="e">
        <f t="shared" si="27"/>
        <v>#DIV/0!</v>
      </c>
      <c r="J51" s="199" t="e">
        <f t="shared" si="28"/>
        <v>#DIV/0!</v>
      </c>
      <c r="K51" s="200" t="e">
        <f t="shared" si="29"/>
        <v>#DIV/0!</v>
      </c>
      <c r="L51" s="641"/>
      <c r="M51" s="201" t="e">
        <f>RANK(K51, K$47:$K$61)</f>
        <v>#DIV/0!</v>
      </c>
      <c r="N51" s="659"/>
      <c r="O51" s="659"/>
      <c r="P51" s="573"/>
      <c r="Q51" s="574"/>
      <c r="R51" s="574"/>
      <c r="S51" s="533" t="e">
        <f t="shared" si="30"/>
        <v>#N/A</v>
      </c>
      <c r="T51" s="667"/>
      <c r="U51" s="573"/>
      <c r="V51" s="574"/>
      <c r="W51" s="574"/>
      <c r="X51" s="533" t="e">
        <f t="shared" si="31"/>
        <v>#N/A</v>
      </c>
      <c r="Y51" s="667"/>
      <c r="Z51" s="573"/>
      <c r="AA51" s="574"/>
      <c r="AB51" s="574"/>
      <c r="AC51" s="533" t="e">
        <f t="shared" si="32"/>
        <v>#N/A</v>
      </c>
      <c r="AD51" s="667"/>
      <c r="AE51" s="573"/>
      <c r="AF51" s="574"/>
      <c r="AG51" s="574"/>
      <c r="AH51" s="533" t="e">
        <f t="shared" si="33"/>
        <v>#N/A</v>
      </c>
      <c r="AI51" s="667"/>
      <c r="AJ51" s="573"/>
      <c r="AK51" s="574"/>
      <c r="AL51" s="574"/>
      <c r="AM51" s="533" t="e">
        <f t="shared" si="34"/>
        <v>#N/A</v>
      </c>
      <c r="AN51" s="667"/>
      <c r="AO51" s="573"/>
      <c r="AP51" s="574"/>
      <c r="AQ51" s="574"/>
      <c r="AR51" s="533" t="e">
        <f t="shared" si="35"/>
        <v>#N/A</v>
      </c>
      <c r="AS51" s="667"/>
      <c r="AT51" s="573"/>
      <c r="AU51" s="574"/>
      <c r="AV51" s="574"/>
      <c r="AW51" s="533" t="e">
        <f t="shared" si="36"/>
        <v>#N/A</v>
      </c>
      <c r="AX51" s="667"/>
    </row>
    <row r="52" spans="2:50">
      <c r="B52" s="667"/>
      <c r="C52" s="309">
        <v>6</v>
      </c>
      <c r="D52" s="227"/>
      <c r="E52" s="182"/>
      <c r="F52" s="569"/>
      <c r="G52" s="570"/>
      <c r="H52" s="709"/>
      <c r="I52" s="199" t="e">
        <f t="shared" si="27"/>
        <v>#DIV/0!</v>
      </c>
      <c r="J52" s="199" t="e">
        <f t="shared" si="28"/>
        <v>#DIV/0!</v>
      </c>
      <c r="K52" s="200" t="e">
        <f t="shared" si="29"/>
        <v>#DIV/0!</v>
      </c>
      <c r="L52" s="641"/>
      <c r="M52" s="201" t="e">
        <f>RANK(K52, K$47:$K$61)</f>
        <v>#DIV/0!</v>
      </c>
      <c r="N52" s="659"/>
      <c r="O52" s="659"/>
      <c r="P52" s="573"/>
      <c r="Q52" s="574"/>
      <c r="R52" s="574"/>
      <c r="S52" s="533" t="e">
        <f t="shared" si="30"/>
        <v>#N/A</v>
      </c>
      <c r="T52" s="667"/>
      <c r="U52" s="573"/>
      <c r="V52" s="574"/>
      <c r="W52" s="574"/>
      <c r="X52" s="533" t="e">
        <f t="shared" si="31"/>
        <v>#N/A</v>
      </c>
      <c r="Y52" s="667"/>
      <c r="Z52" s="573"/>
      <c r="AA52" s="574"/>
      <c r="AB52" s="574"/>
      <c r="AC52" s="533" t="e">
        <f t="shared" si="32"/>
        <v>#N/A</v>
      </c>
      <c r="AD52" s="667"/>
      <c r="AE52" s="573"/>
      <c r="AF52" s="574"/>
      <c r="AG52" s="574"/>
      <c r="AH52" s="533" t="e">
        <f t="shared" si="33"/>
        <v>#N/A</v>
      </c>
      <c r="AI52" s="667"/>
      <c r="AJ52" s="573"/>
      <c r="AK52" s="574"/>
      <c r="AL52" s="574"/>
      <c r="AM52" s="533" t="e">
        <f t="shared" si="34"/>
        <v>#N/A</v>
      </c>
      <c r="AN52" s="667"/>
      <c r="AO52" s="573"/>
      <c r="AP52" s="574"/>
      <c r="AQ52" s="574"/>
      <c r="AR52" s="533" t="e">
        <f t="shared" si="35"/>
        <v>#N/A</v>
      </c>
      <c r="AS52" s="667"/>
      <c r="AT52" s="573"/>
      <c r="AU52" s="574"/>
      <c r="AV52" s="574"/>
      <c r="AW52" s="533" t="e">
        <f t="shared" si="36"/>
        <v>#N/A</v>
      </c>
      <c r="AX52" s="667"/>
    </row>
    <row r="53" spans="2:50">
      <c r="B53" s="667"/>
      <c r="C53" s="309">
        <v>7</v>
      </c>
      <c r="D53" s="227"/>
      <c r="E53" s="182"/>
      <c r="F53" s="569"/>
      <c r="G53" s="570"/>
      <c r="H53" s="709"/>
      <c r="I53" s="199"/>
      <c r="J53" s="199"/>
      <c r="K53" s="200"/>
      <c r="L53" s="641"/>
      <c r="M53" s="201" t="e">
        <f>RANK(K53, K$47:$K$61)</f>
        <v>#DIV/0!</v>
      </c>
      <c r="N53" s="659"/>
      <c r="O53" s="659"/>
      <c r="P53" s="573"/>
      <c r="Q53" s="574"/>
      <c r="R53" s="574"/>
      <c r="S53" s="533" t="e">
        <f t="shared" si="30"/>
        <v>#N/A</v>
      </c>
      <c r="T53" s="667"/>
      <c r="U53" s="573"/>
      <c r="V53" s="574"/>
      <c r="W53" s="574"/>
      <c r="X53" s="533" t="e">
        <f t="shared" si="31"/>
        <v>#N/A</v>
      </c>
      <c r="Y53" s="667"/>
      <c r="Z53" s="573"/>
      <c r="AA53" s="574"/>
      <c r="AB53" s="574"/>
      <c r="AC53" s="533" t="e">
        <f t="shared" si="32"/>
        <v>#N/A</v>
      </c>
      <c r="AD53" s="667"/>
      <c r="AE53" s="573"/>
      <c r="AF53" s="574"/>
      <c r="AG53" s="574"/>
      <c r="AH53" s="533" t="e">
        <f t="shared" si="33"/>
        <v>#N/A</v>
      </c>
      <c r="AI53" s="667"/>
      <c r="AJ53" s="573"/>
      <c r="AK53" s="574"/>
      <c r="AL53" s="574"/>
      <c r="AM53" s="533" t="e">
        <f t="shared" si="34"/>
        <v>#N/A</v>
      </c>
      <c r="AN53" s="667"/>
      <c r="AO53" s="573"/>
      <c r="AP53" s="574"/>
      <c r="AQ53" s="574"/>
      <c r="AR53" s="533" t="e">
        <f t="shared" si="35"/>
        <v>#N/A</v>
      </c>
      <c r="AS53" s="667"/>
      <c r="AT53" s="573"/>
      <c r="AU53" s="574"/>
      <c r="AV53" s="574"/>
      <c r="AW53" s="533" t="e">
        <f t="shared" si="36"/>
        <v>#N/A</v>
      </c>
      <c r="AX53" s="667"/>
    </row>
    <row r="54" spans="2:50">
      <c r="B54" s="667"/>
      <c r="C54" s="309">
        <v>8</v>
      </c>
      <c r="D54" s="227"/>
      <c r="E54" s="182"/>
      <c r="F54" s="569"/>
      <c r="G54" s="570"/>
      <c r="H54" s="709"/>
      <c r="I54" s="427"/>
      <c r="J54" s="427"/>
      <c r="K54" s="200"/>
      <c r="L54" s="641"/>
      <c r="M54" s="201" t="e">
        <f>RANK(K54, K$47:$K$61)</f>
        <v>#DIV/0!</v>
      </c>
      <c r="N54" s="659"/>
      <c r="O54" s="659"/>
      <c r="P54" s="573"/>
      <c r="Q54" s="574"/>
      <c r="R54" s="574"/>
      <c r="S54" s="533" t="e">
        <f t="shared" si="30"/>
        <v>#N/A</v>
      </c>
      <c r="T54" s="667"/>
      <c r="U54" s="573"/>
      <c r="V54" s="574"/>
      <c r="W54" s="574"/>
      <c r="X54" s="533" t="e">
        <f t="shared" si="31"/>
        <v>#N/A</v>
      </c>
      <c r="Y54" s="667"/>
      <c r="Z54" s="573"/>
      <c r="AA54" s="574"/>
      <c r="AB54" s="574"/>
      <c r="AC54" s="533" t="e">
        <f t="shared" si="32"/>
        <v>#N/A</v>
      </c>
      <c r="AD54" s="667"/>
      <c r="AE54" s="573"/>
      <c r="AF54" s="574"/>
      <c r="AG54" s="574"/>
      <c r="AH54" s="533" t="e">
        <f t="shared" si="33"/>
        <v>#N/A</v>
      </c>
      <c r="AI54" s="667"/>
      <c r="AJ54" s="573"/>
      <c r="AK54" s="574"/>
      <c r="AL54" s="574"/>
      <c r="AM54" s="533" t="e">
        <f t="shared" si="34"/>
        <v>#N/A</v>
      </c>
      <c r="AN54" s="667"/>
      <c r="AO54" s="573"/>
      <c r="AP54" s="574"/>
      <c r="AQ54" s="574"/>
      <c r="AR54" s="533" t="e">
        <f t="shared" si="35"/>
        <v>#N/A</v>
      </c>
      <c r="AS54" s="667"/>
      <c r="AT54" s="573"/>
      <c r="AU54" s="574"/>
      <c r="AV54" s="574"/>
      <c r="AW54" s="533" t="e">
        <f t="shared" si="36"/>
        <v>#N/A</v>
      </c>
      <c r="AX54" s="667"/>
    </row>
    <row r="55" spans="2:50">
      <c r="B55" s="667"/>
      <c r="C55" s="309">
        <v>9</v>
      </c>
      <c r="D55" s="227"/>
      <c r="E55" s="182"/>
      <c r="F55" s="569"/>
      <c r="G55" s="570"/>
      <c r="H55" s="709"/>
      <c r="I55" s="479"/>
      <c r="J55" s="479"/>
      <c r="K55" s="200"/>
      <c r="L55" s="641"/>
      <c r="M55" s="201" t="e">
        <f>RANK(K55, K$47:$K$61)</f>
        <v>#DIV/0!</v>
      </c>
      <c r="N55" s="659"/>
      <c r="O55" s="659"/>
      <c r="P55" s="573"/>
      <c r="Q55" s="574"/>
      <c r="R55" s="574"/>
      <c r="S55" s="533" t="e">
        <f t="shared" si="30"/>
        <v>#N/A</v>
      </c>
      <c r="T55" s="667"/>
      <c r="U55" s="573"/>
      <c r="V55" s="574"/>
      <c r="W55" s="574"/>
      <c r="X55" s="533" t="e">
        <f t="shared" si="31"/>
        <v>#N/A</v>
      </c>
      <c r="Y55" s="667"/>
      <c r="Z55" s="573"/>
      <c r="AA55" s="574"/>
      <c r="AB55" s="574"/>
      <c r="AC55" s="533" t="e">
        <f t="shared" si="32"/>
        <v>#N/A</v>
      </c>
      <c r="AD55" s="667"/>
      <c r="AE55" s="573"/>
      <c r="AF55" s="574"/>
      <c r="AG55" s="574"/>
      <c r="AH55" s="533" t="e">
        <f t="shared" si="33"/>
        <v>#N/A</v>
      </c>
      <c r="AI55" s="667"/>
      <c r="AJ55" s="573"/>
      <c r="AK55" s="574"/>
      <c r="AL55" s="574"/>
      <c r="AM55" s="533" t="e">
        <f t="shared" si="34"/>
        <v>#N/A</v>
      </c>
      <c r="AN55" s="667"/>
      <c r="AO55" s="573"/>
      <c r="AP55" s="574"/>
      <c r="AQ55" s="574"/>
      <c r="AR55" s="533" t="e">
        <f t="shared" si="35"/>
        <v>#N/A</v>
      </c>
      <c r="AS55" s="667"/>
      <c r="AT55" s="573"/>
      <c r="AU55" s="574"/>
      <c r="AV55" s="574"/>
      <c r="AW55" s="533" t="e">
        <f t="shared" si="36"/>
        <v>#N/A</v>
      </c>
      <c r="AX55" s="667"/>
    </row>
    <row r="56" spans="2:50">
      <c r="B56" s="667"/>
      <c r="C56" s="309">
        <v>10</v>
      </c>
      <c r="D56" s="227"/>
      <c r="E56" s="182"/>
      <c r="F56" s="569"/>
      <c r="G56" s="570"/>
      <c r="H56" s="709"/>
      <c r="I56" s="479"/>
      <c r="J56" s="479"/>
      <c r="K56" s="200"/>
      <c r="L56" s="641"/>
      <c r="M56" s="201" t="e">
        <f>RANK(K56, K$47:$K$61)</f>
        <v>#DIV/0!</v>
      </c>
      <c r="N56" s="659"/>
      <c r="O56" s="659"/>
      <c r="P56" s="573"/>
      <c r="Q56" s="574"/>
      <c r="R56" s="574"/>
      <c r="S56" s="533" t="e">
        <f t="shared" si="30"/>
        <v>#N/A</v>
      </c>
      <c r="T56" s="667"/>
      <c r="U56" s="573"/>
      <c r="V56" s="574"/>
      <c r="W56" s="574"/>
      <c r="X56" s="533" t="e">
        <f t="shared" si="31"/>
        <v>#N/A</v>
      </c>
      <c r="Y56" s="667"/>
      <c r="Z56" s="573"/>
      <c r="AA56" s="574"/>
      <c r="AB56" s="574"/>
      <c r="AC56" s="533" t="e">
        <f t="shared" si="32"/>
        <v>#N/A</v>
      </c>
      <c r="AD56" s="667"/>
      <c r="AE56" s="573"/>
      <c r="AF56" s="574"/>
      <c r="AG56" s="574"/>
      <c r="AH56" s="533" t="e">
        <f t="shared" si="33"/>
        <v>#N/A</v>
      </c>
      <c r="AI56" s="667"/>
      <c r="AJ56" s="573"/>
      <c r="AK56" s="574"/>
      <c r="AL56" s="574"/>
      <c r="AM56" s="533" t="e">
        <f t="shared" si="34"/>
        <v>#N/A</v>
      </c>
      <c r="AN56" s="667"/>
      <c r="AO56" s="573"/>
      <c r="AP56" s="574"/>
      <c r="AQ56" s="574"/>
      <c r="AR56" s="533" t="e">
        <f t="shared" si="35"/>
        <v>#N/A</v>
      </c>
      <c r="AS56" s="667"/>
      <c r="AT56" s="573"/>
      <c r="AU56" s="574"/>
      <c r="AV56" s="574"/>
      <c r="AW56" s="533" t="e">
        <f t="shared" si="36"/>
        <v>#N/A</v>
      </c>
      <c r="AX56" s="667"/>
    </row>
    <row r="57" spans="2:50">
      <c r="B57" s="667"/>
      <c r="C57" s="309">
        <v>11</v>
      </c>
      <c r="D57" s="227"/>
      <c r="E57" s="182"/>
      <c r="F57" s="569"/>
      <c r="G57" s="570"/>
      <c r="H57" s="709"/>
      <c r="I57" s="479"/>
      <c r="J57" s="479"/>
      <c r="K57" s="200"/>
      <c r="L57" s="641"/>
      <c r="M57" s="201" t="e">
        <f>RANK(K57, K$47:$K$61)</f>
        <v>#DIV/0!</v>
      </c>
      <c r="N57" s="659"/>
      <c r="O57" s="659"/>
      <c r="P57" s="573"/>
      <c r="Q57" s="574"/>
      <c r="R57" s="574"/>
      <c r="S57" s="533" t="e">
        <f t="shared" si="30"/>
        <v>#N/A</v>
      </c>
      <c r="T57" s="667"/>
      <c r="U57" s="573"/>
      <c r="V57" s="574"/>
      <c r="W57" s="574"/>
      <c r="X57" s="533" t="e">
        <f t="shared" si="31"/>
        <v>#N/A</v>
      </c>
      <c r="Y57" s="667"/>
      <c r="Z57" s="573"/>
      <c r="AA57" s="574"/>
      <c r="AB57" s="574"/>
      <c r="AC57" s="533" t="e">
        <f t="shared" si="32"/>
        <v>#N/A</v>
      </c>
      <c r="AD57" s="667"/>
      <c r="AE57" s="573"/>
      <c r="AF57" s="574"/>
      <c r="AG57" s="574"/>
      <c r="AH57" s="533" t="e">
        <f t="shared" si="33"/>
        <v>#N/A</v>
      </c>
      <c r="AI57" s="667"/>
      <c r="AJ57" s="573"/>
      <c r="AK57" s="574"/>
      <c r="AL57" s="574"/>
      <c r="AM57" s="533" t="e">
        <f t="shared" si="34"/>
        <v>#N/A</v>
      </c>
      <c r="AN57" s="667"/>
      <c r="AO57" s="573"/>
      <c r="AP57" s="574"/>
      <c r="AQ57" s="574"/>
      <c r="AR57" s="533" t="e">
        <f t="shared" si="35"/>
        <v>#N/A</v>
      </c>
      <c r="AS57" s="667"/>
      <c r="AT57" s="573"/>
      <c r="AU57" s="574"/>
      <c r="AV57" s="574"/>
      <c r="AW57" s="533" t="e">
        <f t="shared" si="36"/>
        <v>#N/A</v>
      </c>
      <c r="AX57" s="667"/>
    </row>
    <row r="58" spans="2:50">
      <c r="B58" s="667"/>
      <c r="C58" s="309">
        <v>12</v>
      </c>
      <c r="D58" s="227"/>
      <c r="E58" s="182"/>
      <c r="F58" s="569"/>
      <c r="G58" s="570"/>
      <c r="H58" s="709"/>
      <c r="I58" s="479"/>
      <c r="J58" s="479"/>
      <c r="K58" s="200"/>
      <c r="L58" s="641"/>
      <c r="M58" s="201" t="e">
        <f>RANK(K58, K$47:$K$61)</f>
        <v>#DIV/0!</v>
      </c>
      <c r="N58" s="659"/>
      <c r="O58" s="659"/>
      <c r="P58" s="573"/>
      <c r="Q58" s="574"/>
      <c r="R58" s="574"/>
      <c r="S58" s="533" t="e">
        <f t="shared" si="30"/>
        <v>#N/A</v>
      </c>
      <c r="T58" s="667"/>
      <c r="U58" s="573"/>
      <c r="V58" s="574"/>
      <c r="W58" s="574"/>
      <c r="X58" s="533" t="e">
        <f t="shared" si="31"/>
        <v>#N/A</v>
      </c>
      <c r="Y58" s="667"/>
      <c r="Z58" s="573"/>
      <c r="AA58" s="574"/>
      <c r="AB58" s="574"/>
      <c r="AC58" s="533" t="e">
        <f t="shared" si="32"/>
        <v>#N/A</v>
      </c>
      <c r="AD58" s="667"/>
      <c r="AE58" s="573"/>
      <c r="AF58" s="574"/>
      <c r="AG58" s="574"/>
      <c r="AH58" s="533" t="e">
        <f t="shared" si="33"/>
        <v>#N/A</v>
      </c>
      <c r="AI58" s="667"/>
      <c r="AJ58" s="573"/>
      <c r="AK58" s="574"/>
      <c r="AL58" s="574"/>
      <c r="AM58" s="533" t="e">
        <f t="shared" si="34"/>
        <v>#N/A</v>
      </c>
      <c r="AN58" s="667"/>
      <c r="AO58" s="573"/>
      <c r="AP58" s="574"/>
      <c r="AQ58" s="574"/>
      <c r="AR58" s="533" t="e">
        <f t="shared" si="35"/>
        <v>#N/A</v>
      </c>
      <c r="AS58" s="667"/>
      <c r="AT58" s="573"/>
      <c r="AU58" s="574"/>
      <c r="AV58" s="574"/>
      <c r="AW58" s="533" t="e">
        <f t="shared" si="36"/>
        <v>#N/A</v>
      </c>
      <c r="AX58" s="667"/>
    </row>
    <row r="59" spans="2:50">
      <c r="B59" s="667"/>
      <c r="C59" s="309">
        <v>13</v>
      </c>
      <c r="D59" s="227"/>
      <c r="E59" s="182"/>
      <c r="F59" s="569"/>
      <c r="G59" s="570"/>
      <c r="H59" s="709"/>
      <c r="I59" s="202"/>
      <c r="J59" s="202"/>
      <c r="K59" s="202"/>
      <c r="L59" s="641"/>
      <c r="M59" s="201" t="e">
        <f>RANK(K59, K$47:$K$61)</f>
        <v>#DIV/0!</v>
      </c>
      <c r="N59" s="659"/>
      <c r="O59" s="659"/>
      <c r="P59" s="573"/>
      <c r="Q59" s="574"/>
      <c r="R59" s="574"/>
      <c r="S59" s="533" t="e">
        <f t="shared" si="30"/>
        <v>#N/A</v>
      </c>
      <c r="T59" s="667"/>
      <c r="U59" s="573"/>
      <c r="V59" s="574"/>
      <c r="W59" s="574"/>
      <c r="X59" s="533" t="e">
        <f t="shared" si="31"/>
        <v>#N/A</v>
      </c>
      <c r="Y59" s="667"/>
      <c r="Z59" s="573"/>
      <c r="AA59" s="574"/>
      <c r="AB59" s="574"/>
      <c r="AC59" s="533" t="e">
        <f t="shared" si="32"/>
        <v>#N/A</v>
      </c>
      <c r="AD59" s="667"/>
      <c r="AE59" s="573"/>
      <c r="AF59" s="574"/>
      <c r="AG59" s="574"/>
      <c r="AH59" s="533" t="e">
        <f t="shared" si="33"/>
        <v>#N/A</v>
      </c>
      <c r="AI59" s="667"/>
      <c r="AJ59" s="573"/>
      <c r="AK59" s="574"/>
      <c r="AL59" s="574"/>
      <c r="AM59" s="533" t="e">
        <f t="shared" si="34"/>
        <v>#N/A</v>
      </c>
      <c r="AN59" s="667"/>
      <c r="AO59" s="573"/>
      <c r="AP59" s="574"/>
      <c r="AQ59" s="574"/>
      <c r="AR59" s="533" t="e">
        <f t="shared" si="35"/>
        <v>#N/A</v>
      </c>
      <c r="AS59" s="667"/>
      <c r="AT59" s="573"/>
      <c r="AU59" s="574"/>
      <c r="AV59" s="574"/>
      <c r="AW59" s="533" t="e">
        <f t="shared" si="36"/>
        <v>#N/A</v>
      </c>
      <c r="AX59" s="667"/>
    </row>
    <row r="60" spans="2:50">
      <c r="B60" s="667"/>
      <c r="C60" s="309">
        <v>14</v>
      </c>
      <c r="D60" s="227"/>
      <c r="E60" s="182"/>
      <c r="F60" s="569"/>
      <c r="G60" s="570"/>
      <c r="H60" s="709"/>
      <c r="I60" s="202"/>
      <c r="J60" s="202"/>
      <c r="K60" s="202"/>
      <c r="L60" s="641"/>
      <c r="M60" s="201" t="e">
        <f>RANK(K60, K$47:$K$61)</f>
        <v>#DIV/0!</v>
      </c>
      <c r="N60" s="659"/>
      <c r="O60" s="659"/>
      <c r="P60" s="573"/>
      <c r="Q60" s="574"/>
      <c r="R60" s="574"/>
      <c r="S60" s="533" t="e">
        <f t="shared" si="30"/>
        <v>#N/A</v>
      </c>
      <c r="T60" s="667"/>
      <c r="U60" s="573"/>
      <c r="V60" s="574"/>
      <c r="W60" s="574"/>
      <c r="X60" s="533" t="e">
        <f t="shared" si="31"/>
        <v>#N/A</v>
      </c>
      <c r="Y60" s="667"/>
      <c r="Z60" s="573"/>
      <c r="AA60" s="574"/>
      <c r="AB60" s="574"/>
      <c r="AC60" s="533" t="e">
        <f t="shared" si="32"/>
        <v>#N/A</v>
      </c>
      <c r="AD60" s="667"/>
      <c r="AE60" s="573"/>
      <c r="AF60" s="574"/>
      <c r="AG60" s="574"/>
      <c r="AH60" s="533" t="e">
        <f t="shared" si="33"/>
        <v>#N/A</v>
      </c>
      <c r="AI60" s="667"/>
      <c r="AJ60" s="573"/>
      <c r="AK60" s="574"/>
      <c r="AL60" s="574"/>
      <c r="AM60" s="533" t="e">
        <f t="shared" si="34"/>
        <v>#N/A</v>
      </c>
      <c r="AN60" s="667"/>
      <c r="AO60" s="573"/>
      <c r="AP60" s="574"/>
      <c r="AQ60" s="574"/>
      <c r="AR60" s="533" t="e">
        <f t="shared" si="35"/>
        <v>#N/A</v>
      </c>
      <c r="AS60" s="667"/>
      <c r="AT60" s="573"/>
      <c r="AU60" s="574"/>
      <c r="AV60" s="574"/>
      <c r="AW60" s="533" t="e">
        <f t="shared" si="36"/>
        <v>#N/A</v>
      </c>
      <c r="AX60" s="667"/>
    </row>
    <row r="61" spans="2:50">
      <c r="B61" s="667"/>
      <c r="C61" s="309">
        <v>15</v>
      </c>
      <c r="D61" s="227"/>
      <c r="E61" s="182"/>
      <c r="F61" s="569"/>
      <c r="G61" s="570"/>
      <c r="H61" s="710"/>
      <c r="I61" s="202"/>
      <c r="J61" s="202"/>
      <c r="K61" s="202"/>
      <c r="L61" s="642"/>
      <c r="M61" s="201" t="e">
        <f>RANK(K61, K$47:$K$61)</f>
        <v>#DIV/0!</v>
      </c>
      <c r="N61" s="659"/>
      <c r="O61" s="659"/>
      <c r="P61" s="573"/>
      <c r="Q61" s="574"/>
      <c r="R61" s="574"/>
      <c r="S61" s="533" t="e">
        <f t="shared" si="30"/>
        <v>#N/A</v>
      </c>
      <c r="T61" s="667"/>
      <c r="U61" s="573"/>
      <c r="V61" s="574"/>
      <c r="W61" s="574"/>
      <c r="X61" s="533" t="e">
        <f t="shared" si="31"/>
        <v>#N/A</v>
      </c>
      <c r="Y61" s="667"/>
      <c r="Z61" s="573"/>
      <c r="AA61" s="574"/>
      <c r="AB61" s="574"/>
      <c r="AC61" s="533" t="e">
        <f t="shared" si="32"/>
        <v>#N/A</v>
      </c>
      <c r="AD61" s="667"/>
      <c r="AE61" s="573"/>
      <c r="AF61" s="574"/>
      <c r="AG61" s="574"/>
      <c r="AH61" s="533" t="e">
        <f t="shared" si="33"/>
        <v>#N/A</v>
      </c>
      <c r="AI61" s="667"/>
      <c r="AJ61" s="573"/>
      <c r="AK61" s="574"/>
      <c r="AL61" s="574"/>
      <c r="AM61" s="533" t="e">
        <f t="shared" si="34"/>
        <v>#N/A</v>
      </c>
      <c r="AN61" s="667"/>
      <c r="AO61" s="573"/>
      <c r="AP61" s="574"/>
      <c r="AQ61" s="574"/>
      <c r="AR61" s="533" t="e">
        <f t="shared" si="35"/>
        <v>#N/A</v>
      </c>
      <c r="AS61" s="667"/>
      <c r="AT61" s="573"/>
      <c r="AU61" s="574"/>
      <c r="AV61" s="574"/>
      <c r="AW61" s="533" t="e">
        <f t="shared" si="36"/>
        <v>#N/A</v>
      </c>
      <c r="AX61" s="667"/>
    </row>
    <row r="62" spans="2:50" ht="15.75">
      <c r="B62" s="671" t="s">
        <v>163</v>
      </c>
      <c r="C62" s="672"/>
      <c r="D62" s="672"/>
      <c r="E62" s="672"/>
      <c r="F62" s="672"/>
      <c r="G62" s="672"/>
      <c r="H62" s="673"/>
      <c r="I62" s="208"/>
      <c r="J62" s="208"/>
      <c r="K62" s="208"/>
      <c r="L62" s="208"/>
      <c r="M62" s="207"/>
      <c r="N62" s="660" t="s">
        <v>156</v>
      </c>
      <c r="O62" s="660" t="s">
        <v>105</v>
      </c>
      <c r="P62" s="666">
        <f>P42+7</f>
        <v>46105</v>
      </c>
      <c r="Q62" s="667"/>
      <c r="R62" s="667"/>
      <c r="S62" s="667"/>
      <c r="T62" s="667"/>
      <c r="U62" s="663">
        <f>P62+1</f>
        <v>46106</v>
      </c>
      <c r="V62" s="664"/>
      <c r="W62" s="664"/>
      <c r="X62" s="664"/>
      <c r="Y62" s="665"/>
      <c r="Z62" s="663">
        <f>U62+1</f>
        <v>46107</v>
      </c>
      <c r="AA62" s="664"/>
      <c r="AB62" s="664"/>
      <c r="AC62" s="664"/>
      <c r="AD62" s="665"/>
      <c r="AE62" s="663">
        <f>Z62+1</f>
        <v>46108</v>
      </c>
      <c r="AF62" s="664"/>
      <c r="AG62" s="664"/>
      <c r="AH62" s="664"/>
      <c r="AI62" s="665"/>
      <c r="AJ62" s="663">
        <f>AE62+1</f>
        <v>46109</v>
      </c>
      <c r="AK62" s="664"/>
      <c r="AL62" s="664"/>
      <c r="AM62" s="664"/>
      <c r="AN62" s="665"/>
      <c r="AO62" s="663">
        <f>AJ62+1</f>
        <v>46110</v>
      </c>
      <c r="AP62" s="664"/>
      <c r="AQ62" s="664"/>
      <c r="AR62" s="664"/>
      <c r="AS62" s="665"/>
      <c r="AT62" s="663">
        <f>AO62+1</f>
        <v>46111</v>
      </c>
      <c r="AU62" s="664"/>
      <c r="AV62" s="664"/>
      <c r="AW62" s="664"/>
      <c r="AX62" s="665"/>
    </row>
    <row r="63" spans="2:50" ht="15.75">
      <c r="B63" s="674"/>
      <c r="C63" s="674"/>
      <c r="D63" s="674"/>
      <c r="E63" s="674"/>
      <c r="F63" s="674"/>
      <c r="G63" s="674"/>
      <c r="H63" s="674"/>
      <c r="I63" s="205"/>
      <c r="J63" s="205"/>
      <c r="K63" s="205"/>
      <c r="L63" s="205"/>
      <c r="M63" s="206"/>
      <c r="N63" s="662"/>
      <c r="O63" s="662"/>
      <c r="P63" s="666" t="s">
        <v>336</v>
      </c>
      <c r="Q63" s="667"/>
      <c r="R63" s="667"/>
      <c r="S63" s="667"/>
      <c r="T63" s="667"/>
      <c r="U63" s="666" t="s">
        <v>337</v>
      </c>
      <c r="V63" s="667"/>
      <c r="W63" s="667"/>
      <c r="X63" s="667"/>
      <c r="Y63" s="667"/>
      <c r="Z63" s="666" t="s">
        <v>338</v>
      </c>
      <c r="AA63" s="667"/>
      <c r="AB63" s="667"/>
      <c r="AC63" s="667"/>
      <c r="AD63" s="667"/>
      <c r="AE63" s="666" t="s">
        <v>339</v>
      </c>
      <c r="AF63" s="667"/>
      <c r="AG63" s="667"/>
      <c r="AH63" s="667"/>
      <c r="AI63" s="667"/>
      <c r="AJ63" s="666" t="s">
        <v>340</v>
      </c>
      <c r="AK63" s="667"/>
      <c r="AL63" s="667"/>
      <c r="AM63" s="667"/>
      <c r="AN63" s="667"/>
      <c r="AO63" s="666" t="s">
        <v>341</v>
      </c>
      <c r="AP63" s="667"/>
      <c r="AQ63" s="667"/>
      <c r="AR63" s="667"/>
      <c r="AS63" s="667"/>
      <c r="AT63" s="666" t="s">
        <v>342</v>
      </c>
      <c r="AU63" s="667"/>
      <c r="AV63" s="667"/>
      <c r="AW63" s="667"/>
      <c r="AX63" s="667"/>
    </row>
    <row r="64" spans="2:50">
      <c r="B64" s="659" t="s">
        <v>419</v>
      </c>
      <c r="C64" s="659" t="s">
        <v>429</v>
      </c>
      <c r="D64" s="659"/>
      <c r="E64" s="659" t="s">
        <v>420</v>
      </c>
      <c r="F64" s="659"/>
      <c r="G64" s="659"/>
      <c r="H64" s="675" t="s">
        <v>416</v>
      </c>
      <c r="I64" s="643" t="s">
        <v>421</v>
      </c>
      <c r="J64" s="643"/>
      <c r="K64" s="643"/>
      <c r="L64" s="644" t="s">
        <v>416</v>
      </c>
      <c r="M64" s="650" t="s">
        <v>417</v>
      </c>
      <c r="N64" s="659"/>
      <c r="O64" s="659" t="s">
        <v>422</v>
      </c>
      <c r="P64" s="656" t="s">
        <v>418</v>
      </c>
      <c r="Q64" s="657"/>
      <c r="R64" s="657"/>
      <c r="S64" s="658"/>
      <c r="T64" s="659" t="s">
        <v>416</v>
      </c>
      <c r="U64" s="656" t="s">
        <v>418</v>
      </c>
      <c r="V64" s="657"/>
      <c r="W64" s="657"/>
      <c r="X64" s="658"/>
      <c r="Y64" s="659" t="s">
        <v>416</v>
      </c>
      <c r="Z64" s="656" t="s">
        <v>418</v>
      </c>
      <c r="AA64" s="657"/>
      <c r="AB64" s="657"/>
      <c r="AC64" s="658"/>
      <c r="AD64" s="659" t="s">
        <v>416</v>
      </c>
      <c r="AE64" s="656" t="s">
        <v>418</v>
      </c>
      <c r="AF64" s="657"/>
      <c r="AG64" s="657"/>
      <c r="AH64" s="658"/>
      <c r="AI64" s="659" t="s">
        <v>416</v>
      </c>
      <c r="AJ64" s="656" t="s">
        <v>418</v>
      </c>
      <c r="AK64" s="657"/>
      <c r="AL64" s="657"/>
      <c r="AM64" s="658"/>
      <c r="AN64" s="659" t="s">
        <v>416</v>
      </c>
      <c r="AO64" s="656" t="s">
        <v>418</v>
      </c>
      <c r="AP64" s="657"/>
      <c r="AQ64" s="657"/>
      <c r="AR64" s="658"/>
      <c r="AS64" s="659" t="s">
        <v>416</v>
      </c>
      <c r="AT64" s="656" t="s">
        <v>418</v>
      </c>
      <c r="AU64" s="657"/>
      <c r="AV64" s="657"/>
      <c r="AW64" s="658"/>
      <c r="AX64" s="659" t="s">
        <v>416</v>
      </c>
    </row>
    <row r="65" spans="2:50">
      <c r="B65" s="659"/>
      <c r="C65" s="659"/>
      <c r="D65" s="659"/>
      <c r="E65" s="659" t="s">
        <v>423</v>
      </c>
      <c r="F65" s="659"/>
      <c r="G65" s="659"/>
      <c r="H65" s="676"/>
      <c r="I65" s="643" t="s">
        <v>423</v>
      </c>
      <c r="J65" s="643"/>
      <c r="K65" s="643"/>
      <c r="L65" s="645"/>
      <c r="M65" s="651"/>
      <c r="N65" s="659"/>
      <c r="O65" s="659"/>
      <c r="P65" s="656" t="s">
        <v>424</v>
      </c>
      <c r="Q65" s="657"/>
      <c r="R65" s="657"/>
      <c r="S65" s="658"/>
      <c r="T65" s="659"/>
      <c r="U65" s="656" t="s">
        <v>424</v>
      </c>
      <c r="V65" s="657"/>
      <c r="W65" s="657"/>
      <c r="X65" s="658"/>
      <c r="Y65" s="659"/>
      <c r="Z65" s="656" t="s">
        <v>424</v>
      </c>
      <c r="AA65" s="657"/>
      <c r="AB65" s="657"/>
      <c r="AC65" s="658"/>
      <c r="AD65" s="659"/>
      <c r="AE65" s="656" t="s">
        <v>424</v>
      </c>
      <c r="AF65" s="657"/>
      <c r="AG65" s="657"/>
      <c r="AH65" s="658"/>
      <c r="AI65" s="659"/>
      <c r="AJ65" s="656" t="s">
        <v>424</v>
      </c>
      <c r="AK65" s="657"/>
      <c r="AL65" s="657"/>
      <c r="AM65" s="658"/>
      <c r="AN65" s="659"/>
      <c r="AO65" s="656" t="s">
        <v>424</v>
      </c>
      <c r="AP65" s="657"/>
      <c r="AQ65" s="657"/>
      <c r="AR65" s="658"/>
      <c r="AS65" s="659"/>
      <c r="AT65" s="656" t="s">
        <v>424</v>
      </c>
      <c r="AU65" s="657"/>
      <c r="AV65" s="657"/>
      <c r="AW65" s="658"/>
      <c r="AX65" s="659"/>
    </row>
    <row r="66" spans="2:50">
      <c r="B66" s="659"/>
      <c r="C66" s="659"/>
      <c r="D66" s="659"/>
      <c r="E66" s="308" t="s">
        <v>425</v>
      </c>
      <c r="F66" s="308" t="s">
        <v>426</v>
      </c>
      <c r="G66" s="308" t="s">
        <v>427</v>
      </c>
      <c r="H66" s="677"/>
      <c r="I66" s="307" t="s">
        <v>425</v>
      </c>
      <c r="J66" s="307" t="s">
        <v>426</v>
      </c>
      <c r="K66" s="307" t="s">
        <v>427</v>
      </c>
      <c r="L66" s="646"/>
      <c r="M66" s="652"/>
      <c r="N66" s="659"/>
      <c r="O66" s="659"/>
      <c r="P66" s="308" t="s">
        <v>425</v>
      </c>
      <c r="Q66" s="308" t="s">
        <v>426</v>
      </c>
      <c r="R66" s="308" t="s">
        <v>427</v>
      </c>
      <c r="S66" s="308" t="s">
        <v>417</v>
      </c>
      <c r="T66" s="659"/>
      <c r="U66" s="308" t="s">
        <v>425</v>
      </c>
      <c r="V66" s="308" t="s">
        <v>426</v>
      </c>
      <c r="W66" s="308" t="s">
        <v>427</v>
      </c>
      <c r="X66" s="308" t="s">
        <v>417</v>
      </c>
      <c r="Y66" s="659"/>
      <c r="Z66" s="308" t="s">
        <v>425</v>
      </c>
      <c r="AA66" s="308" t="s">
        <v>426</v>
      </c>
      <c r="AB66" s="308" t="s">
        <v>427</v>
      </c>
      <c r="AC66" s="308" t="s">
        <v>417</v>
      </c>
      <c r="AD66" s="659"/>
      <c r="AE66" s="308" t="s">
        <v>425</v>
      </c>
      <c r="AF66" s="308" t="s">
        <v>426</v>
      </c>
      <c r="AG66" s="308" t="s">
        <v>427</v>
      </c>
      <c r="AH66" s="308" t="s">
        <v>417</v>
      </c>
      <c r="AI66" s="659"/>
      <c r="AJ66" s="308" t="s">
        <v>425</v>
      </c>
      <c r="AK66" s="308" t="s">
        <v>426</v>
      </c>
      <c r="AL66" s="308" t="s">
        <v>427</v>
      </c>
      <c r="AM66" s="308" t="s">
        <v>417</v>
      </c>
      <c r="AN66" s="659"/>
      <c r="AO66" s="308" t="s">
        <v>425</v>
      </c>
      <c r="AP66" s="308" t="s">
        <v>426</v>
      </c>
      <c r="AQ66" s="308" t="s">
        <v>427</v>
      </c>
      <c r="AR66" s="308" t="s">
        <v>417</v>
      </c>
      <c r="AS66" s="659"/>
      <c r="AT66" s="308" t="s">
        <v>425</v>
      </c>
      <c r="AU66" s="308" t="s">
        <v>426</v>
      </c>
      <c r="AV66" s="308" t="s">
        <v>427</v>
      </c>
      <c r="AW66" s="308" t="s">
        <v>417</v>
      </c>
      <c r="AX66" s="659"/>
    </row>
    <row r="67" spans="2:50">
      <c r="B67" s="659" t="s">
        <v>431</v>
      </c>
      <c r="C67" s="309">
        <v>1</v>
      </c>
      <c r="D67" s="227"/>
      <c r="E67" s="182"/>
      <c r="F67" s="569"/>
      <c r="G67" s="570"/>
      <c r="H67" s="708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40" t="str">
        <f>IFERROR(AVERAGE(K67:K81),"-")</f>
        <v>-</v>
      </c>
      <c r="M67" s="201" t="e">
        <f>RANK(K67, K$67:$K$81)</f>
        <v>#DIV/0!</v>
      </c>
      <c r="N67" s="659"/>
      <c r="O67" s="659"/>
      <c r="P67" s="573"/>
      <c r="Q67" s="574"/>
      <c r="R67" s="574"/>
      <c r="S67" s="309" t="e">
        <f>RANK(R67, R$67:R$81)</f>
        <v>#N/A</v>
      </c>
      <c r="T67" s="681" t="e">
        <f>AVERAGE(R67:R81)</f>
        <v>#DIV/0!</v>
      </c>
      <c r="U67" s="573"/>
      <c r="V67" s="574"/>
      <c r="W67" s="574"/>
      <c r="X67" s="475" t="e">
        <f t="shared" ref="X67:X81" si="37">RANK(W67, W$67:W$81)</f>
        <v>#N/A</v>
      </c>
      <c r="Y67" s="681" t="e">
        <f t="shared" ref="Y67" si="38">AVERAGE(W67:W81)</f>
        <v>#DIV/0!</v>
      </c>
      <c r="Z67" s="573"/>
      <c r="AA67" s="574"/>
      <c r="AB67" s="574"/>
      <c r="AC67" s="475" t="e">
        <f t="shared" ref="AC67:AC81" si="39">RANK(AB67, AB$67:AB$81)</f>
        <v>#N/A</v>
      </c>
      <c r="AD67" s="681" t="e">
        <f t="shared" ref="AD67" si="40">AVERAGE(AB67:AB81)</f>
        <v>#DIV/0!</v>
      </c>
      <c r="AE67" s="573"/>
      <c r="AF67" s="574"/>
      <c r="AG67" s="574"/>
      <c r="AH67" s="475" t="e">
        <f t="shared" ref="AH67:AH81" si="41">RANK(AG67, AG$67:AG$81)</f>
        <v>#N/A</v>
      </c>
      <c r="AI67" s="681" t="e">
        <f t="shared" ref="AI67" si="42">AVERAGE(AG67:AG81)</f>
        <v>#DIV/0!</v>
      </c>
      <c r="AJ67" s="573"/>
      <c r="AK67" s="574"/>
      <c r="AL67" s="574"/>
      <c r="AM67" s="475" t="e">
        <f t="shared" ref="AM67:AM81" si="43">RANK(AL67, AL$67:AL$81)</f>
        <v>#N/A</v>
      </c>
      <c r="AN67" s="681" t="e">
        <f t="shared" ref="AN67" si="44">AVERAGE(AL67:AL81)</f>
        <v>#DIV/0!</v>
      </c>
      <c r="AO67" s="573"/>
      <c r="AP67" s="574"/>
      <c r="AQ67" s="574"/>
      <c r="AR67" s="475" t="e">
        <f t="shared" ref="AR67:AR81" si="45">RANK(AQ67, AQ$67:AQ$81)</f>
        <v>#N/A</v>
      </c>
      <c r="AS67" s="681" t="e">
        <f t="shared" ref="AS67" si="46">AVERAGE(AQ67:AQ81)</f>
        <v>#DIV/0!</v>
      </c>
      <c r="AT67" s="573"/>
      <c r="AU67" s="574"/>
      <c r="AV67" s="574"/>
      <c r="AW67" s="475" t="e">
        <f t="shared" ref="AW67:AW81" si="47">RANK(AV67, AV$67:AV$81)</f>
        <v>#N/A</v>
      </c>
      <c r="AX67" s="681" t="e">
        <f t="shared" ref="AX67" si="48">AVERAGE(AV67:AV81)</f>
        <v>#DIV/0!</v>
      </c>
    </row>
    <row r="68" spans="2:50">
      <c r="B68" s="667"/>
      <c r="C68" s="309">
        <v>2</v>
      </c>
      <c r="D68" s="227"/>
      <c r="E68" s="182"/>
      <c r="F68" s="569"/>
      <c r="G68" s="570"/>
      <c r="H68" s="709"/>
      <c r="I68" s="199" t="e">
        <f t="shared" ref="I68:I71" si="49">AVERAGE(P68,U68,Z68,AE68,AJ68,AO68,AT68)</f>
        <v>#DIV/0!</v>
      </c>
      <c r="J68" s="199" t="e">
        <f t="shared" ref="J68:J71" si="50">AVERAGE(Q68,V68,AA68,AF68,AK68,AP68,AU68)</f>
        <v>#DIV/0!</v>
      </c>
      <c r="K68" s="200" t="e">
        <f t="shared" ref="K68:K71" si="51">AVERAGE(R68,W68,AB68,AG68,AL68,AQ68,AV68)</f>
        <v>#DIV/0!</v>
      </c>
      <c r="L68" s="641"/>
      <c r="M68" s="201" t="e">
        <f>RANK(K68, K$67:$K$81)</f>
        <v>#DIV/0!</v>
      </c>
      <c r="N68" s="659"/>
      <c r="O68" s="659"/>
      <c r="P68" s="573"/>
      <c r="Q68" s="574"/>
      <c r="R68" s="574"/>
      <c r="S68" s="339" t="e">
        <f t="shared" ref="S68:S81" si="52">RANK(R68, R$67:R$81)</f>
        <v>#N/A</v>
      </c>
      <c r="T68" s="681"/>
      <c r="U68" s="573"/>
      <c r="V68" s="574"/>
      <c r="W68" s="574"/>
      <c r="X68" s="475" t="e">
        <f t="shared" si="37"/>
        <v>#N/A</v>
      </c>
      <c r="Y68" s="681"/>
      <c r="Z68" s="573"/>
      <c r="AA68" s="574"/>
      <c r="AB68" s="574"/>
      <c r="AC68" s="475" t="e">
        <f t="shared" si="39"/>
        <v>#N/A</v>
      </c>
      <c r="AD68" s="681"/>
      <c r="AE68" s="573"/>
      <c r="AF68" s="574"/>
      <c r="AG68" s="574"/>
      <c r="AH68" s="475" t="e">
        <f t="shared" si="41"/>
        <v>#N/A</v>
      </c>
      <c r="AI68" s="681"/>
      <c r="AJ68" s="573"/>
      <c r="AK68" s="574"/>
      <c r="AL68" s="574"/>
      <c r="AM68" s="475" t="e">
        <f t="shared" si="43"/>
        <v>#N/A</v>
      </c>
      <c r="AN68" s="681"/>
      <c r="AO68" s="573"/>
      <c r="AP68" s="574"/>
      <c r="AQ68" s="574"/>
      <c r="AR68" s="475" t="e">
        <f t="shared" si="45"/>
        <v>#N/A</v>
      </c>
      <c r="AS68" s="681"/>
      <c r="AT68" s="573"/>
      <c r="AU68" s="574"/>
      <c r="AV68" s="574"/>
      <c r="AW68" s="475" t="e">
        <f t="shared" si="47"/>
        <v>#N/A</v>
      </c>
      <c r="AX68" s="681"/>
    </row>
    <row r="69" spans="2:50">
      <c r="B69" s="667"/>
      <c r="C69" s="309">
        <v>3</v>
      </c>
      <c r="D69" s="227"/>
      <c r="E69" s="182"/>
      <c r="F69" s="569"/>
      <c r="G69" s="570"/>
      <c r="H69" s="709"/>
      <c r="I69" s="199" t="e">
        <f t="shared" si="49"/>
        <v>#DIV/0!</v>
      </c>
      <c r="J69" s="199" t="e">
        <f t="shared" si="50"/>
        <v>#DIV/0!</v>
      </c>
      <c r="K69" s="200" t="e">
        <f t="shared" si="51"/>
        <v>#DIV/0!</v>
      </c>
      <c r="L69" s="641"/>
      <c r="M69" s="201" t="e">
        <f>RANK(K69, K$67:$K$81)</f>
        <v>#DIV/0!</v>
      </c>
      <c r="N69" s="659"/>
      <c r="O69" s="659"/>
      <c r="P69" s="573"/>
      <c r="Q69" s="574"/>
      <c r="R69" s="574"/>
      <c r="S69" s="339" t="e">
        <f t="shared" si="52"/>
        <v>#N/A</v>
      </c>
      <c r="T69" s="681"/>
      <c r="U69" s="573"/>
      <c r="V69" s="574"/>
      <c r="W69" s="574"/>
      <c r="X69" s="475" t="e">
        <f t="shared" si="37"/>
        <v>#N/A</v>
      </c>
      <c r="Y69" s="681"/>
      <c r="Z69" s="573"/>
      <c r="AA69" s="574"/>
      <c r="AB69" s="574"/>
      <c r="AC69" s="475" t="e">
        <f t="shared" si="39"/>
        <v>#N/A</v>
      </c>
      <c r="AD69" s="681"/>
      <c r="AE69" s="573"/>
      <c r="AF69" s="574"/>
      <c r="AG69" s="574"/>
      <c r="AH69" s="475" t="e">
        <f t="shared" si="41"/>
        <v>#N/A</v>
      </c>
      <c r="AI69" s="681"/>
      <c r="AJ69" s="573"/>
      <c r="AK69" s="574"/>
      <c r="AL69" s="574"/>
      <c r="AM69" s="475" t="e">
        <f t="shared" si="43"/>
        <v>#N/A</v>
      </c>
      <c r="AN69" s="681"/>
      <c r="AO69" s="573"/>
      <c r="AP69" s="574"/>
      <c r="AQ69" s="574"/>
      <c r="AR69" s="475" t="e">
        <f t="shared" si="45"/>
        <v>#N/A</v>
      </c>
      <c r="AS69" s="681"/>
      <c r="AT69" s="573"/>
      <c r="AU69" s="574"/>
      <c r="AV69" s="574"/>
      <c r="AW69" s="475" t="e">
        <f t="shared" si="47"/>
        <v>#N/A</v>
      </c>
      <c r="AX69" s="681"/>
    </row>
    <row r="70" spans="2:50">
      <c r="B70" s="667"/>
      <c r="C70" s="309">
        <v>4</v>
      </c>
      <c r="D70" s="227"/>
      <c r="E70" s="182"/>
      <c r="F70" s="569"/>
      <c r="G70" s="570"/>
      <c r="H70" s="709"/>
      <c r="I70" s="199" t="e">
        <f t="shared" si="49"/>
        <v>#DIV/0!</v>
      </c>
      <c r="J70" s="199" t="e">
        <f t="shared" si="50"/>
        <v>#DIV/0!</v>
      </c>
      <c r="K70" s="200" t="e">
        <f t="shared" si="51"/>
        <v>#DIV/0!</v>
      </c>
      <c r="L70" s="641"/>
      <c r="M70" s="201" t="e">
        <f>RANK(K70, K$67:$K$81)</f>
        <v>#DIV/0!</v>
      </c>
      <c r="N70" s="659"/>
      <c r="O70" s="659"/>
      <c r="P70" s="573"/>
      <c r="Q70" s="574"/>
      <c r="R70" s="574"/>
      <c r="S70" s="339" t="e">
        <f t="shared" si="52"/>
        <v>#N/A</v>
      </c>
      <c r="T70" s="681"/>
      <c r="U70" s="573"/>
      <c r="V70" s="574"/>
      <c r="W70" s="574"/>
      <c r="X70" s="475" t="e">
        <f t="shared" si="37"/>
        <v>#N/A</v>
      </c>
      <c r="Y70" s="681"/>
      <c r="Z70" s="573"/>
      <c r="AA70" s="574"/>
      <c r="AB70" s="574"/>
      <c r="AC70" s="475" t="e">
        <f t="shared" si="39"/>
        <v>#N/A</v>
      </c>
      <c r="AD70" s="681"/>
      <c r="AE70" s="573"/>
      <c r="AF70" s="574"/>
      <c r="AG70" s="574"/>
      <c r="AH70" s="475" t="e">
        <f t="shared" si="41"/>
        <v>#N/A</v>
      </c>
      <c r="AI70" s="681"/>
      <c r="AJ70" s="573"/>
      <c r="AK70" s="574"/>
      <c r="AL70" s="574"/>
      <c r="AM70" s="475" t="e">
        <f t="shared" si="43"/>
        <v>#N/A</v>
      </c>
      <c r="AN70" s="681"/>
      <c r="AO70" s="573"/>
      <c r="AP70" s="574"/>
      <c r="AQ70" s="574"/>
      <c r="AR70" s="475" t="e">
        <f t="shared" si="45"/>
        <v>#N/A</v>
      </c>
      <c r="AS70" s="681"/>
      <c r="AT70" s="573"/>
      <c r="AU70" s="574"/>
      <c r="AV70" s="574"/>
      <c r="AW70" s="475" t="e">
        <f t="shared" si="47"/>
        <v>#N/A</v>
      </c>
      <c r="AX70" s="681"/>
    </row>
    <row r="71" spans="2:50">
      <c r="B71" s="667"/>
      <c r="C71" s="309">
        <v>5</v>
      </c>
      <c r="D71" s="227"/>
      <c r="E71" s="182"/>
      <c r="F71" s="569"/>
      <c r="G71" s="570"/>
      <c r="H71" s="709"/>
      <c r="I71" s="199" t="e">
        <f t="shared" si="49"/>
        <v>#DIV/0!</v>
      </c>
      <c r="J71" s="199" t="e">
        <f t="shared" si="50"/>
        <v>#DIV/0!</v>
      </c>
      <c r="K71" s="200" t="e">
        <f t="shared" si="51"/>
        <v>#DIV/0!</v>
      </c>
      <c r="L71" s="641"/>
      <c r="M71" s="201" t="e">
        <f>RANK(K71, K$67:$K$81)</f>
        <v>#DIV/0!</v>
      </c>
      <c r="N71" s="659"/>
      <c r="O71" s="659"/>
      <c r="P71" s="573"/>
      <c r="Q71" s="574"/>
      <c r="R71" s="574"/>
      <c r="S71" s="339" t="e">
        <f t="shared" si="52"/>
        <v>#N/A</v>
      </c>
      <c r="T71" s="681"/>
      <c r="U71" s="573"/>
      <c r="V71" s="574"/>
      <c r="W71" s="574"/>
      <c r="X71" s="475" t="e">
        <f t="shared" si="37"/>
        <v>#N/A</v>
      </c>
      <c r="Y71" s="681"/>
      <c r="Z71" s="573"/>
      <c r="AA71" s="574"/>
      <c r="AB71" s="574"/>
      <c r="AC71" s="475" t="e">
        <f t="shared" si="39"/>
        <v>#N/A</v>
      </c>
      <c r="AD71" s="681"/>
      <c r="AE71" s="573"/>
      <c r="AF71" s="574"/>
      <c r="AG71" s="574"/>
      <c r="AH71" s="475" t="e">
        <f t="shared" si="41"/>
        <v>#N/A</v>
      </c>
      <c r="AI71" s="681"/>
      <c r="AJ71" s="573"/>
      <c r="AK71" s="574"/>
      <c r="AL71" s="574"/>
      <c r="AM71" s="475" t="e">
        <f t="shared" si="43"/>
        <v>#N/A</v>
      </c>
      <c r="AN71" s="681"/>
      <c r="AO71" s="573"/>
      <c r="AP71" s="574"/>
      <c r="AQ71" s="574"/>
      <c r="AR71" s="475" t="e">
        <f t="shared" si="45"/>
        <v>#N/A</v>
      </c>
      <c r="AS71" s="681"/>
      <c r="AT71" s="573"/>
      <c r="AU71" s="574"/>
      <c r="AV71" s="574"/>
      <c r="AW71" s="475" t="e">
        <f t="shared" si="47"/>
        <v>#N/A</v>
      </c>
      <c r="AX71" s="681"/>
    </row>
    <row r="72" spans="2:50">
      <c r="B72" s="667"/>
      <c r="C72" s="309">
        <v>6</v>
      </c>
      <c r="D72" s="227"/>
      <c r="E72" s="182"/>
      <c r="F72" s="569"/>
      <c r="G72" s="570"/>
      <c r="H72" s="709"/>
      <c r="I72" s="199"/>
      <c r="J72" s="199"/>
      <c r="K72" s="200"/>
      <c r="L72" s="641"/>
      <c r="M72" s="201" t="e">
        <f>RANK(K72, K$67:$K$81)</f>
        <v>#DIV/0!</v>
      </c>
      <c r="N72" s="659"/>
      <c r="O72" s="659"/>
      <c r="P72" s="573"/>
      <c r="Q72" s="574"/>
      <c r="R72" s="574"/>
      <c r="S72" s="339" t="e">
        <f t="shared" si="52"/>
        <v>#N/A</v>
      </c>
      <c r="T72" s="681"/>
      <c r="U72" s="573"/>
      <c r="V72" s="574"/>
      <c r="W72" s="574"/>
      <c r="X72" s="475" t="e">
        <f t="shared" si="37"/>
        <v>#N/A</v>
      </c>
      <c r="Y72" s="681"/>
      <c r="Z72" s="573"/>
      <c r="AA72" s="574"/>
      <c r="AB72" s="574"/>
      <c r="AC72" s="475" t="e">
        <f t="shared" si="39"/>
        <v>#N/A</v>
      </c>
      <c r="AD72" s="681"/>
      <c r="AE72" s="573"/>
      <c r="AF72" s="574"/>
      <c r="AG72" s="574"/>
      <c r="AH72" s="475" t="e">
        <f t="shared" si="41"/>
        <v>#N/A</v>
      </c>
      <c r="AI72" s="681"/>
      <c r="AJ72" s="573"/>
      <c r="AK72" s="574"/>
      <c r="AL72" s="574"/>
      <c r="AM72" s="475" t="e">
        <f t="shared" si="43"/>
        <v>#N/A</v>
      </c>
      <c r="AN72" s="681"/>
      <c r="AO72" s="573"/>
      <c r="AP72" s="574"/>
      <c r="AQ72" s="574"/>
      <c r="AR72" s="475" t="e">
        <f t="shared" si="45"/>
        <v>#N/A</v>
      </c>
      <c r="AS72" s="681"/>
      <c r="AT72" s="573"/>
      <c r="AU72" s="574"/>
      <c r="AV72" s="574"/>
      <c r="AW72" s="475" t="e">
        <f t="shared" si="47"/>
        <v>#N/A</v>
      </c>
      <c r="AX72" s="681"/>
    </row>
    <row r="73" spans="2:50">
      <c r="B73" s="667"/>
      <c r="C73" s="309">
        <v>7</v>
      </c>
      <c r="D73" s="227"/>
      <c r="E73" s="182"/>
      <c r="F73" s="569"/>
      <c r="G73" s="570"/>
      <c r="H73" s="709"/>
      <c r="I73" s="199"/>
      <c r="J73" s="199"/>
      <c r="K73" s="200"/>
      <c r="L73" s="641"/>
      <c r="M73" s="201" t="e">
        <f>RANK(K73, K$67:$K$81)</f>
        <v>#DIV/0!</v>
      </c>
      <c r="N73" s="659"/>
      <c r="O73" s="659"/>
      <c r="P73" s="573"/>
      <c r="Q73" s="574"/>
      <c r="R73" s="574"/>
      <c r="S73" s="339" t="e">
        <f t="shared" si="52"/>
        <v>#N/A</v>
      </c>
      <c r="T73" s="681"/>
      <c r="U73" s="573"/>
      <c r="V73" s="574"/>
      <c r="W73" s="574"/>
      <c r="X73" s="475" t="e">
        <f t="shared" si="37"/>
        <v>#N/A</v>
      </c>
      <c r="Y73" s="681"/>
      <c r="Z73" s="573"/>
      <c r="AA73" s="574"/>
      <c r="AB73" s="574"/>
      <c r="AC73" s="475" t="e">
        <f t="shared" si="39"/>
        <v>#N/A</v>
      </c>
      <c r="AD73" s="681"/>
      <c r="AE73" s="573"/>
      <c r="AF73" s="574"/>
      <c r="AG73" s="574"/>
      <c r="AH73" s="475" t="e">
        <f t="shared" si="41"/>
        <v>#N/A</v>
      </c>
      <c r="AI73" s="681"/>
      <c r="AJ73" s="573"/>
      <c r="AK73" s="574"/>
      <c r="AL73" s="574"/>
      <c r="AM73" s="475" t="e">
        <f t="shared" si="43"/>
        <v>#N/A</v>
      </c>
      <c r="AN73" s="681"/>
      <c r="AO73" s="573"/>
      <c r="AP73" s="574"/>
      <c r="AQ73" s="574"/>
      <c r="AR73" s="475" t="e">
        <f t="shared" si="45"/>
        <v>#N/A</v>
      </c>
      <c r="AS73" s="681"/>
      <c r="AT73" s="573"/>
      <c r="AU73" s="574"/>
      <c r="AV73" s="574"/>
      <c r="AW73" s="475" t="e">
        <f t="shared" si="47"/>
        <v>#N/A</v>
      </c>
      <c r="AX73" s="681"/>
    </row>
    <row r="74" spans="2:50">
      <c r="B74" s="667"/>
      <c r="C74" s="309">
        <v>8</v>
      </c>
      <c r="D74" s="227"/>
      <c r="E74" s="182"/>
      <c r="F74" s="569"/>
      <c r="G74" s="570"/>
      <c r="H74" s="709"/>
      <c r="I74" s="199"/>
      <c r="J74" s="199"/>
      <c r="K74" s="200"/>
      <c r="L74" s="641"/>
      <c r="M74" s="201" t="e">
        <f>RANK(K74, K$67:$K$81)</f>
        <v>#DIV/0!</v>
      </c>
      <c r="N74" s="659"/>
      <c r="O74" s="659"/>
      <c r="P74" s="573"/>
      <c r="Q74" s="574"/>
      <c r="R74" s="574"/>
      <c r="S74" s="339" t="e">
        <f t="shared" si="52"/>
        <v>#N/A</v>
      </c>
      <c r="T74" s="681"/>
      <c r="U74" s="573"/>
      <c r="V74" s="574"/>
      <c r="W74" s="574"/>
      <c r="X74" s="475" t="e">
        <f t="shared" si="37"/>
        <v>#N/A</v>
      </c>
      <c r="Y74" s="681"/>
      <c r="Z74" s="573"/>
      <c r="AA74" s="574"/>
      <c r="AB74" s="574"/>
      <c r="AC74" s="475" t="e">
        <f t="shared" si="39"/>
        <v>#N/A</v>
      </c>
      <c r="AD74" s="681"/>
      <c r="AE74" s="573"/>
      <c r="AF74" s="574"/>
      <c r="AG74" s="574"/>
      <c r="AH74" s="475" t="e">
        <f t="shared" si="41"/>
        <v>#N/A</v>
      </c>
      <c r="AI74" s="681"/>
      <c r="AJ74" s="573"/>
      <c r="AK74" s="574"/>
      <c r="AL74" s="574"/>
      <c r="AM74" s="475" t="e">
        <f t="shared" si="43"/>
        <v>#N/A</v>
      </c>
      <c r="AN74" s="681"/>
      <c r="AO74" s="573"/>
      <c r="AP74" s="574"/>
      <c r="AQ74" s="574"/>
      <c r="AR74" s="475" t="e">
        <f t="shared" si="45"/>
        <v>#N/A</v>
      </c>
      <c r="AS74" s="681"/>
      <c r="AT74" s="573"/>
      <c r="AU74" s="574"/>
      <c r="AV74" s="574"/>
      <c r="AW74" s="475" t="e">
        <f t="shared" si="47"/>
        <v>#N/A</v>
      </c>
      <c r="AX74" s="681"/>
    </row>
    <row r="75" spans="2:50">
      <c r="B75" s="667"/>
      <c r="C75" s="309">
        <v>9</v>
      </c>
      <c r="D75" s="227"/>
      <c r="E75" s="182"/>
      <c r="F75" s="569"/>
      <c r="G75" s="570"/>
      <c r="H75" s="709"/>
      <c r="I75" s="484"/>
      <c r="J75" s="484"/>
      <c r="K75" s="200"/>
      <c r="L75" s="641"/>
      <c r="M75" s="201" t="e">
        <f>RANK(K75, K$67:$K$81)</f>
        <v>#DIV/0!</v>
      </c>
      <c r="N75" s="659"/>
      <c r="O75" s="659"/>
      <c r="P75" s="573"/>
      <c r="Q75" s="574"/>
      <c r="R75" s="574"/>
      <c r="S75" s="339" t="e">
        <f t="shared" si="52"/>
        <v>#N/A</v>
      </c>
      <c r="T75" s="681"/>
      <c r="U75" s="573"/>
      <c r="V75" s="574"/>
      <c r="W75" s="574"/>
      <c r="X75" s="475" t="e">
        <f t="shared" si="37"/>
        <v>#N/A</v>
      </c>
      <c r="Y75" s="681"/>
      <c r="Z75" s="573"/>
      <c r="AA75" s="574"/>
      <c r="AB75" s="574"/>
      <c r="AC75" s="475" t="e">
        <f t="shared" si="39"/>
        <v>#N/A</v>
      </c>
      <c r="AD75" s="681"/>
      <c r="AE75" s="573"/>
      <c r="AF75" s="574"/>
      <c r="AG75" s="574"/>
      <c r="AH75" s="475" t="e">
        <f t="shared" si="41"/>
        <v>#N/A</v>
      </c>
      <c r="AI75" s="681"/>
      <c r="AJ75" s="573"/>
      <c r="AK75" s="574"/>
      <c r="AL75" s="574"/>
      <c r="AM75" s="475" t="e">
        <f t="shared" si="43"/>
        <v>#N/A</v>
      </c>
      <c r="AN75" s="681"/>
      <c r="AO75" s="573"/>
      <c r="AP75" s="574"/>
      <c r="AQ75" s="574"/>
      <c r="AR75" s="475" t="e">
        <f t="shared" si="45"/>
        <v>#N/A</v>
      </c>
      <c r="AS75" s="681"/>
      <c r="AT75" s="573"/>
      <c r="AU75" s="574"/>
      <c r="AV75" s="574"/>
      <c r="AW75" s="475" t="e">
        <f t="shared" si="47"/>
        <v>#N/A</v>
      </c>
      <c r="AX75" s="681"/>
    </row>
    <row r="76" spans="2:50">
      <c r="B76" s="667"/>
      <c r="C76" s="309">
        <v>10</v>
      </c>
      <c r="D76" s="227"/>
      <c r="E76" s="182"/>
      <c r="F76" s="569"/>
      <c r="G76" s="570"/>
      <c r="H76" s="709"/>
      <c r="I76" s="484"/>
      <c r="J76" s="484"/>
      <c r="K76" s="200"/>
      <c r="L76" s="641"/>
      <c r="M76" s="201" t="e">
        <f>RANK(K76, K$67:$K$81)</f>
        <v>#DIV/0!</v>
      </c>
      <c r="N76" s="659"/>
      <c r="O76" s="659"/>
      <c r="P76" s="573"/>
      <c r="Q76" s="574"/>
      <c r="R76" s="574"/>
      <c r="S76" s="339" t="e">
        <f t="shared" si="52"/>
        <v>#N/A</v>
      </c>
      <c r="T76" s="681"/>
      <c r="U76" s="573"/>
      <c r="V76" s="574"/>
      <c r="W76" s="574"/>
      <c r="X76" s="475" t="e">
        <f t="shared" si="37"/>
        <v>#N/A</v>
      </c>
      <c r="Y76" s="681"/>
      <c r="Z76" s="573"/>
      <c r="AA76" s="574"/>
      <c r="AB76" s="574"/>
      <c r="AC76" s="475" t="e">
        <f t="shared" si="39"/>
        <v>#N/A</v>
      </c>
      <c r="AD76" s="681"/>
      <c r="AE76" s="573"/>
      <c r="AF76" s="574"/>
      <c r="AG76" s="574"/>
      <c r="AH76" s="475" t="e">
        <f t="shared" si="41"/>
        <v>#N/A</v>
      </c>
      <c r="AI76" s="681"/>
      <c r="AJ76" s="573"/>
      <c r="AK76" s="574"/>
      <c r="AL76" s="574"/>
      <c r="AM76" s="475" t="e">
        <f t="shared" si="43"/>
        <v>#N/A</v>
      </c>
      <c r="AN76" s="681"/>
      <c r="AO76" s="573"/>
      <c r="AP76" s="574"/>
      <c r="AQ76" s="574"/>
      <c r="AR76" s="475" t="e">
        <f t="shared" si="45"/>
        <v>#N/A</v>
      </c>
      <c r="AS76" s="681"/>
      <c r="AT76" s="573"/>
      <c r="AU76" s="574"/>
      <c r="AV76" s="574"/>
      <c r="AW76" s="475" t="e">
        <f t="shared" si="47"/>
        <v>#N/A</v>
      </c>
      <c r="AX76" s="681"/>
    </row>
    <row r="77" spans="2:50">
      <c r="B77" s="667"/>
      <c r="C77" s="309">
        <v>11</v>
      </c>
      <c r="D77" s="227"/>
      <c r="E77" s="182"/>
      <c r="F77" s="569"/>
      <c r="G77" s="570"/>
      <c r="H77" s="709"/>
      <c r="I77" s="202"/>
      <c r="J77" s="202"/>
      <c r="K77" s="202"/>
      <c r="L77" s="641"/>
      <c r="M77" s="201" t="e">
        <f>RANK(K77, K$67:$K$81)</f>
        <v>#DIV/0!</v>
      </c>
      <c r="N77" s="659"/>
      <c r="O77" s="659"/>
      <c r="P77" s="573"/>
      <c r="Q77" s="574"/>
      <c r="R77" s="574"/>
      <c r="S77" s="339" t="e">
        <f t="shared" si="52"/>
        <v>#N/A</v>
      </c>
      <c r="T77" s="681"/>
      <c r="U77" s="573"/>
      <c r="V77" s="574"/>
      <c r="W77" s="574"/>
      <c r="X77" s="475" t="e">
        <f t="shared" si="37"/>
        <v>#N/A</v>
      </c>
      <c r="Y77" s="681"/>
      <c r="Z77" s="573"/>
      <c r="AA77" s="574"/>
      <c r="AB77" s="574"/>
      <c r="AC77" s="475" t="e">
        <f t="shared" si="39"/>
        <v>#N/A</v>
      </c>
      <c r="AD77" s="681"/>
      <c r="AE77" s="573"/>
      <c r="AF77" s="574"/>
      <c r="AG77" s="574"/>
      <c r="AH77" s="475" t="e">
        <f t="shared" si="41"/>
        <v>#N/A</v>
      </c>
      <c r="AI77" s="681"/>
      <c r="AJ77" s="573"/>
      <c r="AK77" s="574"/>
      <c r="AL77" s="574"/>
      <c r="AM77" s="475" t="e">
        <f t="shared" si="43"/>
        <v>#N/A</v>
      </c>
      <c r="AN77" s="681"/>
      <c r="AO77" s="573"/>
      <c r="AP77" s="574"/>
      <c r="AQ77" s="574"/>
      <c r="AR77" s="475" t="e">
        <f t="shared" si="45"/>
        <v>#N/A</v>
      </c>
      <c r="AS77" s="681"/>
      <c r="AT77" s="573"/>
      <c r="AU77" s="574"/>
      <c r="AV77" s="574"/>
      <c r="AW77" s="475" t="e">
        <f t="shared" si="47"/>
        <v>#N/A</v>
      </c>
      <c r="AX77" s="681"/>
    </row>
    <row r="78" spans="2:50">
      <c r="B78" s="667"/>
      <c r="C78" s="309">
        <v>12</v>
      </c>
      <c r="D78" s="227"/>
      <c r="E78" s="182"/>
      <c r="F78" s="569"/>
      <c r="G78" s="570"/>
      <c r="H78" s="709"/>
      <c r="I78" s="202"/>
      <c r="J78" s="202"/>
      <c r="K78" s="202"/>
      <c r="L78" s="641"/>
      <c r="M78" s="201" t="e">
        <f>RANK(K78, K$67:$K$81)</f>
        <v>#DIV/0!</v>
      </c>
      <c r="N78" s="659"/>
      <c r="O78" s="659"/>
      <c r="P78" s="573"/>
      <c r="Q78" s="574"/>
      <c r="R78" s="574"/>
      <c r="S78" s="339" t="e">
        <f t="shared" si="52"/>
        <v>#N/A</v>
      </c>
      <c r="T78" s="681"/>
      <c r="U78" s="573"/>
      <c r="V78" s="574"/>
      <c r="W78" s="574"/>
      <c r="X78" s="475" t="e">
        <f t="shared" si="37"/>
        <v>#N/A</v>
      </c>
      <c r="Y78" s="681"/>
      <c r="Z78" s="573"/>
      <c r="AA78" s="574"/>
      <c r="AB78" s="574"/>
      <c r="AC78" s="475" t="e">
        <f t="shared" si="39"/>
        <v>#N/A</v>
      </c>
      <c r="AD78" s="681"/>
      <c r="AE78" s="573"/>
      <c r="AF78" s="574"/>
      <c r="AG78" s="574"/>
      <c r="AH78" s="475" t="e">
        <f t="shared" si="41"/>
        <v>#N/A</v>
      </c>
      <c r="AI78" s="681"/>
      <c r="AJ78" s="573"/>
      <c r="AK78" s="574"/>
      <c r="AL78" s="574"/>
      <c r="AM78" s="475" t="e">
        <f t="shared" si="43"/>
        <v>#N/A</v>
      </c>
      <c r="AN78" s="681"/>
      <c r="AO78" s="573"/>
      <c r="AP78" s="574"/>
      <c r="AQ78" s="574"/>
      <c r="AR78" s="475" t="e">
        <f t="shared" si="45"/>
        <v>#N/A</v>
      </c>
      <c r="AS78" s="681"/>
      <c r="AT78" s="573"/>
      <c r="AU78" s="574"/>
      <c r="AV78" s="574"/>
      <c r="AW78" s="475" t="e">
        <f t="shared" si="47"/>
        <v>#N/A</v>
      </c>
      <c r="AX78" s="681"/>
    </row>
    <row r="79" spans="2:50">
      <c r="B79" s="667"/>
      <c r="C79" s="309">
        <v>13</v>
      </c>
      <c r="D79" s="227"/>
      <c r="E79" s="182"/>
      <c r="F79" s="569"/>
      <c r="G79" s="570"/>
      <c r="H79" s="709"/>
      <c r="I79" s="202"/>
      <c r="J79" s="202"/>
      <c r="K79" s="202"/>
      <c r="L79" s="641"/>
      <c r="M79" s="201" t="e">
        <f>RANK(K79, K$67:$K$81)</f>
        <v>#DIV/0!</v>
      </c>
      <c r="N79" s="659"/>
      <c r="O79" s="659"/>
      <c r="P79" s="573"/>
      <c r="Q79" s="574"/>
      <c r="R79" s="574"/>
      <c r="S79" s="339" t="e">
        <f t="shared" si="52"/>
        <v>#N/A</v>
      </c>
      <c r="T79" s="681"/>
      <c r="U79" s="573"/>
      <c r="V79" s="574"/>
      <c r="W79" s="574"/>
      <c r="X79" s="475" t="e">
        <f t="shared" si="37"/>
        <v>#N/A</v>
      </c>
      <c r="Y79" s="681"/>
      <c r="Z79" s="573"/>
      <c r="AA79" s="574"/>
      <c r="AB79" s="574"/>
      <c r="AC79" s="475" t="e">
        <f t="shared" si="39"/>
        <v>#N/A</v>
      </c>
      <c r="AD79" s="681"/>
      <c r="AE79" s="573"/>
      <c r="AF79" s="574"/>
      <c r="AG79" s="574"/>
      <c r="AH79" s="475" t="e">
        <f t="shared" si="41"/>
        <v>#N/A</v>
      </c>
      <c r="AI79" s="681"/>
      <c r="AJ79" s="573"/>
      <c r="AK79" s="574"/>
      <c r="AL79" s="574"/>
      <c r="AM79" s="475" t="e">
        <f t="shared" si="43"/>
        <v>#N/A</v>
      </c>
      <c r="AN79" s="681"/>
      <c r="AO79" s="573"/>
      <c r="AP79" s="574"/>
      <c r="AQ79" s="574"/>
      <c r="AR79" s="475" t="e">
        <f t="shared" si="45"/>
        <v>#N/A</v>
      </c>
      <c r="AS79" s="681"/>
      <c r="AT79" s="573"/>
      <c r="AU79" s="574"/>
      <c r="AV79" s="574"/>
      <c r="AW79" s="475" t="e">
        <f t="shared" si="47"/>
        <v>#N/A</v>
      </c>
      <c r="AX79" s="681"/>
    </row>
    <row r="80" spans="2:50">
      <c r="B80" s="667"/>
      <c r="C80" s="309">
        <v>14</v>
      </c>
      <c r="D80" s="227"/>
      <c r="E80" s="182"/>
      <c r="F80" s="569"/>
      <c r="G80" s="570"/>
      <c r="H80" s="709"/>
      <c r="I80" s="202"/>
      <c r="J80" s="202"/>
      <c r="K80" s="202"/>
      <c r="L80" s="641"/>
      <c r="M80" s="201" t="e">
        <f>RANK(K80, K$67:$K$81)</f>
        <v>#DIV/0!</v>
      </c>
      <c r="N80" s="659"/>
      <c r="O80" s="659"/>
      <c r="P80" s="573"/>
      <c r="Q80" s="574"/>
      <c r="R80" s="574"/>
      <c r="S80" s="339" t="e">
        <f t="shared" si="52"/>
        <v>#N/A</v>
      </c>
      <c r="T80" s="681"/>
      <c r="U80" s="573"/>
      <c r="V80" s="574"/>
      <c r="W80" s="574"/>
      <c r="X80" s="475" t="e">
        <f t="shared" si="37"/>
        <v>#N/A</v>
      </c>
      <c r="Y80" s="681"/>
      <c r="Z80" s="573"/>
      <c r="AA80" s="574"/>
      <c r="AB80" s="574"/>
      <c r="AC80" s="475" t="e">
        <f t="shared" si="39"/>
        <v>#N/A</v>
      </c>
      <c r="AD80" s="681"/>
      <c r="AE80" s="573"/>
      <c r="AF80" s="574"/>
      <c r="AG80" s="574"/>
      <c r="AH80" s="475" t="e">
        <f t="shared" si="41"/>
        <v>#N/A</v>
      </c>
      <c r="AI80" s="681"/>
      <c r="AJ80" s="573"/>
      <c r="AK80" s="574"/>
      <c r="AL80" s="574"/>
      <c r="AM80" s="475" t="e">
        <f t="shared" si="43"/>
        <v>#N/A</v>
      </c>
      <c r="AN80" s="681"/>
      <c r="AO80" s="573"/>
      <c r="AP80" s="574"/>
      <c r="AQ80" s="574"/>
      <c r="AR80" s="475" t="e">
        <f t="shared" si="45"/>
        <v>#N/A</v>
      </c>
      <c r="AS80" s="681"/>
      <c r="AT80" s="573"/>
      <c r="AU80" s="574"/>
      <c r="AV80" s="574"/>
      <c r="AW80" s="475" t="e">
        <f t="shared" si="47"/>
        <v>#N/A</v>
      </c>
      <c r="AX80" s="681"/>
    </row>
    <row r="81" spans="2:50">
      <c r="B81" s="667"/>
      <c r="C81" s="309">
        <v>15</v>
      </c>
      <c r="D81" s="227"/>
      <c r="E81" s="182"/>
      <c r="F81" s="569"/>
      <c r="G81" s="570"/>
      <c r="H81" s="710"/>
      <c r="I81" s="202"/>
      <c r="J81" s="202"/>
      <c r="K81" s="202"/>
      <c r="L81" s="642"/>
      <c r="M81" s="201" t="e">
        <f>RANK(K81, K$67:$K$81)</f>
        <v>#DIV/0!</v>
      </c>
      <c r="N81" s="659"/>
      <c r="O81" s="659"/>
      <c r="P81" s="573"/>
      <c r="Q81" s="574"/>
      <c r="R81" s="574"/>
      <c r="S81" s="339" t="e">
        <f t="shared" si="52"/>
        <v>#N/A</v>
      </c>
      <c r="T81" s="681"/>
      <c r="U81" s="573"/>
      <c r="V81" s="574"/>
      <c r="W81" s="574"/>
      <c r="X81" s="475" t="e">
        <f t="shared" si="37"/>
        <v>#N/A</v>
      </c>
      <c r="Y81" s="681"/>
      <c r="Z81" s="573"/>
      <c r="AA81" s="574"/>
      <c r="AB81" s="574"/>
      <c r="AC81" s="475" t="e">
        <f t="shared" si="39"/>
        <v>#N/A</v>
      </c>
      <c r="AD81" s="681"/>
      <c r="AE81" s="573"/>
      <c r="AF81" s="574"/>
      <c r="AG81" s="574"/>
      <c r="AH81" s="475" t="e">
        <f t="shared" si="41"/>
        <v>#N/A</v>
      </c>
      <c r="AI81" s="681"/>
      <c r="AJ81" s="573"/>
      <c r="AK81" s="574"/>
      <c r="AL81" s="574"/>
      <c r="AM81" s="475" t="e">
        <f t="shared" si="43"/>
        <v>#N/A</v>
      </c>
      <c r="AN81" s="681"/>
      <c r="AO81" s="573"/>
      <c r="AP81" s="574"/>
      <c r="AQ81" s="574"/>
      <c r="AR81" s="475" t="e">
        <f t="shared" si="45"/>
        <v>#N/A</v>
      </c>
      <c r="AS81" s="681"/>
      <c r="AT81" s="573"/>
      <c r="AU81" s="574"/>
      <c r="AV81" s="574"/>
      <c r="AW81" s="475" t="e">
        <f t="shared" si="47"/>
        <v>#N/A</v>
      </c>
      <c r="AX81" s="681"/>
    </row>
    <row r="82" spans="2:50" ht="15.75">
      <c r="B82" s="671" t="s">
        <v>163</v>
      </c>
      <c r="C82" s="672"/>
      <c r="D82" s="672"/>
      <c r="E82" s="672"/>
      <c r="F82" s="672"/>
      <c r="G82" s="672"/>
      <c r="H82" s="673"/>
      <c r="I82" s="208"/>
      <c r="J82" s="208"/>
      <c r="K82" s="208"/>
      <c r="L82" s="208"/>
      <c r="M82" s="207"/>
      <c r="N82" s="660" t="s">
        <v>156</v>
      </c>
      <c r="O82" s="660" t="s">
        <v>105</v>
      </c>
      <c r="P82" s="666">
        <f>P62+7</f>
        <v>46112</v>
      </c>
      <c r="Q82" s="667"/>
      <c r="R82" s="667"/>
      <c r="S82" s="667"/>
      <c r="T82" s="667"/>
      <c r="U82" s="663">
        <f>P82+1</f>
        <v>46113</v>
      </c>
      <c r="V82" s="664"/>
      <c r="W82" s="664"/>
      <c r="X82" s="664"/>
      <c r="Y82" s="665"/>
      <c r="Z82" s="663">
        <f>U82+1</f>
        <v>46114</v>
      </c>
      <c r="AA82" s="664"/>
      <c r="AB82" s="664"/>
      <c r="AC82" s="664"/>
      <c r="AD82" s="665"/>
      <c r="AE82" s="663">
        <f>Z82+1</f>
        <v>46115</v>
      </c>
      <c r="AF82" s="664"/>
      <c r="AG82" s="664"/>
      <c r="AH82" s="664"/>
      <c r="AI82" s="665"/>
      <c r="AJ82" s="663">
        <f>AE82+1</f>
        <v>46116</v>
      </c>
      <c r="AK82" s="664"/>
      <c r="AL82" s="664"/>
      <c r="AM82" s="664"/>
      <c r="AN82" s="665"/>
      <c r="AO82" s="663">
        <f>AJ82+1</f>
        <v>46117</v>
      </c>
      <c r="AP82" s="664"/>
      <c r="AQ82" s="664"/>
      <c r="AR82" s="664"/>
      <c r="AS82" s="665"/>
      <c r="AT82" s="663">
        <f>AO82+1</f>
        <v>46118</v>
      </c>
      <c r="AU82" s="664"/>
      <c r="AV82" s="664"/>
      <c r="AW82" s="664"/>
      <c r="AX82" s="665"/>
    </row>
    <row r="83" spans="2:50" ht="15.75">
      <c r="B83" s="674"/>
      <c r="C83" s="674"/>
      <c r="D83" s="674"/>
      <c r="E83" s="674"/>
      <c r="F83" s="674"/>
      <c r="G83" s="674"/>
      <c r="H83" s="674"/>
      <c r="I83" s="205"/>
      <c r="J83" s="205"/>
      <c r="K83" s="205"/>
      <c r="L83" s="205"/>
      <c r="M83" s="206"/>
      <c r="N83" s="662"/>
      <c r="O83" s="662"/>
      <c r="P83" s="666" t="s">
        <v>336</v>
      </c>
      <c r="Q83" s="667"/>
      <c r="R83" s="667"/>
      <c r="S83" s="667"/>
      <c r="T83" s="667"/>
      <c r="U83" s="666" t="s">
        <v>337</v>
      </c>
      <c r="V83" s="667"/>
      <c r="W83" s="667"/>
      <c r="X83" s="667"/>
      <c r="Y83" s="667"/>
      <c r="Z83" s="666" t="s">
        <v>338</v>
      </c>
      <c r="AA83" s="667"/>
      <c r="AB83" s="667"/>
      <c r="AC83" s="667"/>
      <c r="AD83" s="667"/>
      <c r="AE83" s="666" t="s">
        <v>339</v>
      </c>
      <c r="AF83" s="667"/>
      <c r="AG83" s="667"/>
      <c r="AH83" s="667"/>
      <c r="AI83" s="667"/>
      <c r="AJ83" s="666" t="s">
        <v>340</v>
      </c>
      <c r="AK83" s="667"/>
      <c r="AL83" s="667"/>
      <c r="AM83" s="667"/>
      <c r="AN83" s="667"/>
      <c r="AO83" s="666" t="s">
        <v>341</v>
      </c>
      <c r="AP83" s="667"/>
      <c r="AQ83" s="667"/>
      <c r="AR83" s="667"/>
      <c r="AS83" s="667"/>
      <c r="AT83" s="666" t="s">
        <v>342</v>
      </c>
      <c r="AU83" s="667"/>
      <c r="AV83" s="667"/>
      <c r="AW83" s="667"/>
      <c r="AX83" s="667"/>
    </row>
    <row r="84" spans="2:50">
      <c r="B84" s="659" t="s">
        <v>460</v>
      </c>
      <c r="C84" s="659" t="s">
        <v>461</v>
      </c>
      <c r="D84" s="659"/>
      <c r="E84" s="659" t="s">
        <v>462</v>
      </c>
      <c r="F84" s="659"/>
      <c r="G84" s="659"/>
      <c r="H84" s="675" t="s">
        <v>463</v>
      </c>
      <c r="I84" s="643" t="s">
        <v>464</v>
      </c>
      <c r="J84" s="643"/>
      <c r="K84" s="643"/>
      <c r="L84" s="644" t="s">
        <v>463</v>
      </c>
      <c r="M84" s="650" t="s">
        <v>465</v>
      </c>
      <c r="N84" s="659"/>
      <c r="O84" s="659" t="s">
        <v>466</v>
      </c>
      <c r="P84" s="656" t="s">
        <v>467</v>
      </c>
      <c r="Q84" s="657"/>
      <c r="R84" s="657"/>
      <c r="S84" s="658"/>
      <c r="T84" s="659" t="s">
        <v>463</v>
      </c>
      <c r="U84" s="656" t="s">
        <v>467</v>
      </c>
      <c r="V84" s="657"/>
      <c r="W84" s="657"/>
      <c r="X84" s="658"/>
      <c r="Y84" s="659" t="s">
        <v>463</v>
      </c>
      <c r="Z84" s="656" t="s">
        <v>467</v>
      </c>
      <c r="AA84" s="657"/>
      <c r="AB84" s="657"/>
      <c r="AC84" s="658"/>
      <c r="AD84" s="659" t="s">
        <v>463</v>
      </c>
      <c r="AE84" s="656" t="s">
        <v>467</v>
      </c>
      <c r="AF84" s="657"/>
      <c r="AG84" s="657"/>
      <c r="AH84" s="658"/>
      <c r="AI84" s="659" t="s">
        <v>463</v>
      </c>
      <c r="AJ84" s="656" t="s">
        <v>467</v>
      </c>
      <c r="AK84" s="657"/>
      <c r="AL84" s="657"/>
      <c r="AM84" s="658"/>
      <c r="AN84" s="659" t="s">
        <v>463</v>
      </c>
      <c r="AO84" s="656" t="s">
        <v>467</v>
      </c>
      <c r="AP84" s="657"/>
      <c r="AQ84" s="657"/>
      <c r="AR84" s="658"/>
      <c r="AS84" s="659" t="s">
        <v>463</v>
      </c>
      <c r="AT84" s="656" t="s">
        <v>467</v>
      </c>
      <c r="AU84" s="657"/>
      <c r="AV84" s="657"/>
      <c r="AW84" s="658"/>
      <c r="AX84" s="659" t="s">
        <v>463</v>
      </c>
    </row>
    <row r="85" spans="2:50">
      <c r="B85" s="659"/>
      <c r="C85" s="659"/>
      <c r="D85" s="659"/>
      <c r="E85" s="659" t="s">
        <v>468</v>
      </c>
      <c r="F85" s="659"/>
      <c r="G85" s="659"/>
      <c r="H85" s="676"/>
      <c r="I85" s="643" t="s">
        <v>468</v>
      </c>
      <c r="J85" s="643"/>
      <c r="K85" s="643"/>
      <c r="L85" s="645"/>
      <c r="M85" s="651"/>
      <c r="N85" s="659"/>
      <c r="O85" s="659"/>
      <c r="P85" s="656" t="s">
        <v>469</v>
      </c>
      <c r="Q85" s="657"/>
      <c r="R85" s="657"/>
      <c r="S85" s="658"/>
      <c r="T85" s="659"/>
      <c r="U85" s="656" t="s">
        <v>469</v>
      </c>
      <c r="V85" s="657"/>
      <c r="W85" s="657"/>
      <c r="X85" s="658"/>
      <c r="Y85" s="659"/>
      <c r="Z85" s="656" t="s">
        <v>469</v>
      </c>
      <c r="AA85" s="657"/>
      <c r="AB85" s="657"/>
      <c r="AC85" s="658"/>
      <c r="AD85" s="659"/>
      <c r="AE85" s="656" t="s">
        <v>469</v>
      </c>
      <c r="AF85" s="657"/>
      <c r="AG85" s="657"/>
      <c r="AH85" s="658"/>
      <c r="AI85" s="659"/>
      <c r="AJ85" s="656" t="s">
        <v>469</v>
      </c>
      <c r="AK85" s="657"/>
      <c r="AL85" s="657"/>
      <c r="AM85" s="658"/>
      <c r="AN85" s="659"/>
      <c r="AO85" s="656" t="s">
        <v>469</v>
      </c>
      <c r="AP85" s="657"/>
      <c r="AQ85" s="657"/>
      <c r="AR85" s="658"/>
      <c r="AS85" s="659"/>
      <c r="AT85" s="656" t="s">
        <v>469</v>
      </c>
      <c r="AU85" s="657"/>
      <c r="AV85" s="657"/>
      <c r="AW85" s="658"/>
      <c r="AX85" s="659"/>
    </row>
    <row r="86" spans="2:50">
      <c r="B86" s="659"/>
      <c r="C86" s="659"/>
      <c r="D86" s="659"/>
      <c r="E86" s="302" t="s">
        <v>470</v>
      </c>
      <c r="F86" s="302" t="s">
        <v>471</v>
      </c>
      <c r="G86" s="302" t="s">
        <v>472</v>
      </c>
      <c r="H86" s="677"/>
      <c r="I86" s="303" t="s">
        <v>470</v>
      </c>
      <c r="J86" s="303" t="s">
        <v>471</v>
      </c>
      <c r="K86" s="303" t="s">
        <v>472</v>
      </c>
      <c r="L86" s="646"/>
      <c r="M86" s="652"/>
      <c r="N86" s="659"/>
      <c r="O86" s="659"/>
      <c r="P86" s="302" t="s">
        <v>470</v>
      </c>
      <c r="Q86" s="302" t="s">
        <v>471</v>
      </c>
      <c r="R86" s="302" t="s">
        <v>472</v>
      </c>
      <c r="S86" s="302" t="s">
        <v>465</v>
      </c>
      <c r="T86" s="659"/>
      <c r="U86" s="302" t="s">
        <v>470</v>
      </c>
      <c r="V86" s="302" t="s">
        <v>471</v>
      </c>
      <c r="W86" s="302" t="s">
        <v>472</v>
      </c>
      <c r="X86" s="302" t="s">
        <v>465</v>
      </c>
      <c r="Y86" s="659"/>
      <c r="Z86" s="302" t="s">
        <v>470</v>
      </c>
      <c r="AA86" s="302" t="s">
        <v>471</v>
      </c>
      <c r="AB86" s="302" t="s">
        <v>472</v>
      </c>
      <c r="AC86" s="302" t="s">
        <v>465</v>
      </c>
      <c r="AD86" s="659"/>
      <c r="AE86" s="302" t="s">
        <v>470</v>
      </c>
      <c r="AF86" s="302" t="s">
        <v>471</v>
      </c>
      <c r="AG86" s="302" t="s">
        <v>472</v>
      </c>
      <c r="AH86" s="302" t="s">
        <v>465</v>
      </c>
      <c r="AI86" s="659"/>
      <c r="AJ86" s="302" t="s">
        <v>470</v>
      </c>
      <c r="AK86" s="302" t="s">
        <v>471</v>
      </c>
      <c r="AL86" s="302" t="s">
        <v>472</v>
      </c>
      <c r="AM86" s="302" t="s">
        <v>465</v>
      </c>
      <c r="AN86" s="659"/>
      <c r="AO86" s="302" t="s">
        <v>470</v>
      </c>
      <c r="AP86" s="302" t="s">
        <v>471</v>
      </c>
      <c r="AQ86" s="302" t="s">
        <v>472</v>
      </c>
      <c r="AR86" s="302" t="s">
        <v>465</v>
      </c>
      <c r="AS86" s="659"/>
      <c r="AT86" s="302" t="s">
        <v>470</v>
      </c>
      <c r="AU86" s="302" t="s">
        <v>471</v>
      </c>
      <c r="AV86" s="302" t="s">
        <v>472</v>
      </c>
      <c r="AW86" s="302" t="s">
        <v>465</v>
      </c>
      <c r="AX86" s="659"/>
    </row>
    <row r="87" spans="2:50">
      <c r="B87" s="659" t="s">
        <v>477</v>
      </c>
      <c r="C87" s="301">
        <v>1</v>
      </c>
      <c r="D87" s="227"/>
      <c r="E87" s="182"/>
      <c r="F87" s="510"/>
      <c r="G87" s="511"/>
      <c r="H87" s="708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0" t="str">
        <f>IFERROR(AVERAGE(K87:K101),"-")</f>
        <v>-</v>
      </c>
      <c r="M87" s="201" t="e">
        <f>RANK(K87, K$87:$K$101)</f>
        <v>#DIV/0!</v>
      </c>
      <c r="N87" s="659"/>
      <c r="O87" s="659"/>
      <c r="P87" s="573"/>
      <c r="Q87" s="574"/>
      <c r="R87" s="574"/>
      <c r="S87" s="301" t="e">
        <f>RANK(R87, R$87:R$101)</f>
        <v>#N/A</v>
      </c>
      <c r="T87" s="681" t="e">
        <f>AVERAGE(R87:R101)</f>
        <v>#DIV/0!</v>
      </c>
      <c r="U87" s="573"/>
      <c r="V87" s="574"/>
      <c r="W87" s="574"/>
      <c r="X87" s="475" t="e">
        <f t="shared" ref="X87:X101" si="53">RANK(W87, W$87:W$101)</f>
        <v>#N/A</v>
      </c>
      <c r="Y87" s="681" t="e">
        <f t="shared" ref="Y87" si="54">AVERAGE(W87:W101)</f>
        <v>#DIV/0!</v>
      </c>
      <c r="Z87" s="573"/>
      <c r="AA87" s="574"/>
      <c r="AB87" s="574"/>
      <c r="AC87" s="475" t="e">
        <f t="shared" ref="AC87:AC101" si="55">RANK(AB87, AB$87:AB$101)</f>
        <v>#N/A</v>
      </c>
      <c r="AD87" s="681" t="e">
        <f t="shared" ref="AD87" si="56">AVERAGE(AB87:AB101)</f>
        <v>#DIV/0!</v>
      </c>
      <c r="AE87" s="573"/>
      <c r="AF87" s="574"/>
      <c r="AG87" s="574"/>
      <c r="AH87" s="475" t="e">
        <f t="shared" ref="AH87:AH101" si="57">RANK(AG87, AG$87:AG$101)</f>
        <v>#N/A</v>
      </c>
      <c r="AI87" s="681" t="e">
        <f t="shared" ref="AI87" si="58">AVERAGE(AG87:AG101)</f>
        <v>#DIV/0!</v>
      </c>
      <c r="AJ87" s="573"/>
      <c r="AK87" s="574"/>
      <c r="AL87" s="574"/>
      <c r="AM87" s="475" t="e">
        <f t="shared" ref="AM87:AM101" si="59">RANK(AL87, AL$87:AL$101)</f>
        <v>#N/A</v>
      </c>
      <c r="AN87" s="681" t="e">
        <f t="shared" ref="AN87" si="60">AVERAGE(AL87:AL101)</f>
        <v>#DIV/0!</v>
      </c>
      <c r="AO87" s="573"/>
      <c r="AP87" s="574"/>
      <c r="AQ87" s="574"/>
      <c r="AR87" s="475" t="e">
        <f t="shared" ref="AR87:AR101" si="61">RANK(AQ87, AQ$87:AQ$101)</f>
        <v>#N/A</v>
      </c>
      <c r="AS87" s="681" t="e">
        <f t="shared" ref="AS87" si="62">AVERAGE(AQ87:AQ101)</f>
        <v>#DIV/0!</v>
      </c>
      <c r="AT87" s="573"/>
      <c r="AU87" s="574"/>
      <c r="AV87" s="574"/>
      <c r="AW87" s="475" t="e">
        <f t="shared" ref="AW87:AW101" si="63">RANK(AV87, AV$87:AV$101)</f>
        <v>#N/A</v>
      </c>
      <c r="AX87" s="681" t="e">
        <f t="shared" ref="AX87" si="64">AVERAGE(AV87:AV101)</f>
        <v>#DIV/0!</v>
      </c>
    </row>
    <row r="88" spans="2:50">
      <c r="B88" s="667"/>
      <c r="C88" s="301">
        <v>2</v>
      </c>
      <c r="D88" s="227"/>
      <c r="E88" s="182"/>
      <c r="F88" s="510"/>
      <c r="G88" s="511"/>
      <c r="H88" s="709"/>
      <c r="I88" s="199" t="e">
        <f t="shared" ref="I88:K91" si="65">AVERAGE(P88,U88,Z88,AE88,AJ88,AO88,AT88)</f>
        <v>#DIV/0!</v>
      </c>
      <c r="J88" s="199" t="e">
        <f t="shared" si="65"/>
        <v>#DIV/0!</v>
      </c>
      <c r="K88" s="200" t="e">
        <f t="shared" si="65"/>
        <v>#DIV/0!</v>
      </c>
      <c r="L88" s="641"/>
      <c r="M88" s="201" t="e">
        <f>RANK(K88, K$87:$K$101)</f>
        <v>#DIV/0!</v>
      </c>
      <c r="N88" s="659"/>
      <c r="O88" s="659"/>
      <c r="P88" s="573"/>
      <c r="Q88" s="574"/>
      <c r="R88" s="574"/>
      <c r="S88" s="301" t="e">
        <f t="shared" ref="S88:S101" si="66">RANK(R88, R$87:R$101)</f>
        <v>#N/A</v>
      </c>
      <c r="T88" s="681"/>
      <c r="U88" s="573"/>
      <c r="V88" s="574"/>
      <c r="W88" s="574"/>
      <c r="X88" s="475" t="e">
        <f t="shared" si="53"/>
        <v>#N/A</v>
      </c>
      <c r="Y88" s="681"/>
      <c r="Z88" s="573"/>
      <c r="AA88" s="574"/>
      <c r="AB88" s="574"/>
      <c r="AC88" s="475" t="e">
        <f t="shared" si="55"/>
        <v>#N/A</v>
      </c>
      <c r="AD88" s="681"/>
      <c r="AE88" s="573"/>
      <c r="AF88" s="574"/>
      <c r="AG88" s="574"/>
      <c r="AH88" s="475" t="e">
        <f t="shared" si="57"/>
        <v>#N/A</v>
      </c>
      <c r="AI88" s="681"/>
      <c r="AJ88" s="573"/>
      <c r="AK88" s="574"/>
      <c r="AL88" s="574"/>
      <c r="AM88" s="475" t="e">
        <f t="shared" si="59"/>
        <v>#N/A</v>
      </c>
      <c r="AN88" s="681"/>
      <c r="AO88" s="573"/>
      <c r="AP88" s="574"/>
      <c r="AQ88" s="574"/>
      <c r="AR88" s="475" t="e">
        <f t="shared" si="61"/>
        <v>#N/A</v>
      </c>
      <c r="AS88" s="681"/>
      <c r="AT88" s="573"/>
      <c r="AU88" s="574"/>
      <c r="AV88" s="574"/>
      <c r="AW88" s="475" t="e">
        <f t="shared" si="63"/>
        <v>#N/A</v>
      </c>
      <c r="AX88" s="681"/>
    </row>
    <row r="89" spans="2:50">
      <c r="B89" s="667"/>
      <c r="C89" s="301">
        <v>3</v>
      </c>
      <c r="D89" s="227"/>
      <c r="E89" s="182"/>
      <c r="F89" s="510"/>
      <c r="G89" s="511"/>
      <c r="H89" s="709"/>
      <c r="I89" s="199" t="e">
        <f t="shared" si="65"/>
        <v>#DIV/0!</v>
      </c>
      <c r="J89" s="199" t="e">
        <f t="shared" si="65"/>
        <v>#DIV/0!</v>
      </c>
      <c r="K89" s="200" t="e">
        <f t="shared" si="65"/>
        <v>#DIV/0!</v>
      </c>
      <c r="L89" s="641"/>
      <c r="M89" s="201" t="e">
        <f>RANK(K89, K$87:$K$101)</f>
        <v>#DIV/0!</v>
      </c>
      <c r="N89" s="659"/>
      <c r="O89" s="659"/>
      <c r="P89" s="573"/>
      <c r="Q89" s="574"/>
      <c r="R89" s="574"/>
      <c r="S89" s="301" t="e">
        <f t="shared" si="66"/>
        <v>#N/A</v>
      </c>
      <c r="T89" s="681"/>
      <c r="U89" s="573"/>
      <c r="V89" s="574"/>
      <c r="W89" s="574"/>
      <c r="X89" s="475" t="e">
        <f t="shared" si="53"/>
        <v>#N/A</v>
      </c>
      <c r="Y89" s="681"/>
      <c r="Z89" s="573"/>
      <c r="AA89" s="574"/>
      <c r="AB89" s="574"/>
      <c r="AC89" s="475" t="e">
        <f t="shared" si="55"/>
        <v>#N/A</v>
      </c>
      <c r="AD89" s="681"/>
      <c r="AE89" s="573"/>
      <c r="AF89" s="574"/>
      <c r="AG89" s="574"/>
      <c r="AH89" s="475" t="e">
        <f t="shared" si="57"/>
        <v>#N/A</v>
      </c>
      <c r="AI89" s="681"/>
      <c r="AJ89" s="573"/>
      <c r="AK89" s="574"/>
      <c r="AL89" s="574"/>
      <c r="AM89" s="475" t="e">
        <f t="shared" si="59"/>
        <v>#N/A</v>
      </c>
      <c r="AN89" s="681"/>
      <c r="AO89" s="573"/>
      <c r="AP89" s="574"/>
      <c r="AQ89" s="574"/>
      <c r="AR89" s="475" t="e">
        <f t="shared" si="61"/>
        <v>#N/A</v>
      </c>
      <c r="AS89" s="681"/>
      <c r="AT89" s="573"/>
      <c r="AU89" s="574"/>
      <c r="AV89" s="574"/>
      <c r="AW89" s="475" t="e">
        <f t="shared" si="63"/>
        <v>#N/A</v>
      </c>
      <c r="AX89" s="681"/>
    </row>
    <row r="90" spans="2:50">
      <c r="B90" s="667"/>
      <c r="C90" s="301">
        <v>4</v>
      </c>
      <c r="D90" s="227"/>
      <c r="E90" s="182"/>
      <c r="F90" s="510"/>
      <c r="G90" s="511"/>
      <c r="H90" s="709"/>
      <c r="I90" s="199" t="e">
        <f t="shared" si="65"/>
        <v>#DIV/0!</v>
      </c>
      <c r="J90" s="199" t="e">
        <f t="shared" si="65"/>
        <v>#DIV/0!</v>
      </c>
      <c r="K90" s="200" t="e">
        <f t="shared" si="65"/>
        <v>#DIV/0!</v>
      </c>
      <c r="L90" s="641"/>
      <c r="M90" s="201" t="e">
        <f>RANK(K90, K$87:$K$101)</f>
        <v>#DIV/0!</v>
      </c>
      <c r="N90" s="659"/>
      <c r="O90" s="659"/>
      <c r="P90" s="573"/>
      <c r="Q90" s="574"/>
      <c r="R90" s="574"/>
      <c r="S90" s="301" t="e">
        <f t="shared" si="66"/>
        <v>#N/A</v>
      </c>
      <c r="T90" s="681"/>
      <c r="U90" s="573"/>
      <c r="V90" s="574"/>
      <c r="W90" s="574"/>
      <c r="X90" s="475" t="e">
        <f t="shared" si="53"/>
        <v>#N/A</v>
      </c>
      <c r="Y90" s="681"/>
      <c r="Z90" s="573"/>
      <c r="AA90" s="574"/>
      <c r="AB90" s="574"/>
      <c r="AC90" s="475" t="e">
        <f t="shared" si="55"/>
        <v>#N/A</v>
      </c>
      <c r="AD90" s="681"/>
      <c r="AE90" s="573"/>
      <c r="AF90" s="574"/>
      <c r="AG90" s="574"/>
      <c r="AH90" s="475" t="e">
        <f t="shared" si="57"/>
        <v>#N/A</v>
      </c>
      <c r="AI90" s="681"/>
      <c r="AJ90" s="573"/>
      <c r="AK90" s="574"/>
      <c r="AL90" s="574"/>
      <c r="AM90" s="475" t="e">
        <f t="shared" si="59"/>
        <v>#N/A</v>
      </c>
      <c r="AN90" s="681"/>
      <c r="AO90" s="573"/>
      <c r="AP90" s="574"/>
      <c r="AQ90" s="574"/>
      <c r="AR90" s="475" t="e">
        <f t="shared" si="61"/>
        <v>#N/A</v>
      </c>
      <c r="AS90" s="681"/>
      <c r="AT90" s="573"/>
      <c r="AU90" s="574"/>
      <c r="AV90" s="574"/>
      <c r="AW90" s="475" t="e">
        <f t="shared" si="63"/>
        <v>#N/A</v>
      </c>
      <c r="AX90" s="681"/>
    </row>
    <row r="91" spans="2:50">
      <c r="B91" s="667"/>
      <c r="C91" s="301">
        <v>5</v>
      </c>
      <c r="D91" s="227"/>
      <c r="E91" s="182"/>
      <c r="F91" s="510"/>
      <c r="G91" s="511"/>
      <c r="H91" s="709"/>
      <c r="I91" s="199" t="e">
        <f t="shared" si="65"/>
        <v>#DIV/0!</v>
      </c>
      <c r="J91" s="199" t="e">
        <f t="shared" si="65"/>
        <v>#DIV/0!</v>
      </c>
      <c r="K91" s="200" t="e">
        <f t="shared" si="65"/>
        <v>#DIV/0!</v>
      </c>
      <c r="L91" s="641"/>
      <c r="M91" s="201" t="e">
        <f>RANK(K91, K$87:$K$101)</f>
        <v>#DIV/0!</v>
      </c>
      <c r="N91" s="659"/>
      <c r="O91" s="659"/>
      <c r="P91" s="573"/>
      <c r="Q91" s="574"/>
      <c r="R91" s="574"/>
      <c r="S91" s="301" t="e">
        <f t="shared" si="66"/>
        <v>#N/A</v>
      </c>
      <c r="T91" s="681"/>
      <c r="U91" s="573"/>
      <c r="V91" s="574"/>
      <c r="W91" s="574"/>
      <c r="X91" s="475" t="e">
        <f t="shared" si="53"/>
        <v>#N/A</v>
      </c>
      <c r="Y91" s="681"/>
      <c r="Z91" s="573"/>
      <c r="AA91" s="574"/>
      <c r="AB91" s="574"/>
      <c r="AC91" s="475" t="e">
        <f t="shared" si="55"/>
        <v>#N/A</v>
      </c>
      <c r="AD91" s="681"/>
      <c r="AE91" s="573"/>
      <c r="AF91" s="574"/>
      <c r="AG91" s="574"/>
      <c r="AH91" s="475" t="e">
        <f t="shared" si="57"/>
        <v>#N/A</v>
      </c>
      <c r="AI91" s="681"/>
      <c r="AJ91" s="573"/>
      <c r="AK91" s="574"/>
      <c r="AL91" s="574"/>
      <c r="AM91" s="475" t="e">
        <f t="shared" si="59"/>
        <v>#N/A</v>
      </c>
      <c r="AN91" s="681"/>
      <c r="AO91" s="573"/>
      <c r="AP91" s="574"/>
      <c r="AQ91" s="574"/>
      <c r="AR91" s="475" t="e">
        <f t="shared" si="61"/>
        <v>#N/A</v>
      </c>
      <c r="AS91" s="681"/>
      <c r="AT91" s="573"/>
      <c r="AU91" s="574"/>
      <c r="AV91" s="574"/>
      <c r="AW91" s="475" t="e">
        <f t="shared" si="63"/>
        <v>#N/A</v>
      </c>
      <c r="AX91" s="681"/>
    </row>
    <row r="92" spans="2:50">
      <c r="B92" s="667"/>
      <c r="C92" s="301">
        <v>6</v>
      </c>
      <c r="D92" s="227"/>
      <c r="E92" s="182"/>
      <c r="F92" s="510"/>
      <c r="G92" s="511"/>
      <c r="H92" s="709"/>
      <c r="I92" s="199"/>
      <c r="J92" s="199"/>
      <c r="K92" s="200"/>
      <c r="L92" s="641"/>
      <c r="M92" s="201" t="e">
        <f>RANK(K92, K$87:$K$101)</f>
        <v>#DIV/0!</v>
      </c>
      <c r="N92" s="659"/>
      <c r="O92" s="659"/>
      <c r="P92" s="573"/>
      <c r="Q92" s="574"/>
      <c r="R92" s="574"/>
      <c r="S92" s="301" t="e">
        <f t="shared" si="66"/>
        <v>#N/A</v>
      </c>
      <c r="T92" s="681"/>
      <c r="U92" s="573"/>
      <c r="V92" s="574"/>
      <c r="W92" s="574"/>
      <c r="X92" s="475" t="e">
        <f t="shared" si="53"/>
        <v>#N/A</v>
      </c>
      <c r="Y92" s="681"/>
      <c r="Z92" s="573"/>
      <c r="AA92" s="574"/>
      <c r="AB92" s="574"/>
      <c r="AC92" s="475" t="e">
        <f t="shared" si="55"/>
        <v>#N/A</v>
      </c>
      <c r="AD92" s="681"/>
      <c r="AE92" s="573"/>
      <c r="AF92" s="574"/>
      <c r="AG92" s="574"/>
      <c r="AH92" s="475" t="e">
        <f t="shared" si="57"/>
        <v>#N/A</v>
      </c>
      <c r="AI92" s="681"/>
      <c r="AJ92" s="573"/>
      <c r="AK92" s="574"/>
      <c r="AL92" s="574"/>
      <c r="AM92" s="475" t="e">
        <f t="shared" si="59"/>
        <v>#N/A</v>
      </c>
      <c r="AN92" s="681"/>
      <c r="AO92" s="573"/>
      <c r="AP92" s="574"/>
      <c r="AQ92" s="574"/>
      <c r="AR92" s="475" t="e">
        <f t="shared" si="61"/>
        <v>#N/A</v>
      </c>
      <c r="AS92" s="681"/>
      <c r="AT92" s="573"/>
      <c r="AU92" s="574"/>
      <c r="AV92" s="574"/>
      <c r="AW92" s="475" t="e">
        <f t="shared" si="63"/>
        <v>#N/A</v>
      </c>
      <c r="AX92" s="681"/>
    </row>
    <row r="93" spans="2:50">
      <c r="B93" s="667"/>
      <c r="C93" s="301">
        <v>7</v>
      </c>
      <c r="D93" s="227"/>
      <c r="E93" s="182"/>
      <c r="F93" s="510"/>
      <c r="G93" s="511"/>
      <c r="H93" s="709"/>
      <c r="I93" s="199"/>
      <c r="J93" s="199"/>
      <c r="K93" s="200"/>
      <c r="L93" s="641"/>
      <c r="M93" s="201" t="e">
        <f>RANK(K93, K$87:$K$101)</f>
        <v>#DIV/0!</v>
      </c>
      <c r="N93" s="659"/>
      <c r="O93" s="659"/>
      <c r="P93" s="573"/>
      <c r="Q93" s="574"/>
      <c r="R93" s="574"/>
      <c r="S93" s="301" t="e">
        <f t="shared" si="66"/>
        <v>#N/A</v>
      </c>
      <c r="T93" s="681"/>
      <c r="U93" s="573"/>
      <c r="V93" s="574"/>
      <c r="W93" s="574"/>
      <c r="X93" s="475" t="e">
        <f t="shared" si="53"/>
        <v>#N/A</v>
      </c>
      <c r="Y93" s="681"/>
      <c r="Z93" s="573"/>
      <c r="AA93" s="574"/>
      <c r="AB93" s="574"/>
      <c r="AC93" s="475" t="e">
        <f t="shared" si="55"/>
        <v>#N/A</v>
      </c>
      <c r="AD93" s="681"/>
      <c r="AE93" s="573"/>
      <c r="AF93" s="574"/>
      <c r="AG93" s="574"/>
      <c r="AH93" s="475" t="e">
        <f t="shared" si="57"/>
        <v>#N/A</v>
      </c>
      <c r="AI93" s="681"/>
      <c r="AJ93" s="573"/>
      <c r="AK93" s="574"/>
      <c r="AL93" s="574"/>
      <c r="AM93" s="475" t="e">
        <f t="shared" si="59"/>
        <v>#N/A</v>
      </c>
      <c r="AN93" s="681"/>
      <c r="AO93" s="573"/>
      <c r="AP93" s="574"/>
      <c r="AQ93" s="574"/>
      <c r="AR93" s="475" t="e">
        <f t="shared" si="61"/>
        <v>#N/A</v>
      </c>
      <c r="AS93" s="681"/>
      <c r="AT93" s="573"/>
      <c r="AU93" s="574"/>
      <c r="AV93" s="574"/>
      <c r="AW93" s="475" t="e">
        <f t="shared" si="63"/>
        <v>#N/A</v>
      </c>
      <c r="AX93" s="681"/>
    </row>
    <row r="94" spans="2:50">
      <c r="B94" s="667"/>
      <c r="C94" s="301">
        <v>8</v>
      </c>
      <c r="D94" s="227"/>
      <c r="E94" s="182"/>
      <c r="F94" s="510"/>
      <c r="G94" s="511"/>
      <c r="H94" s="709"/>
      <c r="I94" s="199"/>
      <c r="J94" s="199"/>
      <c r="K94" s="200"/>
      <c r="L94" s="641"/>
      <c r="M94" s="201" t="e">
        <f>RANK(K94, K$87:$K$101)</f>
        <v>#DIV/0!</v>
      </c>
      <c r="N94" s="659"/>
      <c r="O94" s="659"/>
      <c r="P94" s="573"/>
      <c r="Q94" s="574"/>
      <c r="R94" s="574"/>
      <c r="S94" s="301" t="e">
        <f t="shared" si="66"/>
        <v>#N/A</v>
      </c>
      <c r="T94" s="681"/>
      <c r="U94" s="573"/>
      <c r="V94" s="574"/>
      <c r="W94" s="574"/>
      <c r="X94" s="475" t="e">
        <f t="shared" si="53"/>
        <v>#N/A</v>
      </c>
      <c r="Y94" s="681"/>
      <c r="Z94" s="573"/>
      <c r="AA94" s="574"/>
      <c r="AB94" s="574"/>
      <c r="AC94" s="475" t="e">
        <f t="shared" si="55"/>
        <v>#N/A</v>
      </c>
      <c r="AD94" s="681"/>
      <c r="AE94" s="573"/>
      <c r="AF94" s="574"/>
      <c r="AG94" s="574"/>
      <c r="AH94" s="475" t="e">
        <f t="shared" si="57"/>
        <v>#N/A</v>
      </c>
      <c r="AI94" s="681"/>
      <c r="AJ94" s="573"/>
      <c r="AK94" s="574"/>
      <c r="AL94" s="574"/>
      <c r="AM94" s="475" t="e">
        <f t="shared" si="59"/>
        <v>#N/A</v>
      </c>
      <c r="AN94" s="681"/>
      <c r="AO94" s="573"/>
      <c r="AP94" s="574"/>
      <c r="AQ94" s="574"/>
      <c r="AR94" s="475" t="e">
        <f t="shared" si="61"/>
        <v>#N/A</v>
      </c>
      <c r="AS94" s="681"/>
      <c r="AT94" s="573"/>
      <c r="AU94" s="574"/>
      <c r="AV94" s="574"/>
      <c r="AW94" s="475" t="e">
        <f t="shared" si="63"/>
        <v>#N/A</v>
      </c>
      <c r="AX94" s="681"/>
    </row>
    <row r="95" spans="2:50">
      <c r="B95" s="667"/>
      <c r="C95" s="301">
        <v>9</v>
      </c>
      <c r="D95" s="227"/>
      <c r="E95" s="182"/>
      <c r="F95" s="510"/>
      <c r="G95" s="511"/>
      <c r="H95" s="709"/>
      <c r="I95" s="199"/>
      <c r="J95" s="199"/>
      <c r="K95" s="200"/>
      <c r="L95" s="641"/>
      <c r="M95" s="201" t="e">
        <f>RANK(K95, K$87:$K$101)</f>
        <v>#DIV/0!</v>
      </c>
      <c r="N95" s="659"/>
      <c r="O95" s="659"/>
      <c r="P95" s="573"/>
      <c r="Q95" s="574"/>
      <c r="R95" s="574"/>
      <c r="S95" s="301" t="e">
        <f t="shared" si="66"/>
        <v>#N/A</v>
      </c>
      <c r="T95" s="681"/>
      <c r="U95" s="573"/>
      <c r="V95" s="574"/>
      <c r="W95" s="574"/>
      <c r="X95" s="475" t="e">
        <f t="shared" si="53"/>
        <v>#N/A</v>
      </c>
      <c r="Y95" s="681"/>
      <c r="Z95" s="573"/>
      <c r="AA95" s="574"/>
      <c r="AB95" s="574"/>
      <c r="AC95" s="475" t="e">
        <f t="shared" si="55"/>
        <v>#N/A</v>
      </c>
      <c r="AD95" s="681"/>
      <c r="AE95" s="573"/>
      <c r="AF95" s="574"/>
      <c r="AG95" s="574"/>
      <c r="AH95" s="475" t="e">
        <f t="shared" si="57"/>
        <v>#N/A</v>
      </c>
      <c r="AI95" s="681"/>
      <c r="AJ95" s="573"/>
      <c r="AK95" s="574"/>
      <c r="AL95" s="574"/>
      <c r="AM95" s="475" t="e">
        <f t="shared" si="59"/>
        <v>#N/A</v>
      </c>
      <c r="AN95" s="681"/>
      <c r="AO95" s="573"/>
      <c r="AP95" s="574"/>
      <c r="AQ95" s="574"/>
      <c r="AR95" s="475" t="e">
        <f t="shared" si="61"/>
        <v>#N/A</v>
      </c>
      <c r="AS95" s="681"/>
      <c r="AT95" s="573"/>
      <c r="AU95" s="574"/>
      <c r="AV95" s="574"/>
      <c r="AW95" s="475" t="e">
        <f t="shared" si="63"/>
        <v>#N/A</v>
      </c>
      <c r="AX95" s="681"/>
    </row>
    <row r="96" spans="2:50">
      <c r="B96" s="667"/>
      <c r="C96" s="301">
        <v>10</v>
      </c>
      <c r="D96" s="227"/>
      <c r="E96" s="182"/>
      <c r="F96" s="510"/>
      <c r="G96" s="511"/>
      <c r="H96" s="709"/>
      <c r="I96" s="199"/>
      <c r="J96" s="199"/>
      <c r="K96" s="200"/>
      <c r="L96" s="641"/>
      <c r="M96" s="201" t="e">
        <f>RANK(K96, K$87:$K$101)</f>
        <v>#DIV/0!</v>
      </c>
      <c r="N96" s="659"/>
      <c r="O96" s="659"/>
      <c r="P96" s="573"/>
      <c r="Q96" s="574"/>
      <c r="R96" s="574"/>
      <c r="S96" s="301" t="e">
        <f t="shared" si="66"/>
        <v>#N/A</v>
      </c>
      <c r="T96" s="681"/>
      <c r="U96" s="573"/>
      <c r="V96" s="574"/>
      <c r="W96" s="574"/>
      <c r="X96" s="475" t="e">
        <f t="shared" si="53"/>
        <v>#N/A</v>
      </c>
      <c r="Y96" s="681"/>
      <c r="Z96" s="573"/>
      <c r="AA96" s="574"/>
      <c r="AB96" s="574"/>
      <c r="AC96" s="475" t="e">
        <f t="shared" si="55"/>
        <v>#N/A</v>
      </c>
      <c r="AD96" s="681"/>
      <c r="AE96" s="573"/>
      <c r="AF96" s="574"/>
      <c r="AG96" s="574"/>
      <c r="AH96" s="475" t="e">
        <f t="shared" si="57"/>
        <v>#N/A</v>
      </c>
      <c r="AI96" s="681"/>
      <c r="AJ96" s="573"/>
      <c r="AK96" s="574"/>
      <c r="AL96" s="574"/>
      <c r="AM96" s="475" t="e">
        <f t="shared" si="59"/>
        <v>#N/A</v>
      </c>
      <c r="AN96" s="681"/>
      <c r="AO96" s="573"/>
      <c r="AP96" s="574"/>
      <c r="AQ96" s="574"/>
      <c r="AR96" s="475" t="e">
        <f t="shared" si="61"/>
        <v>#N/A</v>
      </c>
      <c r="AS96" s="681"/>
      <c r="AT96" s="573"/>
      <c r="AU96" s="574"/>
      <c r="AV96" s="574"/>
      <c r="AW96" s="475" t="e">
        <f t="shared" si="63"/>
        <v>#N/A</v>
      </c>
      <c r="AX96" s="681"/>
    </row>
    <row r="97" spans="2:50">
      <c r="B97" s="667"/>
      <c r="C97" s="301">
        <v>11</v>
      </c>
      <c r="D97" s="227"/>
      <c r="E97" s="182"/>
      <c r="F97" s="510"/>
      <c r="G97" s="511"/>
      <c r="H97" s="709"/>
      <c r="I97" s="469"/>
      <c r="J97" s="469"/>
      <c r="K97" s="200"/>
      <c r="L97" s="641"/>
      <c r="M97" s="201" t="e">
        <f>RANK(K97, K$87:$K$101)</f>
        <v>#DIV/0!</v>
      </c>
      <c r="N97" s="659"/>
      <c r="O97" s="659"/>
      <c r="P97" s="573"/>
      <c r="Q97" s="574"/>
      <c r="R97" s="574"/>
      <c r="S97" s="301" t="e">
        <f t="shared" si="66"/>
        <v>#N/A</v>
      </c>
      <c r="T97" s="681"/>
      <c r="U97" s="573"/>
      <c r="V97" s="574"/>
      <c r="W97" s="574"/>
      <c r="X97" s="475" t="e">
        <f t="shared" si="53"/>
        <v>#N/A</v>
      </c>
      <c r="Y97" s="681"/>
      <c r="Z97" s="573"/>
      <c r="AA97" s="574"/>
      <c r="AB97" s="574"/>
      <c r="AC97" s="475" t="e">
        <f t="shared" si="55"/>
        <v>#N/A</v>
      </c>
      <c r="AD97" s="681"/>
      <c r="AE97" s="573"/>
      <c r="AF97" s="574"/>
      <c r="AG97" s="574"/>
      <c r="AH97" s="475" t="e">
        <f t="shared" si="57"/>
        <v>#N/A</v>
      </c>
      <c r="AI97" s="681"/>
      <c r="AJ97" s="573"/>
      <c r="AK97" s="574"/>
      <c r="AL97" s="574"/>
      <c r="AM97" s="475" t="e">
        <f t="shared" si="59"/>
        <v>#N/A</v>
      </c>
      <c r="AN97" s="681"/>
      <c r="AO97" s="573"/>
      <c r="AP97" s="574"/>
      <c r="AQ97" s="574"/>
      <c r="AR97" s="475" t="e">
        <f t="shared" si="61"/>
        <v>#N/A</v>
      </c>
      <c r="AS97" s="681"/>
      <c r="AT97" s="573"/>
      <c r="AU97" s="574"/>
      <c r="AV97" s="574"/>
      <c r="AW97" s="475" t="e">
        <f t="shared" si="63"/>
        <v>#N/A</v>
      </c>
      <c r="AX97" s="681"/>
    </row>
    <row r="98" spans="2:50">
      <c r="B98" s="667"/>
      <c r="C98" s="301">
        <v>12</v>
      </c>
      <c r="D98" s="227"/>
      <c r="E98" s="182"/>
      <c r="F98" s="510"/>
      <c r="G98" s="511"/>
      <c r="H98" s="709"/>
      <c r="I98" s="202"/>
      <c r="J98" s="202"/>
      <c r="K98" s="202"/>
      <c r="L98" s="641"/>
      <c r="M98" s="201" t="e">
        <f>RANK(K98, K$87:$K$101)</f>
        <v>#DIV/0!</v>
      </c>
      <c r="N98" s="659"/>
      <c r="O98" s="659"/>
      <c r="P98" s="573"/>
      <c r="Q98" s="574"/>
      <c r="R98" s="574"/>
      <c r="S98" s="301" t="e">
        <f t="shared" si="66"/>
        <v>#N/A</v>
      </c>
      <c r="T98" s="681"/>
      <c r="U98" s="573"/>
      <c r="V98" s="574"/>
      <c r="W98" s="574"/>
      <c r="X98" s="475" t="e">
        <f t="shared" si="53"/>
        <v>#N/A</v>
      </c>
      <c r="Y98" s="681"/>
      <c r="Z98" s="573"/>
      <c r="AA98" s="574"/>
      <c r="AB98" s="574"/>
      <c r="AC98" s="475" t="e">
        <f t="shared" si="55"/>
        <v>#N/A</v>
      </c>
      <c r="AD98" s="681"/>
      <c r="AE98" s="573"/>
      <c r="AF98" s="574"/>
      <c r="AG98" s="574"/>
      <c r="AH98" s="475" t="e">
        <f t="shared" si="57"/>
        <v>#N/A</v>
      </c>
      <c r="AI98" s="681"/>
      <c r="AJ98" s="573"/>
      <c r="AK98" s="574"/>
      <c r="AL98" s="574"/>
      <c r="AM98" s="475" t="e">
        <f t="shared" si="59"/>
        <v>#N/A</v>
      </c>
      <c r="AN98" s="681"/>
      <c r="AO98" s="573"/>
      <c r="AP98" s="574"/>
      <c r="AQ98" s="574"/>
      <c r="AR98" s="475" t="e">
        <f t="shared" si="61"/>
        <v>#N/A</v>
      </c>
      <c r="AS98" s="681"/>
      <c r="AT98" s="573"/>
      <c r="AU98" s="574"/>
      <c r="AV98" s="574"/>
      <c r="AW98" s="475" t="e">
        <f t="shared" si="63"/>
        <v>#N/A</v>
      </c>
      <c r="AX98" s="681"/>
    </row>
    <row r="99" spans="2:50">
      <c r="B99" s="667"/>
      <c r="C99" s="301">
        <v>13</v>
      </c>
      <c r="D99" s="227"/>
      <c r="E99" s="182"/>
      <c r="F99" s="510"/>
      <c r="G99" s="511"/>
      <c r="H99" s="709"/>
      <c r="I99" s="202"/>
      <c r="J99" s="202"/>
      <c r="K99" s="202"/>
      <c r="L99" s="641"/>
      <c r="M99" s="201" t="e">
        <f>RANK(K99, K$87:$K$101)</f>
        <v>#DIV/0!</v>
      </c>
      <c r="N99" s="659"/>
      <c r="O99" s="659"/>
      <c r="P99" s="573"/>
      <c r="Q99" s="574"/>
      <c r="R99" s="574"/>
      <c r="S99" s="301" t="e">
        <f t="shared" si="66"/>
        <v>#N/A</v>
      </c>
      <c r="T99" s="681"/>
      <c r="U99" s="573"/>
      <c r="V99" s="574"/>
      <c r="W99" s="574"/>
      <c r="X99" s="475" t="e">
        <f t="shared" si="53"/>
        <v>#N/A</v>
      </c>
      <c r="Y99" s="681"/>
      <c r="Z99" s="573"/>
      <c r="AA99" s="574"/>
      <c r="AB99" s="574"/>
      <c r="AC99" s="475" t="e">
        <f t="shared" si="55"/>
        <v>#N/A</v>
      </c>
      <c r="AD99" s="681"/>
      <c r="AE99" s="573"/>
      <c r="AF99" s="574"/>
      <c r="AG99" s="574"/>
      <c r="AH99" s="475" t="e">
        <f t="shared" si="57"/>
        <v>#N/A</v>
      </c>
      <c r="AI99" s="681"/>
      <c r="AJ99" s="573"/>
      <c r="AK99" s="574"/>
      <c r="AL99" s="574"/>
      <c r="AM99" s="475" t="e">
        <f t="shared" si="59"/>
        <v>#N/A</v>
      </c>
      <c r="AN99" s="681"/>
      <c r="AO99" s="573"/>
      <c r="AP99" s="574"/>
      <c r="AQ99" s="574"/>
      <c r="AR99" s="475" t="e">
        <f t="shared" si="61"/>
        <v>#N/A</v>
      </c>
      <c r="AS99" s="681"/>
      <c r="AT99" s="573"/>
      <c r="AU99" s="574"/>
      <c r="AV99" s="574"/>
      <c r="AW99" s="475" t="e">
        <f t="shared" si="63"/>
        <v>#N/A</v>
      </c>
      <c r="AX99" s="681"/>
    </row>
    <row r="100" spans="2:50">
      <c r="B100" s="667"/>
      <c r="C100" s="301">
        <v>14</v>
      </c>
      <c r="D100" s="227"/>
      <c r="E100" s="182"/>
      <c r="F100" s="510"/>
      <c r="G100" s="511"/>
      <c r="H100" s="709"/>
      <c r="I100" s="202"/>
      <c r="J100" s="202"/>
      <c r="K100" s="202"/>
      <c r="L100" s="641"/>
      <c r="M100" s="201" t="e">
        <f>RANK(K100, K$87:$K$101)</f>
        <v>#DIV/0!</v>
      </c>
      <c r="N100" s="659"/>
      <c r="O100" s="659"/>
      <c r="P100" s="573"/>
      <c r="Q100" s="574"/>
      <c r="R100" s="574"/>
      <c r="S100" s="301" t="e">
        <f t="shared" si="66"/>
        <v>#N/A</v>
      </c>
      <c r="T100" s="681"/>
      <c r="U100" s="573"/>
      <c r="V100" s="574"/>
      <c r="W100" s="574"/>
      <c r="X100" s="475" t="e">
        <f t="shared" si="53"/>
        <v>#N/A</v>
      </c>
      <c r="Y100" s="681"/>
      <c r="Z100" s="573"/>
      <c r="AA100" s="574"/>
      <c r="AB100" s="574"/>
      <c r="AC100" s="475" t="e">
        <f t="shared" si="55"/>
        <v>#N/A</v>
      </c>
      <c r="AD100" s="681"/>
      <c r="AE100" s="573"/>
      <c r="AF100" s="574"/>
      <c r="AG100" s="574"/>
      <c r="AH100" s="475" t="e">
        <f t="shared" si="57"/>
        <v>#N/A</v>
      </c>
      <c r="AI100" s="681"/>
      <c r="AJ100" s="573"/>
      <c r="AK100" s="574"/>
      <c r="AL100" s="574"/>
      <c r="AM100" s="475" t="e">
        <f t="shared" si="59"/>
        <v>#N/A</v>
      </c>
      <c r="AN100" s="681"/>
      <c r="AO100" s="573"/>
      <c r="AP100" s="574"/>
      <c r="AQ100" s="574"/>
      <c r="AR100" s="475" t="e">
        <f t="shared" si="61"/>
        <v>#N/A</v>
      </c>
      <c r="AS100" s="681"/>
      <c r="AT100" s="573"/>
      <c r="AU100" s="574"/>
      <c r="AV100" s="574"/>
      <c r="AW100" s="475" t="e">
        <f t="shared" si="63"/>
        <v>#N/A</v>
      </c>
      <c r="AX100" s="681"/>
    </row>
    <row r="101" spans="2:50">
      <c r="B101" s="667"/>
      <c r="C101" s="301">
        <v>15</v>
      </c>
      <c r="D101" s="227"/>
      <c r="E101" s="182"/>
      <c r="F101" s="510"/>
      <c r="G101" s="511"/>
      <c r="H101" s="710"/>
      <c r="I101" s="202"/>
      <c r="J101" s="202"/>
      <c r="K101" s="202"/>
      <c r="L101" s="642"/>
      <c r="M101" s="199" t="e">
        <f>RANK(K101, K$87:$K$101)</f>
        <v>#DIV/0!</v>
      </c>
      <c r="N101" s="659"/>
      <c r="O101" s="659"/>
      <c r="P101" s="573"/>
      <c r="Q101" s="574"/>
      <c r="R101" s="574"/>
      <c r="S101" s="301" t="e">
        <f t="shared" si="66"/>
        <v>#N/A</v>
      </c>
      <c r="T101" s="681"/>
      <c r="U101" s="573"/>
      <c r="V101" s="574"/>
      <c r="W101" s="574"/>
      <c r="X101" s="475" t="e">
        <f t="shared" si="53"/>
        <v>#N/A</v>
      </c>
      <c r="Y101" s="681"/>
      <c r="Z101" s="573"/>
      <c r="AA101" s="574"/>
      <c r="AB101" s="574"/>
      <c r="AC101" s="475" t="e">
        <f t="shared" si="55"/>
        <v>#N/A</v>
      </c>
      <c r="AD101" s="681"/>
      <c r="AE101" s="573"/>
      <c r="AF101" s="574"/>
      <c r="AG101" s="574"/>
      <c r="AH101" s="475" t="e">
        <f t="shared" si="57"/>
        <v>#N/A</v>
      </c>
      <c r="AI101" s="681"/>
      <c r="AJ101" s="573"/>
      <c r="AK101" s="574"/>
      <c r="AL101" s="574"/>
      <c r="AM101" s="475" t="e">
        <f t="shared" si="59"/>
        <v>#N/A</v>
      </c>
      <c r="AN101" s="681"/>
      <c r="AO101" s="573"/>
      <c r="AP101" s="574"/>
      <c r="AQ101" s="574"/>
      <c r="AR101" s="475" t="e">
        <f t="shared" si="61"/>
        <v>#N/A</v>
      </c>
      <c r="AS101" s="681"/>
      <c r="AT101" s="573"/>
      <c r="AU101" s="574"/>
      <c r="AV101" s="574"/>
      <c r="AW101" s="475" t="e">
        <f t="shared" si="63"/>
        <v>#N/A</v>
      </c>
      <c r="AX101" s="681"/>
    </row>
    <row r="102" spans="2:50" ht="15.75">
      <c r="B102" s="671" t="s">
        <v>163</v>
      </c>
      <c r="C102" s="672"/>
      <c r="D102" s="672"/>
      <c r="E102" s="672"/>
      <c r="F102" s="672"/>
      <c r="G102" s="672"/>
      <c r="H102" s="673"/>
      <c r="I102" s="208"/>
      <c r="J102" s="208"/>
      <c r="K102" s="208"/>
      <c r="L102" s="208"/>
      <c r="M102" s="207"/>
      <c r="N102" s="660" t="s">
        <v>156</v>
      </c>
      <c r="O102" s="660" t="s">
        <v>105</v>
      </c>
      <c r="P102" s="666">
        <f>P82+7</f>
        <v>46119</v>
      </c>
      <c r="Q102" s="667"/>
      <c r="R102" s="667"/>
      <c r="S102" s="667"/>
      <c r="T102" s="667"/>
      <c r="U102" s="663">
        <f>P102+1</f>
        <v>46120</v>
      </c>
      <c r="V102" s="664"/>
      <c r="W102" s="664"/>
      <c r="X102" s="664"/>
      <c r="Y102" s="665"/>
      <c r="Z102" s="663">
        <f>U102+1</f>
        <v>46121</v>
      </c>
      <c r="AA102" s="664"/>
      <c r="AB102" s="664"/>
      <c r="AC102" s="664"/>
      <c r="AD102" s="665"/>
      <c r="AE102" s="663">
        <f>Z102+1</f>
        <v>46122</v>
      </c>
      <c r="AF102" s="664"/>
      <c r="AG102" s="664"/>
      <c r="AH102" s="664"/>
      <c r="AI102" s="665"/>
      <c r="AJ102" s="663">
        <f>AE102+1</f>
        <v>46123</v>
      </c>
      <c r="AK102" s="664"/>
      <c r="AL102" s="664"/>
      <c r="AM102" s="664"/>
      <c r="AN102" s="665"/>
      <c r="AO102" s="663">
        <f>AJ102+1</f>
        <v>46124</v>
      </c>
      <c r="AP102" s="664"/>
      <c r="AQ102" s="664"/>
      <c r="AR102" s="664"/>
      <c r="AS102" s="665"/>
      <c r="AT102" s="663">
        <f>AO102+1</f>
        <v>46125</v>
      </c>
      <c r="AU102" s="664"/>
      <c r="AV102" s="664"/>
      <c r="AW102" s="664"/>
      <c r="AX102" s="665"/>
    </row>
    <row r="103" spans="2:50" ht="15.75">
      <c r="B103" s="674"/>
      <c r="C103" s="674"/>
      <c r="D103" s="674"/>
      <c r="E103" s="674"/>
      <c r="F103" s="674"/>
      <c r="G103" s="674"/>
      <c r="H103" s="674"/>
      <c r="I103" s="205"/>
      <c r="J103" s="205"/>
      <c r="K103" s="205"/>
      <c r="L103" s="205"/>
      <c r="M103" s="206"/>
      <c r="N103" s="662"/>
      <c r="O103" s="662"/>
      <c r="P103" s="666" t="s">
        <v>158</v>
      </c>
      <c r="Q103" s="667"/>
      <c r="R103" s="667"/>
      <c r="S103" s="667"/>
      <c r="T103" s="667"/>
      <c r="U103" s="666" t="s">
        <v>114</v>
      </c>
      <c r="V103" s="667"/>
      <c r="W103" s="667"/>
      <c r="X103" s="667"/>
      <c r="Y103" s="667"/>
      <c r="Z103" s="666" t="s">
        <v>159</v>
      </c>
      <c r="AA103" s="667"/>
      <c r="AB103" s="667"/>
      <c r="AC103" s="667"/>
      <c r="AD103" s="667"/>
      <c r="AE103" s="666" t="s">
        <v>157</v>
      </c>
      <c r="AF103" s="667"/>
      <c r="AG103" s="667"/>
      <c r="AH103" s="667"/>
      <c r="AI103" s="667"/>
      <c r="AJ103" s="666" t="s">
        <v>160</v>
      </c>
      <c r="AK103" s="667"/>
      <c r="AL103" s="667"/>
      <c r="AM103" s="667"/>
      <c r="AN103" s="667"/>
      <c r="AO103" s="666" t="s">
        <v>115</v>
      </c>
      <c r="AP103" s="667"/>
      <c r="AQ103" s="667"/>
      <c r="AR103" s="667"/>
      <c r="AS103" s="667"/>
      <c r="AT103" s="666" t="s">
        <v>162</v>
      </c>
      <c r="AU103" s="667"/>
      <c r="AV103" s="667"/>
      <c r="AW103" s="667"/>
      <c r="AX103" s="667"/>
    </row>
    <row r="104" spans="2:50">
      <c r="B104" s="659" t="s">
        <v>827</v>
      </c>
      <c r="C104" s="659" t="s">
        <v>828</v>
      </c>
      <c r="D104" s="659"/>
      <c r="E104" s="659" t="s">
        <v>829</v>
      </c>
      <c r="F104" s="659"/>
      <c r="G104" s="659"/>
      <c r="H104" s="675" t="s">
        <v>830</v>
      </c>
      <c r="I104" s="659" t="s">
        <v>831</v>
      </c>
      <c r="J104" s="659"/>
      <c r="K104" s="659"/>
      <c r="L104" s="675" t="s">
        <v>830</v>
      </c>
      <c r="M104" s="660" t="s">
        <v>832</v>
      </c>
      <c r="N104" s="659"/>
      <c r="O104" s="659" t="s">
        <v>833</v>
      </c>
      <c r="P104" s="656" t="s">
        <v>819</v>
      </c>
      <c r="Q104" s="657"/>
      <c r="R104" s="657"/>
      <c r="S104" s="658"/>
      <c r="T104" s="659" t="s">
        <v>815</v>
      </c>
      <c r="U104" s="656" t="s">
        <v>819</v>
      </c>
      <c r="V104" s="657"/>
      <c r="W104" s="657"/>
      <c r="X104" s="658"/>
      <c r="Y104" s="659" t="s">
        <v>815</v>
      </c>
      <c r="Z104" s="656" t="s">
        <v>819</v>
      </c>
      <c r="AA104" s="657"/>
      <c r="AB104" s="657"/>
      <c r="AC104" s="658"/>
      <c r="AD104" s="659" t="s">
        <v>815</v>
      </c>
      <c r="AE104" s="656" t="s">
        <v>819</v>
      </c>
      <c r="AF104" s="657"/>
      <c r="AG104" s="657"/>
      <c r="AH104" s="658"/>
      <c r="AI104" s="659" t="s">
        <v>815</v>
      </c>
      <c r="AJ104" s="656" t="s">
        <v>819</v>
      </c>
      <c r="AK104" s="657"/>
      <c r="AL104" s="657"/>
      <c r="AM104" s="658"/>
      <c r="AN104" s="659" t="s">
        <v>815</v>
      </c>
      <c r="AO104" s="656" t="s">
        <v>819</v>
      </c>
      <c r="AP104" s="657"/>
      <c r="AQ104" s="657"/>
      <c r="AR104" s="658"/>
      <c r="AS104" s="659" t="s">
        <v>815</v>
      </c>
      <c r="AT104" s="656" t="s">
        <v>819</v>
      </c>
      <c r="AU104" s="657"/>
      <c r="AV104" s="657"/>
      <c r="AW104" s="658"/>
      <c r="AX104" s="659" t="s">
        <v>815</v>
      </c>
    </row>
    <row r="105" spans="2:50">
      <c r="B105" s="659"/>
      <c r="C105" s="659"/>
      <c r="D105" s="659"/>
      <c r="E105" s="659" t="s">
        <v>834</v>
      </c>
      <c r="F105" s="659"/>
      <c r="G105" s="659"/>
      <c r="H105" s="676"/>
      <c r="I105" s="659" t="s">
        <v>834</v>
      </c>
      <c r="J105" s="659"/>
      <c r="K105" s="659"/>
      <c r="L105" s="676"/>
      <c r="M105" s="661"/>
      <c r="N105" s="659"/>
      <c r="O105" s="659"/>
      <c r="P105" s="656" t="s">
        <v>821</v>
      </c>
      <c r="Q105" s="657"/>
      <c r="R105" s="657"/>
      <c r="S105" s="658"/>
      <c r="T105" s="659"/>
      <c r="U105" s="656" t="s">
        <v>821</v>
      </c>
      <c r="V105" s="657"/>
      <c r="W105" s="657"/>
      <c r="X105" s="658"/>
      <c r="Y105" s="659"/>
      <c r="Z105" s="656" t="s">
        <v>821</v>
      </c>
      <c r="AA105" s="657"/>
      <c r="AB105" s="657"/>
      <c r="AC105" s="658"/>
      <c r="AD105" s="659"/>
      <c r="AE105" s="656" t="s">
        <v>821</v>
      </c>
      <c r="AF105" s="657"/>
      <c r="AG105" s="657"/>
      <c r="AH105" s="658"/>
      <c r="AI105" s="659"/>
      <c r="AJ105" s="656" t="s">
        <v>821</v>
      </c>
      <c r="AK105" s="657"/>
      <c r="AL105" s="657"/>
      <c r="AM105" s="658"/>
      <c r="AN105" s="659"/>
      <c r="AO105" s="656" t="s">
        <v>821</v>
      </c>
      <c r="AP105" s="657"/>
      <c r="AQ105" s="657"/>
      <c r="AR105" s="658"/>
      <c r="AS105" s="659"/>
      <c r="AT105" s="656" t="s">
        <v>821</v>
      </c>
      <c r="AU105" s="657"/>
      <c r="AV105" s="657"/>
      <c r="AW105" s="658"/>
      <c r="AX105" s="659"/>
    </row>
    <row r="106" spans="2:50">
      <c r="B106" s="659"/>
      <c r="C106" s="659"/>
      <c r="D106" s="659"/>
      <c r="E106" s="488" t="s">
        <v>835</v>
      </c>
      <c r="F106" s="488" t="s">
        <v>836</v>
      </c>
      <c r="G106" s="488" t="s">
        <v>837</v>
      </c>
      <c r="H106" s="677"/>
      <c r="I106" s="488" t="s">
        <v>835</v>
      </c>
      <c r="J106" s="488" t="s">
        <v>836</v>
      </c>
      <c r="K106" s="488" t="s">
        <v>837</v>
      </c>
      <c r="L106" s="677"/>
      <c r="M106" s="662"/>
      <c r="N106" s="659"/>
      <c r="O106" s="659"/>
      <c r="P106" s="488" t="s">
        <v>822</v>
      </c>
      <c r="Q106" s="488" t="s">
        <v>823</v>
      </c>
      <c r="R106" s="488" t="s">
        <v>824</v>
      </c>
      <c r="S106" s="488" t="s">
        <v>817</v>
      </c>
      <c r="T106" s="659"/>
      <c r="U106" s="488" t="s">
        <v>822</v>
      </c>
      <c r="V106" s="488" t="s">
        <v>823</v>
      </c>
      <c r="W106" s="488" t="s">
        <v>824</v>
      </c>
      <c r="X106" s="488" t="s">
        <v>817</v>
      </c>
      <c r="Y106" s="659"/>
      <c r="Z106" s="488" t="s">
        <v>822</v>
      </c>
      <c r="AA106" s="488" t="s">
        <v>823</v>
      </c>
      <c r="AB106" s="488" t="s">
        <v>824</v>
      </c>
      <c r="AC106" s="488" t="s">
        <v>817</v>
      </c>
      <c r="AD106" s="659"/>
      <c r="AE106" s="488" t="s">
        <v>822</v>
      </c>
      <c r="AF106" s="488" t="s">
        <v>823</v>
      </c>
      <c r="AG106" s="488" t="s">
        <v>824</v>
      </c>
      <c r="AH106" s="488" t="s">
        <v>817</v>
      </c>
      <c r="AI106" s="659"/>
      <c r="AJ106" s="488" t="s">
        <v>822</v>
      </c>
      <c r="AK106" s="488" t="s">
        <v>823</v>
      </c>
      <c r="AL106" s="488" t="s">
        <v>824</v>
      </c>
      <c r="AM106" s="488" t="s">
        <v>817</v>
      </c>
      <c r="AN106" s="659"/>
      <c r="AO106" s="488" t="s">
        <v>822</v>
      </c>
      <c r="AP106" s="488" t="s">
        <v>823</v>
      </c>
      <c r="AQ106" s="488" t="s">
        <v>824</v>
      </c>
      <c r="AR106" s="488" t="s">
        <v>817</v>
      </c>
      <c r="AS106" s="659"/>
      <c r="AT106" s="488" t="s">
        <v>822</v>
      </c>
      <c r="AU106" s="488" t="s">
        <v>823</v>
      </c>
      <c r="AV106" s="488" t="s">
        <v>824</v>
      </c>
      <c r="AW106" s="488" t="s">
        <v>817</v>
      </c>
      <c r="AX106" s="659"/>
    </row>
    <row r="107" spans="2:50">
      <c r="B107" s="659" t="s">
        <v>135</v>
      </c>
      <c r="C107" s="493">
        <v>1</v>
      </c>
      <c r="D107" s="227"/>
      <c r="E107" s="182"/>
      <c r="F107" s="510"/>
      <c r="G107" s="511"/>
      <c r="H107" s="703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0" t="str">
        <f>IFERROR(AVERAGE(K107:K121),"-")</f>
        <v>-</v>
      </c>
      <c r="M107" s="494" t="e">
        <f>RANK(K107, K$67:$K$81)</f>
        <v>#DIV/0!</v>
      </c>
      <c r="N107" s="659"/>
      <c r="O107" s="659"/>
      <c r="P107" s="493"/>
      <c r="Q107" s="494"/>
      <c r="R107" s="494"/>
      <c r="S107" s="494" t="e">
        <f>RANK(R107, R$67:R$81)</f>
        <v>#N/A</v>
      </c>
      <c r="T107" s="725" t="e">
        <f>AVERAGE(R107:R121)</f>
        <v>#DIV/0!</v>
      </c>
      <c r="U107" s="515"/>
      <c r="V107" s="518"/>
      <c r="W107" s="518"/>
      <c r="X107" s="494" t="e">
        <f>RANK(W107, W$67:W$81)</f>
        <v>#N/A</v>
      </c>
      <c r="Y107" s="706" t="e">
        <f>AVERAGE(W107:W121)</f>
        <v>#DIV/0!</v>
      </c>
      <c r="Z107" s="515"/>
      <c r="AA107" s="518"/>
      <c r="AB107" s="518"/>
      <c r="AC107" s="494" t="e">
        <f>RANK(AB107, AB$67:AB$81)</f>
        <v>#N/A</v>
      </c>
      <c r="AD107" s="706" t="e">
        <f>AVERAGE(AB107:AB121)</f>
        <v>#DIV/0!</v>
      </c>
      <c r="AE107" s="515"/>
      <c r="AF107" s="518"/>
      <c r="AG107" s="518"/>
      <c r="AH107" s="494" t="e">
        <f>RANK(AG107, AG$67:AG$81)</f>
        <v>#N/A</v>
      </c>
      <c r="AI107" s="706" t="e">
        <f>AVERAGE(AG107:AG121)</f>
        <v>#DIV/0!</v>
      </c>
      <c r="AJ107" s="515"/>
      <c r="AK107" s="518"/>
      <c r="AL107" s="518"/>
      <c r="AM107" s="494" t="e">
        <f>RANK(AL107, AL$67:AL$81)</f>
        <v>#N/A</v>
      </c>
      <c r="AN107" s="706" t="e">
        <f>AVERAGE(AL107:AL121)</f>
        <v>#DIV/0!</v>
      </c>
      <c r="AO107" s="515"/>
      <c r="AP107" s="518"/>
      <c r="AQ107" s="518"/>
      <c r="AR107" s="494" t="e">
        <f>RANK(AQ107, AQ$67:AQ$81)</f>
        <v>#N/A</v>
      </c>
      <c r="AS107" s="725" t="e">
        <f>AVERAGE(AQ107:AQ121)</f>
        <v>#DIV/0!</v>
      </c>
      <c r="AT107" s="182"/>
      <c r="AU107" s="182"/>
      <c r="AV107" s="182"/>
      <c r="AW107" s="493" t="e">
        <f>RANK(AV107, AV$67:AV$81)</f>
        <v>#N/A</v>
      </c>
      <c r="AX107" s="724" t="e">
        <f>AVERAGE(AV107:AV121)</f>
        <v>#DIV/0!</v>
      </c>
    </row>
    <row r="108" spans="2:50">
      <c r="B108" s="692"/>
      <c r="C108" s="493">
        <v>2</v>
      </c>
      <c r="D108" s="227"/>
      <c r="E108" s="182"/>
      <c r="F108" s="510"/>
      <c r="G108" s="511"/>
      <c r="H108" s="704"/>
      <c r="I108" s="494" t="e">
        <f t="shared" ref="I108:K115" si="67">AVERAGE(P108,U108,Z108,AE108,AJ108,AO108,AT108)</f>
        <v>#DIV/0!</v>
      </c>
      <c r="J108" s="494" t="e">
        <f t="shared" si="67"/>
        <v>#DIV/0!</v>
      </c>
      <c r="K108" s="495" t="e">
        <f t="shared" si="67"/>
        <v>#DIV/0!</v>
      </c>
      <c r="L108" s="641"/>
      <c r="M108" s="494" t="e">
        <f>RANK(K108, K$67:$K$81)</f>
        <v>#DIV/0!</v>
      </c>
      <c r="N108" s="659"/>
      <c r="O108" s="659"/>
      <c r="P108" s="493"/>
      <c r="Q108" s="494"/>
      <c r="R108" s="494"/>
      <c r="S108" s="494" t="e">
        <f t="shared" ref="S108:S121" si="68">RANK(R108, R$67:R$81)</f>
        <v>#N/A</v>
      </c>
      <c r="T108" s="725"/>
      <c r="U108" s="515"/>
      <c r="V108" s="518"/>
      <c r="W108" s="518"/>
      <c r="X108" s="494" t="e">
        <f t="shared" ref="X108:X121" si="69">RANK(W108, W$67:W$81)</f>
        <v>#N/A</v>
      </c>
      <c r="Y108" s="706"/>
      <c r="Z108" s="515"/>
      <c r="AA108" s="518"/>
      <c r="AB108" s="518"/>
      <c r="AC108" s="494" t="e">
        <f t="shared" ref="AC108:AC121" si="70">RANK(AB108, AB$67:AB$81)</f>
        <v>#N/A</v>
      </c>
      <c r="AD108" s="706"/>
      <c r="AE108" s="515"/>
      <c r="AF108" s="518"/>
      <c r="AG108" s="518"/>
      <c r="AH108" s="494" t="e">
        <f t="shared" ref="AH108:AH121" si="71">RANK(AG108, AG$67:AG$81)</f>
        <v>#N/A</v>
      </c>
      <c r="AI108" s="706"/>
      <c r="AJ108" s="515"/>
      <c r="AK108" s="518"/>
      <c r="AL108" s="518"/>
      <c r="AM108" s="494" t="e">
        <f t="shared" ref="AM108:AM121" si="72">RANK(AL108, AL$67:AL$81)</f>
        <v>#N/A</v>
      </c>
      <c r="AN108" s="706"/>
      <c r="AO108" s="515"/>
      <c r="AP108" s="518"/>
      <c r="AQ108" s="518"/>
      <c r="AR108" s="494" t="e">
        <f t="shared" ref="AR108:AR121" si="73">RANK(AQ108, AQ$67:AQ$81)</f>
        <v>#N/A</v>
      </c>
      <c r="AS108" s="725"/>
      <c r="AT108" s="182"/>
      <c r="AU108" s="182"/>
      <c r="AV108" s="182"/>
      <c r="AW108" s="493" t="e">
        <f t="shared" ref="AW108:AW121" si="74">RANK(AV108, AV$67:AV$81)</f>
        <v>#N/A</v>
      </c>
      <c r="AX108" s="724"/>
    </row>
    <row r="109" spans="2:50">
      <c r="B109" s="692"/>
      <c r="C109" s="493">
        <v>3</v>
      </c>
      <c r="D109" s="227"/>
      <c r="E109" s="182"/>
      <c r="F109" s="510"/>
      <c r="G109" s="511"/>
      <c r="H109" s="704"/>
      <c r="I109" s="494" t="e">
        <f t="shared" si="67"/>
        <v>#DIV/0!</v>
      </c>
      <c r="J109" s="494" t="e">
        <f t="shared" si="67"/>
        <v>#DIV/0!</v>
      </c>
      <c r="K109" s="495" t="e">
        <f t="shared" si="67"/>
        <v>#DIV/0!</v>
      </c>
      <c r="L109" s="641"/>
      <c r="M109" s="494" t="e">
        <f>RANK(K109, K$67:$K$81)</f>
        <v>#DIV/0!</v>
      </c>
      <c r="N109" s="659"/>
      <c r="O109" s="659"/>
      <c r="P109" s="493"/>
      <c r="Q109" s="494"/>
      <c r="R109" s="494"/>
      <c r="S109" s="494" t="e">
        <f t="shared" si="68"/>
        <v>#N/A</v>
      </c>
      <c r="T109" s="725"/>
      <c r="U109" s="515"/>
      <c r="V109" s="518"/>
      <c r="W109" s="518"/>
      <c r="X109" s="494" t="e">
        <f t="shared" si="69"/>
        <v>#N/A</v>
      </c>
      <c r="Y109" s="706"/>
      <c r="Z109" s="515"/>
      <c r="AA109" s="518"/>
      <c r="AB109" s="518"/>
      <c r="AC109" s="494" t="e">
        <f t="shared" si="70"/>
        <v>#N/A</v>
      </c>
      <c r="AD109" s="706"/>
      <c r="AE109" s="515"/>
      <c r="AF109" s="518"/>
      <c r="AG109" s="518"/>
      <c r="AH109" s="494" t="e">
        <f t="shared" si="71"/>
        <v>#N/A</v>
      </c>
      <c r="AI109" s="706"/>
      <c r="AJ109" s="515"/>
      <c r="AK109" s="518"/>
      <c r="AL109" s="518"/>
      <c r="AM109" s="494" t="e">
        <f t="shared" si="72"/>
        <v>#N/A</v>
      </c>
      <c r="AN109" s="706"/>
      <c r="AO109" s="515"/>
      <c r="AP109" s="518"/>
      <c r="AQ109" s="518"/>
      <c r="AR109" s="494" t="e">
        <f t="shared" si="73"/>
        <v>#N/A</v>
      </c>
      <c r="AS109" s="725"/>
      <c r="AT109" s="182"/>
      <c r="AU109" s="182"/>
      <c r="AV109" s="182"/>
      <c r="AW109" s="493" t="e">
        <f t="shared" si="74"/>
        <v>#N/A</v>
      </c>
      <c r="AX109" s="724"/>
    </row>
    <row r="110" spans="2:50">
      <c r="B110" s="692"/>
      <c r="C110" s="493">
        <v>4</v>
      </c>
      <c r="D110" s="227"/>
      <c r="E110" s="182"/>
      <c r="F110" s="510"/>
      <c r="G110" s="511"/>
      <c r="H110" s="704"/>
      <c r="I110" s="494" t="e">
        <f t="shared" si="67"/>
        <v>#DIV/0!</v>
      </c>
      <c r="J110" s="494" t="e">
        <f t="shared" si="67"/>
        <v>#DIV/0!</v>
      </c>
      <c r="K110" s="495" t="e">
        <f t="shared" si="67"/>
        <v>#DIV/0!</v>
      </c>
      <c r="L110" s="641"/>
      <c r="M110" s="494" t="e">
        <f>RANK(K110, K$67:$K$81)</f>
        <v>#DIV/0!</v>
      </c>
      <c r="N110" s="659"/>
      <c r="O110" s="659"/>
      <c r="P110" s="493"/>
      <c r="Q110" s="494"/>
      <c r="R110" s="494"/>
      <c r="S110" s="494" t="e">
        <f t="shared" si="68"/>
        <v>#N/A</v>
      </c>
      <c r="T110" s="725"/>
      <c r="U110" s="515"/>
      <c r="V110" s="518"/>
      <c r="W110" s="518"/>
      <c r="X110" s="494" t="e">
        <f t="shared" si="69"/>
        <v>#N/A</v>
      </c>
      <c r="Y110" s="706"/>
      <c r="Z110" s="515"/>
      <c r="AA110" s="518"/>
      <c r="AB110" s="518"/>
      <c r="AC110" s="494" t="e">
        <f t="shared" si="70"/>
        <v>#N/A</v>
      </c>
      <c r="AD110" s="706"/>
      <c r="AE110" s="515"/>
      <c r="AF110" s="518"/>
      <c r="AG110" s="518"/>
      <c r="AH110" s="494" t="e">
        <f t="shared" si="71"/>
        <v>#N/A</v>
      </c>
      <c r="AI110" s="706"/>
      <c r="AJ110" s="515"/>
      <c r="AK110" s="518"/>
      <c r="AL110" s="518"/>
      <c r="AM110" s="494" t="e">
        <f t="shared" si="72"/>
        <v>#N/A</v>
      </c>
      <c r="AN110" s="706"/>
      <c r="AO110" s="515"/>
      <c r="AP110" s="518"/>
      <c r="AQ110" s="518"/>
      <c r="AR110" s="494" t="e">
        <f t="shared" si="73"/>
        <v>#N/A</v>
      </c>
      <c r="AS110" s="725"/>
      <c r="AT110" s="182"/>
      <c r="AU110" s="182"/>
      <c r="AV110" s="182"/>
      <c r="AW110" s="493" t="e">
        <f t="shared" si="74"/>
        <v>#N/A</v>
      </c>
      <c r="AX110" s="724"/>
    </row>
    <row r="111" spans="2:50">
      <c r="B111" s="692"/>
      <c r="C111" s="493">
        <v>5</v>
      </c>
      <c r="D111" s="227"/>
      <c r="E111" s="182"/>
      <c r="F111" s="510"/>
      <c r="G111" s="511"/>
      <c r="H111" s="704"/>
      <c r="I111" s="494" t="e">
        <f t="shared" si="67"/>
        <v>#DIV/0!</v>
      </c>
      <c r="J111" s="494" t="e">
        <f t="shared" si="67"/>
        <v>#DIV/0!</v>
      </c>
      <c r="K111" s="495" t="e">
        <f t="shared" si="67"/>
        <v>#DIV/0!</v>
      </c>
      <c r="L111" s="641"/>
      <c r="M111" s="494" t="e">
        <f>RANK(K111, K$67:$K$81)</f>
        <v>#DIV/0!</v>
      </c>
      <c r="N111" s="659"/>
      <c r="O111" s="659"/>
      <c r="P111" s="493"/>
      <c r="Q111" s="494"/>
      <c r="R111" s="494"/>
      <c r="S111" s="494" t="e">
        <f t="shared" si="68"/>
        <v>#N/A</v>
      </c>
      <c r="T111" s="725"/>
      <c r="U111" s="515"/>
      <c r="V111" s="518"/>
      <c r="W111" s="518"/>
      <c r="X111" s="494" t="e">
        <f t="shared" si="69"/>
        <v>#N/A</v>
      </c>
      <c r="Y111" s="706"/>
      <c r="Z111" s="515"/>
      <c r="AA111" s="518"/>
      <c r="AB111" s="518"/>
      <c r="AC111" s="494" t="e">
        <f t="shared" si="70"/>
        <v>#N/A</v>
      </c>
      <c r="AD111" s="706"/>
      <c r="AE111" s="515"/>
      <c r="AF111" s="518"/>
      <c r="AG111" s="518"/>
      <c r="AH111" s="494" t="e">
        <f t="shared" si="71"/>
        <v>#N/A</v>
      </c>
      <c r="AI111" s="706"/>
      <c r="AJ111" s="515"/>
      <c r="AK111" s="518"/>
      <c r="AL111" s="518"/>
      <c r="AM111" s="494" t="e">
        <f t="shared" si="72"/>
        <v>#N/A</v>
      </c>
      <c r="AN111" s="706"/>
      <c r="AO111" s="515"/>
      <c r="AP111" s="518"/>
      <c r="AQ111" s="518"/>
      <c r="AR111" s="494" t="e">
        <f t="shared" si="73"/>
        <v>#N/A</v>
      </c>
      <c r="AS111" s="725"/>
      <c r="AT111" s="182"/>
      <c r="AU111" s="182"/>
      <c r="AV111" s="182"/>
      <c r="AW111" s="493" t="e">
        <f t="shared" si="74"/>
        <v>#N/A</v>
      </c>
      <c r="AX111" s="724"/>
    </row>
    <row r="112" spans="2:50">
      <c r="B112" s="692"/>
      <c r="C112" s="493">
        <v>6</v>
      </c>
      <c r="D112" s="227"/>
      <c r="E112" s="182"/>
      <c r="F112" s="510"/>
      <c r="G112" s="511"/>
      <c r="H112" s="704"/>
      <c r="I112" s="494" t="e">
        <f t="shared" si="67"/>
        <v>#DIV/0!</v>
      </c>
      <c r="J112" s="494" t="e">
        <f t="shared" si="67"/>
        <v>#DIV/0!</v>
      </c>
      <c r="K112" s="495" t="e">
        <f t="shared" si="67"/>
        <v>#DIV/0!</v>
      </c>
      <c r="L112" s="641"/>
      <c r="M112" s="494" t="e">
        <f>RANK(K112, K$67:$K$81)</f>
        <v>#DIV/0!</v>
      </c>
      <c r="N112" s="659"/>
      <c r="O112" s="659"/>
      <c r="P112" s="493"/>
      <c r="Q112" s="494"/>
      <c r="R112" s="494"/>
      <c r="S112" s="494" t="e">
        <f t="shared" si="68"/>
        <v>#N/A</v>
      </c>
      <c r="T112" s="725"/>
      <c r="U112" s="515"/>
      <c r="V112" s="518"/>
      <c r="W112" s="518"/>
      <c r="X112" s="494" t="e">
        <f t="shared" si="69"/>
        <v>#N/A</v>
      </c>
      <c r="Y112" s="706"/>
      <c r="Z112" s="515"/>
      <c r="AA112" s="518"/>
      <c r="AB112" s="518"/>
      <c r="AC112" s="494" t="e">
        <f t="shared" si="70"/>
        <v>#N/A</v>
      </c>
      <c r="AD112" s="706"/>
      <c r="AE112" s="515"/>
      <c r="AF112" s="518"/>
      <c r="AG112" s="518"/>
      <c r="AH112" s="494" t="e">
        <f t="shared" si="71"/>
        <v>#N/A</v>
      </c>
      <c r="AI112" s="706"/>
      <c r="AJ112" s="515"/>
      <c r="AK112" s="518"/>
      <c r="AL112" s="518"/>
      <c r="AM112" s="494" t="e">
        <f t="shared" si="72"/>
        <v>#N/A</v>
      </c>
      <c r="AN112" s="706"/>
      <c r="AO112" s="515"/>
      <c r="AP112" s="518"/>
      <c r="AQ112" s="518"/>
      <c r="AR112" s="494" t="e">
        <f t="shared" si="73"/>
        <v>#N/A</v>
      </c>
      <c r="AS112" s="725"/>
      <c r="AT112" s="182"/>
      <c r="AU112" s="182"/>
      <c r="AV112" s="182"/>
      <c r="AW112" s="493" t="e">
        <f t="shared" si="74"/>
        <v>#N/A</v>
      </c>
      <c r="AX112" s="724"/>
    </row>
    <row r="113" spans="2:50">
      <c r="B113" s="692"/>
      <c r="C113" s="493">
        <v>7</v>
      </c>
      <c r="D113" s="227"/>
      <c r="E113" s="182"/>
      <c r="F113" s="510"/>
      <c r="G113" s="511"/>
      <c r="H113" s="704"/>
      <c r="I113" s="494" t="e">
        <f t="shared" si="67"/>
        <v>#DIV/0!</v>
      </c>
      <c r="J113" s="494" t="e">
        <f t="shared" si="67"/>
        <v>#DIV/0!</v>
      </c>
      <c r="K113" s="495" t="e">
        <f t="shared" si="67"/>
        <v>#DIV/0!</v>
      </c>
      <c r="L113" s="641"/>
      <c r="M113" s="494" t="e">
        <f>RANK(K113, K$67:$K$81)</f>
        <v>#DIV/0!</v>
      </c>
      <c r="N113" s="659"/>
      <c r="O113" s="659"/>
      <c r="P113" s="493"/>
      <c r="Q113" s="494"/>
      <c r="R113" s="494"/>
      <c r="S113" s="494" t="e">
        <f t="shared" si="68"/>
        <v>#N/A</v>
      </c>
      <c r="T113" s="725"/>
      <c r="U113" s="515"/>
      <c r="V113" s="518"/>
      <c r="W113" s="518"/>
      <c r="X113" s="494" t="e">
        <f t="shared" si="69"/>
        <v>#N/A</v>
      </c>
      <c r="Y113" s="706"/>
      <c r="Z113" s="515"/>
      <c r="AA113" s="518"/>
      <c r="AB113" s="518"/>
      <c r="AC113" s="494" t="e">
        <f t="shared" si="70"/>
        <v>#N/A</v>
      </c>
      <c r="AD113" s="706"/>
      <c r="AE113" s="515"/>
      <c r="AF113" s="518"/>
      <c r="AG113" s="518"/>
      <c r="AH113" s="494" t="e">
        <f t="shared" si="71"/>
        <v>#N/A</v>
      </c>
      <c r="AI113" s="706"/>
      <c r="AJ113" s="515"/>
      <c r="AK113" s="518"/>
      <c r="AL113" s="518"/>
      <c r="AM113" s="494" t="e">
        <f t="shared" si="72"/>
        <v>#N/A</v>
      </c>
      <c r="AN113" s="706"/>
      <c r="AO113" s="515"/>
      <c r="AP113" s="518"/>
      <c r="AQ113" s="518"/>
      <c r="AR113" s="494" t="e">
        <f t="shared" si="73"/>
        <v>#N/A</v>
      </c>
      <c r="AS113" s="725"/>
      <c r="AT113" s="182"/>
      <c r="AU113" s="182"/>
      <c r="AV113" s="182"/>
      <c r="AW113" s="493" t="e">
        <f t="shared" si="74"/>
        <v>#N/A</v>
      </c>
      <c r="AX113" s="724"/>
    </row>
    <row r="114" spans="2:50">
      <c r="B114" s="692"/>
      <c r="C114" s="493">
        <v>8</v>
      </c>
      <c r="D114" s="227"/>
      <c r="E114" s="182"/>
      <c r="F114" s="510"/>
      <c r="G114" s="511"/>
      <c r="H114" s="704"/>
      <c r="I114" s="494" t="e">
        <f t="shared" si="67"/>
        <v>#DIV/0!</v>
      </c>
      <c r="J114" s="494" t="e">
        <f t="shared" si="67"/>
        <v>#DIV/0!</v>
      </c>
      <c r="K114" s="495" t="e">
        <f t="shared" si="67"/>
        <v>#DIV/0!</v>
      </c>
      <c r="L114" s="641"/>
      <c r="M114" s="494" t="e">
        <f>RANK(K114, K$67:$K$81)</f>
        <v>#DIV/0!</v>
      </c>
      <c r="N114" s="659"/>
      <c r="O114" s="659"/>
      <c r="P114" s="493"/>
      <c r="Q114" s="494"/>
      <c r="R114" s="494"/>
      <c r="S114" s="494" t="e">
        <f t="shared" si="68"/>
        <v>#N/A</v>
      </c>
      <c r="T114" s="725"/>
      <c r="U114" s="515"/>
      <c r="V114" s="518"/>
      <c r="W114" s="518"/>
      <c r="X114" s="494" t="e">
        <f t="shared" si="69"/>
        <v>#N/A</v>
      </c>
      <c r="Y114" s="706"/>
      <c r="Z114" s="515"/>
      <c r="AA114" s="518"/>
      <c r="AB114" s="518"/>
      <c r="AC114" s="494" t="e">
        <f t="shared" si="70"/>
        <v>#N/A</v>
      </c>
      <c r="AD114" s="706"/>
      <c r="AE114" s="515"/>
      <c r="AF114" s="518"/>
      <c r="AG114" s="518"/>
      <c r="AH114" s="494" t="e">
        <f t="shared" si="71"/>
        <v>#N/A</v>
      </c>
      <c r="AI114" s="706"/>
      <c r="AJ114" s="515"/>
      <c r="AK114" s="518"/>
      <c r="AL114" s="518"/>
      <c r="AM114" s="494" t="e">
        <f t="shared" si="72"/>
        <v>#N/A</v>
      </c>
      <c r="AN114" s="706"/>
      <c r="AO114" s="515"/>
      <c r="AP114" s="518"/>
      <c r="AQ114" s="518"/>
      <c r="AR114" s="494" t="e">
        <f t="shared" si="73"/>
        <v>#N/A</v>
      </c>
      <c r="AS114" s="725"/>
      <c r="AT114" s="182"/>
      <c r="AU114" s="182"/>
      <c r="AV114" s="182"/>
      <c r="AW114" s="493" t="e">
        <f t="shared" si="74"/>
        <v>#N/A</v>
      </c>
      <c r="AX114" s="724"/>
    </row>
    <row r="115" spans="2:50">
      <c r="B115" s="692"/>
      <c r="C115" s="493">
        <v>9</v>
      </c>
      <c r="D115" s="227"/>
      <c r="E115" s="182"/>
      <c r="F115" s="510"/>
      <c r="G115" s="511"/>
      <c r="H115" s="704"/>
      <c r="I115" s="494" t="e">
        <f t="shared" si="67"/>
        <v>#DIV/0!</v>
      </c>
      <c r="J115" s="494" t="e">
        <f t="shared" si="67"/>
        <v>#DIV/0!</v>
      </c>
      <c r="K115" s="495" t="e">
        <f t="shared" si="67"/>
        <v>#DIV/0!</v>
      </c>
      <c r="L115" s="641"/>
      <c r="M115" s="494" t="e">
        <f>RANK(K115, K$67:$K$81)</f>
        <v>#DIV/0!</v>
      </c>
      <c r="N115" s="659"/>
      <c r="O115" s="659"/>
      <c r="P115" s="493"/>
      <c r="Q115" s="494"/>
      <c r="R115" s="494"/>
      <c r="S115" s="494" t="e">
        <f t="shared" si="68"/>
        <v>#N/A</v>
      </c>
      <c r="T115" s="725"/>
      <c r="U115" s="515"/>
      <c r="V115" s="518"/>
      <c r="W115" s="518"/>
      <c r="X115" s="494" t="e">
        <f t="shared" si="69"/>
        <v>#N/A</v>
      </c>
      <c r="Y115" s="706"/>
      <c r="Z115" s="515"/>
      <c r="AA115" s="518"/>
      <c r="AB115" s="518"/>
      <c r="AC115" s="494" t="e">
        <f t="shared" si="70"/>
        <v>#N/A</v>
      </c>
      <c r="AD115" s="706"/>
      <c r="AE115" s="515"/>
      <c r="AF115" s="518"/>
      <c r="AG115" s="518"/>
      <c r="AH115" s="494" t="e">
        <f t="shared" si="71"/>
        <v>#N/A</v>
      </c>
      <c r="AI115" s="706"/>
      <c r="AJ115" s="515"/>
      <c r="AK115" s="518"/>
      <c r="AL115" s="518"/>
      <c r="AM115" s="494" t="e">
        <f t="shared" si="72"/>
        <v>#N/A</v>
      </c>
      <c r="AN115" s="706"/>
      <c r="AO115" s="515"/>
      <c r="AP115" s="518"/>
      <c r="AQ115" s="518"/>
      <c r="AR115" s="494" t="e">
        <f t="shared" si="73"/>
        <v>#N/A</v>
      </c>
      <c r="AS115" s="725"/>
      <c r="AT115" s="182"/>
      <c r="AU115" s="182"/>
      <c r="AV115" s="182"/>
      <c r="AW115" s="493" t="e">
        <f t="shared" si="74"/>
        <v>#N/A</v>
      </c>
      <c r="AX115" s="724"/>
    </row>
    <row r="116" spans="2:50">
      <c r="B116" s="692"/>
      <c r="C116" s="493">
        <v>10</v>
      </c>
      <c r="D116" s="227"/>
      <c r="E116" s="182"/>
      <c r="F116" s="510"/>
      <c r="G116" s="511"/>
      <c r="H116" s="704"/>
      <c r="I116" s="494"/>
      <c r="J116" s="494"/>
      <c r="K116" s="495"/>
      <c r="L116" s="641"/>
      <c r="M116" s="494" t="e">
        <f>RANK(K116, K$67:$K$81)</f>
        <v>#DIV/0!</v>
      </c>
      <c r="N116" s="659"/>
      <c r="O116" s="659"/>
      <c r="P116" s="493"/>
      <c r="Q116" s="494"/>
      <c r="R116" s="494"/>
      <c r="S116" s="494" t="e">
        <f t="shared" si="68"/>
        <v>#N/A</v>
      </c>
      <c r="T116" s="725"/>
      <c r="U116" s="515"/>
      <c r="V116" s="518"/>
      <c r="W116" s="518"/>
      <c r="X116" s="494" t="e">
        <f t="shared" si="69"/>
        <v>#N/A</v>
      </c>
      <c r="Y116" s="706"/>
      <c r="Z116" s="515"/>
      <c r="AA116" s="518"/>
      <c r="AB116" s="518"/>
      <c r="AC116" s="494" t="e">
        <f t="shared" si="70"/>
        <v>#N/A</v>
      </c>
      <c r="AD116" s="706"/>
      <c r="AE116" s="515"/>
      <c r="AF116" s="518"/>
      <c r="AG116" s="518"/>
      <c r="AH116" s="494" t="e">
        <f t="shared" si="71"/>
        <v>#N/A</v>
      </c>
      <c r="AI116" s="706"/>
      <c r="AJ116" s="515"/>
      <c r="AK116" s="518"/>
      <c r="AL116" s="518"/>
      <c r="AM116" s="494" t="e">
        <f t="shared" si="72"/>
        <v>#N/A</v>
      </c>
      <c r="AN116" s="706"/>
      <c r="AO116" s="515"/>
      <c r="AP116" s="518"/>
      <c r="AQ116" s="518"/>
      <c r="AR116" s="494" t="e">
        <f t="shared" si="73"/>
        <v>#N/A</v>
      </c>
      <c r="AS116" s="725"/>
      <c r="AT116" s="182"/>
      <c r="AU116" s="182"/>
      <c r="AV116" s="182"/>
      <c r="AW116" s="493" t="e">
        <f t="shared" si="74"/>
        <v>#N/A</v>
      </c>
      <c r="AX116" s="724"/>
    </row>
    <row r="117" spans="2:50">
      <c r="B117" s="692"/>
      <c r="C117" s="493">
        <v>11</v>
      </c>
      <c r="D117" s="227"/>
      <c r="E117" s="182"/>
      <c r="F117" s="510"/>
      <c r="G117" s="511"/>
      <c r="H117" s="704"/>
      <c r="I117" s="494"/>
      <c r="J117" s="494"/>
      <c r="K117" s="495"/>
      <c r="L117" s="641"/>
      <c r="M117" s="494" t="e">
        <f>RANK(K117, K$67:$K$81)</f>
        <v>#DIV/0!</v>
      </c>
      <c r="N117" s="659"/>
      <c r="O117" s="659"/>
      <c r="P117" s="493"/>
      <c r="Q117" s="494"/>
      <c r="R117" s="494"/>
      <c r="S117" s="494" t="e">
        <f t="shared" si="68"/>
        <v>#N/A</v>
      </c>
      <c r="T117" s="725"/>
      <c r="U117" s="515"/>
      <c r="V117" s="518"/>
      <c r="W117" s="518"/>
      <c r="X117" s="494" t="e">
        <f t="shared" si="69"/>
        <v>#N/A</v>
      </c>
      <c r="Y117" s="706"/>
      <c r="Z117" s="515"/>
      <c r="AA117" s="518"/>
      <c r="AB117" s="518"/>
      <c r="AC117" s="494" t="e">
        <f t="shared" si="70"/>
        <v>#N/A</v>
      </c>
      <c r="AD117" s="706"/>
      <c r="AE117" s="515"/>
      <c r="AF117" s="518"/>
      <c r="AG117" s="518"/>
      <c r="AH117" s="494" t="e">
        <f t="shared" si="71"/>
        <v>#N/A</v>
      </c>
      <c r="AI117" s="706"/>
      <c r="AJ117" s="515"/>
      <c r="AK117" s="518"/>
      <c r="AL117" s="518"/>
      <c r="AM117" s="494" t="e">
        <f t="shared" si="72"/>
        <v>#N/A</v>
      </c>
      <c r="AN117" s="706"/>
      <c r="AO117" s="515"/>
      <c r="AP117" s="518"/>
      <c r="AQ117" s="518"/>
      <c r="AR117" s="494" t="e">
        <f t="shared" si="73"/>
        <v>#N/A</v>
      </c>
      <c r="AS117" s="725"/>
      <c r="AT117" s="182"/>
      <c r="AU117" s="182"/>
      <c r="AV117" s="182"/>
      <c r="AW117" s="493" t="e">
        <f t="shared" si="74"/>
        <v>#N/A</v>
      </c>
      <c r="AX117" s="724"/>
    </row>
    <row r="118" spans="2:50">
      <c r="B118" s="692"/>
      <c r="C118" s="493">
        <v>12</v>
      </c>
      <c r="D118" s="227"/>
      <c r="E118" s="182"/>
      <c r="F118" s="510"/>
      <c r="G118" s="511"/>
      <c r="H118" s="704"/>
      <c r="I118" s="494"/>
      <c r="J118" s="494"/>
      <c r="K118" s="495"/>
      <c r="L118" s="641"/>
      <c r="M118" s="494" t="e">
        <f>RANK(K118, K$67:$K$81)</f>
        <v>#DIV/0!</v>
      </c>
      <c r="N118" s="659"/>
      <c r="O118" s="659"/>
      <c r="P118" s="493"/>
      <c r="Q118" s="494"/>
      <c r="R118" s="494"/>
      <c r="S118" s="494" t="e">
        <f t="shared" si="68"/>
        <v>#N/A</v>
      </c>
      <c r="T118" s="725"/>
      <c r="U118" s="515"/>
      <c r="V118" s="518"/>
      <c r="W118" s="518"/>
      <c r="X118" s="494" t="e">
        <f t="shared" si="69"/>
        <v>#N/A</v>
      </c>
      <c r="Y118" s="706"/>
      <c r="Z118" s="515"/>
      <c r="AA118" s="518"/>
      <c r="AB118" s="518"/>
      <c r="AC118" s="494" t="e">
        <f t="shared" si="70"/>
        <v>#N/A</v>
      </c>
      <c r="AD118" s="706"/>
      <c r="AE118" s="515"/>
      <c r="AF118" s="518"/>
      <c r="AG118" s="518"/>
      <c r="AH118" s="494" t="e">
        <f t="shared" si="71"/>
        <v>#N/A</v>
      </c>
      <c r="AI118" s="706"/>
      <c r="AJ118" s="515"/>
      <c r="AK118" s="518"/>
      <c r="AL118" s="518"/>
      <c r="AM118" s="494" t="e">
        <f t="shared" si="72"/>
        <v>#N/A</v>
      </c>
      <c r="AN118" s="706"/>
      <c r="AO118" s="515"/>
      <c r="AP118" s="518"/>
      <c r="AQ118" s="518"/>
      <c r="AR118" s="494" t="e">
        <f t="shared" si="73"/>
        <v>#N/A</v>
      </c>
      <c r="AS118" s="725"/>
      <c r="AT118" s="182"/>
      <c r="AU118" s="182"/>
      <c r="AV118" s="182"/>
      <c r="AW118" s="493" t="e">
        <f t="shared" si="74"/>
        <v>#N/A</v>
      </c>
      <c r="AX118" s="724"/>
    </row>
    <row r="119" spans="2:50">
      <c r="B119" s="692"/>
      <c r="C119" s="493">
        <v>13</v>
      </c>
      <c r="D119" s="227"/>
      <c r="E119" s="182"/>
      <c r="F119" s="510"/>
      <c r="G119" s="511"/>
      <c r="H119" s="704"/>
      <c r="I119" s="493"/>
      <c r="J119" s="493"/>
      <c r="K119" s="493"/>
      <c r="L119" s="641"/>
      <c r="M119" s="494" t="e">
        <f>RANK(K119, K$67:$K$81)</f>
        <v>#DIV/0!</v>
      </c>
      <c r="N119" s="659"/>
      <c r="O119" s="659"/>
      <c r="P119" s="493"/>
      <c r="Q119" s="494"/>
      <c r="R119" s="494"/>
      <c r="S119" s="494" t="e">
        <f t="shared" si="68"/>
        <v>#N/A</v>
      </c>
      <c r="T119" s="725"/>
      <c r="U119" s="515"/>
      <c r="V119" s="518"/>
      <c r="W119" s="518"/>
      <c r="X119" s="494" t="e">
        <f t="shared" si="69"/>
        <v>#N/A</v>
      </c>
      <c r="Y119" s="706"/>
      <c r="Z119" s="515"/>
      <c r="AA119" s="518"/>
      <c r="AB119" s="518"/>
      <c r="AC119" s="495" t="e">
        <f t="shared" si="70"/>
        <v>#N/A</v>
      </c>
      <c r="AD119" s="706"/>
      <c r="AE119" s="515"/>
      <c r="AF119" s="518"/>
      <c r="AG119" s="518"/>
      <c r="AH119" s="494" t="e">
        <f t="shared" si="71"/>
        <v>#N/A</v>
      </c>
      <c r="AI119" s="706"/>
      <c r="AJ119" s="515"/>
      <c r="AK119" s="518"/>
      <c r="AL119" s="518"/>
      <c r="AM119" s="494" t="e">
        <f t="shared" si="72"/>
        <v>#N/A</v>
      </c>
      <c r="AN119" s="706"/>
      <c r="AO119" s="515"/>
      <c r="AP119" s="518"/>
      <c r="AQ119" s="518"/>
      <c r="AR119" s="495" t="e">
        <f t="shared" si="73"/>
        <v>#N/A</v>
      </c>
      <c r="AS119" s="725"/>
      <c r="AT119" s="182"/>
      <c r="AU119" s="182"/>
      <c r="AV119" s="182"/>
      <c r="AW119" s="493" t="e">
        <f t="shared" si="74"/>
        <v>#N/A</v>
      </c>
      <c r="AX119" s="724"/>
    </row>
    <row r="120" spans="2:50">
      <c r="B120" s="692"/>
      <c r="C120" s="493">
        <v>14</v>
      </c>
      <c r="D120" s="227"/>
      <c r="E120" s="182"/>
      <c r="F120" s="510"/>
      <c r="G120" s="511"/>
      <c r="H120" s="704"/>
      <c r="I120" s="493"/>
      <c r="J120" s="493"/>
      <c r="K120" s="493"/>
      <c r="L120" s="641"/>
      <c r="M120" s="494" t="e">
        <f>RANK(K120, K$67:$K$81)</f>
        <v>#DIV/0!</v>
      </c>
      <c r="N120" s="659"/>
      <c r="O120" s="659"/>
      <c r="P120" s="493"/>
      <c r="Q120" s="494"/>
      <c r="R120" s="494"/>
      <c r="S120" s="494" t="e">
        <f t="shared" si="68"/>
        <v>#N/A</v>
      </c>
      <c r="T120" s="725"/>
      <c r="U120" s="515"/>
      <c r="V120" s="518"/>
      <c r="W120" s="518"/>
      <c r="X120" s="494" t="e">
        <f t="shared" si="69"/>
        <v>#N/A</v>
      </c>
      <c r="Y120" s="706"/>
      <c r="Z120" s="515"/>
      <c r="AA120" s="518"/>
      <c r="AB120" s="518"/>
      <c r="AC120" s="495" t="e">
        <f t="shared" si="70"/>
        <v>#N/A</v>
      </c>
      <c r="AD120" s="706"/>
      <c r="AE120" s="515"/>
      <c r="AF120" s="518"/>
      <c r="AG120" s="518"/>
      <c r="AH120" s="495" t="e">
        <f t="shared" si="71"/>
        <v>#N/A</v>
      </c>
      <c r="AI120" s="706"/>
      <c r="AJ120" s="515"/>
      <c r="AK120" s="518"/>
      <c r="AL120" s="518"/>
      <c r="AM120" s="495" t="e">
        <f t="shared" si="72"/>
        <v>#N/A</v>
      </c>
      <c r="AN120" s="706"/>
      <c r="AO120" s="515"/>
      <c r="AP120" s="518"/>
      <c r="AQ120" s="518"/>
      <c r="AR120" s="495" t="e">
        <f t="shared" si="73"/>
        <v>#N/A</v>
      </c>
      <c r="AS120" s="725"/>
      <c r="AT120" s="182"/>
      <c r="AU120" s="182"/>
      <c r="AV120" s="182"/>
      <c r="AW120" s="493" t="e">
        <f t="shared" si="74"/>
        <v>#N/A</v>
      </c>
      <c r="AX120" s="724"/>
    </row>
    <row r="121" spans="2:50">
      <c r="B121" s="692"/>
      <c r="C121" s="493">
        <v>15</v>
      </c>
      <c r="D121" s="227"/>
      <c r="E121" s="182"/>
      <c r="F121" s="510"/>
      <c r="G121" s="511"/>
      <c r="H121" s="714"/>
      <c r="I121" s="493"/>
      <c r="J121" s="493"/>
      <c r="K121" s="493"/>
      <c r="L121" s="642"/>
      <c r="M121" s="494" t="e">
        <f>RANK(K121, K$67:$K$81)</f>
        <v>#DIV/0!</v>
      </c>
      <c r="N121" s="659"/>
      <c r="O121" s="659"/>
      <c r="P121" s="493"/>
      <c r="Q121" s="494"/>
      <c r="R121" s="494"/>
      <c r="S121" s="494" t="e">
        <f t="shared" si="68"/>
        <v>#N/A</v>
      </c>
      <c r="T121" s="725"/>
      <c r="U121" s="515"/>
      <c r="V121" s="518"/>
      <c r="W121" s="518"/>
      <c r="X121" s="495" t="e">
        <f t="shared" si="69"/>
        <v>#N/A</v>
      </c>
      <c r="Y121" s="706"/>
      <c r="Z121" s="515"/>
      <c r="AA121" s="518"/>
      <c r="AB121" s="518"/>
      <c r="AC121" s="495" t="e">
        <f t="shared" si="70"/>
        <v>#N/A</v>
      </c>
      <c r="AD121" s="706"/>
      <c r="AE121" s="515"/>
      <c r="AF121" s="518"/>
      <c r="AG121" s="518"/>
      <c r="AH121" s="495" t="e">
        <f t="shared" si="71"/>
        <v>#N/A</v>
      </c>
      <c r="AI121" s="706"/>
      <c r="AJ121" s="515"/>
      <c r="AK121" s="518"/>
      <c r="AL121" s="518"/>
      <c r="AM121" s="495" t="e">
        <f t="shared" si="72"/>
        <v>#N/A</v>
      </c>
      <c r="AN121" s="706"/>
      <c r="AO121" s="515"/>
      <c r="AP121" s="518"/>
      <c r="AQ121" s="518"/>
      <c r="AR121" s="495" t="e">
        <f t="shared" si="73"/>
        <v>#N/A</v>
      </c>
      <c r="AS121" s="725"/>
      <c r="AT121" s="182"/>
      <c r="AU121" s="182"/>
      <c r="AV121" s="182"/>
      <c r="AW121" s="493" t="e">
        <f t="shared" si="74"/>
        <v>#N/A</v>
      </c>
      <c r="AX121" s="724"/>
    </row>
    <row r="123" spans="2:50" ht="15.75">
      <c r="B123" s="698" t="s">
        <v>674</v>
      </c>
      <c r="C123" s="699"/>
      <c r="D123" s="699"/>
      <c r="E123" s="699"/>
      <c r="F123" s="699"/>
      <c r="G123" s="699"/>
      <c r="H123" s="700"/>
      <c r="I123" s="347"/>
      <c r="J123" s="347"/>
      <c r="K123" s="347"/>
      <c r="L123" s="347"/>
      <c r="M123" s="348"/>
    </row>
    <row r="124" spans="2:50" ht="15.75">
      <c r="B124" s="701"/>
      <c r="C124" s="701"/>
      <c r="D124" s="701"/>
      <c r="E124" s="701"/>
      <c r="F124" s="701"/>
      <c r="G124" s="701"/>
      <c r="H124" s="701"/>
      <c r="I124" s="349"/>
      <c r="J124" s="349"/>
      <c r="K124" s="349"/>
      <c r="L124" s="349"/>
      <c r="M124" s="350"/>
    </row>
    <row r="125" spans="2:50">
      <c r="B125" s="659" t="s">
        <v>154</v>
      </c>
      <c r="C125" s="659" t="s">
        <v>429</v>
      </c>
      <c r="D125" s="659"/>
      <c r="E125" s="659" t="s">
        <v>420</v>
      </c>
      <c r="F125" s="659"/>
      <c r="G125" s="659"/>
      <c r="H125" s="675" t="s">
        <v>416</v>
      </c>
      <c r="I125" s="702" t="s">
        <v>421</v>
      </c>
      <c r="J125" s="702"/>
      <c r="K125" s="702"/>
      <c r="L125" s="718" t="s">
        <v>416</v>
      </c>
      <c r="M125" s="721" t="s">
        <v>417</v>
      </c>
    </row>
    <row r="126" spans="2:50">
      <c r="B126" s="659"/>
      <c r="C126" s="659"/>
      <c r="D126" s="659"/>
      <c r="E126" s="659" t="s">
        <v>423</v>
      </c>
      <c r="F126" s="659"/>
      <c r="G126" s="659"/>
      <c r="H126" s="676"/>
      <c r="I126" s="702" t="s">
        <v>423</v>
      </c>
      <c r="J126" s="702"/>
      <c r="K126" s="702"/>
      <c r="L126" s="719"/>
      <c r="M126" s="722"/>
    </row>
    <row r="127" spans="2:50">
      <c r="B127" s="659"/>
      <c r="C127" s="659"/>
      <c r="D127" s="659"/>
      <c r="E127" s="344" t="s">
        <v>425</v>
      </c>
      <c r="F127" s="344" t="s">
        <v>426</v>
      </c>
      <c r="G127" s="344" t="s">
        <v>427</v>
      </c>
      <c r="H127" s="677"/>
      <c r="I127" s="351" t="s">
        <v>425</v>
      </c>
      <c r="J127" s="351" t="s">
        <v>426</v>
      </c>
      <c r="K127" s="351" t="s">
        <v>427</v>
      </c>
      <c r="L127" s="720"/>
      <c r="M127" s="723"/>
    </row>
    <row r="128" spans="2:50">
      <c r="B128" s="659" t="s">
        <v>431</v>
      </c>
      <c r="C128" s="343">
        <v>1</v>
      </c>
      <c r="D128" s="227"/>
      <c r="E128" s="182"/>
      <c r="F128" s="343"/>
      <c r="G128" s="346"/>
      <c r="H128" s="708" t="e">
        <f>AVERAGE(G128:G142)</f>
        <v>#DIV/0!</v>
      </c>
      <c r="I128" s="199" t="e">
        <f t="shared" ref="I128:J137" si="75">AVERAGEIF($D$7:$D$121,$D128,I$7:I$121)</f>
        <v>#DIV/0!</v>
      </c>
      <c r="J128" s="199" t="e">
        <f t="shared" si="75"/>
        <v>#DIV/0!</v>
      </c>
      <c r="K128" s="199" t="e">
        <f t="shared" ref="K128:K137" si="76">AVERAGEIF($D$7:$D$121,$D128,K$7:K$121)</f>
        <v>#DIV/0!</v>
      </c>
      <c r="L128" s="715" t="e">
        <f>AVERAGE(K128:K142)</f>
        <v>#DIV/0!</v>
      </c>
      <c r="M128" s="199" t="e">
        <f>RANK(K128, K$128:$K$142)</f>
        <v>#DIV/0!</v>
      </c>
    </row>
    <row r="129" spans="2:13" s="108" customFormat="1">
      <c r="B129" s="667"/>
      <c r="C129" s="343">
        <v>2</v>
      </c>
      <c r="D129" s="227"/>
      <c r="E129" s="182"/>
      <c r="F129" s="343"/>
      <c r="G129" s="346"/>
      <c r="H129" s="709"/>
      <c r="I129" s="199" t="e">
        <f t="shared" si="75"/>
        <v>#DIV/0!</v>
      </c>
      <c r="J129" s="199" t="e">
        <f t="shared" si="75"/>
        <v>#DIV/0!</v>
      </c>
      <c r="K129" s="199" t="e">
        <f t="shared" si="76"/>
        <v>#DIV/0!</v>
      </c>
      <c r="L129" s="716"/>
      <c r="M129" s="199" t="e">
        <f>RANK(K129, K$128:$K$142)</f>
        <v>#DIV/0!</v>
      </c>
    </row>
    <row r="130" spans="2:13" s="108" customFormat="1">
      <c r="B130" s="667"/>
      <c r="C130" s="343">
        <v>3</v>
      </c>
      <c r="D130" s="227"/>
      <c r="E130" s="182"/>
      <c r="F130" s="343"/>
      <c r="G130" s="346"/>
      <c r="H130" s="709"/>
      <c r="I130" s="199" t="e">
        <f t="shared" si="75"/>
        <v>#DIV/0!</v>
      </c>
      <c r="J130" s="199" t="e">
        <f t="shared" si="75"/>
        <v>#DIV/0!</v>
      </c>
      <c r="K130" s="199" t="e">
        <f t="shared" si="76"/>
        <v>#DIV/0!</v>
      </c>
      <c r="L130" s="716"/>
      <c r="M130" s="199" t="e">
        <f>RANK(K130, K$128:$K$142)</f>
        <v>#DIV/0!</v>
      </c>
    </row>
    <row r="131" spans="2:13" s="108" customFormat="1">
      <c r="B131" s="667"/>
      <c r="C131" s="343">
        <v>4</v>
      </c>
      <c r="D131" s="227"/>
      <c r="E131" s="182"/>
      <c r="F131" s="343"/>
      <c r="G131" s="346"/>
      <c r="H131" s="709"/>
      <c r="I131" s="199" t="e">
        <f t="shared" si="75"/>
        <v>#DIV/0!</v>
      </c>
      <c r="J131" s="199" t="e">
        <f t="shared" si="75"/>
        <v>#DIV/0!</v>
      </c>
      <c r="K131" s="199" t="e">
        <f t="shared" si="76"/>
        <v>#DIV/0!</v>
      </c>
      <c r="L131" s="716"/>
      <c r="M131" s="199" t="e">
        <f>RANK(K131, K$128:$K$142)</f>
        <v>#DIV/0!</v>
      </c>
    </row>
    <row r="132" spans="2:13" s="108" customFormat="1">
      <c r="B132" s="667"/>
      <c r="C132" s="343">
        <v>5</v>
      </c>
      <c r="D132" s="227"/>
      <c r="E132" s="182"/>
      <c r="F132" s="343"/>
      <c r="G132" s="346"/>
      <c r="H132" s="709"/>
      <c r="I132" s="199" t="e">
        <f t="shared" si="75"/>
        <v>#DIV/0!</v>
      </c>
      <c r="J132" s="199" t="e">
        <f t="shared" si="75"/>
        <v>#DIV/0!</v>
      </c>
      <c r="K132" s="199" t="e">
        <f t="shared" si="76"/>
        <v>#DIV/0!</v>
      </c>
      <c r="L132" s="716"/>
      <c r="M132" s="199" t="e">
        <f>RANK(K132, K$128:$K$142)</f>
        <v>#DIV/0!</v>
      </c>
    </row>
    <row r="133" spans="2:13" s="108" customFormat="1">
      <c r="B133" s="667"/>
      <c r="C133" s="343">
        <v>6</v>
      </c>
      <c r="D133" s="352"/>
      <c r="E133" s="182"/>
      <c r="F133" s="343"/>
      <c r="G133" s="346"/>
      <c r="H133" s="709"/>
      <c r="I133" s="199" t="e">
        <f t="shared" si="75"/>
        <v>#DIV/0!</v>
      </c>
      <c r="J133" s="199" t="e">
        <f t="shared" si="75"/>
        <v>#DIV/0!</v>
      </c>
      <c r="K133" s="199" t="e">
        <f t="shared" si="76"/>
        <v>#DIV/0!</v>
      </c>
      <c r="L133" s="716"/>
      <c r="M133" s="199" t="e">
        <f>RANK(K133, K$128:$K$142)</f>
        <v>#DIV/0!</v>
      </c>
    </row>
    <row r="134" spans="2:13" s="108" customFormat="1">
      <c r="B134" s="667"/>
      <c r="C134" s="343">
        <v>7</v>
      </c>
      <c r="D134" s="227"/>
      <c r="E134" s="182"/>
      <c r="F134" s="343"/>
      <c r="G134" s="346"/>
      <c r="H134" s="709"/>
      <c r="I134" s="199" t="e">
        <f t="shared" si="75"/>
        <v>#DIV/0!</v>
      </c>
      <c r="J134" s="199" t="e">
        <f t="shared" si="75"/>
        <v>#DIV/0!</v>
      </c>
      <c r="K134" s="199" t="e">
        <f t="shared" si="76"/>
        <v>#DIV/0!</v>
      </c>
      <c r="L134" s="716"/>
      <c r="M134" s="199" t="e">
        <f>RANK(K134, K$128:$K$142)</f>
        <v>#DIV/0!</v>
      </c>
    </row>
    <row r="135" spans="2:13" s="108" customFormat="1">
      <c r="B135" s="667"/>
      <c r="C135" s="343">
        <v>8</v>
      </c>
      <c r="D135" s="227"/>
      <c r="E135" s="182"/>
      <c r="F135" s="343"/>
      <c r="G135" s="346"/>
      <c r="H135" s="709"/>
      <c r="I135" s="199" t="e">
        <f t="shared" si="75"/>
        <v>#DIV/0!</v>
      </c>
      <c r="J135" s="199" t="e">
        <f t="shared" si="75"/>
        <v>#DIV/0!</v>
      </c>
      <c r="K135" s="199" t="e">
        <f t="shared" si="76"/>
        <v>#DIV/0!</v>
      </c>
      <c r="L135" s="716"/>
      <c r="M135" s="199" t="e">
        <f>RANK(K135, K$128:$K$142)</f>
        <v>#DIV/0!</v>
      </c>
    </row>
    <row r="136" spans="2:13" s="108" customFormat="1">
      <c r="B136" s="667"/>
      <c r="C136" s="343">
        <v>9</v>
      </c>
      <c r="D136" s="227"/>
      <c r="E136" s="343"/>
      <c r="F136" s="343"/>
      <c r="G136" s="343"/>
      <c r="H136" s="709"/>
      <c r="I136" s="199" t="e">
        <f t="shared" si="75"/>
        <v>#DIV/0!</v>
      </c>
      <c r="J136" s="199" t="e">
        <f t="shared" si="75"/>
        <v>#DIV/0!</v>
      </c>
      <c r="K136" s="199" t="e">
        <f t="shared" si="76"/>
        <v>#DIV/0!</v>
      </c>
      <c r="L136" s="716"/>
      <c r="M136" s="199" t="e">
        <f>RANK(K136, K$128:$K$142)</f>
        <v>#DIV/0!</v>
      </c>
    </row>
    <row r="137" spans="2:13" s="108" customFormat="1">
      <c r="B137" s="667"/>
      <c r="C137" s="343">
        <v>10</v>
      </c>
      <c r="D137" s="227"/>
      <c r="E137" s="343"/>
      <c r="F137" s="343"/>
      <c r="G137" s="343"/>
      <c r="H137" s="709"/>
      <c r="I137" s="199" t="e">
        <f t="shared" si="75"/>
        <v>#DIV/0!</v>
      </c>
      <c r="J137" s="199" t="e">
        <f t="shared" si="75"/>
        <v>#DIV/0!</v>
      </c>
      <c r="K137" s="199" t="e">
        <f t="shared" si="76"/>
        <v>#DIV/0!</v>
      </c>
      <c r="L137" s="716"/>
      <c r="M137" s="199" t="e">
        <f>RANK(K137, K$128:$K$142)</f>
        <v>#DIV/0!</v>
      </c>
    </row>
    <row r="138" spans="2:13" s="108" customFormat="1">
      <c r="B138" s="667"/>
      <c r="C138" s="343">
        <v>11</v>
      </c>
      <c r="D138" s="227"/>
      <c r="E138" s="343"/>
      <c r="F138" s="343"/>
      <c r="G138" s="343"/>
      <c r="H138" s="709"/>
      <c r="I138" s="199"/>
      <c r="J138" s="199"/>
      <c r="K138" s="199"/>
      <c r="L138" s="716"/>
      <c r="M138" s="199" t="e">
        <f>RANK(K138, K$128:$K$142)</f>
        <v>#DIV/0!</v>
      </c>
    </row>
    <row r="139" spans="2:13" s="108" customFormat="1">
      <c r="B139" s="667"/>
      <c r="C139" s="343">
        <v>12</v>
      </c>
      <c r="D139" s="227"/>
      <c r="E139" s="343"/>
      <c r="F139" s="343"/>
      <c r="G139" s="343"/>
      <c r="H139" s="709"/>
      <c r="I139" s="199"/>
      <c r="J139" s="199"/>
      <c r="K139" s="199"/>
      <c r="L139" s="716"/>
      <c r="M139" s="199" t="e">
        <f>RANK(K139, K$128:$K$142)</f>
        <v>#DIV/0!</v>
      </c>
    </row>
    <row r="140" spans="2:13" s="108" customFormat="1">
      <c r="B140" s="667"/>
      <c r="C140" s="343">
        <v>13</v>
      </c>
      <c r="D140" s="227"/>
      <c r="E140" s="343"/>
      <c r="F140" s="343"/>
      <c r="G140" s="343"/>
      <c r="H140" s="709"/>
      <c r="I140" s="199"/>
      <c r="J140" s="199"/>
      <c r="K140" s="199"/>
      <c r="L140" s="716"/>
      <c r="M140" s="199" t="e">
        <f>RANK(K140, K$128:$K$142)</f>
        <v>#DIV/0!</v>
      </c>
    </row>
    <row r="141" spans="2:13" s="108" customFormat="1">
      <c r="B141" s="667"/>
      <c r="C141" s="343">
        <v>14</v>
      </c>
      <c r="D141" s="227"/>
      <c r="E141" s="343"/>
      <c r="F141" s="343"/>
      <c r="G141" s="343"/>
      <c r="H141" s="709"/>
      <c r="I141" s="199"/>
      <c r="J141" s="199"/>
      <c r="K141" s="199"/>
      <c r="L141" s="716"/>
      <c r="M141" s="199" t="e">
        <f>RANK(K141, K$128:$K$142)</f>
        <v>#DIV/0!</v>
      </c>
    </row>
    <row r="142" spans="2:13" s="108" customFormat="1">
      <c r="B142" s="667"/>
      <c r="C142" s="343">
        <v>15</v>
      </c>
      <c r="D142" s="227"/>
      <c r="E142" s="343"/>
      <c r="F142" s="343"/>
      <c r="G142" s="343"/>
      <c r="H142" s="710"/>
      <c r="I142" s="199"/>
      <c r="J142" s="199"/>
      <c r="K142" s="199"/>
      <c r="L142" s="717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P2" sqref="P2:AX2"/>
      <selection pane="topRight" activeCell="D7" sqref="D7:G1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126.65731759521148</v>
      </c>
    </row>
    <row r="2" spans="1:54" ht="15.75">
      <c r="A2" s="81"/>
      <c r="B2" s="671" t="s">
        <v>163</v>
      </c>
      <c r="C2" s="671"/>
      <c r="D2" s="671"/>
      <c r="E2" s="671"/>
      <c r="F2" s="671"/>
      <c r="G2" s="671"/>
      <c r="H2" s="671"/>
      <c r="I2" s="310"/>
      <c r="J2" s="310"/>
      <c r="K2" s="310"/>
      <c r="L2" s="310"/>
      <c r="M2" s="197"/>
      <c r="N2" s="660" t="s">
        <v>156</v>
      </c>
      <c r="O2" s="660" t="s">
        <v>155</v>
      </c>
      <c r="P2" s="687">
        <v>46084</v>
      </c>
      <c r="Q2" s="688"/>
      <c r="R2" s="688"/>
      <c r="S2" s="688"/>
      <c r="T2" s="689"/>
      <c r="U2" s="666">
        <f>P2+1</f>
        <v>46085</v>
      </c>
      <c r="V2" s="667"/>
      <c r="W2" s="667"/>
      <c r="X2" s="667"/>
      <c r="Y2" s="667"/>
      <c r="Z2" s="666">
        <f>U2+1</f>
        <v>46086</v>
      </c>
      <c r="AA2" s="667"/>
      <c r="AB2" s="667"/>
      <c r="AC2" s="667"/>
      <c r="AD2" s="667"/>
      <c r="AE2" s="666">
        <f>Z2+1</f>
        <v>46087</v>
      </c>
      <c r="AF2" s="667"/>
      <c r="AG2" s="667"/>
      <c r="AH2" s="667"/>
      <c r="AI2" s="667"/>
      <c r="AJ2" s="666">
        <f>AE2+1</f>
        <v>46088</v>
      </c>
      <c r="AK2" s="667"/>
      <c r="AL2" s="667"/>
      <c r="AM2" s="667"/>
      <c r="AN2" s="667"/>
      <c r="AO2" s="666">
        <f>AJ2+1</f>
        <v>46089</v>
      </c>
      <c r="AP2" s="667"/>
      <c r="AQ2" s="667"/>
      <c r="AR2" s="667"/>
      <c r="AS2" s="667"/>
      <c r="AT2" s="663">
        <f>AO2+1</f>
        <v>46090</v>
      </c>
      <c r="AU2" s="664"/>
      <c r="AV2" s="664"/>
      <c r="AW2" s="664"/>
      <c r="AX2" s="665"/>
    </row>
    <row r="3" spans="1:54" ht="15.75">
      <c r="A3" s="81"/>
      <c r="B3" s="690"/>
      <c r="C3" s="690"/>
      <c r="D3" s="690"/>
      <c r="E3" s="690"/>
      <c r="F3" s="690"/>
      <c r="G3" s="690"/>
      <c r="H3" s="690"/>
      <c r="I3" s="311"/>
      <c r="J3" s="311"/>
      <c r="K3" s="311"/>
      <c r="L3" s="311"/>
      <c r="M3" s="198"/>
      <c r="N3" s="662"/>
      <c r="O3" s="662"/>
      <c r="P3" s="663" t="s">
        <v>158</v>
      </c>
      <c r="Q3" s="664"/>
      <c r="R3" s="664"/>
      <c r="S3" s="664"/>
      <c r="T3" s="665"/>
      <c r="U3" s="663" t="s">
        <v>114</v>
      </c>
      <c r="V3" s="664"/>
      <c r="W3" s="664"/>
      <c r="X3" s="664"/>
      <c r="Y3" s="665"/>
      <c r="Z3" s="663" t="s">
        <v>159</v>
      </c>
      <c r="AA3" s="664"/>
      <c r="AB3" s="664"/>
      <c r="AC3" s="664"/>
      <c r="AD3" s="665"/>
      <c r="AE3" s="663" t="s">
        <v>157</v>
      </c>
      <c r="AF3" s="664"/>
      <c r="AG3" s="664"/>
      <c r="AH3" s="664"/>
      <c r="AI3" s="665"/>
      <c r="AJ3" s="663" t="s">
        <v>160</v>
      </c>
      <c r="AK3" s="664"/>
      <c r="AL3" s="664"/>
      <c r="AM3" s="664"/>
      <c r="AN3" s="665"/>
      <c r="AO3" s="663" t="s">
        <v>161</v>
      </c>
      <c r="AP3" s="664"/>
      <c r="AQ3" s="664"/>
      <c r="AR3" s="664"/>
      <c r="AS3" s="665"/>
      <c r="AT3" s="663" t="s">
        <v>162</v>
      </c>
      <c r="AU3" s="664"/>
      <c r="AV3" s="664"/>
      <c r="AW3" s="664"/>
      <c r="AX3" s="665"/>
    </row>
    <row r="4" spans="1:54" ht="14.25">
      <c r="A4" s="81"/>
      <c r="B4" s="659" t="s">
        <v>827</v>
      </c>
      <c r="C4" s="659" t="s">
        <v>828</v>
      </c>
      <c r="D4" s="659"/>
      <c r="E4" s="659" t="s">
        <v>829</v>
      </c>
      <c r="F4" s="659"/>
      <c r="G4" s="659"/>
      <c r="H4" s="675" t="s">
        <v>830</v>
      </c>
      <c r="I4" s="659" t="s">
        <v>831</v>
      </c>
      <c r="J4" s="659"/>
      <c r="K4" s="659"/>
      <c r="L4" s="675" t="s">
        <v>830</v>
      </c>
      <c r="M4" s="660" t="s">
        <v>832</v>
      </c>
      <c r="N4" s="659"/>
      <c r="O4" s="659" t="s">
        <v>466</v>
      </c>
      <c r="P4" s="656" t="s">
        <v>418</v>
      </c>
      <c r="Q4" s="657"/>
      <c r="R4" s="657"/>
      <c r="S4" s="658"/>
      <c r="T4" s="659" t="s">
        <v>416</v>
      </c>
      <c r="U4" s="656" t="s">
        <v>418</v>
      </c>
      <c r="V4" s="657"/>
      <c r="W4" s="657"/>
      <c r="X4" s="658"/>
      <c r="Y4" s="659" t="s">
        <v>416</v>
      </c>
      <c r="Z4" s="656" t="s">
        <v>418</v>
      </c>
      <c r="AA4" s="657"/>
      <c r="AB4" s="657"/>
      <c r="AC4" s="658"/>
      <c r="AD4" s="659" t="s">
        <v>416</v>
      </c>
      <c r="AE4" s="656" t="s">
        <v>418</v>
      </c>
      <c r="AF4" s="657"/>
      <c r="AG4" s="657"/>
      <c r="AH4" s="658"/>
      <c r="AI4" s="659" t="s">
        <v>416</v>
      </c>
      <c r="AJ4" s="656" t="s">
        <v>418</v>
      </c>
      <c r="AK4" s="657"/>
      <c r="AL4" s="657"/>
      <c r="AM4" s="658"/>
      <c r="AN4" s="659" t="s">
        <v>416</v>
      </c>
      <c r="AO4" s="656" t="s">
        <v>418</v>
      </c>
      <c r="AP4" s="657"/>
      <c r="AQ4" s="657"/>
      <c r="AR4" s="658"/>
      <c r="AS4" s="659" t="s">
        <v>416</v>
      </c>
      <c r="AT4" s="656" t="s">
        <v>418</v>
      </c>
      <c r="AU4" s="657"/>
      <c r="AV4" s="657"/>
      <c r="AW4" s="658"/>
      <c r="AX4" s="659" t="s">
        <v>416</v>
      </c>
    </row>
    <row r="5" spans="1:54" ht="14.25">
      <c r="A5" s="81"/>
      <c r="B5" s="659"/>
      <c r="C5" s="659"/>
      <c r="D5" s="659"/>
      <c r="E5" s="659" t="s">
        <v>834</v>
      </c>
      <c r="F5" s="659"/>
      <c r="G5" s="659"/>
      <c r="H5" s="676"/>
      <c r="I5" s="659" t="s">
        <v>834</v>
      </c>
      <c r="J5" s="659"/>
      <c r="K5" s="659"/>
      <c r="L5" s="676"/>
      <c r="M5" s="661"/>
      <c r="N5" s="659"/>
      <c r="O5" s="659"/>
      <c r="P5" s="656" t="s">
        <v>821</v>
      </c>
      <c r="Q5" s="657"/>
      <c r="R5" s="657"/>
      <c r="S5" s="658"/>
      <c r="T5" s="659"/>
      <c r="U5" s="656" t="s">
        <v>821</v>
      </c>
      <c r="V5" s="657"/>
      <c r="W5" s="657"/>
      <c r="X5" s="658"/>
      <c r="Y5" s="659"/>
      <c r="Z5" s="656" t="s">
        <v>821</v>
      </c>
      <c r="AA5" s="657"/>
      <c r="AB5" s="657"/>
      <c r="AC5" s="658"/>
      <c r="AD5" s="659"/>
      <c r="AE5" s="656" t="s">
        <v>821</v>
      </c>
      <c r="AF5" s="657"/>
      <c r="AG5" s="657"/>
      <c r="AH5" s="658"/>
      <c r="AI5" s="659"/>
      <c r="AJ5" s="656" t="s">
        <v>821</v>
      </c>
      <c r="AK5" s="657"/>
      <c r="AL5" s="657"/>
      <c r="AM5" s="658"/>
      <c r="AN5" s="659"/>
      <c r="AO5" s="656" t="s">
        <v>821</v>
      </c>
      <c r="AP5" s="657"/>
      <c r="AQ5" s="657"/>
      <c r="AR5" s="658"/>
      <c r="AS5" s="659"/>
      <c r="AT5" s="656" t="s">
        <v>821</v>
      </c>
      <c r="AU5" s="657"/>
      <c r="AV5" s="657"/>
      <c r="AW5" s="658"/>
      <c r="AX5" s="659"/>
    </row>
    <row r="6" spans="1:54" ht="14.25">
      <c r="A6" s="79"/>
      <c r="B6" s="659"/>
      <c r="C6" s="659"/>
      <c r="D6" s="659"/>
      <c r="E6" s="514" t="s">
        <v>835</v>
      </c>
      <c r="F6" s="514" t="s">
        <v>836</v>
      </c>
      <c r="G6" s="514" t="s">
        <v>837</v>
      </c>
      <c r="H6" s="677"/>
      <c r="I6" s="514" t="s">
        <v>835</v>
      </c>
      <c r="J6" s="514" t="s">
        <v>836</v>
      </c>
      <c r="K6" s="514" t="s">
        <v>837</v>
      </c>
      <c r="L6" s="677"/>
      <c r="M6" s="662"/>
      <c r="N6" s="659"/>
      <c r="O6" s="659"/>
      <c r="P6" s="514" t="s">
        <v>425</v>
      </c>
      <c r="Q6" s="514" t="s">
        <v>823</v>
      </c>
      <c r="R6" s="514" t="s">
        <v>824</v>
      </c>
      <c r="S6" s="514" t="s">
        <v>417</v>
      </c>
      <c r="T6" s="659"/>
      <c r="U6" s="514" t="s">
        <v>425</v>
      </c>
      <c r="V6" s="514" t="s">
        <v>823</v>
      </c>
      <c r="W6" s="514" t="s">
        <v>824</v>
      </c>
      <c r="X6" s="514" t="s">
        <v>417</v>
      </c>
      <c r="Y6" s="659"/>
      <c r="Z6" s="514" t="s">
        <v>425</v>
      </c>
      <c r="AA6" s="514" t="s">
        <v>823</v>
      </c>
      <c r="AB6" s="514" t="s">
        <v>824</v>
      </c>
      <c r="AC6" s="514" t="s">
        <v>417</v>
      </c>
      <c r="AD6" s="659"/>
      <c r="AE6" s="514" t="s">
        <v>425</v>
      </c>
      <c r="AF6" s="514" t="s">
        <v>823</v>
      </c>
      <c r="AG6" s="514" t="s">
        <v>824</v>
      </c>
      <c r="AH6" s="514" t="s">
        <v>417</v>
      </c>
      <c r="AI6" s="659"/>
      <c r="AJ6" s="514" t="s">
        <v>425</v>
      </c>
      <c r="AK6" s="514" t="s">
        <v>823</v>
      </c>
      <c r="AL6" s="514" t="s">
        <v>824</v>
      </c>
      <c r="AM6" s="514" t="s">
        <v>417</v>
      </c>
      <c r="AN6" s="659"/>
      <c r="AO6" s="514" t="s">
        <v>425</v>
      </c>
      <c r="AP6" s="514" t="s">
        <v>823</v>
      </c>
      <c r="AQ6" s="514" t="s">
        <v>824</v>
      </c>
      <c r="AR6" s="514" t="s">
        <v>417</v>
      </c>
      <c r="AS6" s="659"/>
      <c r="AT6" s="514" t="s">
        <v>425</v>
      </c>
      <c r="AU6" s="514" t="s">
        <v>823</v>
      </c>
      <c r="AV6" s="514" t="s">
        <v>824</v>
      </c>
      <c r="AW6" s="514" t="s">
        <v>417</v>
      </c>
      <c r="AX6" s="659"/>
    </row>
    <row r="7" spans="1:54" ht="14.25">
      <c r="A7" s="81"/>
      <c r="B7" s="659" t="s">
        <v>136</v>
      </c>
      <c r="C7" s="515">
        <v>1</v>
      </c>
      <c r="D7" s="498" t="s">
        <v>378</v>
      </c>
      <c r="E7" s="518">
        <v>20</v>
      </c>
      <c r="F7" s="518">
        <v>2400</v>
      </c>
      <c r="G7" s="518">
        <v>120</v>
      </c>
      <c r="H7" s="726">
        <f>AVERAGE(G7:G21)</f>
        <v>148.73999999999998</v>
      </c>
      <c r="I7" s="518">
        <f>AVERAGE(P7,U7,Z7,AE7,AJ7,AO7,AT7)</f>
        <v>20</v>
      </c>
      <c r="J7" s="518">
        <f>AVERAGE(Q7,V7,AA7,AF7,AK7,AP7,AU7)</f>
        <v>2238.0155638081569</v>
      </c>
      <c r="K7" s="513">
        <f>AVERAGE(R7,W7,AB7,AG7,AL7,AQ7,AV7)</f>
        <v>111.90077819040782</v>
      </c>
      <c r="L7" s="703">
        <f>AVERAGE(K7:K21)</f>
        <v>126.65731759521148</v>
      </c>
      <c r="M7" s="517">
        <f>RANK(K7, K$7:$K$21)</f>
        <v>5</v>
      </c>
      <c r="N7" s="659"/>
      <c r="O7" s="659"/>
      <c r="P7" s="515">
        <v>20</v>
      </c>
      <c r="Q7" s="518">
        <v>2244.0000000000018</v>
      </c>
      <c r="R7" s="518">
        <v>112.20000000000009</v>
      </c>
      <c r="S7" s="515">
        <f>RANK(R7, R$7:R$21)</f>
        <v>5</v>
      </c>
      <c r="T7" s="706">
        <f>AVERAGE(R7:R21)</f>
        <v>128.2606135296196</v>
      </c>
      <c r="U7" s="573">
        <v>20</v>
      </c>
      <c r="V7" s="574">
        <v>2237.5116279069762</v>
      </c>
      <c r="W7" s="574">
        <v>111.8755813953488</v>
      </c>
      <c r="X7" s="515">
        <f>RANK(W7, W$7:W$21)</f>
        <v>5</v>
      </c>
      <c r="Y7" s="706">
        <f>AVERAGE(W7:W21)</f>
        <v>128.25329565128092</v>
      </c>
      <c r="Z7" s="573">
        <v>20</v>
      </c>
      <c r="AA7" s="574">
        <v>2281.5000000000009</v>
      </c>
      <c r="AB7" s="574">
        <v>114.07500000000005</v>
      </c>
      <c r="AC7" s="515">
        <f>RANK(AB7, AB$7:AB$21)</f>
        <v>5</v>
      </c>
      <c r="AD7" s="706">
        <f>AVERAGE(AB7:AB21)</f>
        <v>128.73338342943609</v>
      </c>
      <c r="AE7" s="573">
        <v>20</v>
      </c>
      <c r="AF7" s="574">
        <v>2223</v>
      </c>
      <c r="AG7" s="574">
        <v>111.15</v>
      </c>
      <c r="AH7" s="515">
        <f>RANK(AG7, AG$7:AG$21)</f>
        <v>5</v>
      </c>
      <c r="AI7" s="706">
        <f>AVERAGE(AG7:AG21)</f>
        <v>127.28848487790496</v>
      </c>
      <c r="AJ7" s="573">
        <v>20</v>
      </c>
      <c r="AK7" s="574">
        <v>2267.3529411764716</v>
      </c>
      <c r="AL7" s="574">
        <v>113.36764705882358</v>
      </c>
      <c r="AM7" s="515">
        <f>RANK(AL7, AL$7:AL$21)</f>
        <v>5</v>
      </c>
      <c r="AN7" s="706">
        <f>AVERAGE(AL7:AL21)</f>
        <v>127.52483609372507</v>
      </c>
      <c r="AO7" s="573">
        <v>20</v>
      </c>
      <c r="AP7" s="574">
        <v>2200.2077922077929</v>
      </c>
      <c r="AQ7" s="574">
        <v>110.01038961038964</v>
      </c>
      <c r="AR7" s="515">
        <f>RANK(AQ7, AQ$7:AQ$21)</f>
        <v>5</v>
      </c>
      <c r="AS7" s="706">
        <f>AVERAGE(AQ7:AQ21)</f>
        <v>122.94566927387939</v>
      </c>
      <c r="AT7" s="573">
        <v>20</v>
      </c>
      <c r="AU7" s="574">
        <v>2212.5365853658532</v>
      </c>
      <c r="AV7" s="574">
        <v>110.62682926829265</v>
      </c>
      <c r="AW7" s="515">
        <f>RANK(AV7, AV$7:AV$21)</f>
        <v>5</v>
      </c>
      <c r="AX7" s="706">
        <f>AVERAGE(AV7:AV21)</f>
        <v>123.59494031063431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92"/>
      <c r="C8" s="515">
        <v>2</v>
      </c>
      <c r="D8" s="498" t="s">
        <v>379</v>
      </c>
      <c r="E8" s="518">
        <v>18</v>
      </c>
      <c r="F8" s="518">
        <v>2600</v>
      </c>
      <c r="G8" s="518">
        <v>166.7</v>
      </c>
      <c r="H8" s="727"/>
      <c r="I8" s="518">
        <f t="shared" ref="I8:I11" si="0">AVERAGE(P8,U8,Z8,AE8,AJ8,AO8,AT8)</f>
        <v>19</v>
      </c>
      <c r="J8" s="518">
        <f t="shared" ref="J8:J11" si="1">AVERAGE(Q8,V8,AA8,AF8,AK8,AP8,AU8)</f>
        <v>2560.7147872854252</v>
      </c>
      <c r="K8" s="513">
        <f t="shared" ref="K8:K11" si="2">AVERAGE(R8,W8,AB8,AG8,AL8,AQ8,AV8)</f>
        <v>134.7744624887066</v>
      </c>
      <c r="L8" s="704"/>
      <c r="M8" s="517">
        <f>RANK(K8, K$7:$K$21)</f>
        <v>2</v>
      </c>
      <c r="N8" s="659"/>
      <c r="O8" s="659"/>
      <c r="P8" s="515">
        <v>19</v>
      </c>
      <c r="Q8" s="518">
        <v>2612.071428571428</v>
      </c>
      <c r="R8" s="518">
        <v>137.47744360902252</v>
      </c>
      <c r="S8" s="515">
        <f t="shared" ref="S8:S21" si="3">RANK(R8, R$7:R$21)</f>
        <v>2</v>
      </c>
      <c r="T8" s="706"/>
      <c r="U8" s="573">
        <v>19</v>
      </c>
      <c r="V8" s="574">
        <v>2590.840909090909</v>
      </c>
      <c r="W8" s="574">
        <v>136.36004784688996</v>
      </c>
      <c r="X8" s="515">
        <f t="shared" ref="X8:X21" si="4">RANK(W8, W$7:W$21)</f>
        <v>2</v>
      </c>
      <c r="Y8" s="706"/>
      <c r="Z8" s="573">
        <v>19</v>
      </c>
      <c r="AA8" s="574">
        <v>2623.1111111111127</v>
      </c>
      <c r="AB8" s="574">
        <v>138.05847953216383</v>
      </c>
      <c r="AC8" s="515">
        <f t="shared" ref="AC8:AC21" si="5">RANK(AB8, AB$7:AB$21)</f>
        <v>2</v>
      </c>
      <c r="AD8" s="706"/>
      <c r="AE8" s="573">
        <v>19</v>
      </c>
      <c r="AF8" s="574">
        <v>2542.8000000000006</v>
      </c>
      <c r="AG8" s="574">
        <v>133.83157894736846</v>
      </c>
      <c r="AH8" s="515">
        <f t="shared" ref="AH8:AH21" si="6">RANK(AG8, AG$7:AG$21)</f>
        <v>2</v>
      </c>
      <c r="AI8" s="706"/>
      <c r="AJ8" s="573">
        <v>19</v>
      </c>
      <c r="AK8" s="574">
        <v>2579.3793103448297</v>
      </c>
      <c r="AL8" s="574">
        <v>135.75680580762261</v>
      </c>
      <c r="AM8" s="515">
        <f t="shared" ref="AM8:AM21" si="7">RANK(AL8, AL$7:AL$21)</f>
        <v>2</v>
      </c>
      <c r="AN8" s="706"/>
      <c r="AO8" s="573">
        <v>19</v>
      </c>
      <c r="AP8" s="574">
        <v>2463.1578947368403</v>
      </c>
      <c r="AQ8" s="574">
        <v>129.6398891966758</v>
      </c>
      <c r="AR8" s="515">
        <f t="shared" ref="AR8:AR21" si="8">RANK(AQ8, AQ$7:AQ$21)</f>
        <v>2</v>
      </c>
      <c r="AS8" s="706"/>
      <c r="AT8" s="573">
        <v>19</v>
      </c>
      <c r="AU8" s="574">
        <v>2513.6428571428564</v>
      </c>
      <c r="AV8" s="574">
        <v>132.29699248120298</v>
      </c>
      <c r="AW8" s="515">
        <f t="shared" ref="AW8:AW21" si="9">RANK(AV8, AV$7:AV$21)</f>
        <v>1</v>
      </c>
      <c r="AX8" s="706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692"/>
      <c r="C9" s="515">
        <v>3</v>
      </c>
      <c r="D9" s="498" t="s">
        <v>380</v>
      </c>
      <c r="E9" s="518">
        <v>18</v>
      </c>
      <c r="F9" s="518">
        <v>2600</v>
      </c>
      <c r="G9" s="518">
        <v>166.7</v>
      </c>
      <c r="H9" s="727"/>
      <c r="I9" s="518">
        <f t="shared" si="0"/>
        <v>19</v>
      </c>
      <c r="J9" s="518">
        <f t="shared" si="1"/>
        <v>2584.330397772012</v>
      </c>
      <c r="K9" s="513">
        <f t="shared" si="2"/>
        <v>136.01738935642169</v>
      </c>
      <c r="L9" s="704"/>
      <c r="M9" s="517">
        <f>RANK(K9, K$7:$K$21)</f>
        <v>1</v>
      </c>
      <c r="N9" s="659"/>
      <c r="O9" s="659"/>
      <c r="P9" s="515">
        <v>19</v>
      </c>
      <c r="Q9" s="518">
        <v>2652.6610169491514</v>
      </c>
      <c r="R9" s="518">
        <v>139.61373773416585</v>
      </c>
      <c r="S9" s="515">
        <f t="shared" si="3"/>
        <v>1</v>
      </c>
      <c r="T9" s="706"/>
      <c r="U9" s="573">
        <v>19</v>
      </c>
      <c r="V9" s="574">
        <v>2619.0000000000018</v>
      </c>
      <c r="W9" s="574">
        <v>137.842105263158</v>
      </c>
      <c r="X9" s="515">
        <f t="shared" si="4"/>
        <v>1</v>
      </c>
      <c r="Y9" s="706"/>
      <c r="Z9" s="573">
        <v>19</v>
      </c>
      <c r="AA9" s="574">
        <v>2636.931818181818</v>
      </c>
      <c r="AB9" s="574">
        <v>138.7858851674641</v>
      </c>
      <c r="AC9" s="515">
        <f t="shared" si="5"/>
        <v>1</v>
      </c>
      <c r="AD9" s="706"/>
      <c r="AE9" s="573">
        <v>19</v>
      </c>
      <c r="AF9" s="574">
        <v>2612.0487804878044</v>
      </c>
      <c r="AG9" s="574">
        <v>137.4762516046213</v>
      </c>
      <c r="AH9" s="515">
        <f t="shared" si="6"/>
        <v>1</v>
      </c>
      <c r="AI9" s="706"/>
      <c r="AJ9" s="573">
        <v>19</v>
      </c>
      <c r="AK9" s="574">
        <v>2608.6666666666665</v>
      </c>
      <c r="AL9" s="574">
        <v>137.29824561403507</v>
      </c>
      <c r="AM9" s="515">
        <f t="shared" si="7"/>
        <v>1</v>
      </c>
      <c r="AN9" s="706"/>
      <c r="AO9" s="573">
        <v>19</v>
      </c>
      <c r="AP9" s="574">
        <v>2481.4576271186429</v>
      </c>
      <c r="AQ9" s="574">
        <v>130.60303300624437</v>
      </c>
      <c r="AR9" s="515">
        <f t="shared" si="8"/>
        <v>1</v>
      </c>
      <c r="AS9" s="706"/>
      <c r="AT9" s="573">
        <v>19</v>
      </c>
      <c r="AU9" s="574">
        <v>2479.5468749999995</v>
      </c>
      <c r="AV9" s="574">
        <v>130.50246710526312</v>
      </c>
      <c r="AW9" s="515">
        <f t="shared" si="9"/>
        <v>2</v>
      </c>
      <c r="AX9" s="706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692"/>
      <c r="C10" s="515">
        <v>4</v>
      </c>
      <c r="D10" s="498" t="s">
        <v>381</v>
      </c>
      <c r="E10" s="518">
        <v>19</v>
      </c>
      <c r="F10" s="518">
        <v>2600</v>
      </c>
      <c r="G10" s="518">
        <v>157.9</v>
      </c>
      <c r="H10" s="727"/>
      <c r="I10" s="518">
        <f t="shared" si="0"/>
        <v>20</v>
      </c>
      <c r="J10" s="518">
        <f t="shared" si="1"/>
        <v>2605.4207932557147</v>
      </c>
      <c r="K10" s="513">
        <f t="shared" si="2"/>
        <v>130.27103966278574</v>
      </c>
      <c r="L10" s="704"/>
      <c r="M10" s="517">
        <f>RANK(K10, K$7:$K$21)</f>
        <v>3</v>
      </c>
      <c r="N10" s="659"/>
      <c r="O10" s="659"/>
      <c r="P10" s="515">
        <v>20</v>
      </c>
      <c r="Q10" s="518">
        <v>2631.348837209302</v>
      </c>
      <c r="R10" s="518">
        <v>131.5674418604651</v>
      </c>
      <c r="S10" s="515">
        <f t="shared" si="3"/>
        <v>3</v>
      </c>
      <c r="T10" s="706"/>
      <c r="U10" s="573">
        <v>20</v>
      </c>
      <c r="V10" s="574">
        <v>2672.1509433962274</v>
      </c>
      <c r="W10" s="574">
        <v>133.60754716981137</v>
      </c>
      <c r="X10" s="515">
        <f t="shared" si="4"/>
        <v>3</v>
      </c>
      <c r="Y10" s="706"/>
      <c r="Z10" s="573">
        <v>20</v>
      </c>
      <c r="AA10" s="574">
        <v>2624.1818181818189</v>
      </c>
      <c r="AB10" s="574">
        <v>131.20909090909095</v>
      </c>
      <c r="AC10" s="515">
        <f t="shared" si="5"/>
        <v>3</v>
      </c>
      <c r="AD10" s="706"/>
      <c r="AE10" s="573">
        <v>20</v>
      </c>
      <c r="AF10" s="574">
        <v>2655.8823529411766</v>
      </c>
      <c r="AG10" s="574">
        <v>132.79411764705884</v>
      </c>
      <c r="AH10" s="515">
        <f t="shared" si="6"/>
        <v>3</v>
      </c>
      <c r="AI10" s="706"/>
      <c r="AJ10" s="573">
        <v>20</v>
      </c>
      <c r="AK10" s="574">
        <v>2634.8823529411766</v>
      </c>
      <c r="AL10" s="574">
        <v>131.74411764705883</v>
      </c>
      <c r="AM10" s="515">
        <f t="shared" si="7"/>
        <v>3</v>
      </c>
      <c r="AN10" s="706"/>
      <c r="AO10" s="573">
        <v>20</v>
      </c>
      <c r="AP10" s="574">
        <v>2503.6421052631581</v>
      </c>
      <c r="AQ10" s="574">
        <v>125.18210526315791</v>
      </c>
      <c r="AR10" s="515">
        <f t="shared" si="8"/>
        <v>3</v>
      </c>
      <c r="AS10" s="706"/>
      <c r="AT10" s="573">
        <v>20</v>
      </c>
      <c r="AU10" s="574">
        <v>2515.8571428571449</v>
      </c>
      <c r="AV10" s="574">
        <v>125.79285714285724</v>
      </c>
      <c r="AW10" s="515">
        <f t="shared" si="9"/>
        <v>3</v>
      </c>
      <c r="AX10" s="706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692"/>
      <c r="C11" s="515">
        <v>5</v>
      </c>
      <c r="D11" s="498" t="s">
        <v>764</v>
      </c>
      <c r="E11" s="518">
        <v>17</v>
      </c>
      <c r="F11" s="518">
        <v>2250</v>
      </c>
      <c r="G11" s="518">
        <v>132.4</v>
      </c>
      <c r="H11" s="727"/>
      <c r="I11" s="518">
        <f t="shared" si="0"/>
        <v>18</v>
      </c>
      <c r="J11" s="518">
        <f t="shared" si="1"/>
        <v>2165.8125289992395</v>
      </c>
      <c r="K11" s="513">
        <f t="shared" si="2"/>
        <v>120.32291827773554</v>
      </c>
      <c r="L11" s="704"/>
      <c r="M11" s="517">
        <f>RANK(K11, K$7:$K$21)</f>
        <v>4</v>
      </c>
      <c r="N11" s="659"/>
      <c r="O11" s="659"/>
      <c r="P11" s="515">
        <v>18</v>
      </c>
      <c r="Q11" s="518">
        <v>2167.9999999999995</v>
      </c>
      <c r="R11" s="518">
        <v>120.44444444444441</v>
      </c>
      <c r="S11" s="515">
        <f t="shared" si="3"/>
        <v>4</v>
      </c>
      <c r="T11" s="706"/>
      <c r="U11" s="573">
        <v>18</v>
      </c>
      <c r="V11" s="574">
        <v>2188.4615384615381</v>
      </c>
      <c r="W11" s="574">
        <v>121.58119658119656</v>
      </c>
      <c r="X11" s="515">
        <f t="shared" si="4"/>
        <v>4</v>
      </c>
      <c r="Y11" s="706"/>
      <c r="Z11" s="573">
        <v>18</v>
      </c>
      <c r="AA11" s="574">
        <v>2187.6923076923072</v>
      </c>
      <c r="AB11" s="574">
        <v>121.5384615384615</v>
      </c>
      <c r="AC11" s="515">
        <f t="shared" si="5"/>
        <v>4</v>
      </c>
      <c r="AD11" s="706"/>
      <c r="AE11" s="573">
        <v>18</v>
      </c>
      <c r="AF11" s="574">
        <v>2181.4285714285706</v>
      </c>
      <c r="AG11" s="574">
        <v>121.19047619047615</v>
      </c>
      <c r="AH11" s="515">
        <f t="shared" si="6"/>
        <v>4</v>
      </c>
      <c r="AI11" s="706"/>
      <c r="AJ11" s="573">
        <v>18</v>
      </c>
      <c r="AK11" s="574">
        <v>2150.2325581395344</v>
      </c>
      <c r="AL11" s="574">
        <v>119.45736434108524</v>
      </c>
      <c r="AM11" s="515">
        <f t="shared" si="7"/>
        <v>4</v>
      </c>
      <c r="AN11" s="706"/>
      <c r="AO11" s="573">
        <v>18</v>
      </c>
      <c r="AP11" s="574">
        <v>2147.2727272727275</v>
      </c>
      <c r="AQ11" s="574">
        <v>119.2929292929293</v>
      </c>
      <c r="AR11" s="515">
        <f t="shared" si="8"/>
        <v>4</v>
      </c>
      <c r="AS11" s="706"/>
      <c r="AT11" s="573">
        <v>18</v>
      </c>
      <c r="AU11" s="574">
        <v>2137.6000000000004</v>
      </c>
      <c r="AV11" s="574">
        <v>118.75555555555557</v>
      </c>
      <c r="AW11" s="515">
        <f t="shared" si="9"/>
        <v>4</v>
      </c>
      <c r="AX11" s="706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692"/>
      <c r="C12" s="515">
        <v>6</v>
      </c>
      <c r="D12" s="498"/>
      <c r="E12" s="518"/>
      <c r="F12" s="518"/>
      <c r="G12" s="518"/>
      <c r="H12" s="727"/>
      <c r="I12" s="518"/>
      <c r="J12" s="518"/>
      <c r="K12" s="513"/>
      <c r="L12" s="704"/>
      <c r="M12" s="517" t="e">
        <f>RANK(K12, K$7:$K$21)</f>
        <v>#N/A</v>
      </c>
      <c r="N12" s="659"/>
      <c r="O12" s="659"/>
      <c r="P12" s="515"/>
      <c r="Q12" s="518"/>
      <c r="R12" s="518"/>
      <c r="S12" s="515" t="e">
        <f t="shared" si="3"/>
        <v>#N/A</v>
      </c>
      <c r="T12" s="706"/>
      <c r="U12" s="573"/>
      <c r="V12" s="574"/>
      <c r="W12" s="574"/>
      <c r="X12" s="515" t="e">
        <f t="shared" si="4"/>
        <v>#N/A</v>
      </c>
      <c r="Y12" s="706"/>
      <c r="Z12" s="573"/>
      <c r="AA12" s="574"/>
      <c r="AB12" s="574"/>
      <c r="AC12" s="515" t="e">
        <f t="shared" si="5"/>
        <v>#N/A</v>
      </c>
      <c r="AD12" s="706"/>
      <c r="AE12" s="573"/>
      <c r="AF12" s="574"/>
      <c r="AG12" s="574"/>
      <c r="AH12" s="515" t="e">
        <f t="shared" si="6"/>
        <v>#N/A</v>
      </c>
      <c r="AI12" s="706"/>
      <c r="AJ12" s="573"/>
      <c r="AK12" s="574"/>
      <c r="AL12" s="574"/>
      <c r="AM12" s="515" t="e">
        <f t="shared" si="7"/>
        <v>#N/A</v>
      </c>
      <c r="AN12" s="706"/>
      <c r="AO12" s="573"/>
      <c r="AP12" s="574"/>
      <c r="AQ12" s="574"/>
      <c r="AR12" s="515" t="e">
        <f t="shared" si="8"/>
        <v>#N/A</v>
      </c>
      <c r="AS12" s="706"/>
      <c r="AT12" s="573"/>
      <c r="AU12" s="574"/>
      <c r="AV12" s="574"/>
      <c r="AW12" s="515" t="e">
        <f t="shared" si="9"/>
        <v>#N/A</v>
      </c>
      <c r="AX12" s="706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692"/>
      <c r="C13" s="515">
        <v>7</v>
      </c>
      <c r="D13" s="498"/>
      <c r="E13" s="518"/>
      <c r="F13" s="518"/>
      <c r="G13" s="518"/>
      <c r="H13" s="727"/>
      <c r="I13" s="518"/>
      <c r="J13" s="518"/>
      <c r="K13" s="513"/>
      <c r="L13" s="704"/>
      <c r="M13" s="517" t="e">
        <f>RANK(K13, K$7:$K$21)</f>
        <v>#N/A</v>
      </c>
      <c r="N13" s="659"/>
      <c r="O13" s="659"/>
      <c r="P13" s="515"/>
      <c r="Q13" s="518"/>
      <c r="R13" s="518"/>
      <c r="S13" s="515" t="e">
        <f t="shared" si="3"/>
        <v>#N/A</v>
      </c>
      <c r="T13" s="706"/>
      <c r="U13" s="573"/>
      <c r="V13" s="574"/>
      <c r="W13" s="574"/>
      <c r="X13" s="515" t="e">
        <f t="shared" si="4"/>
        <v>#N/A</v>
      </c>
      <c r="Y13" s="706"/>
      <c r="Z13" s="573"/>
      <c r="AA13" s="574"/>
      <c r="AB13" s="574"/>
      <c r="AC13" s="515" t="e">
        <f t="shared" si="5"/>
        <v>#N/A</v>
      </c>
      <c r="AD13" s="706"/>
      <c r="AE13" s="573"/>
      <c r="AF13" s="574"/>
      <c r="AG13" s="574"/>
      <c r="AH13" s="515" t="e">
        <f t="shared" si="6"/>
        <v>#N/A</v>
      </c>
      <c r="AI13" s="706"/>
      <c r="AJ13" s="573"/>
      <c r="AK13" s="574"/>
      <c r="AL13" s="574"/>
      <c r="AM13" s="515" t="e">
        <f t="shared" si="7"/>
        <v>#N/A</v>
      </c>
      <c r="AN13" s="706"/>
      <c r="AO13" s="573"/>
      <c r="AP13" s="574"/>
      <c r="AQ13" s="574"/>
      <c r="AR13" s="515" t="e">
        <f t="shared" si="8"/>
        <v>#N/A</v>
      </c>
      <c r="AS13" s="706"/>
      <c r="AT13" s="573"/>
      <c r="AU13" s="574"/>
      <c r="AV13" s="574"/>
      <c r="AW13" s="515" t="e">
        <f t="shared" si="9"/>
        <v>#N/A</v>
      </c>
      <c r="AX13" s="706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692"/>
      <c r="C14" s="515">
        <v>8</v>
      </c>
      <c r="D14" s="498"/>
      <c r="E14" s="518"/>
      <c r="F14" s="518"/>
      <c r="G14" s="518"/>
      <c r="H14" s="727"/>
      <c r="I14" s="518"/>
      <c r="J14" s="518"/>
      <c r="K14" s="513"/>
      <c r="L14" s="704"/>
      <c r="M14" s="517" t="e">
        <f>RANK(K14, K$7:$K$21)</f>
        <v>#N/A</v>
      </c>
      <c r="N14" s="659"/>
      <c r="O14" s="659"/>
      <c r="P14" s="515"/>
      <c r="Q14" s="518"/>
      <c r="R14" s="518"/>
      <c r="S14" s="515" t="e">
        <f t="shared" si="3"/>
        <v>#N/A</v>
      </c>
      <c r="T14" s="706"/>
      <c r="U14" s="573"/>
      <c r="V14" s="574"/>
      <c r="W14" s="574"/>
      <c r="X14" s="515" t="e">
        <f t="shared" si="4"/>
        <v>#N/A</v>
      </c>
      <c r="Y14" s="706"/>
      <c r="Z14" s="573"/>
      <c r="AA14" s="574"/>
      <c r="AB14" s="574"/>
      <c r="AC14" s="515" t="e">
        <f t="shared" si="5"/>
        <v>#N/A</v>
      </c>
      <c r="AD14" s="706"/>
      <c r="AE14" s="573"/>
      <c r="AF14" s="574"/>
      <c r="AG14" s="574"/>
      <c r="AH14" s="515" t="e">
        <f t="shared" si="6"/>
        <v>#N/A</v>
      </c>
      <c r="AI14" s="706"/>
      <c r="AJ14" s="573"/>
      <c r="AK14" s="574"/>
      <c r="AL14" s="574"/>
      <c r="AM14" s="515" t="e">
        <f t="shared" si="7"/>
        <v>#N/A</v>
      </c>
      <c r="AN14" s="706"/>
      <c r="AO14" s="573"/>
      <c r="AP14" s="574"/>
      <c r="AQ14" s="574"/>
      <c r="AR14" s="515" t="e">
        <f t="shared" si="8"/>
        <v>#N/A</v>
      </c>
      <c r="AS14" s="706"/>
      <c r="AT14" s="573"/>
      <c r="AU14" s="574"/>
      <c r="AV14" s="574"/>
      <c r="AW14" s="515" t="e">
        <f t="shared" si="9"/>
        <v>#N/A</v>
      </c>
      <c r="AX14" s="706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692"/>
      <c r="C15" s="515">
        <v>9</v>
      </c>
      <c r="D15" s="498"/>
      <c r="E15" s="518"/>
      <c r="F15" s="518"/>
      <c r="G15" s="518"/>
      <c r="H15" s="727"/>
      <c r="I15" s="518"/>
      <c r="J15" s="518"/>
      <c r="K15" s="513"/>
      <c r="L15" s="704"/>
      <c r="M15" s="517" t="e">
        <f>RANK(K15, K$7:$K$21)</f>
        <v>#N/A</v>
      </c>
      <c r="N15" s="659"/>
      <c r="O15" s="659"/>
      <c r="P15" s="515"/>
      <c r="Q15" s="518"/>
      <c r="R15" s="518"/>
      <c r="S15" s="515" t="e">
        <f t="shared" si="3"/>
        <v>#N/A</v>
      </c>
      <c r="T15" s="706"/>
      <c r="U15" s="573"/>
      <c r="V15" s="574"/>
      <c r="W15" s="574"/>
      <c r="X15" s="515" t="e">
        <f t="shared" si="4"/>
        <v>#N/A</v>
      </c>
      <c r="Y15" s="706"/>
      <c r="Z15" s="573"/>
      <c r="AA15" s="574"/>
      <c r="AB15" s="574"/>
      <c r="AC15" s="515" t="e">
        <f t="shared" si="5"/>
        <v>#N/A</v>
      </c>
      <c r="AD15" s="706"/>
      <c r="AE15" s="573"/>
      <c r="AF15" s="574"/>
      <c r="AG15" s="574"/>
      <c r="AH15" s="515" t="e">
        <f t="shared" si="6"/>
        <v>#N/A</v>
      </c>
      <c r="AI15" s="706"/>
      <c r="AJ15" s="573"/>
      <c r="AK15" s="574"/>
      <c r="AL15" s="574"/>
      <c r="AM15" s="515" t="e">
        <f t="shared" si="7"/>
        <v>#N/A</v>
      </c>
      <c r="AN15" s="706"/>
      <c r="AO15" s="573"/>
      <c r="AP15" s="574"/>
      <c r="AQ15" s="574"/>
      <c r="AR15" s="515" t="e">
        <f t="shared" si="8"/>
        <v>#N/A</v>
      </c>
      <c r="AS15" s="706"/>
      <c r="AT15" s="573"/>
      <c r="AU15" s="574"/>
      <c r="AV15" s="574"/>
      <c r="AW15" s="515" t="e">
        <f t="shared" si="9"/>
        <v>#N/A</v>
      </c>
      <c r="AX15" s="706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692"/>
      <c r="C16" s="515">
        <v>10</v>
      </c>
      <c r="D16" s="498"/>
      <c r="E16" s="518"/>
      <c r="F16" s="518"/>
      <c r="G16" s="518"/>
      <c r="H16" s="727"/>
      <c r="I16" s="518"/>
      <c r="J16" s="518"/>
      <c r="K16" s="513"/>
      <c r="L16" s="704"/>
      <c r="M16" s="517" t="e">
        <f>RANK(K16, K$7:$K$21)</f>
        <v>#N/A</v>
      </c>
      <c r="N16" s="659"/>
      <c r="O16" s="659"/>
      <c r="P16" s="515"/>
      <c r="Q16" s="518"/>
      <c r="R16" s="518"/>
      <c r="S16" s="515" t="e">
        <f t="shared" si="3"/>
        <v>#N/A</v>
      </c>
      <c r="T16" s="706"/>
      <c r="U16" s="573"/>
      <c r="V16" s="574"/>
      <c r="W16" s="574"/>
      <c r="X16" s="515" t="e">
        <f t="shared" si="4"/>
        <v>#N/A</v>
      </c>
      <c r="Y16" s="706"/>
      <c r="Z16" s="573"/>
      <c r="AA16" s="574"/>
      <c r="AB16" s="574"/>
      <c r="AC16" s="515" t="e">
        <f t="shared" si="5"/>
        <v>#N/A</v>
      </c>
      <c r="AD16" s="706"/>
      <c r="AE16" s="573"/>
      <c r="AF16" s="574"/>
      <c r="AG16" s="574"/>
      <c r="AH16" s="515" t="e">
        <f t="shared" si="6"/>
        <v>#N/A</v>
      </c>
      <c r="AI16" s="706"/>
      <c r="AJ16" s="573"/>
      <c r="AK16" s="574"/>
      <c r="AL16" s="574"/>
      <c r="AM16" s="515" t="e">
        <f t="shared" si="7"/>
        <v>#N/A</v>
      </c>
      <c r="AN16" s="706"/>
      <c r="AO16" s="573"/>
      <c r="AP16" s="574"/>
      <c r="AQ16" s="574"/>
      <c r="AR16" s="515" t="e">
        <f t="shared" si="8"/>
        <v>#N/A</v>
      </c>
      <c r="AS16" s="706"/>
      <c r="AT16" s="573"/>
      <c r="AU16" s="574"/>
      <c r="AV16" s="574"/>
      <c r="AW16" s="515" t="e">
        <f t="shared" si="9"/>
        <v>#N/A</v>
      </c>
      <c r="AX16" s="706"/>
      <c r="AZ16" s="362" t="e">
        <f>RANK(AX16, $K$7:AX$21)</f>
        <v>#N/A</v>
      </c>
      <c r="BB16" s="359" t="e">
        <f t="shared" si="10"/>
        <v>#N/A</v>
      </c>
    </row>
    <row r="17" spans="2:54">
      <c r="B17" s="692"/>
      <c r="C17" s="515">
        <v>11</v>
      </c>
      <c r="D17" s="498"/>
      <c r="E17" s="518"/>
      <c r="F17" s="518"/>
      <c r="G17" s="518"/>
      <c r="H17" s="727"/>
      <c r="I17" s="515"/>
      <c r="J17" s="515"/>
      <c r="K17" s="515"/>
      <c r="L17" s="704"/>
      <c r="M17" s="517" t="e">
        <f>RANK(K17, K$7:$K$21)</f>
        <v>#N/A</v>
      </c>
      <c r="N17" s="659"/>
      <c r="O17" s="659"/>
      <c r="P17" s="515"/>
      <c r="Q17" s="518"/>
      <c r="R17" s="518"/>
      <c r="S17" s="515" t="e">
        <f t="shared" si="3"/>
        <v>#N/A</v>
      </c>
      <c r="T17" s="706"/>
      <c r="U17" s="573"/>
      <c r="V17" s="574"/>
      <c r="W17" s="574"/>
      <c r="X17" s="515" t="e">
        <f t="shared" si="4"/>
        <v>#N/A</v>
      </c>
      <c r="Y17" s="706"/>
      <c r="Z17" s="573"/>
      <c r="AA17" s="574"/>
      <c r="AB17" s="574"/>
      <c r="AC17" s="515" t="e">
        <f t="shared" si="5"/>
        <v>#N/A</v>
      </c>
      <c r="AD17" s="706"/>
      <c r="AE17" s="573"/>
      <c r="AF17" s="574"/>
      <c r="AG17" s="574"/>
      <c r="AH17" s="515" t="e">
        <f t="shared" si="6"/>
        <v>#N/A</v>
      </c>
      <c r="AI17" s="706"/>
      <c r="AJ17" s="573"/>
      <c r="AK17" s="574"/>
      <c r="AL17" s="574"/>
      <c r="AM17" s="515" t="e">
        <f t="shared" si="7"/>
        <v>#N/A</v>
      </c>
      <c r="AN17" s="706"/>
      <c r="AO17" s="573"/>
      <c r="AP17" s="574"/>
      <c r="AQ17" s="574"/>
      <c r="AR17" s="515" t="e">
        <f t="shared" si="8"/>
        <v>#N/A</v>
      </c>
      <c r="AS17" s="706"/>
      <c r="AT17" s="573"/>
      <c r="AU17" s="574"/>
      <c r="AV17" s="574"/>
      <c r="AW17" s="515" t="e">
        <f t="shared" si="9"/>
        <v>#N/A</v>
      </c>
      <c r="AX17" s="706"/>
      <c r="AZ17" s="362" t="e">
        <f>RANK(AX17, $K$7:AX$21)</f>
        <v>#N/A</v>
      </c>
      <c r="BB17" s="359" t="e">
        <f t="shared" si="10"/>
        <v>#N/A</v>
      </c>
    </row>
    <row r="18" spans="2:54">
      <c r="B18" s="692"/>
      <c r="C18" s="515">
        <v>12</v>
      </c>
      <c r="D18" s="498"/>
      <c r="E18" s="518"/>
      <c r="F18" s="518"/>
      <c r="G18" s="518"/>
      <c r="H18" s="727"/>
      <c r="I18" s="515"/>
      <c r="J18" s="515"/>
      <c r="K18" s="515"/>
      <c r="L18" s="704"/>
      <c r="M18" s="517" t="e">
        <f>RANK(K18, K$7:$K$21)</f>
        <v>#N/A</v>
      </c>
      <c r="N18" s="659"/>
      <c r="O18" s="659"/>
      <c r="P18" s="515"/>
      <c r="Q18" s="518"/>
      <c r="R18" s="518"/>
      <c r="S18" s="515" t="e">
        <f t="shared" si="3"/>
        <v>#N/A</v>
      </c>
      <c r="T18" s="706"/>
      <c r="U18" s="573"/>
      <c r="V18" s="574"/>
      <c r="W18" s="574"/>
      <c r="X18" s="515" t="e">
        <f t="shared" si="4"/>
        <v>#N/A</v>
      </c>
      <c r="Y18" s="706"/>
      <c r="Z18" s="573"/>
      <c r="AA18" s="574"/>
      <c r="AB18" s="574"/>
      <c r="AC18" s="515" t="e">
        <f t="shared" si="5"/>
        <v>#N/A</v>
      </c>
      <c r="AD18" s="706"/>
      <c r="AE18" s="573"/>
      <c r="AF18" s="574"/>
      <c r="AG18" s="574"/>
      <c r="AH18" s="515" t="e">
        <f t="shared" si="6"/>
        <v>#N/A</v>
      </c>
      <c r="AI18" s="706"/>
      <c r="AJ18" s="573"/>
      <c r="AK18" s="574"/>
      <c r="AL18" s="574"/>
      <c r="AM18" s="515" t="e">
        <f t="shared" si="7"/>
        <v>#N/A</v>
      </c>
      <c r="AN18" s="706"/>
      <c r="AO18" s="573"/>
      <c r="AP18" s="574"/>
      <c r="AQ18" s="574"/>
      <c r="AR18" s="515" t="e">
        <f t="shared" si="8"/>
        <v>#N/A</v>
      </c>
      <c r="AS18" s="706"/>
      <c r="AT18" s="573"/>
      <c r="AU18" s="574"/>
      <c r="AV18" s="574"/>
      <c r="AW18" s="515" t="e">
        <f t="shared" si="9"/>
        <v>#N/A</v>
      </c>
      <c r="AX18" s="706"/>
      <c r="AZ18" s="362" t="e">
        <f>RANK(AX18, $K$7:AX$21)</f>
        <v>#N/A</v>
      </c>
      <c r="BB18" s="359" t="e">
        <f t="shared" si="10"/>
        <v>#N/A</v>
      </c>
    </row>
    <row r="19" spans="2:54">
      <c r="B19" s="692"/>
      <c r="C19" s="515">
        <v>13</v>
      </c>
      <c r="D19" s="498"/>
      <c r="E19" s="518"/>
      <c r="F19" s="518"/>
      <c r="G19" s="518"/>
      <c r="H19" s="727"/>
      <c r="I19" s="515"/>
      <c r="J19" s="515"/>
      <c r="K19" s="515"/>
      <c r="L19" s="704"/>
      <c r="M19" s="517" t="e">
        <f>RANK(K19, K$7:$K$21)</f>
        <v>#N/A</v>
      </c>
      <c r="N19" s="659"/>
      <c r="O19" s="659"/>
      <c r="P19" s="515"/>
      <c r="Q19" s="518"/>
      <c r="R19" s="518"/>
      <c r="S19" s="515" t="e">
        <f t="shared" si="3"/>
        <v>#N/A</v>
      </c>
      <c r="T19" s="706"/>
      <c r="U19" s="573"/>
      <c r="V19" s="574"/>
      <c r="W19" s="574"/>
      <c r="X19" s="515" t="e">
        <f t="shared" si="4"/>
        <v>#N/A</v>
      </c>
      <c r="Y19" s="706"/>
      <c r="Z19" s="573"/>
      <c r="AA19" s="574"/>
      <c r="AB19" s="574"/>
      <c r="AC19" s="515" t="e">
        <f t="shared" si="5"/>
        <v>#N/A</v>
      </c>
      <c r="AD19" s="706"/>
      <c r="AE19" s="573"/>
      <c r="AF19" s="574"/>
      <c r="AG19" s="574"/>
      <c r="AH19" s="515" t="e">
        <f t="shared" si="6"/>
        <v>#N/A</v>
      </c>
      <c r="AI19" s="706"/>
      <c r="AJ19" s="573"/>
      <c r="AK19" s="574"/>
      <c r="AL19" s="574"/>
      <c r="AM19" s="515" t="e">
        <f t="shared" si="7"/>
        <v>#N/A</v>
      </c>
      <c r="AN19" s="706"/>
      <c r="AO19" s="573"/>
      <c r="AP19" s="574"/>
      <c r="AQ19" s="574"/>
      <c r="AR19" s="515" t="e">
        <f t="shared" si="8"/>
        <v>#N/A</v>
      </c>
      <c r="AS19" s="706"/>
      <c r="AT19" s="573"/>
      <c r="AU19" s="574"/>
      <c r="AV19" s="574"/>
      <c r="AW19" s="515" t="e">
        <f t="shared" si="9"/>
        <v>#N/A</v>
      </c>
      <c r="AX19" s="706"/>
      <c r="AZ19" s="362" t="e">
        <f>RANK(AX19, $K$7:AX$21)</f>
        <v>#N/A</v>
      </c>
      <c r="BB19" s="359" t="e">
        <f t="shared" si="10"/>
        <v>#N/A</v>
      </c>
    </row>
    <row r="20" spans="2:54">
      <c r="B20" s="692"/>
      <c r="C20" s="515">
        <v>14</v>
      </c>
      <c r="D20" s="498"/>
      <c r="E20" s="518"/>
      <c r="F20" s="518"/>
      <c r="G20" s="518"/>
      <c r="H20" s="727"/>
      <c r="I20" s="515"/>
      <c r="J20" s="515"/>
      <c r="K20" s="515"/>
      <c r="L20" s="704"/>
      <c r="M20" s="517" t="e">
        <f>RANK(K20, K$7:$K$21)</f>
        <v>#N/A</v>
      </c>
      <c r="N20" s="659"/>
      <c r="O20" s="659"/>
      <c r="P20" s="515"/>
      <c r="Q20" s="518"/>
      <c r="R20" s="518"/>
      <c r="S20" s="515" t="e">
        <f t="shared" si="3"/>
        <v>#N/A</v>
      </c>
      <c r="T20" s="706"/>
      <c r="U20" s="573"/>
      <c r="V20" s="574"/>
      <c r="W20" s="574"/>
      <c r="X20" s="515" t="e">
        <f t="shared" si="4"/>
        <v>#N/A</v>
      </c>
      <c r="Y20" s="706"/>
      <c r="Z20" s="573"/>
      <c r="AA20" s="574"/>
      <c r="AB20" s="574"/>
      <c r="AC20" s="515" t="e">
        <f t="shared" si="5"/>
        <v>#N/A</v>
      </c>
      <c r="AD20" s="706"/>
      <c r="AE20" s="573"/>
      <c r="AF20" s="574"/>
      <c r="AG20" s="574"/>
      <c r="AH20" s="515" t="e">
        <f t="shared" si="6"/>
        <v>#N/A</v>
      </c>
      <c r="AI20" s="706"/>
      <c r="AJ20" s="573"/>
      <c r="AK20" s="574"/>
      <c r="AL20" s="574"/>
      <c r="AM20" s="515" t="e">
        <f t="shared" si="7"/>
        <v>#N/A</v>
      </c>
      <c r="AN20" s="706"/>
      <c r="AO20" s="573"/>
      <c r="AP20" s="574"/>
      <c r="AQ20" s="574"/>
      <c r="AR20" s="515" t="e">
        <f t="shared" si="8"/>
        <v>#N/A</v>
      </c>
      <c r="AS20" s="706"/>
      <c r="AT20" s="573"/>
      <c r="AU20" s="574"/>
      <c r="AV20" s="574"/>
      <c r="AW20" s="515" t="e">
        <f t="shared" si="9"/>
        <v>#N/A</v>
      </c>
      <c r="AX20" s="706"/>
      <c r="AZ20" s="362" t="e">
        <f>RANK(AX20, $K$7:AX$21)</f>
        <v>#N/A</v>
      </c>
      <c r="BB20" s="359" t="e">
        <f t="shared" si="10"/>
        <v>#N/A</v>
      </c>
    </row>
    <row r="21" spans="2:54">
      <c r="B21" s="692"/>
      <c r="C21" s="515">
        <v>15</v>
      </c>
      <c r="D21" s="498"/>
      <c r="E21" s="518"/>
      <c r="F21" s="518"/>
      <c r="G21" s="518"/>
      <c r="H21" s="728"/>
      <c r="I21" s="515"/>
      <c r="J21" s="515"/>
      <c r="K21" s="515"/>
      <c r="L21" s="714"/>
      <c r="M21" s="517" t="e">
        <f>RANK(K21, K$7:$K$21)</f>
        <v>#N/A</v>
      </c>
      <c r="N21" s="659"/>
      <c r="O21" s="659"/>
      <c r="P21" s="515"/>
      <c r="Q21" s="518"/>
      <c r="R21" s="518"/>
      <c r="S21" s="515" t="e">
        <f t="shared" si="3"/>
        <v>#N/A</v>
      </c>
      <c r="T21" s="706"/>
      <c r="U21" s="573"/>
      <c r="V21" s="574"/>
      <c r="W21" s="574"/>
      <c r="X21" s="515" t="e">
        <f t="shared" si="4"/>
        <v>#N/A</v>
      </c>
      <c r="Y21" s="706"/>
      <c r="Z21" s="573"/>
      <c r="AA21" s="574"/>
      <c r="AB21" s="574"/>
      <c r="AC21" s="515" t="e">
        <f t="shared" si="5"/>
        <v>#N/A</v>
      </c>
      <c r="AD21" s="706"/>
      <c r="AE21" s="573"/>
      <c r="AF21" s="574"/>
      <c r="AG21" s="574"/>
      <c r="AH21" s="515" t="e">
        <f t="shared" si="6"/>
        <v>#N/A</v>
      </c>
      <c r="AI21" s="706"/>
      <c r="AJ21" s="573"/>
      <c r="AK21" s="574"/>
      <c r="AL21" s="574"/>
      <c r="AM21" s="515" t="e">
        <f t="shared" si="7"/>
        <v>#N/A</v>
      </c>
      <c r="AN21" s="706"/>
      <c r="AO21" s="573"/>
      <c r="AP21" s="574"/>
      <c r="AQ21" s="574"/>
      <c r="AR21" s="515" t="e">
        <f t="shared" si="8"/>
        <v>#N/A</v>
      </c>
      <c r="AS21" s="706"/>
      <c r="AT21" s="573"/>
      <c r="AU21" s="574"/>
      <c r="AV21" s="574"/>
      <c r="AW21" s="515" t="e">
        <f t="shared" si="9"/>
        <v>#N/A</v>
      </c>
      <c r="AX21" s="706"/>
      <c r="AZ21" s="361" t="e">
        <f>RANK(AX21, $K$7:AX$21)</f>
        <v>#N/A</v>
      </c>
      <c r="BB21" s="359" t="e">
        <f t="shared" si="10"/>
        <v>#N/A</v>
      </c>
    </row>
    <row r="22" spans="2:54" ht="15.75">
      <c r="B22" s="685" t="s">
        <v>163</v>
      </c>
      <c r="C22" s="686"/>
      <c r="D22" s="686"/>
      <c r="E22" s="686"/>
      <c r="F22" s="686"/>
      <c r="G22" s="686"/>
      <c r="H22" s="686"/>
      <c r="I22" s="203"/>
      <c r="J22" s="203"/>
      <c r="K22" s="203"/>
      <c r="L22" s="203"/>
      <c r="M22" s="204"/>
      <c r="N22" s="660" t="s">
        <v>156</v>
      </c>
      <c r="O22" s="660" t="s">
        <v>105</v>
      </c>
      <c r="P22" s="666">
        <f>P2+7</f>
        <v>46091</v>
      </c>
      <c r="Q22" s="667"/>
      <c r="R22" s="667"/>
      <c r="S22" s="667"/>
      <c r="T22" s="667"/>
      <c r="U22" s="663">
        <f>P22+1</f>
        <v>46092</v>
      </c>
      <c r="V22" s="664"/>
      <c r="W22" s="664"/>
      <c r="X22" s="664"/>
      <c r="Y22" s="665"/>
      <c r="Z22" s="663">
        <f>U22+1</f>
        <v>46093</v>
      </c>
      <c r="AA22" s="664"/>
      <c r="AB22" s="664"/>
      <c r="AC22" s="664"/>
      <c r="AD22" s="665"/>
      <c r="AE22" s="663">
        <f>Z22+1</f>
        <v>46094</v>
      </c>
      <c r="AF22" s="664"/>
      <c r="AG22" s="664"/>
      <c r="AH22" s="664"/>
      <c r="AI22" s="665"/>
      <c r="AJ22" s="663">
        <f>AE22+1</f>
        <v>46095</v>
      </c>
      <c r="AK22" s="664"/>
      <c r="AL22" s="664"/>
      <c r="AM22" s="664"/>
      <c r="AN22" s="665"/>
      <c r="AO22" s="663">
        <f>AJ22+1</f>
        <v>46096</v>
      </c>
      <c r="AP22" s="664"/>
      <c r="AQ22" s="664"/>
      <c r="AR22" s="664"/>
      <c r="AS22" s="665"/>
      <c r="AT22" s="663">
        <f>AO22+1</f>
        <v>46097</v>
      </c>
      <c r="AU22" s="664"/>
      <c r="AV22" s="664"/>
      <c r="AW22" s="664"/>
      <c r="AX22" s="665"/>
    </row>
    <row r="23" spans="2:54" ht="15.75">
      <c r="B23" s="674"/>
      <c r="C23" s="674"/>
      <c r="D23" s="674"/>
      <c r="E23" s="674"/>
      <c r="F23" s="674"/>
      <c r="G23" s="674"/>
      <c r="H23" s="674"/>
      <c r="I23" s="205"/>
      <c r="J23" s="205"/>
      <c r="K23" s="205"/>
      <c r="L23" s="205"/>
      <c r="M23" s="206"/>
      <c r="N23" s="662"/>
      <c r="O23" s="662"/>
      <c r="P23" s="666" t="s">
        <v>336</v>
      </c>
      <c r="Q23" s="667"/>
      <c r="R23" s="667"/>
      <c r="S23" s="667"/>
      <c r="T23" s="667"/>
      <c r="U23" s="666" t="s">
        <v>337</v>
      </c>
      <c r="V23" s="667"/>
      <c r="W23" s="667"/>
      <c r="X23" s="667"/>
      <c r="Y23" s="667"/>
      <c r="Z23" s="666" t="s">
        <v>338</v>
      </c>
      <c r="AA23" s="667"/>
      <c r="AB23" s="667"/>
      <c r="AC23" s="667"/>
      <c r="AD23" s="667"/>
      <c r="AE23" s="666" t="s">
        <v>339</v>
      </c>
      <c r="AF23" s="667"/>
      <c r="AG23" s="667"/>
      <c r="AH23" s="667"/>
      <c r="AI23" s="667"/>
      <c r="AJ23" s="666" t="s">
        <v>340</v>
      </c>
      <c r="AK23" s="667"/>
      <c r="AL23" s="667"/>
      <c r="AM23" s="667"/>
      <c r="AN23" s="667"/>
      <c r="AO23" s="666" t="s">
        <v>341</v>
      </c>
      <c r="AP23" s="667"/>
      <c r="AQ23" s="667"/>
      <c r="AR23" s="667"/>
      <c r="AS23" s="667"/>
      <c r="AT23" s="666" t="s">
        <v>342</v>
      </c>
      <c r="AU23" s="667"/>
      <c r="AV23" s="667"/>
      <c r="AW23" s="667"/>
      <c r="AX23" s="667"/>
    </row>
    <row r="24" spans="2:54">
      <c r="B24" s="659" t="s">
        <v>154</v>
      </c>
      <c r="C24" s="659" t="s">
        <v>538</v>
      </c>
      <c r="D24" s="659"/>
      <c r="E24" s="659" t="s">
        <v>539</v>
      </c>
      <c r="F24" s="659"/>
      <c r="G24" s="659"/>
      <c r="H24" s="675" t="s">
        <v>416</v>
      </c>
      <c r="I24" s="643" t="s">
        <v>421</v>
      </c>
      <c r="J24" s="643"/>
      <c r="K24" s="643"/>
      <c r="L24" s="644" t="s">
        <v>540</v>
      </c>
      <c r="M24" s="650" t="s">
        <v>533</v>
      </c>
      <c r="N24" s="659"/>
      <c r="O24" s="659" t="s">
        <v>422</v>
      </c>
      <c r="P24" s="656" t="s">
        <v>541</v>
      </c>
      <c r="Q24" s="657"/>
      <c r="R24" s="657"/>
      <c r="S24" s="658"/>
      <c r="T24" s="659" t="s">
        <v>416</v>
      </c>
      <c r="U24" s="656" t="s">
        <v>541</v>
      </c>
      <c r="V24" s="657"/>
      <c r="W24" s="657"/>
      <c r="X24" s="658"/>
      <c r="Y24" s="659" t="s">
        <v>540</v>
      </c>
      <c r="Z24" s="656" t="s">
        <v>418</v>
      </c>
      <c r="AA24" s="657"/>
      <c r="AB24" s="657"/>
      <c r="AC24" s="658"/>
      <c r="AD24" s="659" t="s">
        <v>416</v>
      </c>
      <c r="AE24" s="656" t="s">
        <v>418</v>
      </c>
      <c r="AF24" s="657"/>
      <c r="AG24" s="657"/>
      <c r="AH24" s="658"/>
      <c r="AI24" s="659" t="s">
        <v>540</v>
      </c>
      <c r="AJ24" s="656" t="s">
        <v>418</v>
      </c>
      <c r="AK24" s="657"/>
      <c r="AL24" s="657"/>
      <c r="AM24" s="658"/>
      <c r="AN24" s="659" t="s">
        <v>416</v>
      </c>
      <c r="AO24" s="656" t="s">
        <v>541</v>
      </c>
      <c r="AP24" s="657"/>
      <c r="AQ24" s="657"/>
      <c r="AR24" s="658"/>
      <c r="AS24" s="659" t="s">
        <v>416</v>
      </c>
      <c r="AT24" s="656" t="s">
        <v>541</v>
      </c>
      <c r="AU24" s="657"/>
      <c r="AV24" s="657"/>
      <c r="AW24" s="658"/>
      <c r="AX24" s="659" t="s">
        <v>416</v>
      </c>
    </row>
    <row r="25" spans="2:54">
      <c r="B25" s="659"/>
      <c r="C25" s="659"/>
      <c r="D25" s="659"/>
      <c r="E25" s="659" t="s">
        <v>542</v>
      </c>
      <c r="F25" s="659"/>
      <c r="G25" s="659"/>
      <c r="H25" s="676"/>
      <c r="I25" s="643" t="s">
        <v>542</v>
      </c>
      <c r="J25" s="643"/>
      <c r="K25" s="643"/>
      <c r="L25" s="645"/>
      <c r="M25" s="651"/>
      <c r="N25" s="659"/>
      <c r="O25" s="659"/>
      <c r="P25" s="656" t="s">
        <v>424</v>
      </c>
      <c r="Q25" s="657"/>
      <c r="R25" s="657"/>
      <c r="S25" s="658"/>
      <c r="T25" s="659"/>
      <c r="U25" s="656" t="s">
        <v>424</v>
      </c>
      <c r="V25" s="657"/>
      <c r="W25" s="657"/>
      <c r="X25" s="658"/>
      <c r="Y25" s="659"/>
      <c r="Z25" s="656" t="s">
        <v>543</v>
      </c>
      <c r="AA25" s="657"/>
      <c r="AB25" s="657"/>
      <c r="AC25" s="658"/>
      <c r="AD25" s="659"/>
      <c r="AE25" s="656" t="s">
        <v>543</v>
      </c>
      <c r="AF25" s="657"/>
      <c r="AG25" s="657"/>
      <c r="AH25" s="658"/>
      <c r="AI25" s="659"/>
      <c r="AJ25" s="656" t="s">
        <v>424</v>
      </c>
      <c r="AK25" s="657"/>
      <c r="AL25" s="657"/>
      <c r="AM25" s="658"/>
      <c r="AN25" s="659"/>
      <c r="AO25" s="656" t="s">
        <v>424</v>
      </c>
      <c r="AP25" s="657"/>
      <c r="AQ25" s="657"/>
      <c r="AR25" s="658"/>
      <c r="AS25" s="659"/>
      <c r="AT25" s="656" t="s">
        <v>543</v>
      </c>
      <c r="AU25" s="657"/>
      <c r="AV25" s="657"/>
      <c r="AW25" s="658"/>
      <c r="AX25" s="659"/>
    </row>
    <row r="26" spans="2:54">
      <c r="B26" s="659"/>
      <c r="C26" s="659"/>
      <c r="D26" s="659"/>
      <c r="E26" s="320" t="s">
        <v>425</v>
      </c>
      <c r="F26" s="320" t="s">
        <v>426</v>
      </c>
      <c r="G26" s="320" t="s">
        <v>427</v>
      </c>
      <c r="H26" s="677"/>
      <c r="I26" s="319" t="s">
        <v>544</v>
      </c>
      <c r="J26" s="319" t="s">
        <v>545</v>
      </c>
      <c r="K26" s="319" t="s">
        <v>546</v>
      </c>
      <c r="L26" s="646"/>
      <c r="M26" s="652"/>
      <c r="N26" s="659"/>
      <c r="O26" s="659"/>
      <c r="P26" s="320" t="s">
        <v>544</v>
      </c>
      <c r="Q26" s="320" t="s">
        <v>426</v>
      </c>
      <c r="R26" s="320" t="s">
        <v>427</v>
      </c>
      <c r="S26" s="320" t="s">
        <v>417</v>
      </c>
      <c r="T26" s="659"/>
      <c r="U26" s="320" t="s">
        <v>425</v>
      </c>
      <c r="V26" s="320" t="s">
        <v>545</v>
      </c>
      <c r="W26" s="320" t="s">
        <v>546</v>
      </c>
      <c r="X26" s="320" t="s">
        <v>417</v>
      </c>
      <c r="Y26" s="659"/>
      <c r="Z26" s="320" t="s">
        <v>544</v>
      </c>
      <c r="AA26" s="320" t="s">
        <v>545</v>
      </c>
      <c r="AB26" s="320" t="s">
        <v>427</v>
      </c>
      <c r="AC26" s="320" t="s">
        <v>417</v>
      </c>
      <c r="AD26" s="659"/>
      <c r="AE26" s="320" t="s">
        <v>544</v>
      </c>
      <c r="AF26" s="320" t="s">
        <v>547</v>
      </c>
      <c r="AG26" s="320" t="s">
        <v>427</v>
      </c>
      <c r="AH26" s="320" t="s">
        <v>548</v>
      </c>
      <c r="AI26" s="659"/>
      <c r="AJ26" s="320" t="s">
        <v>425</v>
      </c>
      <c r="AK26" s="320" t="s">
        <v>545</v>
      </c>
      <c r="AL26" s="320" t="s">
        <v>427</v>
      </c>
      <c r="AM26" s="320" t="s">
        <v>417</v>
      </c>
      <c r="AN26" s="659"/>
      <c r="AO26" s="320" t="s">
        <v>425</v>
      </c>
      <c r="AP26" s="320" t="s">
        <v>545</v>
      </c>
      <c r="AQ26" s="320" t="s">
        <v>546</v>
      </c>
      <c r="AR26" s="320" t="s">
        <v>417</v>
      </c>
      <c r="AS26" s="659"/>
      <c r="AT26" s="320" t="s">
        <v>425</v>
      </c>
      <c r="AU26" s="320" t="s">
        <v>545</v>
      </c>
      <c r="AV26" s="320" t="s">
        <v>427</v>
      </c>
      <c r="AW26" s="320" t="s">
        <v>417</v>
      </c>
      <c r="AX26" s="659"/>
    </row>
    <row r="27" spans="2:54">
      <c r="B27" s="659" t="s">
        <v>549</v>
      </c>
      <c r="C27" s="321">
        <v>1</v>
      </c>
      <c r="D27" s="227"/>
      <c r="E27" s="182"/>
      <c r="F27" s="569"/>
      <c r="G27" s="570"/>
      <c r="H27" s="708" t="e">
        <f>AVERAGE(G27:G41)</f>
        <v>#DIV/0!</v>
      </c>
      <c r="I27" s="199" t="e">
        <f t="shared" ref="I27:K29" si="11">AVERAGE(P27,U27,Z27,AE27,AJ27,AO27,AT27)</f>
        <v>#DIV/0!</v>
      </c>
      <c r="J27" s="199" t="e">
        <f t="shared" si="11"/>
        <v>#DIV/0!</v>
      </c>
      <c r="K27" s="200" t="e">
        <f t="shared" si="11"/>
        <v>#DIV/0!</v>
      </c>
      <c r="L27" s="640" t="str">
        <f>IFERROR(AVERAGE(K27:K41),"-")</f>
        <v>-</v>
      </c>
      <c r="M27" s="201" t="e">
        <f>RANK(K27, K$27:$K$41)</f>
        <v>#DIV/0!</v>
      </c>
      <c r="N27" s="659"/>
      <c r="O27" s="659"/>
      <c r="P27" s="573"/>
      <c r="Q27" s="574"/>
      <c r="R27" s="574"/>
      <c r="S27" s="321" t="e">
        <f t="shared" ref="S27:S41" si="12">RANK(R27, R$27:R$41)</f>
        <v>#N/A</v>
      </c>
      <c r="T27" s="708" t="e">
        <f>AVERAGE(R27:R41)</f>
        <v>#DIV/0!</v>
      </c>
      <c r="U27" s="573"/>
      <c r="V27" s="574"/>
      <c r="W27" s="574"/>
      <c r="X27" s="475" t="e">
        <f t="shared" ref="X27:X41" si="13">RANK(W27, W$27:W$41)</f>
        <v>#N/A</v>
      </c>
      <c r="Y27" s="708" t="e">
        <f t="shared" ref="Y27" si="14">AVERAGE(W27:W41)</f>
        <v>#DIV/0!</v>
      </c>
      <c r="Z27" s="573"/>
      <c r="AA27" s="574"/>
      <c r="AB27" s="574"/>
      <c r="AC27" s="475" t="e">
        <f t="shared" ref="AC27:AC41" si="15">RANK(AB27, AB$27:AB$41)</f>
        <v>#N/A</v>
      </c>
      <c r="AD27" s="708" t="e">
        <f t="shared" ref="AD27" si="16">AVERAGE(AB27:AB41)</f>
        <v>#DIV/0!</v>
      </c>
      <c r="AE27" s="573"/>
      <c r="AF27" s="574"/>
      <c r="AG27" s="574"/>
      <c r="AH27" s="475" t="e">
        <f t="shared" ref="AH27:AH41" si="17">RANK(AG27, AG$27:AG$41)</f>
        <v>#N/A</v>
      </c>
      <c r="AI27" s="708" t="e">
        <f t="shared" ref="AI27" si="18">AVERAGE(AG27:AG41)</f>
        <v>#DIV/0!</v>
      </c>
      <c r="AJ27" s="573"/>
      <c r="AK27" s="574"/>
      <c r="AL27" s="574"/>
      <c r="AM27" s="475" t="e">
        <f t="shared" ref="AM27:AM41" si="19">RANK(AL27, AL$27:AL$41)</f>
        <v>#N/A</v>
      </c>
      <c r="AN27" s="708" t="e">
        <f t="shared" ref="AN27" si="20">AVERAGE(AL27:AL41)</f>
        <v>#DIV/0!</v>
      </c>
      <c r="AO27" s="573"/>
      <c r="AP27" s="574"/>
      <c r="AQ27" s="574"/>
      <c r="AR27" s="475" t="e">
        <f t="shared" ref="AR27:AR41" si="21">RANK(AQ27, AQ$27:AQ$41)</f>
        <v>#N/A</v>
      </c>
      <c r="AS27" s="708" t="e">
        <f t="shared" ref="AS27" si="22">AVERAGE(AQ27:AQ41)</f>
        <v>#DIV/0!</v>
      </c>
      <c r="AT27" s="573"/>
      <c r="AU27" s="574"/>
      <c r="AV27" s="574"/>
      <c r="AW27" s="475" t="e">
        <f t="shared" ref="AW27:AW41" si="23">RANK(AV27, AV$27:AV$41)</f>
        <v>#N/A</v>
      </c>
      <c r="AX27" s="681" t="e">
        <f t="shared" ref="AX27" si="24">AVERAGE(AV27:AV41)</f>
        <v>#DIV/0!</v>
      </c>
    </row>
    <row r="28" spans="2:54">
      <c r="B28" s="667"/>
      <c r="C28" s="321">
        <v>2</v>
      </c>
      <c r="D28" s="227"/>
      <c r="E28" s="182"/>
      <c r="F28" s="569"/>
      <c r="G28" s="570"/>
      <c r="H28" s="709"/>
      <c r="I28" s="199" t="e">
        <f t="shared" si="11"/>
        <v>#DIV/0!</v>
      </c>
      <c r="J28" s="199" t="e">
        <f t="shared" si="11"/>
        <v>#DIV/0!</v>
      </c>
      <c r="K28" s="200" t="e">
        <f t="shared" si="11"/>
        <v>#DIV/0!</v>
      </c>
      <c r="L28" s="641"/>
      <c r="M28" s="201" t="e">
        <f>RANK(K28, K$27:$K$41)</f>
        <v>#DIV/0!</v>
      </c>
      <c r="N28" s="659"/>
      <c r="O28" s="659"/>
      <c r="P28" s="573"/>
      <c r="Q28" s="574"/>
      <c r="R28" s="574"/>
      <c r="S28" s="321" t="e">
        <f t="shared" si="12"/>
        <v>#N/A</v>
      </c>
      <c r="T28" s="709"/>
      <c r="U28" s="573"/>
      <c r="V28" s="574"/>
      <c r="W28" s="574"/>
      <c r="X28" s="475" t="e">
        <f t="shared" si="13"/>
        <v>#N/A</v>
      </c>
      <c r="Y28" s="709"/>
      <c r="Z28" s="573"/>
      <c r="AA28" s="574"/>
      <c r="AB28" s="574"/>
      <c r="AC28" s="475" t="e">
        <f t="shared" si="15"/>
        <v>#N/A</v>
      </c>
      <c r="AD28" s="709"/>
      <c r="AE28" s="573"/>
      <c r="AF28" s="574"/>
      <c r="AG28" s="574"/>
      <c r="AH28" s="475" t="e">
        <f t="shared" si="17"/>
        <v>#N/A</v>
      </c>
      <c r="AI28" s="709"/>
      <c r="AJ28" s="573"/>
      <c r="AK28" s="574"/>
      <c r="AL28" s="574"/>
      <c r="AM28" s="475" t="e">
        <f t="shared" si="19"/>
        <v>#N/A</v>
      </c>
      <c r="AN28" s="709"/>
      <c r="AO28" s="573"/>
      <c r="AP28" s="574"/>
      <c r="AQ28" s="574"/>
      <c r="AR28" s="475" t="e">
        <f t="shared" si="21"/>
        <v>#N/A</v>
      </c>
      <c r="AS28" s="709"/>
      <c r="AT28" s="573"/>
      <c r="AU28" s="574"/>
      <c r="AV28" s="574"/>
      <c r="AW28" s="475" t="e">
        <f t="shared" si="23"/>
        <v>#N/A</v>
      </c>
      <c r="AX28" s="681"/>
    </row>
    <row r="29" spans="2:54">
      <c r="B29" s="667"/>
      <c r="C29" s="321">
        <v>3</v>
      </c>
      <c r="D29" s="227"/>
      <c r="E29" s="182"/>
      <c r="F29" s="569"/>
      <c r="G29" s="570"/>
      <c r="H29" s="709"/>
      <c r="I29" s="199" t="e">
        <f t="shared" si="11"/>
        <v>#DIV/0!</v>
      </c>
      <c r="J29" s="199" t="e">
        <f t="shared" si="11"/>
        <v>#DIV/0!</v>
      </c>
      <c r="K29" s="200" t="e">
        <f t="shared" si="11"/>
        <v>#DIV/0!</v>
      </c>
      <c r="L29" s="641"/>
      <c r="M29" s="201" t="e">
        <f>RANK(K29, K$27:$K$41)</f>
        <v>#DIV/0!</v>
      </c>
      <c r="N29" s="659"/>
      <c r="O29" s="659"/>
      <c r="P29" s="573"/>
      <c r="Q29" s="574"/>
      <c r="R29" s="574"/>
      <c r="S29" s="321" t="e">
        <f t="shared" si="12"/>
        <v>#N/A</v>
      </c>
      <c r="T29" s="709"/>
      <c r="U29" s="573"/>
      <c r="V29" s="574"/>
      <c r="W29" s="574"/>
      <c r="X29" s="475" t="e">
        <f t="shared" si="13"/>
        <v>#N/A</v>
      </c>
      <c r="Y29" s="709"/>
      <c r="Z29" s="573"/>
      <c r="AA29" s="574"/>
      <c r="AB29" s="574"/>
      <c r="AC29" s="475" t="e">
        <f t="shared" si="15"/>
        <v>#N/A</v>
      </c>
      <c r="AD29" s="709"/>
      <c r="AE29" s="573"/>
      <c r="AF29" s="574"/>
      <c r="AG29" s="574"/>
      <c r="AH29" s="475" t="e">
        <f t="shared" si="17"/>
        <v>#N/A</v>
      </c>
      <c r="AI29" s="709"/>
      <c r="AJ29" s="573"/>
      <c r="AK29" s="574"/>
      <c r="AL29" s="574"/>
      <c r="AM29" s="475" t="e">
        <f t="shared" si="19"/>
        <v>#N/A</v>
      </c>
      <c r="AN29" s="709"/>
      <c r="AO29" s="573"/>
      <c r="AP29" s="574"/>
      <c r="AQ29" s="574"/>
      <c r="AR29" s="475" t="e">
        <f t="shared" si="21"/>
        <v>#N/A</v>
      </c>
      <c r="AS29" s="709"/>
      <c r="AT29" s="573"/>
      <c r="AU29" s="574"/>
      <c r="AV29" s="574"/>
      <c r="AW29" s="475" t="e">
        <f t="shared" si="23"/>
        <v>#N/A</v>
      </c>
      <c r="AX29" s="681"/>
    </row>
    <row r="30" spans="2:54">
      <c r="B30" s="667"/>
      <c r="C30" s="321">
        <v>4</v>
      </c>
      <c r="D30" s="227"/>
      <c r="E30" s="182"/>
      <c r="F30" s="569"/>
      <c r="G30" s="570"/>
      <c r="H30" s="709"/>
      <c r="I30" s="458" t="e">
        <f t="shared" ref="I30:I31" si="25">AVERAGE(P30,U30,Z30,AE30,AJ30,AO30,AT30)</f>
        <v>#DIV/0!</v>
      </c>
      <c r="J30" s="458" t="e">
        <f t="shared" ref="J30:J31" si="26">AVERAGE(Q30,V30,AA30,AF30,AK30,AP30,AU30)</f>
        <v>#DIV/0!</v>
      </c>
      <c r="K30" s="200" t="e">
        <f t="shared" ref="K30:K31" si="27">AVERAGE(R30,W30,AB30,AG30,AL30,AQ30,AV30)</f>
        <v>#DIV/0!</v>
      </c>
      <c r="L30" s="641"/>
      <c r="M30" s="201" t="e">
        <f>RANK(K30, K$27:$K$41)</f>
        <v>#DIV/0!</v>
      </c>
      <c r="N30" s="659"/>
      <c r="O30" s="659"/>
      <c r="P30" s="573"/>
      <c r="Q30" s="574"/>
      <c r="R30" s="574"/>
      <c r="S30" s="321" t="e">
        <f t="shared" si="12"/>
        <v>#N/A</v>
      </c>
      <c r="T30" s="709"/>
      <c r="U30" s="573"/>
      <c r="V30" s="574"/>
      <c r="W30" s="574"/>
      <c r="X30" s="475" t="e">
        <f t="shared" si="13"/>
        <v>#N/A</v>
      </c>
      <c r="Y30" s="709"/>
      <c r="Z30" s="573"/>
      <c r="AA30" s="574"/>
      <c r="AB30" s="574"/>
      <c r="AC30" s="475" t="e">
        <f t="shared" si="15"/>
        <v>#N/A</v>
      </c>
      <c r="AD30" s="709"/>
      <c r="AE30" s="573"/>
      <c r="AF30" s="574"/>
      <c r="AG30" s="574"/>
      <c r="AH30" s="475" t="e">
        <f t="shared" si="17"/>
        <v>#N/A</v>
      </c>
      <c r="AI30" s="709"/>
      <c r="AJ30" s="573"/>
      <c r="AK30" s="574"/>
      <c r="AL30" s="574"/>
      <c r="AM30" s="475" t="e">
        <f t="shared" si="19"/>
        <v>#N/A</v>
      </c>
      <c r="AN30" s="709"/>
      <c r="AO30" s="573"/>
      <c r="AP30" s="574"/>
      <c r="AQ30" s="574"/>
      <c r="AR30" s="475" t="e">
        <f t="shared" si="21"/>
        <v>#N/A</v>
      </c>
      <c r="AS30" s="709"/>
      <c r="AT30" s="573"/>
      <c r="AU30" s="574"/>
      <c r="AV30" s="574"/>
      <c r="AW30" s="475" t="e">
        <f t="shared" si="23"/>
        <v>#N/A</v>
      </c>
      <c r="AX30" s="681"/>
    </row>
    <row r="31" spans="2:54">
      <c r="B31" s="667"/>
      <c r="C31" s="321">
        <v>5</v>
      </c>
      <c r="D31" s="227"/>
      <c r="E31" s="182"/>
      <c r="F31" s="569"/>
      <c r="G31" s="570"/>
      <c r="H31" s="709"/>
      <c r="I31" s="458" t="e">
        <f t="shared" si="25"/>
        <v>#DIV/0!</v>
      </c>
      <c r="J31" s="458" t="e">
        <f t="shared" si="26"/>
        <v>#DIV/0!</v>
      </c>
      <c r="K31" s="200" t="e">
        <f t="shared" si="27"/>
        <v>#DIV/0!</v>
      </c>
      <c r="L31" s="641"/>
      <c r="M31" s="201" t="e">
        <f>RANK(K31, K$27:$K$41)</f>
        <v>#DIV/0!</v>
      </c>
      <c r="N31" s="659"/>
      <c r="O31" s="659"/>
      <c r="P31" s="573"/>
      <c r="Q31" s="574"/>
      <c r="R31" s="574"/>
      <c r="S31" s="321" t="e">
        <f t="shared" si="12"/>
        <v>#N/A</v>
      </c>
      <c r="T31" s="709"/>
      <c r="U31" s="573"/>
      <c r="V31" s="574"/>
      <c r="W31" s="574"/>
      <c r="X31" s="475" t="e">
        <f t="shared" si="13"/>
        <v>#N/A</v>
      </c>
      <c r="Y31" s="709"/>
      <c r="Z31" s="573"/>
      <c r="AA31" s="574"/>
      <c r="AB31" s="574"/>
      <c r="AC31" s="475" t="e">
        <f t="shared" si="15"/>
        <v>#N/A</v>
      </c>
      <c r="AD31" s="709"/>
      <c r="AE31" s="573"/>
      <c r="AF31" s="574"/>
      <c r="AG31" s="574"/>
      <c r="AH31" s="475" t="e">
        <f t="shared" si="17"/>
        <v>#N/A</v>
      </c>
      <c r="AI31" s="709"/>
      <c r="AJ31" s="573"/>
      <c r="AK31" s="574"/>
      <c r="AL31" s="574"/>
      <c r="AM31" s="475" t="e">
        <f t="shared" si="19"/>
        <v>#N/A</v>
      </c>
      <c r="AN31" s="709"/>
      <c r="AO31" s="573"/>
      <c r="AP31" s="574"/>
      <c r="AQ31" s="574"/>
      <c r="AR31" s="475" t="e">
        <f t="shared" si="21"/>
        <v>#N/A</v>
      </c>
      <c r="AS31" s="709"/>
      <c r="AT31" s="573"/>
      <c r="AU31" s="574"/>
      <c r="AV31" s="574"/>
      <c r="AW31" s="475" t="e">
        <f t="shared" si="23"/>
        <v>#N/A</v>
      </c>
      <c r="AX31" s="681"/>
    </row>
    <row r="32" spans="2:54">
      <c r="B32" s="667"/>
      <c r="C32" s="321">
        <v>6</v>
      </c>
      <c r="D32" s="227"/>
      <c r="E32" s="182"/>
      <c r="F32" s="569"/>
      <c r="G32" s="570"/>
      <c r="H32" s="709"/>
      <c r="I32" s="199"/>
      <c r="J32" s="199"/>
      <c r="K32" s="200"/>
      <c r="L32" s="641"/>
      <c r="M32" s="201" t="e">
        <f>RANK(K32, K$27:$K$41)</f>
        <v>#DIV/0!</v>
      </c>
      <c r="N32" s="659"/>
      <c r="O32" s="659"/>
      <c r="P32" s="573"/>
      <c r="Q32" s="574"/>
      <c r="R32" s="574"/>
      <c r="S32" s="321" t="e">
        <f t="shared" si="12"/>
        <v>#N/A</v>
      </c>
      <c r="T32" s="709"/>
      <c r="U32" s="573"/>
      <c r="V32" s="574"/>
      <c r="W32" s="574"/>
      <c r="X32" s="475" t="e">
        <f t="shared" si="13"/>
        <v>#N/A</v>
      </c>
      <c r="Y32" s="709"/>
      <c r="Z32" s="573"/>
      <c r="AA32" s="574"/>
      <c r="AB32" s="574"/>
      <c r="AC32" s="475" t="e">
        <f t="shared" si="15"/>
        <v>#N/A</v>
      </c>
      <c r="AD32" s="709"/>
      <c r="AE32" s="573"/>
      <c r="AF32" s="574"/>
      <c r="AG32" s="574"/>
      <c r="AH32" s="475" t="e">
        <f t="shared" si="17"/>
        <v>#N/A</v>
      </c>
      <c r="AI32" s="709"/>
      <c r="AJ32" s="573"/>
      <c r="AK32" s="574"/>
      <c r="AL32" s="574"/>
      <c r="AM32" s="475" t="e">
        <f t="shared" si="19"/>
        <v>#N/A</v>
      </c>
      <c r="AN32" s="709"/>
      <c r="AO32" s="573"/>
      <c r="AP32" s="574"/>
      <c r="AQ32" s="574"/>
      <c r="AR32" s="475" t="e">
        <f t="shared" si="21"/>
        <v>#N/A</v>
      </c>
      <c r="AS32" s="709"/>
      <c r="AT32" s="573"/>
      <c r="AU32" s="574"/>
      <c r="AV32" s="574"/>
      <c r="AW32" s="475" t="e">
        <f t="shared" si="23"/>
        <v>#N/A</v>
      </c>
      <c r="AX32" s="681"/>
    </row>
    <row r="33" spans="2:50">
      <c r="B33" s="667"/>
      <c r="C33" s="321">
        <v>7</v>
      </c>
      <c r="D33" s="227"/>
      <c r="E33" s="182"/>
      <c r="F33" s="569"/>
      <c r="G33" s="570"/>
      <c r="H33" s="709"/>
      <c r="I33" s="199"/>
      <c r="J33" s="199"/>
      <c r="K33" s="200"/>
      <c r="L33" s="641"/>
      <c r="M33" s="201" t="e">
        <f>RANK(K33, K$27:$K$41)</f>
        <v>#DIV/0!</v>
      </c>
      <c r="N33" s="659"/>
      <c r="O33" s="659"/>
      <c r="P33" s="573"/>
      <c r="Q33" s="574"/>
      <c r="R33" s="574"/>
      <c r="S33" s="321" t="e">
        <f t="shared" si="12"/>
        <v>#N/A</v>
      </c>
      <c r="T33" s="709"/>
      <c r="U33" s="573"/>
      <c r="V33" s="574"/>
      <c r="W33" s="574"/>
      <c r="X33" s="475" t="e">
        <f t="shared" si="13"/>
        <v>#N/A</v>
      </c>
      <c r="Y33" s="709"/>
      <c r="Z33" s="573"/>
      <c r="AA33" s="574"/>
      <c r="AB33" s="574"/>
      <c r="AC33" s="475" t="e">
        <f t="shared" si="15"/>
        <v>#N/A</v>
      </c>
      <c r="AD33" s="709"/>
      <c r="AE33" s="573"/>
      <c r="AF33" s="574"/>
      <c r="AG33" s="574"/>
      <c r="AH33" s="475" t="e">
        <f t="shared" si="17"/>
        <v>#N/A</v>
      </c>
      <c r="AI33" s="709"/>
      <c r="AJ33" s="573"/>
      <c r="AK33" s="574"/>
      <c r="AL33" s="574"/>
      <c r="AM33" s="475" t="e">
        <f t="shared" si="19"/>
        <v>#N/A</v>
      </c>
      <c r="AN33" s="709"/>
      <c r="AO33" s="573"/>
      <c r="AP33" s="574"/>
      <c r="AQ33" s="574"/>
      <c r="AR33" s="475" t="e">
        <f t="shared" si="21"/>
        <v>#N/A</v>
      </c>
      <c r="AS33" s="709"/>
      <c r="AT33" s="573"/>
      <c r="AU33" s="574"/>
      <c r="AV33" s="574"/>
      <c r="AW33" s="475" t="e">
        <f t="shared" si="23"/>
        <v>#N/A</v>
      </c>
      <c r="AX33" s="681"/>
    </row>
    <row r="34" spans="2:50">
      <c r="B34" s="667"/>
      <c r="C34" s="321">
        <v>8</v>
      </c>
      <c r="D34" s="227"/>
      <c r="E34" s="182"/>
      <c r="F34" s="569"/>
      <c r="G34" s="570"/>
      <c r="H34" s="709"/>
      <c r="I34" s="199"/>
      <c r="J34" s="199"/>
      <c r="K34" s="200"/>
      <c r="L34" s="641"/>
      <c r="M34" s="201" t="e">
        <f>RANK(K34, K$27:$K$41)</f>
        <v>#DIV/0!</v>
      </c>
      <c r="N34" s="659"/>
      <c r="O34" s="659"/>
      <c r="P34" s="573"/>
      <c r="Q34" s="574"/>
      <c r="R34" s="574"/>
      <c r="S34" s="321" t="e">
        <f t="shared" si="12"/>
        <v>#N/A</v>
      </c>
      <c r="T34" s="709"/>
      <c r="U34" s="573"/>
      <c r="V34" s="574"/>
      <c r="W34" s="574"/>
      <c r="X34" s="475" t="e">
        <f t="shared" si="13"/>
        <v>#N/A</v>
      </c>
      <c r="Y34" s="709"/>
      <c r="Z34" s="573"/>
      <c r="AA34" s="574"/>
      <c r="AB34" s="574"/>
      <c r="AC34" s="475" t="e">
        <f t="shared" si="15"/>
        <v>#N/A</v>
      </c>
      <c r="AD34" s="709"/>
      <c r="AE34" s="573"/>
      <c r="AF34" s="574"/>
      <c r="AG34" s="574"/>
      <c r="AH34" s="475" t="e">
        <f t="shared" si="17"/>
        <v>#N/A</v>
      </c>
      <c r="AI34" s="709"/>
      <c r="AJ34" s="573"/>
      <c r="AK34" s="574"/>
      <c r="AL34" s="574"/>
      <c r="AM34" s="475" t="e">
        <f t="shared" si="19"/>
        <v>#N/A</v>
      </c>
      <c r="AN34" s="709"/>
      <c r="AO34" s="573"/>
      <c r="AP34" s="574"/>
      <c r="AQ34" s="574"/>
      <c r="AR34" s="475" t="e">
        <f t="shared" si="21"/>
        <v>#N/A</v>
      </c>
      <c r="AS34" s="709"/>
      <c r="AT34" s="573"/>
      <c r="AU34" s="574"/>
      <c r="AV34" s="574"/>
      <c r="AW34" s="475" t="e">
        <f t="shared" si="23"/>
        <v>#N/A</v>
      </c>
      <c r="AX34" s="681"/>
    </row>
    <row r="35" spans="2:50">
      <c r="B35" s="667"/>
      <c r="C35" s="321">
        <v>9</v>
      </c>
      <c r="D35" s="227"/>
      <c r="E35" s="182"/>
      <c r="F35" s="569"/>
      <c r="G35" s="570"/>
      <c r="H35" s="709"/>
      <c r="I35" s="199"/>
      <c r="J35" s="199"/>
      <c r="K35" s="200"/>
      <c r="L35" s="641"/>
      <c r="M35" s="201" t="e">
        <f>RANK(K35, K$27:$K$41)</f>
        <v>#DIV/0!</v>
      </c>
      <c r="N35" s="659"/>
      <c r="O35" s="659"/>
      <c r="P35" s="573"/>
      <c r="Q35" s="574"/>
      <c r="R35" s="574"/>
      <c r="S35" s="321" t="e">
        <f t="shared" si="12"/>
        <v>#N/A</v>
      </c>
      <c r="T35" s="709"/>
      <c r="U35" s="573"/>
      <c r="V35" s="574"/>
      <c r="W35" s="574"/>
      <c r="X35" s="475" t="e">
        <f t="shared" si="13"/>
        <v>#N/A</v>
      </c>
      <c r="Y35" s="709"/>
      <c r="Z35" s="573"/>
      <c r="AA35" s="574"/>
      <c r="AB35" s="574"/>
      <c r="AC35" s="475" t="e">
        <f t="shared" si="15"/>
        <v>#N/A</v>
      </c>
      <c r="AD35" s="709"/>
      <c r="AE35" s="573"/>
      <c r="AF35" s="574"/>
      <c r="AG35" s="574"/>
      <c r="AH35" s="475" t="e">
        <f t="shared" si="17"/>
        <v>#N/A</v>
      </c>
      <c r="AI35" s="709"/>
      <c r="AJ35" s="573"/>
      <c r="AK35" s="574"/>
      <c r="AL35" s="574"/>
      <c r="AM35" s="475" t="e">
        <f t="shared" si="19"/>
        <v>#N/A</v>
      </c>
      <c r="AN35" s="709"/>
      <c r="AO35" s="573"/>
      <c r="AP35" s="574"/>
      <c r="AQ35" s="574"/>
      <c r="AR35" s="475" t="e">
        <f t="shared" si="21"/>
        <v>#N/A</v>
      </c>
      <c r="AS35" s="709"/>
      <c r="AT35" s="573"/>
      <c r="AU35" s="574"/>
      <c r="AV35" s="574"/>
      <c r="AW35" s="475" t="e">
        <f t="shared" si="23"/>
        <v>#N/A</v>
      </c>
      <c r="AX35" s="681"/>
    </row>
    <row r="36" spans="2:50">
      <c r="B36" s="667"/>
      <c r="C36" s="321">
        <v>10</v>
      </c>
      <c r="D36" s="227"/>
      <c r="E36" s="182"/>
      <c r="F36" s="569"/>
      <c r="G36" s="570"/>
      <c r="H36" s="709"/>
      <c r="I36" s="199"/>
      <c r="J36" s="199"/>
      <c r="K36" s="200"/>
      <c r="L36" s="641"/>
      <c r="M36" s="201" t="e">
        <f>RANK(K36, K$27:$K$41)</f>
        <v>#DIV/0!</v>
      </c>
      <c r="N36" s="659"/>
      <c r="O36" s="659"/>
      <c r="P36" s="573"/>
      <c r="Q36" s="574"/>
      <c r="R36" s="574"/>
      <c r="S36" s="321" t="e">
        <f t="shared" si="12"/>
        <v>#N/A</v>
      </c>
      <c r="T36" s="709"/>
      <c r="U36" s="573"/>
      <c r="V36" s="574"/>
      <c r="W36" s="574"/>
      <c r="X36" s="475" t="e">
        <f t="shared" si="13"/>
        <v>#N/A</v>
      </c>
      <c r="Y36" s="709"/>
      <c r="Z36" s="573"/>
      <c r="AA36" s="574"/>
      <c r="AB36" s="574"/>
      <c r="AC36" s="475" t="e">
        <f t="shared" si="15"/>
        <v>#N/A</v>
      </c>
      <c r="AD36" s="709"/>
      <c r="AE36" s="573"/>
      <c r="AF36" s="574"/>
      <c r="AG36" s="574"/>
      <c r="AH36" s="475" t="e">
        <f t="shared" si="17"/>
        <v>#N/A</v>
      </c>
      <c r="AI36" s="709"/>
      <c r="AJ36" s="573"/>
      <c r="AK36" s="574"/>
      <c r="AL36" s="574"/>
      <c r="AM36" s="475" t="e">
        <f t="shared" si="19"/>
        <v>#N/A</v>
      </c>
      <c r="AN36" s="709"/>
      <c r="AO36" s="573"/>
      <c r="AP36" s="574"/>
      <c r="AQ36" s="574"/>
      <c r="AR36" s="475" t="e">
        <f t="shared" si="21"/>
        <v>#N/A</v>
      </c>
      <c r="AS36" s="709"/>
      <c r="AT36" s="573"/>
      <c r="AU36" s="574"/>
      <c r="AV36" s="574"/>
      <c r="AW36" s="475" t="e">
        <f t="shared" si="23"/>
        <v>#N/A</v>
      </c>
      <c r="AX36" s="681"/>
    </row>
    <row r="37" spans="2:50">
      <c r="B37" s="667"/>
      <c r="C37" s="321">
        <v>11</v>
      </c>
      <c r="D37" s="227"/>
      <c r="E37" s="182"/>
      <c r="F37" s="569"/>
      <c r="G37" s="570"/>
      <c r="H37" s="709"/>
      <c r="I37" s="202"/>
      <c r="J37" s="202"/>
      <c r="K37" s="202"/>
      <c r="L37" s="641"/>
      <c r="M37" s="201" t="e">
        <f>RANK(K37, K$27:$K$41)</f>
        <v>#DIV/0!</v>
      </c>
      <c r="N37" s="659"/>
      <c r="O37" s="659"/>
      <c r="P37" s="573"/>
      <c r="Q37" s="574"/>
      <c r="R37" s="574"/>
      <c r="S37" s="321" t="e">
        <f t="shared" si="12"/>
        <v>#N/A</v>
      </c>
      <c r="T37" s="709"/>
      <c r="U37" s="573"/>
      <c r="V37" s="574"/>
      <c r="W37" s="574"/>
      <c r="X37" s="475" t="e">
        <f t="shared" si="13"/>
        <v>#N/A</v>
      </c>
      <c r="Y37" s="709"/>
      <c r="Z37" s="573"/>
      <c r="AA37" s="574"/>
      <c r="AB37" s="574"/>
      <c r="AC37" s="475" t="e">
        <f t="shared" si="15"/>
        <v>#N/A</v>
      </c>
      <c r="AD37" s="709"/>
      <c r="AE37" s="573"/>
      <c r="AF37" s="574"/>
      <c r="AG37" s="574"/>
      <c r="AH37" s="475" t="e">
        <f t="shared" si="17"/>
        <v>#N/A</v>
      </c>
      <c r="AI37" s="709"/>
      <c r="AJ37" s="573"/>
      <c r="AK37" s="574"/>
      <c r="AL37" s="574"/>
      <c r="AM37" s="475" t="e">
        <f t="shared" si="19"/>
        <v>#N/A</v>
      </c>
      <c r="AN37" s="709"/>
      <c r="AO37" s="573"/>
      <c r="AP37" s="574"/>
      <c r="AQ37" s="574"/>
      <c r="AR37" s="475" t="e">
        <f t="shared" si="21"/>
        <v>#N/A</v>
      </c>
      <c r="AS37" s="709"/>
      <c r="AT37" s="573"/>
      <c r="AU37" s="574"/>
      <c r="AV37" s="574"/>
      <c r="AW37" s="475" t="e">
        <f t="shared" si="23"/>
        <v>#N/A</v>
      </c>
      <c r="AX37" s="681"/>
    </row>
    <row r="38" spans="2:50">
      <c r="B38" s="667"/>
      <c r="C38" s="321">
        <v>12</v>
      </c>
      <c r="D38" s="227"/>
      <c r="E38" s="182"/>
      <c r="F38" s="569"/>
      <c r="G38" s="570"/>
      <c r="H38" s="709"/>
      <c r="I38" s="202"/>
      <c r="J38" s="202"/>
      <c r="K38" s="202"/>
      <c r="L38" s="641"/>
      <c r="M38" s="201" t="e">
        <f>RANK(K38, K$27:$K$41)</f>
        <v>#DIV/0!</v>
      </c>
      <c r="N38" s="659"/>
      <c r="O38" s="659"/>
      <c r="P38" s="573"/>
      <c r="Q38" s="574"/>
      <c r="R38" s="574"/>
      <c r="S38" s="321" t="e">
        <f t="shared" si="12"/>
        <v>#N/A</v>
      </c>
      <c r="T38" s="709"/>
      <c r="U38" s="573"/>
      <c r="V38" s="574"/>
      <c r="W38" s="574"/>
      <c r="X38" s="475" t="e">
        <f t="shared" si="13"/>
        <v>#N/A</v>
      </c>
      <c r="Y38" s="709"/>
      <c r="Z38" s="573"/>
      <c r="AA38" s="574"/>
      <c r="AB38" s="574"/>
      <c r="AC38" s="475" t="e">
        <f t="shared" si="15"/>
        <v>#N/A</v>
      </c>
      <c r="AD38" s="709"/>
      <c r="AE38" s="573"/>
      <c r="AF38" s="574"/>
      <c r="AG38" s="574"/>
      <c r="AH38" s="475" t="e">
        <f t="shared" si="17"/>
        <v>#N/A</v>
      </c>
      <c r="AI38" s="709"/>
      <c r="AJ38" s="573"/>
      <c r="AK38" s="574"/>
      <c r="AL38" s="574"/>
      <c r="AM38" s="475" t="e">
        <f t="shared" si="19"/>
        <v>#N/A</v>
      </c>
      <c r="AN38" s="709"/>
      <c r="AO38" s="573"/>
      <c r="AP38" s="574"/>
      <c r="AQ38" s="574"/>
      <c r="AR38" s="475" t="e">
        <f t="shared" si="21"/>
        <v>#N/A</v>
      </c>
      <c r="AS38" s="709"/>
      <c r="AT38" s="573"/>
      <c r="AU38" s="574"/>
      <c r="AV38" s="574"/>
      <c r="AW38" s="475" t="e">
        <f t="shared" si="23"/>
        <v>#N/A</v>
      </c>
      <c r="AX38" s="681"/>
    </row>
    <row r="39" spans="2:50">
      <c r="B39" s="667"/>
      <c r="C39" s="321">
        <v>13</v>
      </c>
      <c r="D39" s="227"/>
      <c r="E39" s="182"/>
      <c r="F39" s="569"/>
      <c r="G39" s="570"/>
      <c r="H39" s="709"/>
      <c r="I39" s="202"/>
      <c r="J39" s="202"/>
      <c r="K39" s="202"/>
      <c r="L39" s="641"/>
      <c r="M39" s="201" t="e">
        <f>RANK(K39, K$27:$K$41)</f>
        <v>#DIV/0!</v>
      </c>
      <c r="N39" s="659"/>
      <c r="O39" s="659"/>
      <c r="P39" s="573"/>
      <c r="Q39" s="574"/>
      <c r="R39" s="574"/>
      <c r="S39" s="321" t="e">
        <f t="shared" si="12"/>
        <v>#N/A</v>
      </c>
      <c r="T39" s="709"/>
      <c r="U39" s="573"/>
      <c r="V39" s="574"/>
      <c r="W39" s="574"/>
      <c r="X39" s="475" t="e">
        <f t="shared" si="13"/>
        <v>#N/A</v>
      </c>
      <c r="Y39" s="709"/>
      <c r="Z39" s="573"/>
      <c r="AA39" s="574"/>
      <c r="AB39" s="574"/>
      <c r="AC39" s="475" t="e">
        <f t="shared" si="15"/>
        <v>#N/A</v>
      </c>
      <c r="AD39" s="709"/>
      <c r="AE39" s="573"/>
      <c r="AF39" s="574"/>
      <c r="AG39" s="574"/>
      <c r="AH39" s="475" t="e">
        <f t="shared" si="17"/>
        <v>#N/A</v>
      </c>
      <c r="AI39" s="709"/>
      <c r="AJ39" s="573"/>
      <c r="AK39" s="574"/>
      <c r="AL39" s="574"/>
      <c r="AM39" s="475" t="e">
        <f t="shared" si="19"/>
        <v>#N/A</v>
      </c>
      <c r="AN39" s="709"/>
      <c r="AO39" s="573"/>
      <c r="AP39" s="574"/>
      <c r="AQ39" s="574"/>
      <c r="AR39" s="475" t="e">
        <f t="shared" si="21"/>
        <v>#N/A</v>
      </c>
      <c r="AS39" s="709"/>
      <c r="AT39" s="573"/>
      <c r="AU39" s="574"/>
      <c r="AV39" s="574"/>
      <c r="AW39" s="475" t="e">
        <f t="shared" si="23"/>
        <v>#N/A</v>
      </c>
      <c r="AX39" s="681"/>
    </row>
    <row r="40" spans="2:50">
      <c r="B40" s="667"/>
      <c r="C40" s="321">
        <v>14</v>
      </c>
      <c r="D40" s="227"/>
      <c r="E40" s="182"/>
      <c r="F40" s="569"/>
      <c r="G40" s="570"/>
      <c r="H40" s="709"/>
      <c r="I40" s="202"/>
      <c r="J40" s="202"/>
      <c r="K40" s="202"/>
      <c r="L40" s="641"/>
      <c r="M40" s="201" t="e">
        <f>RANK(K40, K$27:$K$41)</f>
        <v>#DIV/0!</v>
      </c>
      <c r="N40" s="659"/>
      <c r="O40" s="659"/>
      <c r="P40" s="573"/>
      <c r="Q40" s="574"/>
      <c r="R40" s="574"/>
      <c r="S40" s="321" t="e">
        <f t="shared" si="12"/>
        <v>#N/A</v>
      </c>
      <c r="T40" s="709"/>
      <c r="U40" s="573"/>
      <c r="V40" s="574"/>
      <c r="W40" s="574"/>
      <c r="X40" s="475" t="e">
        <f t="shared" si="13"/>
        <v>#N/A</v>
      </c>
      <c r="Y40" s="709"/>
      <c r="Z40" s="573"/>
      <c r="AA40" s="574"/>
      <c r="AB40" s="574"/>
      <c r="AC40" s="475" t="e">
        <f t="shared" si="15"/>
        <v>#N/A</v>
      </c>
      <c r="AD40" s="709"/>
      <c r="AE40" s="573"/>
      <c r="AF40" s="574"/>
      <c r="AG40" s="574"/>
      <c r="AH40" s="475" t="e">
        <f t="shared" si="17"/>
        <v>#N/A</v>
      </c>
      <c r="AI40" s="709"/>
      <c r="AJ40" s="573"/>
      <c r="AK40" s="574"/>
      <c r="AL40" s="574"/>
      <c r="AM40" s="475" t="e">
        <f t="shared" si="19"/>
        <v>#N/A</v>
      </c>
      <c r="AN40" s="709"/>
      <c r="AO40" s="573"/>
      <c r="AP40" s="574"/>
      <c r="AQ40" s="574"/>
      <c r="AR40" s="475" t="e">
        <f t="shared" si="21"/>
        <v>#N/A</v>
      </c>
      <c r="AS40" s="709"/>
      <c r="AT40" s="573"/>
      <c r="AU40" s="574"/>
      <c r="AV40" s="574"/>
      <c r="AW40" s="475" t="e">
        <f t="shared" si="23"/>
        <v>#N/A</v>
      </c>
      <c r="AX40" s="681"/>
    </row>
    <row r="41" spans="2:50">
      <c r="B41" s="667"/>
      <c r="C41" s="321">
        <v>15</v>
      </c>
      <c r="D41" s="227"/>
      <c r="E41" s="182"/>
      <c r="F41" s="569"/>
      <c r="G41" s="570"/>
      <c r="H41" s="710"/>
      <c r="I41" s="202"/>
      <c r="J41" s="202"/>
      <c r="K41" s="202"/>
      <c r="L41" s="642"/>
      <c r="M41" s="199" t="e">
        <f>RANK(K41, K$27:$K$41)</f>
        <v>#DIV/0!</v>
      </c>
      <c r="N41" s="659"/>
      <c r="O41" s="659"/>
      <c r="P41" s="573"/>
      <c r="Q41" s="574"/>
      <c r="R41" s="574"/>
      <c r="S41" s="321" t="e">
        <f t="shared" si="12"/>
        <v>#N/A</v>
      </c>
      <c r="T41" s="710"/>
      <c r="U41" s="573"/>
      <c r="V41" s="574"/>
      <c r="W41" s="574"/>
      <c r="X41" s="475" t="e">
        <f t="shared" si="13"/>
        <v>#N/A</v>
      </c>
      <c r="Y41" s="710"/>
      <c r="Z41" s="573"/>
      <c r="AA41" s="574"/>
      <c r="AB41" s="574"/>
      <c r="AC41" s="475" t="e">
        <f t="shared" si="15"/>
        <v>#N/A</v>
      </c>
      <c r="AD41" s="710"/>
      <c r="AE41" s="573"/>
      <c r="AF41" s="574"/>
      <c r="AG41" s="574"/>
      <c r="AH41" s="475" t="e">
        <f t="shared" si="17"/>
        <v>#N/A</v>
      </c>
      <c r="AI41" s="710"/>
      <c r="AJ41" s="573"/>
      <c r="AK41" s="574"/>
      <c r="AL41" s="574"/>
      <c r="AM41" s="475" t="e">
        <f t="shared" si="19"/>
        <v>#N/A</v>
      </c>
      <c r="AN41" s="710"/>
      <c r="AO41" s="573"/>
      <c r="AP41" s="574"/>
      <c r="AQ41" s="574"/>
      <c r="AR41" s="475" t="e">
        <f t="shared" si="21"/>
        <v>#N/A</v>
      </c>
      <c r="AS41" s="710"/>
      <c r="AT41" s="573"/>
      <c r="AU41" s="574"/>
      <c r="AV41" s="574"/>
      <c r="AW41" s="475" t="e">
        <f t="shared" si="23"/>
        <v>#N/A</v>
      </c>
      <c r="AX41" s="681"/>
    </row>
    <row r="42" spans="2:50" ht="15.75">
      <c r="B42" s="685" t="s">
        <v>163</v>
      </c>
      <c r="C42" s="686"/>
      <c r="D42" s="686"/>
      <c r="E42" s="686"/>
      <c r="F42" s="686"/>
      <c r="G42" s="686"/>
      <c r="H42" s="686"/>
      <c r="I42" s="208"/>
      <c r="J42" s="203"/>
      <c r="K42" s="208"/>
      <c r="L42" s="208"/>
      <c r="M42" s="204"/>
      <c r="N42" s="660" t="s">
        <v>156</v>
      </c>
      <c r="O42" s="660" t="s">
        <v>105</v>
      </c>
      <c r="P42" s="666">
        <f>P22+7</f>
        <v>46098</v>
      </c>
      <c r="Q42" s="667"/>
      <c r="R42" s="667"/>
      <c r="S42" s="667"/>
      <c r="T42" s="667"/>
      <c r="U42" s="663">
        <f>P42+1</f>
        <v>46099</v>
      </c>
      <c r="V42" s="664"/>
      <c r="W42" s="664"/>
      <c r="X42" s="664"/>
      <c r="Y42" s="665"/>
      <c r="Z42" s="663">
        <f>U42+1</f>
        <v>46100</v>
      </c>
      <c r="AA42" s="664"/>
      <c r="AB42" s="664"/>
      <c r="AC42" s="664"/>
      <c r="AD42" s="665"/>
      <c r="AE42" s="663">
        <f>Z42+1</f>
        <v>46101</v>
      </c>
      <c r="AF42" s="664"/>
      <c r="AG42" s="664"/>
      <c r="AH42" s="664"/>
      <c r="AI42" s="665"/>
      <c r="AJ42" s="663">
        <f>AE42+1</f>
        <v>46102</v>
      </c>
      <c r="AK42" s="664"/>
      <c r="AL42" s="664"/>
      <c r="AM42" s="664"/>
      <c r="AN42" s="665"/>
      <c r="AO42" s="663">
        <f>AJ42+1</f>
        <v>46103</v>
      </c>
      <c r="AP42" s="664"/>
      <c r="AQ42" s="664"/>
      <c r="AR42" s="664"/>
      <c r="AS42" s="665"/>
      <c r="AT42" s="663">
        <f>AO42+1</f>
        <v>46104</v>
      </c>
      <c r="AU42" s="664"/>
      <c r="AV42" s="664"/>
      <c r="AW42" s="664"/>
      <c r="AX42" s="665"/>
    </row>
    <row r="43" spans="2:50" ht="15.75">
      <c r="B43" s="674"/>
      <c r="C43" s="674"/>
      <c r="D43" s="674"/>
      <c r="E43" s="674"/>
      <c r="F43" s="674"/>
      <c r="G43" s="674"/>
      <c r="H43" s="674"/>
      <c r="I43" s="205"/>
      <c r="J43" s="205"/>
      <c r="K43" s="205"/>
      <c r="L43" s="205"/>
      <c r="M43" s="206"/>
      <c r="N43" s="662"/>
      <c r="O43" s="662"/>
      <c r="P43" s="666" t="s">
        <v>336</v>
      </c>
      <c r="Q43" s="667"/>
      <c r="R43" s="667"/>
      <c r="S43" s="667"/>
      <c r="T43" s="667"/>
      <c r="U43" s="666" t="s">
        <v>337</v>
      </c>
      <c r="V43" s="667"/>
      <c r="W43" s="667"/>
      <c r="X43" s="667"/>
      <c r="Y43" s="667"/>
      <c r="Z43" s="666" t="s">
        <v>338</v>
      </c>
      <c r="AA43" s="667"/>
      <c r="AB43" s="667"/>
      <c r="AC43" s="667"/>
      <c r="AD43" s="667"/>
      <c r="AE43" s="666" t="s">
        <v>339</v>
      </c>
      <c r="AF43" s="667"/>
      <c r="AG43" s="667"/>
      <c r="AH43" s="667"/>
      <c r="AI43" s="667"/>
      <c r="AJ43" s="666" t="s">
        <v>340</v>
      </c>
      <c r="AK43" s="667"/>
      <c r="AL43" s="667"/>
      <c r="AM43" s="667"/>
      <c r="AN43" s="667"/>
      <c r="AO43" s="666" t="s">
        <v>341</v>
      </c>
      <c r="AP43" s="667"/>
      <c r="AQ43" s="667"/>
      <c r="AR43" s="667"/>
      <c r="AS43" s="667"/>
      <c r="AT43" s="666" t="s">
        <v>342</v>
      </c>
      <c r="AU43" s="667"/>
      <c r="AV43" s="667"/>
      <c r="AW43" s="667"/>
      <c r="AX43" s="667"/>
    </row>
    <row r="44" spans="2:50">
      <c r="B44" s="659" t="s">
        <v>605</v>
      </c>
      <c r="C44" s="659" t="s">
        <v>606</v>
      </c>
      <c r="D44" s="659"/>
      <c r="E44" s="659" t="s">
        <v>607</v>
      </c>
      <c r="F44" s="659"/>
      <c r="G44" s="659"/>
      <c r="H44" s="675" t="s">
        <v>608</v>
      </c>
      <c r="I44" s="643" t="s">
        <v>609</v>
      </c>
      <c r="J44" s="643"/>
      <c r="K44" s="643"/>
      <c r="L44" s="644" t="s">
        <v>608</v>
      </c>
      <c r="M44" s="650" t="s">
        <v>610</v>
      </c>
      <c r="N44" s="659"/>
      <c r="O44" s="659" t="s">
        <v>611</v>
      </c>
      <c r="P44" s="656" t="s">
        <v>900</v>
      </c>
      <c r="Q44" s="657"/>
      <c r="R44" s="657"/>
      <c r="S44" s="658"/>
      <c r="T44" s="659" t="s">
        <v>901</v>
      </c>
      <c r="U44" s="656" t="s">
        <v>900</v>
      </c>
      <c r="V44" s="657"/>
      <c r="W44" s="657"/>
      <c r="X44" s="658"/>
      <c r="Y44" s="659" t="s">
        <v>901</v>
      </c>
      <c r="Z44" s="656" t="s">
        <v>900</v>
      </c>
      <c r="AA44" s="657"/>
      <c r="AB44" s="657"/>
      <c r="AC44" s="658"/>
      <c r="AD44" s="659" t="s">
        <v>901</v>
      </c>
      <c r="AE44" s="656" t="s">
        <v>900</v>
      </c>
      <c r="AF44" s="657"/>
      <c r="AG44" s="657"/>
      <c r="AH44" s="658"/>
      <c r="AI44" s="659" t="s">
        <v>901</v>
      </c>
      <c r="AJ44" s="656" t="s">
        <v>900</v>
      </c>
      <c r="AK44" s="657"/>
      <c r="AL44" s="657"/>
      <c r="AM44" s="658"/>
      <c r="AN44" s="659" t="s">
        <v>901</v>
      </c>
      <c r="AO44" s="656" t="s">
        <v>900</v>
      </c>
      <c r="AP44" s="657"/>
      <c r="AQ44" s="657"/>
      <c r="AR44" s="658"/>
      <c r="AS44" s="659" t="s">
        <v>901</v>
      </c>
      <c r="AT44" s="656" t="s">
        <v>900</v>
      </c>
      <c r="AU44" s="657"/>
      <c r="AV44" s="657"/>
      <c r="AW44" s="658"/>
      <c r="AX44" s="659" t="s">
        <v>901</v>
      </c>
    </row>
    <row r="45" spans="2:50">
      <c r="B45" s="659"/>
      <c r="C45" s="659"/>
      <c r="D45" s="659"/>
      <c r="E45" s="659" t="s">
        <v>613</v>
      </c>
      <c r="F45" s="659"/>
      <c r="G45" s="659"/>
      <c r="H45" s="676"/>
      <c r="I45" s="643" t="s">
        <v>613</v>
      </c>
      <c r="J45" s="643"/>
      <c r="K45" s="643"/>
      <c r="L45" s="645"/>
      <c r="M45" s="651"/>
      <c r="N45" s="659"/>
      <c r="O45" s="659"/>
      <c r="P45" s="656" t="s">
        <v>902</v>
      </c>
      <c r="Q45" s="657"/>
      <c r="R45" s="657"/>
      <c r="S45" s="658"/>
      <c r="T45" s="659"/>
      <c r="U45" s="656" t="s">
        <v>902</v>
      </c>
      <c r="V45" s="657"/>
      <c r="W45" s="657"/>
      <c r="X45" s="658"/>
      <c r="Y45" s="659"/>
      <c r="Z45" s="656" t="s">
        <v>902</v>
      </c>
      <c r="AA45" s="657"/>
      <c r="AB45" s="657"/>
      <c r="AC45" s="658"/>
      <c r="AD45" s="659"/>
      <c r="AE45" s="656" t="s">
        <v>902</v>
      </c>
      <c r="AF45" s="657"/>
      <c r="AG45" s="657"/>
      <c r="AH45" s="658"/>
      <c r="AI45" s="659"/>
      <c r="AJ45" s="656" t="s">
        <v>902</v>
      </c>
      <c r="AK45" s="657"/>
      <c r="AL45" s="657"/>
      <c r="AM45" s="658"/>
      <c r="AN45" s="659"/>
      <c r="AO45" s="656" t="s">
        <v>902</v>
      </c>
      <c r="AP45" s="657"/>
      <c r="AQ45" s="657"/>
      <c r="AR45" s="658"/>
      <c r="AS45" s="659"/>
      <c r="AT45" s="656" t="s">
        <v>902</v>
      </c>
      <c r="AU45" s="657"/>
      <c r="AV45" s="657"/>
      <c r="AW45" s="658"/>
      <c r="AX45" s="659"/>
    </row>
    <row r="46" spans="2:50">
      <c r="B46" s="659"/>
      <c r="C46" s="659"/>
      <c r="D46" s="659"/>
      <c r="E46" s="326" t="s">
        <v>615</v>
      </c>
      <c r="F46" s="326" t="s">
        <v>616</v>
      </c>
      <c r="G46" s="326" t="s">
        <v>617</v>
      </c>
      <c r="H46" s="677"/>
      <c r="I46" s="325" t="s">
        <v>615</v>
      </c>
      <c r="J46" s="325" t="s">
        <v>616</v>
      </c>
      <c r="K46" s="325" t="s">
        <v>617</v>
      </c>
      <c r="L46" s="646"/>
      <c r="M46" s="652"/>
      <c r="N46" s="659"/>
      <c r="O46" s="659"/>
      <c r="P46" s="532" t="s">
        <v>903</v>
      </c>
      <c r="Q46" s="532" t="s">
        <v>904</v>
      </c>
      <c r="R46" s="532" t="s">
        <v>905</v>
      </c>
      <c r="S46" s="532" t="s">
        <v>906</v>
      </c>
      <c r="T46" s="659"/>
      <c r="U46" s="532" t="s">
        <v>903</v>
      </c>
      <c r="V46" s="532" t="s">
        <v>904</v>
      </c>
      <c r="W46" s="532" t="s">
        <v>905</v>
      </c>
      <c r="X46" s="532" t="s">
        <v>906</v>
      </c>
      <c r="Y46" s="659"/>
      <c r="Z46" s="532" t="s">
        <v>903</v>
      </c>
      <c r="AA46" s="532" t="s">
        <v>904</v>
      </c>
      <c r="AB46" s="532" t="s">
        <v>905</v>
      </c>
      <c r="AC46" s="532" t="s">
        <v>906</v>
      </c>
      <c r="AD46" s="659"/>
      <c r="AE46" s="532" t="s">
        <v>903</v>
      </c>
      <c r="AF46" s="532" t="s">
        <v>904</v>
      </c>
      <c r="AG46" s="532" t="s">
        <v>905</v>
      </c>
      <c r="AH46" s="532" t="s">
        <v>906</v>
      </c>
      <c r="AI46" s="659"/>
      <c r="AJ46" s="532" t="s">
        <v>903</v>
      </c>
      <c r="AK46" s="532" t="s">
        <v>904</v>
      </c>
      <c r="AL46" s="532" t="s">
        <v>905</v>
      </c>
      <c r="AM46" s="532" t="s">
        <v>906</v>
      </c>
      <c r="AN46" s="659"/>
      <c r="AO46" s="532" t="s">
        <v>903</v>
      </c>
      <c r="AP46" s="532" t="s">
        <v>904</v>
      </c>
      <c r="AQ46" s="532" t="s">
        <v>905</v>
      </c>
      <c r="AR46" s="532" t="s">
        <v>906</v>
      </c>
      <c r="AS46" s="659"/>
      <c r="AT46" s="532" t="s">
        <v>903</v>
      </c>
      <c r="AU46" s="532" t="s">
        <v>904</v>
      </c>
      <c r="AV46" s="532" t="s">
        <v>905</v>
      </c>
      <c r="AW46" s="532" t="s">
        <v>906</v>
      </c>
      <c r="AX46" s="659"/>
    </row>
    <row r="47" spans="2:50">
      <c r="B47" s="659" t="s">
        <v>620</v>
      </c>
      <c r="C47" s="327">
        <v>1</v>
      </c>
      <c r="D47" s="227"/>
      <c r="E47" s="182"/>
      <c r="F47" s="569"/>
      <c r="G47" s="570"/>
      <c r="H47" s="708" t="e">
        <f>AVERAGE(G47:G61)</f>
        <v>#DIV/0!</v>
      </c>
      <c r="I47" s="199" t="e">
        <f t="shared" ref="I47:K50" si="28">AVERAGE(P47,U47,Z47,AE47,AJ47,AO47,AT47)</f>
        <v>#DIV/0!</v>
      </c>
      <c r="J47" s="199" t="e">
        <f t="shared" si="28"/>
        <v>#DIV/0!</v>
      </c>
      <c r="K47" s="200" t="e">
        <f t="shared" si="28"/>
        <v>#DIV/0!</v>
      </c>
      <c r="L47" s="640" t="str">
        <f>IFERROR(AVERAGE(K47:K61),"-")</f>
        <v>-</v>
      </c>
      <c r="M47" s="201" t="e">
        <f>RANK(K47, K$47:$K$61)</f>
        <v>#DIV/0!</v>
      </c>
      <c r="N47" s="659"/>
      <c r="O47" s="659"/>
      <c r="P47" s="573"/>
      <c r="Q47" s="574"/>
      <c r="R47" s="574"/>
      <c r="S47" s="533" t="e">
        <f t="shared" ref="S47:S51" si="29">RANK(R47, R$47:R$61)</f>
        <v>#N/A</v>
      </c>
      <c r="T47" s="681" t="e">
        <f>AVERAGE(R47:R61)</f>
        <v>#DIV/0!</v>
      </c>
      <c r="U47" s="573"/>
      <c r="V47" s="574"/>
      <c r="W47" s="574"/>
      <c r="X47" s="533" t="e">
        <f t="shared" ref="X47:X51" si="30">RANK(W47, W$47:W$61)</f>
        <v>#N/A</v>
      </c>
      <c r="Y47" s="681" t="e">
        <f>AVERAGE(W47:W61)</f>
        <v>#DIV/0!</v>
      </c>
      <c r="Z47" s="573"/>
      <c r="AA47" s="574"/>
      <c r="AB47" s="574"/>
      <c r="AC47" s="533" t="e">
        <f t="shared" ref="AC47:AC51" si="31">RANK(AB47, AB$47:AB$61)</f>
        <v>#N/A</v>
      </c>
      <c r="AD47" s="681" t="e">
        <f>AVERAGE(AB47:AB61)</f>
        <v>#DIV/0!</v>
      </c>
      <c r="AE47" s="573"/>
      <c r="AF47" s="574"/>
      <c r="AG47" s="574"/>
      <c r="AH47" s="533" t="e">
        <f t="shared" ref="AH47:AH51" si="32">RANK(AG47, AG$47:AG$61)</f>
        <v>#N/A</v>
      </c>
      <c r="AI47" s="681" t="e">
        <f>AVERAGE(AG47:AG61)</f>
        <v>#DIV/0!</v>
      </c>
      <c r="AJ47" s="573"/>
      <c r="AK47" s="574"/>
      <c r="AL47" s="574"/>
      <c r="AM47" s="533" t="e">
        <f t="shared" ref="AM47:AM51" si="33">RANK(AL47, AL$47:AL$61)</f>
        <v>#N/A</v>
      </c>
      <c r="AN47" s="681" t="e">
        <f>AVERAGE(AL47:AL61)</f>
        <v>#DIV/0!</v>
      </c>
      <c r="AO47" s="573"/>
      <c r="AP47" s="574"/>
      <c r="AQ47" s="574"/>
      <c r="AR47" s="533" t="e">
        <f t="shared" ref="AR47:AR51" si="34">RANK(AQ47, AQ$47:AQ$61)</f>
        <v>#N/A</v>
      </c>
      <c r="AS47" s="681" t="e">
        <f>AVERAGE(AQ47:AQ61)</f>
        <v>#DIV/0!</v>
      </c>
      <c r="AT47" s="573"/>
      <c r="AU47" s="574"/>
      <c r="AV47" s="574"/>
      <c r="AW47" s="533" t="e">
        <f t="shared" ref="AW47:AW51" si="35">RANK(AV47, AV$47:AV$61)</f>
        <v>#N/A</v>
      </c>
      <c r="AX47" s="681" t="e">
        <f>AVERAGE(AV47:AV61)</f>
        <v>#DIV/0!</v>
      </c>
    </row>
    <row r="48" spans="2:50">
      <c r="B48" s="667"/>
      <c r="C48" s="327">
        <v>2</v>
      </c>
      <c r="D48" s="227"/>
      <c r="E48" s="182"/>
      <c r="F48" s="569"/>
      <c r="G48" s="570"/>
      <c r="H48" s="709"/>
      <c r="I48" s="199" t="e">
        <f t="shared" si="28"/>
        <v>#DIV/0!</v>
      </c>
      <c r="J48" s="199" t="e">
        <f t="shared" si="28"/>
        <v>#DIV/0!</v>
      </c>
      <c r="K48" s="200" t="e">
        <f t="shared" si="28"/>
        <v>#DIV/0!</v>
      </c>
      <c r="L48" s="641"/>
      <c r="M48" s="201" t="e">
        <f>RANK(K48, K$47:$K$61)</f>
        <v>#DIV/0!</v>
      </c>
      <c r="N48" s="659"/>
      <c r="O48" s="659"/>
      <c r="P48" s="573"/>
      <c r="Q48" s="574"/>
      <c r="R48" s="574"/>
      <c r="S48" s="533" t="e">
        <f t="shared" si="29"/>
        <v>#N/A</v>
      </c>
      <c r="T48" s="681"/>
      <c r="U48" s="573"/>
      <c r="V48" s="574"/>
      <c r="W48" s="574"/>
      <c r="X48" s="533" t="e">
        <f t="shared" si="30"/>
        <v>#N/A</v>
      </c>
      <c r="Y48" s="681"/>
      <c r="Z48" s="573"/>
      <c r="AA48" s="574"/>
      <c r="AB48" s="574"/>
      <c r="AC48" s="533" t="e">
        <f t="shared" si="31"/>
        <v>#N/A</v>
      </c>
      <c r="AD48" s="681"/>
      <c r="AE48" s="573"/>
      <c r="AF48" s="574"/>
      <c r="AG48" s="574"/>
      <c r="AH48" s="533" t="e">
        <f t="shared" si="32"/>
        <v>#N/A</v>
      </c>
      <c r="AI48" s="681"/>
      <c r="AJ48" s="573"/>
      <c r="AK48" s="574"/>
      <c r="AL48" s="574"/>
      <c r="AM48" s="533" t="e">
        <f t="shared" si="33"/>
        <v>#N/A</v>
      </c>
      <c r="AN48" s="681"/>
      <c r="AO48" s="573"/>
      <c r="AP48" s="574"/>
      <c r="AQ48" s="574"/>
      <c r="AR48" s="533" t="e">
        <f t="shared" si="34"/>
        <v>#N/A</v>
      </c>
      <c r="AS48" s="681"/>
      <c r="AT48" s="573"/>
      <c r="AU48" s="574"/>
      <c r="AV48" s="574"/>
      <c r="AW48" s="533" t="e">
        <f t="shared" si="35"/>
        <v>#N/A</v>
      </c>
      <c r="AX48" s="681"/>
    </row>
    <row r="49" spans="2:50">
      <c r="B49" s="667"/>
      <c r="C49" s="327">
        <v>3</v>
      </c>
      <c r="D49" s="227"/>
      <c r="E49" s="182"/>
      <c r="F49" s="569"/>
      <c r="G49" s="570"/>
      <c r="H49" s="709"/>
      <c r="I49" s="199" t="e">
        <f t="shared" si="28"/>
        <v>#DIV/0!</v>
      </c>
      <c r="J49" s="199" t="e">
        <f t="shared" si="28"/>
        <v>#DIV/0!</v>
      </c>
      <c r="K49" s="200" t="e">
        <f t="shared" si="28"/>
        <v>#DIV/0!</v>
      </c>
      <c r="L49" s="641"/>
      <c r="M49" s="201" t="e">
        <f>RANK(K49, K$47:$K$61)</f>
        <v>#DIV/0!</v>
      </c>
      <c r="N49" s="659"/>
      <c r="O49" s="659"/>
      <c r="P49" s="573"/>
      <c r="Q49" s="574"/>
      <c r="R49" s="574"/>
      <c r="S49" s="533" t="e">
        <f t="shared" si="29"/>
        <v>#N/A</v>
      </c>
      <c r="T49" s="681"/>
      <c r="U49" s="573"/>
      <c r="V49" s="574"/>
      <c r="W49" s="574"/>
      <c r="X49" s="533" t="e">
        <f t="shared" si="30"/>
        <v>#N/A</v>
      </c>
      <c r="Y49" s="681"/>
      <c r="Z49" s="573"/>
      <c r="AA49" s="574"/>
      <c r="AB49" s="574"/>
      <c r="AC49" s="533" t="e">
        <f t="shared" si="31"/>
        <v>#N/A</v>
      </c>
      <c r="AD49" s="681"/>
      <c r="AE49" s="573"/>
      <c r="AF49" s="574"/>
      <c r="AG49" s="574"/>
      <c r="AH49" s="533" t="e">
        <f t="shared" si="32"/>
        <v>#N/A</v>
      </c>
      <c r="AI49" s="681"/>
      <c r="AJ49" s="573"/>
      <c r="AK49" s="574"/>
      <c r="AL49" s="574"/>
      <c r="AM49" s="533" t="e">
        <f t="shared" si="33"/>
        <v>#N/A</v>
      </c>
      <c r="AN49" s="681"/>
      <c r="AO49" s="573"/>
      <c r="AP49" s="574"/>
      <c r="AQ49" s="574"/>
      <c r="AR49" s="533" t="e">
        <f t="shared" si="34"/>
        <v>#N/A</v>
      </c>
      <c r="AS49" s="681"/>
      <c r="AT49" s="573"/>
      <c r="AU49" s="574"/>
      <c r="AV49" s="574"/>
      <c r="AW49" s="533" t="e">
        <f t="shared" si="35"/>
        <v>#N/A</v>
      </c>
      <c r="AX49" s="681"/>
    </row>
    <row r="50" spans="2:50">
      <c r="B50" s="667"/>
      <c r="C50" s="327">
        <v>4</v>
      </c>
      <c r="D50" s="227"/>
      <c r="E50" s="182"/>
      <c r="F50" s="569"/>
      <c r="G50" s="570"/>
      <c r="H50" s="709"/>
      <c r="I50" s="199" t="e">
        <f t="shared" si="28"/>
        <v>#DIV/0!</v>
      </c>
      <c r="J50" s="199" t="e">
        <f t="shared" si="28"/>
        <v>#DIV/0!</v>
      </c>
      <c r="K50" s="200" t="e">
        <f t="shared" si="28"/>
        <v>#DIV/0!</v>
      </c>
      <c r="L50" s="641"/>
      <c r="M50" s="201" t="e">
        <f>RANK(K50, K$47:$K$61)</f>
        <v>#DIV/0!</v>
      </c>
      <c r="N50" s="659"/>
      <c r="O50" s="659"/>
      <c r="P50" s="573"/>
      <c r="Q50" s="574"/>
      <c r="R50" s="574"/>
      <c r="S50" s="533" t="e">
        <f t="shared" si="29"/>
        <v>#N/A</v>
      </c>
      <c r="T50" s="681"/>
      <c r="U50" s="573"/>
      <c r="V50" s="574"/>
      <c r="W50" s="574"/>
      <c r="X50" s="533" t="e">
        <f t="shared" si="30"/>
        <v>#N/A</v>
      </c>
      <c r="Y50" s="681"/>
      <c r="Z50" s="573"/>
      <c r="AA50" s="574"/>
      <c r="AB50" s="574"/>
      <c r="AC50" s="533" t="e">
        <f t="shared" si="31"/>
        <v>#N/A</v>
      </c>
      <c r="AD50" s="681"/>
      <c r="AE50" s="573"/>
      <c r="AF50" s="574"/>
      <c r="AG50" s="574"/>
      <c r="AH50" s="533" t="e">
        <f t="shared" si="32"/>
        <v>#N/A</v>
      </c>
      <c r="AI50" s="681"/>
      <c r="AJ50" s="573"/>
      <c r="AK50" s="574"/>
      <c r="AL50" s="574"/>
      <c r="AM50" s="533" t="e">
        <f t="shared" si="33"/>
        <v>#N/A</v>
      </c>
      <c r="AN50" s="681"/>
      <c r="AO50" s="573"/>
      <c r="AP50" s="574"/>
      <c r="AQ50" s="574"/>
      <c r="AR50" s="533" t="e">
        <f t="shared" si="34"/>
        <v>#N/A</v>
      </c>
      <c r="AS50" s="681"/>
      <c r="AT50" s="573"/>
      <c r="AU50" s="574"/>
      <c r="AV50" s="574"/>
      <c r="AW50" s="533" t="e">
        <f t="shared" si="35"/>
        <v>#N/A</v>
      </c>
      <c r="AX50" s="681"/>
    </row>
    <row r="51" spans="2:50">
      <c r="B51" s="667"/>
      <c r="C51" s="327">
        <v>5</v>
      </c>
      <c r="D51" s="227"/>
      <c r="E51" s="182"/>
      <c r="F51" s="569"/>
      <c r="G51" s="570"/>
      <c r="H51" s="709"/>
      <c r="I51" s="464" t="e">
        <f t="shared" ref="I51" si="36">AVERAGE(P51,U51,Z51,AE51,AJ51,AO51,AT51)</f>
        <v>#DIV/0!</v>
      </c>
      <c r="J51" s="464" t="e">
        <f t="shared" ref="J51" si="37">AVERAGE(Q51,V51,AA51,AF51,AK51,AP51,AU51)</f>
        <v>#DIV/0!</v>
      </c>
      <c r="K51" s="200" t="e">
        <f t="shared" ref="K51" si="38">AVERAGE(R51,W51,AB51,AG51,AL51,AQ51,AV51)</f>
        <v>#DIV/0!</v>
      </c>
      <c r="L51" s="641"/>
      <c r="M51" s="201" t="e">
        <f>RANK(K51, K$47:$K$61)</f>
        <v>#DIV/0!</v>
      </c>
      <c r="N51" s="659"/>
      <c r="O51" s="659"/>
      <c r="P51" s="573"/>
      <c r="Q51" s="574"/>
      <c r="R51" s="574"/>
      <c r="S51" s="533" t="e">
        <f t="shared" si="29"/>
        <v>#N/A</v>
      </c>
      <c r="T51" s="681"/>
      <c r="U51" s="573"/>
      <c r="V51" s="574"/>
      <c r="W51" s="574"/>
      <c r="X51" s="533" t="e">
        <f t="shared" si="30"/>
        <v>#N/A</v>
      </c>
      <c r="Y51" s="681"/>
      <c r="Z51" s="573"/>
      <c r="AA51" s="574"/>
      <c r="AB51" s="574"/>
      <c r="AC51" s="533" t="e">
        <f t="shared" si="31"/>
        <v>#N/A</v>
      </c>
      <c r="AD51" s="681"/>
      <c r="AE51" s="573"/>
      <c r="AF51" s="574"/>
      <c r="AG51" s="574"/>
      <c r="AH51" s="533" t="e">
        <f t="shared" si="32"/>
        <v>#N/A</v>
      </c>
      <c r="AI51" s="681"/>
      <c r="AJ51" s="573"/>
      <c r="AK51" s="574"/>
      <c r="AL51" s="574"/>
      <c r="AM51" s="533" t="e">
        <f t="shared" si="33"/>
        <v>#N/A</v>
      </c>
      <c r="AN51" s="681"/>
      <c r="AO51" s="573"/>
      <c r="AP51" s="574"/>
      <c r="AQ51" s="574"/>
      <c r="AR51" s="533" t="e">
        <f t="shared" si="34"/>
        <v>#N/A</v>
      </c>
      <c r="AS51" s="681"/>
      <c r="AT51" s="573"/>
      <c r="AU51" s="574"/>
      <c r="AV51" s="574"/>
      <c r="AW51" s="533" t="e">
        <f t="shared" si="35"/>
        <v>#N/A</v>
      </c>
      <c r="AX51" s="681"/>
    </row>
    <row r="52" spans="2:50">
      <c r="B52" s="667"/>
      <c r="C52" s="327">
        <v>6</v>
      </c>
      <c r="D52" s="227"/>
      <c r="E52" s="182"/>
      <c r="F52" s="569"/>
      <c r="G52" s="570"/>
      <c r="H52" s="709"/>
      <c r="I52" s="199"/>
      <c r="J52" s="199"/>
      <c r="K52" s="200"/>
      <c r="L52" s="641"/>
      <c r="M52" s="201" t="e">
        <f>RANK(K52, K$47:$K$61)</f>
        <v>#DIV/0!</v>
      </c>
      <c r="N52" s="659"/>
      <c r="O52" s="659"/>
      <c r="P52" s="573"/>
      <c r="Q52" s="574"/>
      <c r="R52" s="574"/>
      <c r="S52" s="533"/>
      <c r="T52" s="681"/>
      <c r="U52" s="573"/>
      <c r="V52" s="574"/>
      <c r="W52" s="574"/>
      <c r="X52" s="533"/>
      <c r="Y52" s="681"/>
      <c r="Z52" s="573"/>
      <c r="AA52" s="574"/>
      <c r="AB52" s="574"/>
      <c r="AC52" s="533"/>
      <c r="AD52" s="681"/>
      <c r="AE52" s="573"/>
      <c r="AF52" s="574"/>
      <c r="AG52" s="574"/>
      <c r="AH52" s="533"/>
      <c r="AI52" s="681"/>
      <c r="AJ52" s="573"/>
      <c r="AK52" s="574"/>
      <c r="AL52" s="574"/>
      <c r="AM52" s="533"/>
      <c r="AN52" s="681"/>
      <c r="AO52" s="573"/>
      <c r="AP52" s="574"/>
      <c r="AQ52" s="574"/>
      <c r="AR52" s="533"/>
      <c r="AS52" s="681"/>
      <c r="AT52" s="573"/>
      <c r="AU52" s="574"/>
      <c r="AV52" s="574"/>
      <c r="AW52" s="533"/>
      <c r="AX52" s="681"/>
    </row>
    <row r="53" spans="2:50">
      <c r="B53" s="667"/>
      <c r="C53" s="327">
        <v>7</v>
      </c>
      <c r="D53" s="227"/>
      <c r="E53" s="182"/>
      <c r="F53" s="569"/>
      <c r="G53" s="570"/>
      <c r="H53" s="709"/>
      <c r="I53" s="199"/>
      <c r="J53" s="199"/>
      <c r="K53" s="200"/>
      <c r="L53" s="641"/>
      <c r="M53" s="201" t="e">
        <f>RANK(K53, K$47:$K$61)</f>
        <v>#DIV/0!</v>
      </c>
      <c r="N53" s="659"/>
      <c r="O53" s="659"/>
      <c r="P53" s="573"/>
      <c r="Q53" s="574"/>
      <c r="R53" s="574"/>
      <c r="S53" s="533"/>
      <c r="T53" s="681"/>
      <c r="U53" s="573"/>
      <c r="V53" s="574"/>
      <c r="W53" s="574"/>
      <c r="X53" s="533"/>
      <c r="Y53" s="681"/>
      <c r="Z53" s="573"/>
      <c r="AA53" s="574"/>
      <c r="AB53" s="574"/>
      <c r="AC53" s="533"/>
      <c r="AD53" s="681"/>
      <c r="AE53" s="573"/>
      <c r="AF53" s="574"/>
      <c r="AG53" s="574"/>
      <c r="AH53" s="533"/>
      <c r="AI53" s="681"/>
      <c r="AJ53" s="573"/>
      <c r="AK53" s="574"/>
      <c r="AL53" s="574"/>
      <c r="AM53" s="533"/>
      <c r="AN53" s="681"/>
      <c r="AO53" s="573"/>
      <c r="AP53" s="574"/>
      <c r="AQ53" s="574"/>
      <c r="AR53" s="533"/>
      <c r="AS53" s="681"/>
      <c r="AT53" s="573"/>
      <c r="AU53" s="574"/>
      <c r="AV53" s="574"/>
      <c r="AW53" s="533"/>
      <c r="AX53" s="681"/>
    </row>
    <row r="54" spans="2:50">
      <c r="B54" s="667"/>
      <c r="C54" s="327">
        <v>8</v>
      </c>
      <c r="D54" s="227"/>
      <c r="E54" s="182"/>
      <c r="F54" s="569"/>
      <c r="G54" s="570"/>
      <c r="H54" s="709"/>
      <c r="I54" s="199"/>
      <c r="J54" s="199"/>
      <c r="K54" s="200"/>
      <c r="L54" s="641"/>
      <c r="M54" s="201" t="e">
        <f>RANK(K54, K$47:$K$61)</f>
        <v>#DIV/0!</v>
      </c>
      <c r="N54" s="659"/>
      <c r="O54" s="659"/>
      <c r="P54" s="573"/>
      <c r="Q54" s="574"/>
      <c r="R54" s="574"/>
      <c r="S54" s="533"/>
      <c r="T54" s="681"/>
      <c r="U54" s="573"/>
      <c r="V54" s="574"/>
      <c r="W54" s="574"/>
      <c r="X54" s="533"/>
      <c r="Y54" s="681"/>
      <c r="Z54" s="573"/>
      <c r="AA54" s="574"/>
      <c r="AB54" s="574"/>
      <c r="AC54" s="533"/>
      <c r="AD54" s="681"/>
      <c r="AE54" s="573"/>
      <c r="AF54" s="574"/>
      <c r="AG54" s="574"/>
      <c r="AH54" s="533"/>
      <c r="AI54" s="681"/>
      <c r="AJ54" s="573"/>
      <c r="AK54" s="574"/>
      <c r="AL54" s="574"/>
      <c r="AM54" s="533"/>
      <c r="AN54" s="681"/>
      <c r="AO54" s="573"/>
      <c r="AP54" s="574"/>
      <c r="AQ54" s="574"/>
      <c r="AR54" s="533"/>
      <c r="AS54" s="681"/>
      <c r="AT54" s="573"/>
      <c r="AU54" s="574"/>
      <c r="AV54" s="574"/>
      <c r="AW54" s="533"/>
      <c r="AX54" s="681"/>
    </row>
    <row r="55" spans="2:50">
      <c r="B55" s="667"/>
      <c r="C55" s="327">
        <v>9</v>
      </c>
      <c r="D55" s="227"/>
      <c r="E55" s="182"/>
      <c r="F55" s="569"/>
      <c r="G55" s="570"/>
      <c r="H55" s="709"/>
      <c r="I55" s="199"/>
      <c r="J55" s="199"/>
      <c r="K55" s="200"/>
      <c r="L55" s="641"/>
      <c r="M55" s="201" t="e">
        <f>RANK(K55, K$47:$K$61)</f>
        <v>#DIV/0!</v>
      </c>
      <c r="N55" s="659"/>
      <c r="O55" s="659"/>
      <c r="P55" s="573"/>
      <c r="Q55" s="574"/>
      <c r="R55" s="574"/>
      <c r="S55" s="533"/>
      <c r="T55" s="681"/>
      <c r="U55" s="573"/>
      <c r="V55" s="574"/>
      <c r="W55" s="574"/>
      <c r="X55" s="533"/>
      <c r="Y55" s="681"/>
      <c r="Z55" s="573"/>
      <c r="AA55" s="574"/>
      <c r="AB55" s="574"/>
      <c r="AC55" s="533"/>
      <c r="AD55" s="681"/>
      <c r="AE55" s="573"/>
      <c r="AF55" s="574"/>
      <c r="AG55" s="574"/>
      <c r="AH55" s="533"/>
      <c r="AI55" s="681"/>
      <c r="AJ55" s="573"/>
      <c r="AK55" s="574"/>
      <c r="AL55" s="574"/>
      <c r="AM55" s="533"/>
      <c r="AN55" s="681"/>
      <c r="AO55" s="573"/>
      <c r="AP55" s="574"/>
      <c r="AQ55" s="574"/>
      <c r="AR55" s="533"/>
      <c r="AS55" s="681"/>
      <c r="AT55" s="573"/>
      <c r="AU55" s="574"/>
      <c r="AV55" s="574"/>
      <c r="AW55" s="533"/>
      <c r="AX55" s="681"/>
    </row>
    <row r="56" spans="2:50">
      <c r="B56" s="667"/>
      <c r="C56" s="327">
        <v>10</v>
      </c>
      <c r="D56" s="227"/>
      <c r="E56" s="182"/>
      <c r="F56" s="569"/>
      <c r="G56" s="570"/>
      <c r="H56" s="709"/>
      <c r="I56" s="199"/>
      <c r="J56" s="199"/>
      <c r="K56" s="200"/>
      <c r="L56" s="641"/>
      <c r="M56" s="201" t="e">
        <f>RANK(K56, K$47:$K$61)</f>
        <v>#DIV/0!</v>
      </c>
      <c r="N56" s="659"/>
      <c r="O56" s="659"/>
      <c r="P56" s="573"/>
      <c r="Q56" s="574"/>
      <c r="R56" s="574"/>
      <c r="S56" s="533"/>
      <c r="T56" s="681"/>
      <c r="U56" s="573"/>
      <c r="V56" s="574"/>
      <c r="W56" s="574"/>
      <c r="X56" s="533"/>
      <c r="Y56" s="681"/>
      <c r="Z56" s="573"/>
      <c r="AA56" s="574"/>
      <c r="AB56" s="574"/>
      <c r="AC56" s="533"/>
      <c r="AD56" s="681"/>
      <c r="AE56" s="573"/>
      <c r="AF56" s="574"/>
      <c r="AG56" s="574"/>
      <c r="AH56" s="533"/>
      <c r="AI56" s="681"/>
      <c r="AJ56" s="573"/>
      <c r="AK56" s="574"/>
      <c r="AL56" s="574"/>
      <c r="AM56" s="533"/>
      <c r="AN56" s="681"/>
      <c r="AO56" s="573"/>
      <c r="AP56" s="574"/>
      <c r="AQ56" s="574"/>
      <c r="AR56" s="533"/>
      <c r="AS56" s="681"/>
      <c r="AT56" s="573"/>
      <c r="AU56" s="574"/>
      <c r="AV56" s="574"/>
      <c r="AW56" s="533"/>
      <c r="AX56" s="681"/>
    </row>
    <row r="57" spans="2:50">
      <c r="B57" s="667"/>
      <c r="C57" s="327">
        <v>11</v>
      </c>
      <c r="D57" s="227"/>
      <c r="E57" s="182"/>
      <c r="F57" s="569"/>
      <c r="G57" s="570"/>
      <c r="H57" s="709"/>
      <c r="I57" s="202"/>
      <c r="J57" s="202"/>
      <c r="K57" s="202"/>
      <c r="L57" s="641"/>
      <c r="M57" s="201" t="e">
        <f>RANK(K57, K$47:$K$61)</f>
        <v>#DIV/0!</v>
      </c>
      <c r="N57" s="659"/>
      <c r="O57" s="659"/>
      <c r="P57" s="573"/>
      <c r="Q57" s="574"/>
      <c r="R57" s="574"/>
      <c r="S57" s="533"/>
      <c r="T57" s="681"/>
      <c r="U57" s="573"/>
      <c r="V57" s="574"/>
      <c r="W57" s="574"/>
      <c r="X57" s="535"/>
      <c r="Y57" s="681"/>
      <c r="Z57" s="573"/>
      <c r="AA57" s="574"/>
      <c r="AB57" s="574"/>
      <c r="AC57" s="533"/>
      <c r="AD57" s="681"/>
      <c r="AE57" s="573"/>
      <c r="AF57" s="574"/>
      <c r="AG57" s="574"/>
      <c r="AH57" s="533"/>
      <c r="AI57" s="681"/>
      <c r="AJ57" s="573"/>
      <c r="AK57" s="574"/>
      <c r="AL57" s="574"/>
      <c r="AM57" s="533"/>
      <c r="AN57" s="681"/>
      <c r="AO57" s="573"/>
      <c r="AP57" s="574"/>
      <c r="AQ57" s="574"/>
      <c r="AR57" s="533"/>
      <c r="AS57" s="681"/>
      <c r="AT57" s="573"/>
      <c r="AU57" s="574"/>
      <c r="AV57" s="574"/>
      <c r="AW57" s="533"/>
      <c r="AX57" s="681"/>
    </row>
    <row r="58" spans="2:50">
      <c r="B58" s="667"/>
      <c r="C58" s="327">
        <v>12</v>
      </c>
      <c r="D58" s="227"/>
      <c r="E58" s="182"/>
      <c r="F58" s="569"/>
      <c r="G58" s="570"/>
      <c r="H58" s="709"/>
      <c r="I58" s="202"/>
      <c r="J58" s="202"/>
      <c r="K58" s="202"/>
      <c r="L58" s="641"/>
      <c r="M58" s="201" t="e">
        <f>RANK(K58, K$47:$K$61)</f>
        <v>#DIV/0!</v>
      </c>
      <c r="N58" s="659"/>
      <c r="O58" s="659"/>
      <c r="P58" s="573"/>
      <c r="Q58" s="574"/>
      <c r="R58" s="574"/>
      <c r="S58" s="533"/>
      <c r="T58" s="681"/>
      <c r="U58" s="573"/>
      <c r="V58" s="574"/>
      <c r="W58" s="574"/>
      <c r="X58" s="533"/>
      <c r="Y58" s="681"/>
      <c r="Z58" s="573"/>
      <c r="AA58" s="574"/>
      <c r="AB58" s="574"/>
      <c r="AC58" s="533"/>
      <c r="AD58" s="681"/>
      <c r="AE58" s="573"/>
      <c r="AF58" s="574"/>
      <c r="AG58" s="574"/>
      <c r="AH58" s="533"/>
      <c r="AI58" s="681"/>
      <c r="AJ58" s="573"/>
      <c r="AK58" s="574"/>
      <c r="AL58" s="574"/>
      <c r="AM58" s="533"/>
      <c r="AN58" s="681"/>
      <c r="AO58" s="573"/>
      <c r="AP58" s="574"/>
      <c r="AQ58" s="574"/>
      <c r="AR58" s="533"/>
      <c r="AS58" s="681"/>
      <c r="AT58" s="573"/>
      <c r="AU58" s="574"/>
      <c r="AV58" s="574"/>
      <c r="AW58" s="533"/>
      <c r="AX58" s="681"/>
    </row>
    <row r="59" spans="2:50">
      <c r="B59" s="667"/>
      <c r="C59" s="327">
        <v>13</v>
      </c>
      <c r="D59" s="227"/>
      <c r="E59" s="182"/>
      <c r="F59" s="569"/>
      <c r="G59" s="570"/>
      <c r="H59" s="709"/>
      <c r="I59" s="202"/>
      <c r="J59" s="202"/>
      <c r="K59" s="202"/>
      <c r="L59" s="641"/>
      <c r="M59" s="201" t="e">
        <f>RANK(K59, K$47:$K$61)</f>
        <v>#DIV/0!</v>
      </c>
      <c r="N59" s="659"/>
      <c r="O59" s="659"/>
      <c r="P59" s="573"/>
      <c r="Q59" s="574"/>
      <c r="R59" s="574"/>
      <c r="S59" s="533"/>
      <c r="T59" s="681"/>
      <c r="U59" s="573"/>
      <c r="V59" s="574"/>
      <c r="W59" s="574"/>
      <c r="X59" s="533"/>
      <c r="Y59" s="681"/>
      <c r="Z59" s="573"/>
      <c r="AA59" s="574"/>
      <c r="AB59" s="574"/>
      <c r="AC59" s="533"/>
      <c r="AD59" s="681"/>
      <c r="AE59" s="573"/>
      <c r="AF59" s="574"/>
      <c r="AG59" s="574"/>
      <c r="AH59" s="533"/>
      <c r="AI59" s="681"/>
      <c r="AJ59" s="573"/>
      <c r="AK59" s="574"/>
      <c r="AL59" s="574"/>
      <c r="AM59" s="533"/>
      <c r="AN59" s="681"/>
      <c r="AO59" s="573"/>
      <c r="AP59" s="574"/>
      <c r="AQ59" s="574"/>
      <c r="AR59" s="533"/>
      <c r="AS59" s="681"/>
      <c r="AT59" s="573"/>
      <c r="AU59" s="574"/>
      <c r="AV59" s="574"/>
      <c r="AW59" s="533"/>
      <c r="AX59" s="681"/>
    </row>
    <row r="60" spans="2:50">
      <c r="B60" s="667"/>
      <c r="C60" s="327">
        <v>14</v>
      </c>
      <c r="D60" s="227"/>
      <c r="E60" s="182"/>
      <c r="F60" s="569"/>
      <c r="G60" s="570"/>
      <c r="H60" s="709"/>
      <c r="I60" s="202"/>
      <c r="J60" s="202"/>
      <c r="K60" s="202"/>
      <c r="L60" s="641"/>
      <c r="M60" s="201" t="e">
        <f>RANK(K60, K$47:$K$61)</f>
        <v>#DIV/0!</v>
      </c>
      <c r="N60" s="659"/>
      <c r="O60" s="659"/>
      <c r="P60" s="573"/>
      <c r="Q60" s="574"/>
      <c r="R60" s="574"/>
      <c r="S60" s="533"/>
      <c r="T60" s="681"/>
      <c r="U60" s="573"/>
      <c r="V60" s="574"/>
      <c r="W60" s="574"/>
      <c r="X60" s="533"/>
      <c r="Y60" s="681"/>
      <c r="Z60" s="573"/>
      <c r="AA60" s="574"/>
      <c r="AB60" s="574"/>
      <c r="AC60" s="533"/>
      <c r="AD60" s="681"/>
      <c r="AE60" s="573"/>
      <c r="AF60" s="574"/>
      <c r="AG60" s="574"/>
      <c r="AH60" s="533"/>
      <c r="AI60" s="681"/>
      <c r="AJ60" s="573"/>
      <c r="AK60" s="574"/>
      <c r="AL60" s="574"/>
      <c r="AM60" s="533"/>
      <c r="AN60" s="681"/>
      <c r="AO60" s="573"/>
      <c r="AP60" s="574"/>
      <c r="AQ60" s="574"/>
      <c r="AR60" s="533"/>
      <c r="AS60" s="681"/>
      <c r="AT60" s="573"/>
      <c r="AU60" s="574"/>
      <c r="AV60" s="574"/>
      <c r="AW60" s="533"/>
      <c r="AX60" s="681"/>
    </row>
    <row r="61" spans="2:50">
      <c r="B61" s="667"/>
      <c r="C61" s="327">
        <v>15</v>
      </c>
      <c r="D61" s="227"/>
      <c r="E61" s="182"/>
      <c r="F61" s="569"/>
      <c r="G61" s="570"/>
      <c r="H61" s="710"/>
      <c r="I61" s="202"/>
      <c r="J61" s="202"/>
      <c r="K61" s="202"/>
      <c r="L61" s="642"/>
      <c r="M61" s="201" t="e">
        <f>RANK(K61, K$47:$K$61)</f>
        <v>#DIV/0!</v>
      </c>
      <c r="N61" s="659"/>
      <c r="O61" s="659"/>
      <c r="P61" s="573"/>
      <c r="Q61" s="574"/>
      <c r="R61" s="574"/>
      <c r="S61" s="533"/>
      <c r="T61" s="681"/>
      <c r="U61" s="573"/>
      <c r="V61" s="574"/>
      <c r="W61" s="574"/>
      <c r="X61" s="533"/>
      <c r="Y61" s="681"/>
      <c r="Z61" s="573"/>
      <c r="AA61" s="574"/>
      <c r="AB61" s="574"/>
      <c r="AC61" s="533"/>
      <c r="AD61" s="681"/>
      <c r="AE61" s="573"/>
      <c r="AF61" s="574"/>
      <c r="AG61" s="574"/>
      <c r="AH61" s="533"/>
      <c r="AI61" s="681"/>
      <c r="AJ61" s="573"/>
      <c r="AK61" s="574"/>
      <c r="AL61" s="574"/>
      <c r="AM61" s="533"/>
      <c r="AN61" s="681"/>
      <c r="AO61" s="573"/>
      <c r="AP61" s="574"/>
      <c r="AQ61" s="574"/>
      <c r="AR61" s="533"/>
      <c r="AS61" s="681"/>
      <c r="AT61" s="573"/>
      <c r="AU61" s="574"/>
      <c r="AV61" s="574"/>
      <c r="AW61" s="533"/>
      <c r="AX61" s="681"/>
    </row>
    <row r="62" spans="2:50" ht="15.75">
      <c r="B62" s="671" t="s">
        <v>163</v>
      </c>
      <c r="C62" s="672"/>
      <c r="D62" s="672"/>
      <c r="E62" s="672"/>
      <c r="F62" s="672"/>
      <c r="G62" s="672"/>
      <c r="H62" s="673"/>
      <c r="I62" s="208"/>
      <c r="J62" s="208"/>
      <c r="K62" s="208"/>
      <c r="L62" s="208"/>
      <c r="M62" s="207"/>
      <c r="N62" s="660" t="s">
        <v>156</v>
      </c>
      <c r="O62" s="660" t="s">
        <v>105</v>
      </c>
      <c r="P62" s="666">
        <f>P42+7</f>
        <v>46105</v>
      </c>
      <c r="Q62" s="667"/>
      <c r="R62" s="667"/>
      <c r="S62" s="667"/>
      <c r="T62" s="667"/>
      <c r="U62" s="663">
        <f>P62+1</f>
        <v>46106</v>
      </c>
      <c r="V62" s="664"/>
      <c r="W62" s="664"/>
      <c r="X62" s="664"/>
      <c r="Y62" s="665"/>
      <c r="Z62" s="663">
        <f>U62+1</f>
        <v>46107</v>
      </c>
      <c r="AA62" s="664"/>
      <c r="AB62" s="664"/>
      <c r="AC62" s="664"/>
      <c r="AD62" s="665"/>
      <c r="AE62" s="663">
        <f>Z62+1</f>
        <v>46108</v>
      </c>
      <c r="AF62" s="664"/>
      <c r="AG62" s="664"/>
      <c r="AH62" s="664"/>
      <c r="AI62" s="665"/>
      <c r="AJ62" s="663">
        <f>AE62+1</f>
        <v>46109</v>
      </c>
      <c r="AK62" s="664"/>
      <c r="AL62" s="664"/>
      <c r="AM62" s="664"/>
      <c r="AN62" s="665"/>
      <c r="AO62" s="663">
        <f>AJ62+1</f>
        <v>46110</v>
      </c>
      <c r="AP62" s="664"/>
      <c r="AQ62" s="664"/>
      <c r="AR62" s="664"/>
      <c r="AS62" s="665"/>
      <c r="AT62" s="663">
        <f>AO62+1</f>
        <v>46111</v>
      </c>
      <c r="AU62" s="664"/>
      <c r="AV62" s="664"/>
      <c r="AW62" s="664"/>
      <c r="AX62" s="665"/>
    </row>
    <row r="63" spans="2:50" ht="15.75">
      <c r="B63" s="674"/>
      <c r="C63" s="674"/>
      <c r="D63" s="674"/>
      <c r="E63" s="674"/>
      <c r="F63" s="674"/>
      <c r="G63" s="674"/>
      <c r="H63" s="674"/>
      <c r="I63" s="205"/>
      <c r="J63" s="205"/>
      <c r="K63" s="205"/>
      <c r="L63" s="205"/>
      <c r="M63" s="206"/>
      <c r="N63" s="662"/>
      <c r="O63" s="662"/>
      <c r="P63" s="666" t="s">
        <v>336</v>
      </c>
      <c r="Q63" s="667"/>
      <c r="R63" s="667"/>
      <c r="S63" s="667"/>
      <c r="T63" s="667"/>
      <c r="U63" s="666" t="s">
        <v>337</v>
      </c>
      <c r="V63" s="667"/>
      <c r="W63" s="667"/>
      <c r="X63" s="667"/>
      <c r="Y63" s="667"/>
      <c r="Z63" s="666" t="s">
        <v>338</v>
      </c>
      <c r="AA63" s="667"/>
      <c r="AB63" s="667"/>
      <c r="AC63" s="667"/>
      <c r="AD63" s="667"/>
      <c r="AE63" s="666" t="s">
        <v>339</v>
      </c>
      <c r="AF63" s="667"/>
      <c r="AG63" s="667"/>
      <c r="AH63" s="667"/>
      <c r="AI63" s="667"/>
      <c r="AJ63" s="666" t="s">
        <v>340</v>
      </c>
      <c r="AK63" s="667"/>
      <c r="AL63" s="667"/>
      <c r="AM63" s="667"/>
      <c r="AN63" s="667"/>
      <c r="AO63" s="666" t="s">
        <v>341</v>
      </c>
      <c r="AP63" s="667"/>
      <c r="AQ63" s="667"/>
      <c r="AR63" s="667"/>
      <c r="AS63" s="667"/>
      <c r="AT63" s="666" t="s">
        <v>342</v>
      </c>
      <c r="AU63" s="667"/>
      <c r="AV63" s="667"/>
      <c r="AW63" s="667"/>
      <c r="AX63" s="667"/>
    </row>
    <row r="64" spans="2:50">
      <c r="B64" s="659" t="s">
        <v>478</v>
      </c>
      <c r="C64" s="659" t="s">
        <v>479</v>
      </c>
      <c r="D64" s="659"/>
      <c r="E64" s="659" t="s">
        <v>480</v>
      </c>
      <c r="F64" s="659"/>
      <c r="G64" s="659"/>
      <c r="H64" s="675" t="s">
        <v>481</v>
      </c>
      <c r="I64" s="643" t="s">
        <v>482</v>
      </c>
      <c r="J64" s="643"/>
      <c r="K64" s="643"/>
      <c r="L64" s="644" t="s">
        <v>481</v>
      </c>
      <c r="M64" s="650" t="s">
        <v>483</v>
      </c>
      <c r="N64" s="659"/>
      <c r="O64" s="659" t="s">
        <v>484</v>
      </c>
      <c r="P64" s="656" t="s">
        <v>485</v>
      </c>
      <c r="Q64" s="657"/>
      <c r="R64" s="657"/>
      <c r="S64" s="658"/>
      <c r="T64" s="659" t="s">
        <v>481</v>
      </c>
      <c r="U64" s="656" t="s">
        <v>485</v>
      </c>
      <c r="V64" s="657"/>
      <c r="W64" s="657"/>
      <c r="X64" s="658"/>
      <c r="Y64" s="659" t="s">
        <v>481</v>
      </c>
      <c r="Z64" s="656" t="s">
        <v>485</v>
      </c>
      <c r="AA64" s="657"/>
      <c r="AB64" s="657"/>
      <c r="AC64" s="658"/>
      <c r="AD64" s="659" t="s">
        <v>481</v>
      </c>
      <c r="AE64" s="656" t="s">
        <v>485</v>
      </c>
      <c r="AF64" s="657"/>
      <c r="AG64" s="657"/>
      <c r="AH64" s="658"/>
      <c r="AI64" s="659" t="s">
        <v>481</v>
      </c>
      <c r="AJ64" s="656" t="s">
        <v>485</v>
      </c>
      <c r="AK64" s="657"/>
      <c r="AL64" s="657"/>
      <c r="AM64" s="658"/>
      <c r="AN64" s="659" t="s">
        <v>481</v>
      </c>
      <c r="AO64" s="656" t="s">
        <v>485</v>
      </c>
      <c r="AP64" s="657"/>
      <c r="AQ64" s="657"/>
      <c r="AR64" s="658"/>
      <c r="AS64" s="659" t="s">
        <v>481</v>
      </c>
      <c r="AT64" s="656" t="s">
        <v>485</v>
      </c>
      <c r="AU64" s="657"/>
      <c r="AV64" s="657"/>
      <c r="AW64" s="658"/>
      <c r="AX64" s="659" t="s">
        <v>481</v>
      </c>
    </row>
    <row r="65" spans="2:50">
      <c r="B65" s="659"/>
      <c r="C65" s="659"/>
      <c r="D65" s="659"/>
      <c r="E65" s="659" t="s">
        <v>486</v>
      </c>
      <c r="F65" s="659"/>
      <c r="G65" s="659"/>
      <c r="H65" s="676"/>
      <c r="I65" s="643" t="s">
        <v>486</v>
      </c>
      <c r="J65" s="643"/>
      <c r="K65" s="643"/>
      <c r="L65" s="645"/>
      <c r="M65" s="651"/>
      <c r="N65" s="659"/>
      <c r="O65" s="659"/>
      <c r="P65" s="656" t="s">
        <v>487</v>
      </c>
      <c r="Q65" s="657"/>
      <c r="R65" s="657"/>
      <c r="S65" s="658"/>
      <c r="T65" s="659"/>
      <c r="U65" s="656" t="s">
        <v>487</v>
      </c>
      <c r="V65" s="657"/>
      <c r="W65" s="657"/>
      <c r="X65" s="658"/>
      <c r="Y65" s="659"/>
      <c r="Z65" s="656" t="s">
        <v>487</v>
      </c>
      <c r="AA65" s="657"/>
      <c r="AB65" s="657"/>
      <c r="AC65" s="658"/>
      <c r="AD65" s="659"/>
      <c r="AE65" s="656" t="s">
        <v>487</v>
      </c>
      <c r="AF65" s="657"/>
      <c r="AG65" s="657"/>
      <c r="AH65" s="658"/>
      <c r="AI65" s="659"/>
      <c r="AJ65" s="656" t="s">
        <v>487</v>
      </c>
      <c r="AK65" s="657"/>
      <c r="AL65" s="657"/>
      <c r="AM65" s="658"/>
      <c r="AN65" s="659"/>
      <c r="AO65" s="656" t="s">
        <v>487</v>
      </c>
      <c r="AP65" s="657"/>
      <c r="AQ65" s="657"/>
      <c r="AR65" s="658"/>
      <c r="AS65" s="659"/>
      <c r="AT65" s="656" t="s">
        <v>487</v>
      </c>
      <c r="AU65" s="657"/>
      <c r="AV65" s="657"/>
      <c r="AW65" s="658"/>
      <c r="AX65" s="659"/>
    </row>
    <row r="66" spans="2:50">
      <c r="B66" s="659"/>
      <c r="C66" s="659"/>
      <c r="D66" s="659"/>
      <c r="E66" s="308" t="s">
        <v>488</v>
      </c>
      <c r="F66" s="308" t="s">
        <v>489</v>
      </c>
      <c r="G66" s="308" t="s">
        <v>490</v>
      </c>
      <c r="H66" s="677"/>
      <c r="I66" s="307" t="s">
        <v>488</v>
      </c>
      <c r="J66" s="307" t="s">
        <v>489</v>
      </c>
      <c r="K66" s="307" t="s">
        <v>490</v>
      </c>
      <c r="L66" s="646"/>
      <c r="M66" s="652"/>
      <c r="N66" s="659"/>
      <c r="O66" s="659"/>
      <c r="P66" s="308" t="s">
        <v>488</v>
      </c>
      <c r="Q66" s="308" t="s">
        <v>489</v>
      </c>
      <c r="R66" s="308" t="s">
        <v>490</v>
      </c>
      <c r="S66" s="308" t="s">
        <v>483</v>
      </c>
      <c r="T66" s="659"/>
      <c r="U66" s="308" t="s">
        <v>488</v>
      </c>
      <c r="V66" s="308" t="s">
        <v>489</v>
      </c>
      <c r="W66" s="308" t="s">
        <v>490</v>
      </c>
      <c r="X66" s="308" t="s">
        <v>483</v>
      </c>
      <c r="Y66" s="659"/>
      <c r="Z66" s="308" t="s">
        <v>488</v>
      </c>
      <c r="AA66" s="308" t="s">
        <v>489</v>
      </c>
      <c r="AB66" s="308" t="s">
        <v>490</v>
      </c>
      <c r="AC66" s="308" t="s">
        <v>483</v>
      </c>
      <c r="AD66" s="659"/>
      <c r="AE66" s="308" t="s">
        <v>488</v>
      </c>
      <c r="AF66" s="308" t="s">
        <v>489</v>
      </c>
      <c r="AG66" s="308" t="s">
        <v>490</v>
      </c>
      <c r="AH66" s="308" t="s">
        <v>483</v>
      </c>
      <c r="AI66" s="659"/>
      <c r="AJ66" s="308" t="s">
        <v>488</v>
      </c>
      <c r="AK66" s="308" t="s">
        <v>489</v>
      </c>
      <c r="AL66" s="308" t="s">
        <v>490</v>
      </c>
      <c r="AM66" s="308" t="s">
        <v>483</v>
      </c>
      <c r="AN66" s="659"/>
      <c r="AO66" s="308" t="s">
        <v>488</v>
      </c>
      <c r="AP66" s="308" t="s">
        <v>489</v>
      </c>
      <c r="AQ66" s="308" t="s">
        <v>490</v>
      </c>
      <c r="AR66" s="308" t="s">
        <v>483</v>
      </c>
      <c r="AS66" s="659"/>
      <c r="AT66" s="308" t="s">
        <v>488</v>
      </c>
      <c r="AU66" s="308" t="s">
        <v>489</v>
      </c>
      <c r="AV66" s="308" t="s">
        <v>490</v>
      </c>
      <c r="AW66" s="308" t="s">
        <v>483</v>
      </c>
      <c r="AX66" s="659"/>
    </row>
    <row r="67" spans="2:50">
      <c r="B67" s="659" t="s">
        <v>495</v>
      </c>
      <c r="C67" s="309">
        <v>1</v>
      </c>
      <c r="D67" s="227"/>
      <c r="E67" s="182"/>
      <c r="F67" s="569"/>
      <c r="G67" s="570"/>
      <c r="H67" s="708" t="e">
        <f>AVERAGE(G67:G81)</f>
        <v>#DIV/0!</v>
      </c>
      <c r="I67" s="199" t="e">
        <f t="shared" ref="I67:K70" si="39">AVERAGE(P67,U67,Z67,AE67,AJ67,AO67,AT67)</f>
        <v>#DIV/0!</v>
      </c>
      <c r="J67" s="199" t="e">
        <f t="shared" si="39"/>
        <v>#DIV/0!</v>
      </c>
      <c r="K67" s="200" t="e">
        <f t="shared" si="39"/>
        <v>#DIV/0!</v>
      </c>
      <c r="L67" s="640" t="str">
        <f>IFERROR(AVERAGE(K67:K81),"-")</f>
        <v>-</v>
      </c>
      <c r="M67" s="201" t="e">
        <f>RANK(K67, K$67:$K$81)</f>
        <v>#DIV/0!</v>
      </c>
      <c r="N67" s="659"/>
      <c r="O67" s="659"/>
      <c r="P67" s="573"/>
      <c r="Q67" s="574"/>
      <c r="R67" s="574"/>
      <c r="S67" s="339" t="e">
        <f>RANK(R67, R$67:R$81)</f>
        <v>#N/A</v>
      </c>
      <c r="T67" s="708" t="e">
        <f>AVERAGE(R67:R81)</f>
        <v>#DIV/0!</v>
      </c>
      <c r="U67" s="573"/>
      <c r="V67" s="574"/>
      <c r="W67" s="574"/>
      <c r="X67" s="475" t="e">
        <f t="shared" ref="X67:X81" si="40">RANK(W67, W$67:W$81)</f>
        <v>#N/A</v>
      </c>
      <c r="Y67" s="708" t="e">
        <f t="shared" ref="Y67" si="41">AVERAGE(W67:W81)</f>
        <v>#DIV/0!</v>
      </c>
      <c r="Z67" s="573"/>
      <c r="AA67" s="574"/>
      <c r="AB67" s="574"/>
      <c r="AC67" s="475" t="e">
        <f t="shared" ref="AC67:AC81" si="42">RANK(AB67, AB$67:AB$81)</f>
        <v>#N/A</v>
      </c>
      <c r="AD67" s="708" t="e">
        <f t="shared" ref="AD67" si="43">AVERAGE(AB67:AB81)</f>
        <v>#DIV/0!</v>
      </c>
      <c r="AE67" s="573"/>
      <c r="AF67" s="574"/>
      <c r="AG67" s="574"/>
      <c r="AH67" s="475" t="e">
        <f t="shared" ref="AH67:AH81" si="44">RANK(AG67, AG$67:AG$81)</f>
        <v>#N/A</v>
      </c>
      <c r="AI67" s="708" t="e">
        <f t="shared" ref="AI67" si="45">AVERAGE(AG67:AG81)</f>
        <v>#DIV/0!</v>
      </c>
      <c r="AJ67" s="573"/>
      <c r="AK67" s="574"/>
      <c r="AL67" s="574"/>
      <c r="AM67" s="475" t="e">
        <f t="shared" ref="AM67:AM81" si="46">RANK(AL67, AL$67:AL$81)</f>
        <v>#N/A</v>
      </c>
      <c r="AN67" s="708" t="e">
        <f t="shared" ref="AN67" si="47">AVERAGE(AL67:AL81)</f>
        <v>#DIV/0!</v>
      </c>
      <c r="AO67" s="573"/>
      <c r="AP67" s="574"/>
      <c r="AQ67" s="574"/>
      <c r="AR67" s="475" t="e">
        <f t="shared" ref="AR67:AR81" si="48">RANK(AQ67, AQ$67:AQ$81)</f>
        <v>#N/A</v>
      </c>
      <c r="AS67" s="708" t="e">
        <f t="shared" ref="AS67" si="49">AVERAGE(AQ67:AQ81)</f>
        <v>#DIV/0!</v>
      </c>
      <c r="AT67" s="573"/>
      <c r="AU67" s="574"/>
      <c r="AV67" s="574"/>
      <c r="AW67" s="475" t="e">
        <f t="shared" ref="AW67:AW81" si="50">RANK(AV67, AV$67:AV$81)</f>
        <v>#N/A</v>
      </c>
      <c r="AX67" s="681" t="e">
        <f t="shared" ref="AX67" si="51">AVERAGE(AV67:AV81)</f>
        <v>#DIV/0!</v>
      </c>
    </row>
    <row r="68" spans="2:50">
      <c r="B68" s="667"/>
      <c r="C68" s="309">
        <v>2</v>
      </c>
      <c r="D68" s="227"/>
      <c r="E68" s="182"/>
      <c r="F68" s="569"/>
      <c r="G68" s="570"/>
      <c r="H68" s="709"/>
      <c r="I68" s="199" t="e">
        <f t="shared" si="39"/>
        <v>#DIV/0!</v>
      </c>
      <c r="J68" s="199" t="e">
        <f t="shared" si="39"/>
        <v>#DIV/0!</v>
      </c>
      <c r="K68" s="200" t="e">
        <f t="shared" si="39"/>
        <v>#DIV/0!</v>
      </c>
      <c r="L68" s="641"/>
      <c r="M68" s="201" t="e">
        <f>RANK(K68, K$67:$K$81)</f>
        <v>#DIV/0!</v>
      </c>
      <c r="N68" s="659"/>
      <c r="O68" s="659"/>
      <c r="P68" s="573"/>
      <c r="Q68" s="574"/>
      <c r="R68" s="574"/>
      <c r="S68" s="339" t="e">
        <f t="shared" ref="S68:S81" si="52">RANK(R68, R$67:R$81)</f>
        <v>#N/A</v>
      </c>
      <c r="T68" s="709"/>
      <c r="U68" s="573"/>
      <c r="V68" s="574"/>
      <c r="W68" s="574"/>
      <c r="X68" s="475" t="e">
        <f t="shared" si="40"/>
        <v>#N/A</v>
      </c>
      <c r="Y68" s="709"/>
      <c r="Z68" s="573"/>
      <c r="AA68" s="574"/>
      <c r="AB68" s="574"/>
      <c r="AC68" s="475" t="e">
        <f t="shared" si="42"/>
        <v>#N/A</v>
      </c>
      <c r="AD68" s="709"/>
      <c r="AE68" s="573"/>
      <c r="AF68" s="574"/>
      <c r="AG68" s="574"/>
      <c r="AH68" s="475" t="e">
        <f t="shared" si="44"/>
        <v>#N/A</v>
      </c>
      <c r="AI68" s="709"/>
      <c r="AJ68" s="573"/>
      <c r="AK68" s="574"/>
      <c r="AL68" s="574"/>
      <c r="AM68" s="475" t="e">
        <f t="shared" si="46"/>
        <v>#N/A</v>
      </c>
      <c r="AN68" s="709"/>
      <c r="AO68" s="573"/>
      <c r="AP68" s="574"/>
      <c r="AQ68" s="574"/>
      <c r="AR68" s="475" t="e">
        <f t="shared" si="48"/>
        <v>#N/A</v>
      </c>
      <c r="AS68" s="709"/>
      <c r="AT68" s="573"/>
      <c r="AU68" s="574"/>
      <c r="AV68" s="574"/>
      <c r="AW68" s="475" t="e">
        <f t="shared" si="50"/>
        <v>#N/A</v>
      </c>
      <c r="AX68" s="681"/>
    </row>
    <row r="69" spans="2:50">
      <c r="B69" s="667"/>
      <c r="C69" s="309">
        <v>3</v>
      </c>
      <c r="D69" s="227"/>
      <c r="E69" s="182"/>
      <c r="F69" s="569"/>
      <c r="G69" s="570"/>
      <c r="H69" s="709"/>
      <c r="I69" s="199" t="e">
        <f t="shared" si="39"/>
        <v>#DIV/0!</v>
      </c>
      <c r="J69" s="199" t="e">
        <f t="shared" si="39"/>
        <v>#DIV/0!</v>
      </c>
      <c r="K69" s="200" t="e">
        <f t="shared" si="39"/>
        <v>#DIV/0!</v>
      </c>
      <c r="L69" s="641"/>
      <c r="M69" s="201" t="e">
        <f>RANK(K69, K$67:$K$81)</f>
        <v>#DIV/0!</v>
      </c>
      <c r="N69" s="659"/>
      <c r="O69" s="659"/>
      <c r="P69" s="573"/>
      <c r="Q69" s="574"/>
      <c r="R69" s="574"/>
      <c r="S69" s="339" t="e">
        <f t="shared" si="52"/>
        <v>#N/A</v>
      </c>
      <c r="T69" s="709"/>
      <c r="U69" s="573"/>
      <c r="V69" s="574"/>
      <c r="W69" s="574"/>
      <c r="X69" s="475" t="e">
        <f t="shared" si="40"/>
        <v>#N/A</v>
      </c>
      <c r="Y69" s="709"/>
      <c r="Z69" s="573"/>
      <c r="AA69" s="574"/>
      <c r="AB69" s="574"/>
      <c r="AC69" s="475" t="e">
        <f t="shared" si="42"/>
        <v>#N/A</v>
      </c>
      <c r="AD69" s="709"/>
      <c r="AE69" s="573"/>
      <c r="AF69" s="574"/>
      <c r="AG69" s="574"/>
      <c r="AH69" s="475" t="e">
        <f t="shared" si="44"/>
        <v>#N/A</v>
      </c>
      <c r="AI69" s="709"/>
      <c r="AJ69" s="573"/>
      <c r="AK69" s="574"/>
      <c r="AL69" s="574"/>
      <c r="AM69" s="475" t="e">
        <f t="shared" si="46"/>
        <v>#N/A</v>
      </c>
      <c r="AN69" s="709"/>
      <c r="AO69" s="573"/>
      <c r="AP69" s="574"/>
      <c r="AQ69" s="574"/>
      <c r="AR69" s="475" t="e">
        <f t="shared" si="48"/>
        <v>#N/A</v>
      </c>
      <c r="AS69" s="709"/>
      <c r="AT69" s="573"/>
      <c r="AU69" s="574"/>
      <c r="AV69" s="574"/>
      <c r="AW69" s="475" t="e">
        <f t="shared" si="50"/>
        <v>#N/A</v>
      </c>
      <c r="AX69" s="681"/>
    </row>
    <row r="70" spans="2:50">
      <c r="B70" s="667"/>
      <c r="C70" s="309">
        <v>4</v>
      </c>
      <c r="D70" s="227"/>
      <c r="E70" s="182"/>
      <c r="F70" s="569"/>
      <c r="G70" s="570"/>
      <c r="H70" s="709"/>
      <c r="I70" s="199" t="e">
        <f t="shared" si="39"/>
        <v>#DIV/0!</v>
      </c>
      <c r="J70" s="199" t="e">
        <f t="shared" si="39"/>
        <v>#DIV/0!</v>
      </c>
      <c r="K70" s="200" t="e">
        <f t="shared" si="39"/>
        <v>#DIV/0!</v>
      </c>
      <c r="L70" s="641"/>
      <c r="M70" s="201" t="e">
        <f>RANK(K70, K$67:$K$81)</f>
        <v>#DIV/0!</v>
      </c>
      <c r="N70" s="659"/>
      <c r="O70" s="659"/>
      <c r="P70" s="573"/>
      <c r="Q70" s="574"/>
      <c r="R70" s="574"/>
      <c r="S70" s="339" t="e">
        <f t="shared" si="52"/>
        <v>#N/A</v>
      </c>
      <c r="T70" s="709"/>
      <c r="U70" s="573"/>
      <c r="V70" s="574"/>
      <c r="W70" s="574"/>
      <c r="X70" s="475" t="e">
        <f t="shared" si="40"/>
        <v>#N/A</v>
      </c>
      <c r="Y70" s="709"/>
      <c r="Z70" s="573"/>
      <c r="AA70" s="574"/>
      <c r="AB70" s="574"/>
      <c r="AC70" s="475" t="e">
        <f t="shared" si="42"/>
        <v>#N/A</v>
      </c>
      <c r="AD70" s="709"/>
      <c r="AE70" s="573"/>
      <c r="AF70" s="574"/>
      <c r="AG70" s="574"/>
      <c r="AH70" s="475" t="e">
        <f t="shared" si="44"/>
        <v>#N/A</v>
      </c>
      <c r="AI70" s="709"/>
      <c r="AJ70" s="573"/>
      <c r="AK70" s="574"/>
      <c r="AL70" s="574"/>
      <c r="AM70" s="475" t="e">
        <f t="shared" si="46"/>
        <v>#N/A</v>
      </c>
      <c r="AN70" s="709"/>
      <c r="AO70" s="573"/>
      <c r="AP70" s="574"/>
      <c r="AQ70" s="574"/>
      <c r="AR70" s="475" t="e">
        <f t="shared" si="48"/>
        <v>#N/A</v>
      </c>
      <c r="AS70" s="709"/>
      <c r="AT70" s="573"/>
      <c r="AU70" s="574"/>
      <c r="AV70" s="574"/>
      <c r="AW70" s="475" t="e">
        <f t="shared" si="50"/>
        <v>#N/A</v>
      </c>
      <c r="AX70" s="681"/>
    </row>
    <row r="71" spans="2:50">
      <c r="B71" s="667"/>
      <c r="C71" s="309">
        <v>5</v>
      </c>
      <c r="D71" s="227"/>
      <c r="E71" s="182"/>
      <c r="F71" s="569"/>
      <c r="G71" s="570"/>
      <c r="H71" s="709"/>
      <c r="I71" s="466" t="e">
        <f t="shared" ref="I71" si="53">AVERAGE(P71,U71,Z71,AE71,AJ71,AO71,AT71)</f>
        <v>#DIV/0!</v>
      </c>
      <c r="J71" s="466" t="e">
        <f t="shared" ref="J71" si="54">AVERAGE(Q71,V71,AA71,AF71,AK71,AP71,AU71)</f>
        <v>#DIV/0!</v>
      </c>
      <c r="K71" s="200" t="e">
        <f t="shared" ref="K71" si="55">AVERAGE(R71,W71,AB71,AG71,AL71,AQ71,AV71)</f>
        <v>#DIV/0!</v>
      </c>
      <c r="L71" s="641"/>
      <c r="M71" s="201" t="e">
        <f>RANK(K71, K$67:$K$81)</f>
        <v>#DIV/0!</v>
      </c>
      <c r="N71" s="659"/>
      <c r="O71" s="659"/>
      <c r="P71" s="573"/>
      <c r="Q71" s="574"/>
      <c r="R71" s="574"/>
      <c r="S71" s="339" t="e">
        <f t="shared" si="52"/>
        <v>#N/A</v>
      </c>
      <c r="T71" s="709"/>
      <c r="U71" s="573"/>
      <c r="V71" s="574"/>
      <c r="W71" s="574"/>
      <c r="X71" s="475" t="e">
        <f t="shared" si="40"/>
        <v>#N/A</v>
      </c>
      <c r="Y71" s="709"/>
      <c r="Z71" s="573"/>
      <c r="AA71" s="574"/>
      <c r="AB71" s="574"/>
      <c r="AC71" s="475" t="e">
        <f t="shared" si="42"/>
        <v>#N/A</v>
      </c>
      <c r="AD71" s="709"/>
      <c r="AE71" s="573"/>
      <c r="AF71" s="574"/>
      <c r="AG71" s="574"/>
      <c r="AH71" s="475" t="e">
        <f t="shared" si="44"/>
        <v>#N/A</v>
      </c>
      <c r="AI71" s="709"/>
      <c r="AJ71" s="573"/>
      <c r="AK71" s="574"/>
      <c r="AL71" s="574"/>
      <c r="AM71" s="475" t="e">
        <f t="shared" si="46"/>
        <v>#N/A</v>
      </c>
      <c r="AN71" s="709"/>
      <c r="AO71" s="573"/>
      <c r="AP71" s="574"/>
      <c r="AQ71" s="574"/>
      <c r="AR71" s="475" t="e">
        <f t="shared" si="48"/>
        <v>#N/A</v>
      </c>
      <c r="AS71" s="709"/>
      <c r="AT71" s="573"/>
      <c r="AU71" s="574"/>
      <c r="AV71" s="574"/>
      <c r="AW71" s="475" t="e">
        <f t="shared" si="50"/>
        <v>#N/A</v>
      </c>
      <c r="AX71" s="681"/>
    </row>
    <row r="72" spans="2:50">
      <c r="B72" s="667"/>
      <c r="C72" s="309">
        <v>6</v>
      </c>
      <c r="D72" s="227"/>
      <c r="E72" s="182"/>
      <c r="F72" s="569"/>
      <c r="G72" s="570"/>
      <c r="H72" s="709"/>
      <c r="I72" s="199"/>
      <c r="J72" s="199"/>
      <c r="K72" s="200"/>
      <c r="L72" s="641"/>
      <c r="M72" s="201" t="e">
        <f>RANK(K72, K$67:$K$81)</f>
        <v>#DIV/0!</v>
      </c>
      <c r="N72" s="659"/>
      <c r="O72" s="659"/>
      <c r="P72" s="573"/>
      <c r="Q72" s="574"/>
      <c r="R72" s="574"/>
      <c r="S72" s="339" t="e">
        <f t="shared" si="52"/>
        <v>#N/A</v>
      </c>
      <c r="T72" s="709"/>
      <c r="U72" s="573"/>
      <c r="V72" s="574"/>
      <c r="W72" s="574"/>
      <c r="X72" s="475" t="e">
        <f t="shared" si="40"/>
        <v>#N/A</v>
      </c>
      <c r="Y72" s="709"/>
      <c r="Z72" s="573"/>
      <c r="AA72" s="574"/>
      <c r="AB72" s="574"/>
      <c r="AC72" s="475" t="e">
        <f t="shared" si="42"/>
        <v>#N/A</v>
      </c>
      <c r="AD72" s="709"/>
      <c r="AE72" s="573"/>
      <c r="AF72" s="574"/>
      <c r="AG72" s="574"/>
      <c r="AH72" s="475" t="e">
        <f t="shared" si="44"/>
        <v>#N/A</v>
      </c>
      <c r="AI72" s="709"/>
      <c r="AJ72" s="573"/>
      <c r="AK72" s="574"/>
      <c r="AL72" s="574"/>
      <c r="AM72" s="475" t="e">
        <f t="shared" si="46"/>
        <v>#N/A</v>
      </c>
      <c r="AN72" s="709"/>
      <c r="AO72" s="573"/>
      <c r="AP72" s="574"/>
      <c r="AQ72" s="574"/>
      <c r="AR72" s="475" t="e">
        <f t="shared" si="48"/>
        <v>#N/A</v>
      </c>
      <c r="AS72" s="709"/>
      <c r="AT72" s="573"/>
      <c r="AU72" s="574"/>
      <c r="AV72" s="574"/>
      <c r="AW72" s="475" t="e">
        <f t="shared" si="50"/>
        <v>#N/A</v>
      </c>
      <c r="AX72" s="681"/>
    </row>
    <row r="73" spans="2:50">
      <c r="B73" s="667"/>
      <c r="C73" s="309">
        <v>7</v>
      </c>
      <c r="D73" s="227"/>
      <c r="E73" s="182"/>
      <c r="F73" s="569"/>
      <c r="G73" s="570"/>
      <c r="H73" s="709"/>
      <c r="I73" s="199"/>
      <c r="J73" s="199"/>
      <c r="K73" s="200"/>
      <c r="L73" s="641"/>
      <c r="M73" s="201" t="e">
        <f>RANK(K73, K$67:$K$81)</f>
        <v>#DIV/0!</v>
      </c>
      <c r="N73" s="659"/>
      <c r="O73" s="659"/>
      <c r="P73" s="573"/>
      <c r="Q73" s="574"/>
      <c r="R73" s="574"/>
      <c r="S73" s="339" t="e">
        <f t="shared" si="52"/>
        <v>#N/A</v>
      </c>
      <c r="T73" s="709"/>
      <c r="U73" s="573"/>
      <c r="V73" s="574"/>
      <c r="W73" s="574"/>
      <c r="X73" s="475" t="e">
        <f t="shared" si="40"/>
        <v>#N/A</v>
      </c>
      <c r="Y73" s="709"/>
      <c r="Z73" s="573"/>
      <c r="AA73" s="574"/>
      <c r="AB73" s="574"/>
      <c r="AC73" s="475" t="e">
        <f t="shared" si="42"/>
        <v>#N/A</v>
      </c>
      <c r="AD73" s="709"/>
      <c r="AE73" s="573"/>
      <c r="AF73" s="574"/>
      <c r="AG73" s="574"/>
      <c r="AH73" s="475" t="e">
        <f t="shared" si="44"/>
        <v>#N/A</v>
      </c>
      <c r="AI73" s="709"/>
      <c r="AJ73" s="573"/>
      <c r="AK73" s="574"/>
      <c r="AL73" s="574"/>
      <c r="AM73" s="475" t="e">
        <f t="shared" si="46"/>
        <v>#N/A</v>
      </c>
      <c r="AN73" s="709"/>
      <c r="AO73" s="573"/>
      <c r="AP73" s="574"/>
      <c r="AQ73" s="574"/>
      <c r="AR73" s="475" t="e">
        <f t="shared" si="48"/>
        <v>#N/A</v>
      </c>
      <c r="AS73" s="709"/>
      <c r="AT73" s="573"/>
      <c r="AU73" s="574"/>
      <c r="AV73" s="574"/>
      <c r="AW73" s="475" t="e">
        <f t="shared" si="50"/>
        <v>#N/A</v>
      </c>
      <c r="AX73" s="681"/>
    </row>
    <row r="74" spans="2:50">
      <c r="B74" s="667"/>
      <c r="C74" s="309">
        <v>8</v>
      </c>
      <c r="D74" s="227"/>
      <c r="E74" s="182"/>
      <c r="F74" s="569"/>
      <c r="G74" s="570"/>
      <c r="H74" s="709"/>
      <c r="I74" s="199"/>
      <c r="J74" s="199"/>
      <c r="K74" s="200"/>
      <c r="L74" s="641"/>
      <c r="M74" s="201" t="e">
        <f>RANK(K74, K$67:$K$81)</f>
        <v>#DIV/0!</v>
      </c>
      <c r="N74" s="659"/>
      <c r="O74" s="659"/>
      <c r="P74" s="573"/>
      <c r="Q74" s="574"/>
      <c r="R74" s="574"/>
      <c r="S74" s="339" t="e">
        <f t="shared" si="52"/>
        <v>#N/A</v>
      </c>
      <c r="T74" s="709"/>
      <c r="U74" s="573"/>
      <c r="V74" s="574"/>
      <c r="W74" s="574"/>
      <c r="X74" s="475" t="e">
        <f t="shared" si="40"/>
        <v>#N/A</v>
      </c>
      <c r="Y74" s="709"/>
      <c r="Z74" s="573"/>
      <c r="AA74" s="574"/>
      <c r="AB74" s="574"/>
      <c r="AC74" s="475" t="e">
        <f t="shared" si="42"/>
        <v>#N/A</v>
      </c>
      <c r="AD74" s="709"/>
      <c r="AE74" s="573"/>
      <c r="AF74" s="574"/>
      <c r="AG74" s="574"/>
      <c r="AH74" s="475" t="e">
        <f t="shared" si="44"/>
        <v>#N/A</v>
      </c>
      <c r="AI74" s="709"/>
      <c r="AJ74" s="573"/>
      <c r="AK74" s="574"/>
      <c r="AL74" s="574"/>
      <c r="AM74" s="475" t="e">
        <f t="shared" si="46"/>
        <v>#N/A</v>
      </c>
      <c r="AN74" s="709"/>
      <c r="AO74" s="573"/>
      <c r="AP74" s="574"/>
      <c r="AQ74" s="574"/>
      <c r="AR74" s="475" t="e">
        <f t="shared" si="48"/>
        <v>#N/A</v>
      </c>
      <c r="AS74" s="709"/>
      <c r="AT74" s="573"/>
      <c r="AU74" s="574"/>
      <c r="AV74" s="574"/>
      <c r="AW74" s="475" t="e">
        <f t="shared" si="50"/>
        <v>#N/A</v>
      </c>
      <c r="AX74" s="681"/>
    </row>
    <row r="75" spans="2:50">
      <c r="B75" s="667"/>
      <c r="C75" s="309">
        <v>9</v>
      </c>
      <c r="D75" s="227"/>
      <c r="E75" s="182"/>
      <c r="F75" s="569"/>
      <c r="G75" s="570"/>
      <c r="H75" s="709"/>
      <c r="I75" s="199"/>
      <c r="J75" s="199"/>
      <c r="K75" s="200"/>
      <c r="L75" s="641"/>
      <c r="M75" s="201" t="e">
        <f>RANK(K75, K$67:$K$81)</f>
        <v>#DIV/0!</v>
      </c>
      <c r="N75" s="659"/>
      <c r="O75" s="659"/>
      <c r="P75" s="573"/>
      <c r="Q75" s="574"/>
      <c r="R75" s="574"/>
      <c r="S75" s="339" t="e">
        <f t="shared" si="52"/>
        <v>#N/A</v>
      </c>
      <c r="T75" s="709"/>
      <c r="U75" s="573"/>
      <c r="V75" s="574"/>
      <c r="W75" s="574"/>
      <c r="X75" s="475" t="e">
        <f t="shared" si="40"/>
        <v>#N/A</v>
      </c>
      <c r="Y75" s="709"/>
      <c r="Z75" s="573"/>
      <c r="AA75" s="574"/>
      <c r="AB75" s="574"/>
      <c r="AC75" s="475" t="e">
        <f t="shared" si="42"/>
        <v>#N/A</v>
      </c>
      <c r="AD75" s="709"/>
      <c r="AE75" s="573"/>
      <c r="AF75" s="574"/>
      <c r="AG75" s="574"/>
      <c r="AH75" s="475" t="e">
        <f t="shared" si="44"/>
        <v>#N/A</v>
      </c>
      <c r="AI75" s="709"/>
      <c r="AJ75" s="573"/>
      <c r="AK75" s="574"/>
      <c r="AL75" s="574"/>
      <c r="AM75" s="475" t="e">
        <f t="shared" si="46"/>
        <v>#N/A</v>
      </c>
      <c r="AN75" s="709"/>
      <c r="AO75" s="573"/>
      <c r="AP75" s="574"/>
      <c r="AQ75" s="574"/>
      <c r="AR75" s="475" t="e">
        <f t="shared" si="48"/>
        <v>#N/A</v>
      </c>
      <c r="AS75" s="709"/>
      <c r="AT75" s="573"/>
      <c r="AU75" s="574"/>
      <c r="AV75" s="574"/>
      <c r="AW75" s="475" t="e">
        <f t="shared" si="50"/>
        <v>#N/A</v>
      </c>
      <c r="AX75" s="681"/>
    </row>
    <row r="76" spans="2:50">
      <c r="B76" s="667"/>
      <c r="C76" s="309">
        <v>10</v>
      </c>
      <c r="D76" s="227"/>
      <c r="E76" s="182"/>
      <c r="F76" s="569"/>
      <c r="G76" s="570"/>
      <c r="H76" s="709"/>
      <c r="I76" s="199"/>
      <c r="J76" s="199"/>
      <c r="K76" s="200"/>
      <c r="L76" s="641"/>
      <c r="M76" s="201" t="e">
        <f>RANK(K76, K$67:$K$81)</f>
        <v>#DIV/0!</v>
      </c>
      <c r="N76" s="659"/>
      <c r="O76" s="659"/>
      <c r="P76" s="573"/>
      <c r="Q76" s="574"/>
      <c r="R76" s="574"/>
      <c r="S76" s="339" t="e">
        <f t="shared" si="52"/>
        <v>#N/A</v>
      </c>
      <c r="T76" s="709"/>
      <c r="U76" s="573"/>
      <c r="V76" s="574"/>
      <c r="W76" s="574"/>
      <c r="X76" s="475" t="e">
        <f t="shared" si="40"/>
        <v>#N/A</v>
      </c>
      <c r="Y76" s="709"/>
      <c r="Z76" s="573"/>
      <c r="AA76" s="574"/>
      <c r="AB76" s="574"/>
      <c r="AC76" s="475" t="e">
        <f t="shared" si="42"/>
        <v>#N/A</v>
      </c>
      <c r="AD76" s="709"/>
      <c r="AE76" s="573"/>
      <c r="AF76" s="574"/>
      <c r="AG76" s="574"/>
      <c r="AH76" s="475" t="e">
        <f t="shared" si="44"/>
        <v>#N/A</v>
      </c>
      <c r="AI76" s="709"/>
      <c r="AJ76" s="573"/>
      <c r="AK76" s="574"/>
      <c r="AL76" s="574"/>
      <c r="AM76" s="475" t="e">
        <f t="shared" si="46"/>
        <v>#N/A</v>
      </c>
      <c r="AN76" s="709"/>
      <c r="AO76" s="573"/>
      <c r="AP76" s="574"/>
      <c r="AQ76" s="574"/>
      <c r="AR76" s="475" t="e">
        <f t="shared" si="48"/>
        <v>#N/A</v>
      </c>
      <c r="AS76" s="709"/>
      <c r="AT76" s="573"/>
      <c r="AU76" s="574"/>
      <c r="AV76" s="574"/>
      <c r="AW76" s="475" t="e">
        <f t="shared" si="50"/>
        <v>#N/A</v>
      </c>
      <c r="AX76" s="681"/>
    </row>
    <row r="77" spans="2:50">
      <c r="B77" s="667"/>
      <c r="C77" s="309">
        <v>11</v>
      </c>
      <c r="D77" s="227"/>
      <c r="E77" s="182"/>
      <c r="F77" s="569"/>
      <c r="G77" s="570"/>
      <c r="H77" s="709"/>
      <c r="I77" s="202"/>
      <c r="J77" s="202"/>
      <c r="K77" s="202"/>
      <c r="L77" s="641"/>
      <c r="M77" s="201" t="e">
        <f>RANK(K77, K$67:$K$81)</f>
        <v>#DIV/0!</v>
      </c>
      <c r="N77" s="659"/>
      <c r="O77" s="659"/>
      <c r="P77" s="573"/>
      <c r="Q77" s="574"/>
      <c r="R77" s="574"/>
      <c r="S77" s="339" t="e">
        <f t="shared" si="52"/>
        <v>#N/A</v>
      </c>
      <c r="T77" s="709"/>
      <c r="U77" s="573"/>
      <c r="V77" s="574"/>
      <c r="W77" s="574"/>
      <c r="X77" s="475" t="e">
        <f t="shared" si="40"/>
        <v>#N/A</v>
      </c>
      <c r="Y77" s="709"/>
      <c r="Z77" s="573"/>
      <c r="AA77" s="574"/>
      <c r="AB77" s="574"/>
      <c r="AC77" s="475" t="e">
        <f t="shared" si="42"/>
        <v>#N/A</v>
      </c>
      <c r="AD77" s="709"/>
      <c r="AE77" s="573"/>
      <c r="AF77" s="574"/>
      <c r="AG77" s="574"/>
      <c r="AH77" s="475" t="e">
        <f t="shared" si="44"/>
        <v>#N/A</v>
      </c>
      <c r="AI77" s="709"/>
      <c r="AJ77" s="573"/>
      <c r="AK77" s="574"/>
      <c r="AL77" s="574"/>
      <c r="AM77" s="475" t="e">
        <f t="shared" si="46"/>
        <v>#N/A</v>
      </c>
      <c r="AN77" s="709"/>
      <c r="AO77" s="573"/>
      <c r="AP77" s="574"/>
      <c r="AQ77" s="574"/>
      <c r="AR77" s="475" t="e">
        <f t="shared" si="48"/>
        <v>#N/A</v>
      </c>
      <c r="AS77" s="709"/>
      <c r="AT77" s="573"/>
      <c r="AU77" s="574"/>
      <c r="AV77" s="574"/>
      <c r="AW77" s="475" t="e">
        <f t="shared" si="50"/>
        <v>#N/A</v>
      </c>
      <c r="AX77" s="681"/>
    </row>
    <row r="78" spans="2:50">
      <c r="B78" s="667"/>
      <c r="C78" s="309">
        <v>12</v>
      </c>
      <c r="D78" s="227"/>
      <c r="E78" s="182"/>
      <c r="F78" s="569"/>
      <c r="G78" s="570"/>
      <c r="H78" s="709"/>
      <c r="I78" s="202"/>
      <c r="J78" s="202"/>
      <c r="K78" s="202"/>
      <c r="L78" s="641"/>
      <c r="M78" s="201" t="e">
        <f>RANK(K78, K$67:$K$81)</f>
        <v>#DIV/0!</v>
      </c>
      <c r="N78" s="659"/>
      <c r="O78" s="659"/>
      <c r="P78" s="573"/>
      <c r="Q78" s="574"/>
      <c r="R78" s="574"/>
      <c r="S78" s="339" t="e">
        <f t="shared" si="52"/>
        <v>#N/A</v>
      </c>
      <c r="T78" s="709"/>
      <c r="U78" s="573"/>
      <c r="V78" s="574"/>
      <c r="W78" s="574"/>
      <c r="X78" s="475" t="e">
        <f t="shared" si="40"/>
        <v>#N/A</v>
      </c>
      <c r="Y78" s="709"/>
      <c r="Z78" s="573"/>
      <c r="AA78" s="574"/>
      <c r="AB78" s="574"/>
      <c r="AC78" s="475" t="e">
        <f t="shared" si="42"/>
        <v>#N/A</v>
      </c>
      <c r="AD78" s="709"/>
      <c r="AE78" s="573"/>
      <c r="AF78" s="574"/>
      <c r="AG78" s="574"/>
      <c r="AH78" s="475" t="e">
        <f t="shared" si="44"/>
        <v>#N/A</v>
      </c>
      <c r="AI78" s="709"/>
      <c r="AJ78" s="573"/>
      <c r="AK78" s="574"/>
      <c r="AL78" s="574"/>
      <c r="AM78" s="475" t="e">
        <f t="shared" si="46"/>
        <v>#N/A</v>
      </c>
      <c r="AN78" s="709"/>
      <c r="AO78" s="573"/>
      <c r="AP78" s="574"/>
      <c r="AQ78" s="574"/>
      <c r="AR78" s="475" t="e">
        <f t="shared" si="48"/>
        <v>#N/A</v>
      </c>
      <c r="AS78" s="709"/>
      <c r="AT78" s="573"/>
      <c r="AU78" s="574"/>
      <c r="AV78" s="574"/>
      <c r="AW78" s="475" t="e">
        <f t="shared" si="50"/>
        <v>#N/A</v>
      </c>
      <c r="AX78" s="681"/>
    </row>
    <row r="79" spans="2:50">
      <c r="B79" s="667"/>
      <c r="C79" s="309">
        <v>13</v>
      </c>
      <c r="D79" s="227"/>
      <c r="E79" s="182"/>
      <c r="F79" s="569"/>
      <c r="G79" s="570"/>
      <c r="H79" s="709"/>
      <c r="I79" s="202"/>
      <c r="J79" s="202"/>
      <c r="K79" s="202"/>
      <c r="L79" s="641"/>
      <c r="M79" s="201" t="e">
        <f>RANK(K79, K$67:$K$81)</f>
        <v>#DIV/0!</v>
      </c>
      <c r="N79" s="659"/>
      <c r="O79" s="659"/>
      <c r="P79" s="573"/>
      <c r="Q79" s="574"/>
      <c r="R79" s="574"/>
      <c r="S79" s="339" t="e">
        <f t="shared" si="52"/>
        <v>#N/A</v>
      </c>
      <c r="T79" s="709"/>
      <c r="U79" s="573"/>
      <c r="V79" s="574"/>
      <c r="W79" s="574"/>
      <c r="X79" s="475" t="e">
        <f t="shared" si="40"/>
        <v>#N/A</v>
      </c>
      <c r="Y79" s="709"/>
      <c r="Z79" s="573"/>
      <c r="AA79" s="574"/>
      <c r="AB79" s="574"/>
      <c r="AC79" s="475" t="e">
        <f t="shared" si="42"/>
        <v>#N/A</v>
      </c>
      <c r="AD79" s="709"/>
      <c r="AE79" s="573"/>
      <c r="AF79" s="574"/>
      <c r="AG79" s="574"/>
      <c r="AH79" s="475" t="e">
        <f t="shared" si="44"/>
        <v>#N/A</v>
      </c>
      <c r="AI79" s="709"/>
      <c r="AJ79" s="573"/>
      <c r="AK79" s="574"/>
      <c r="AL79" s="574"/>
      <c r="AM79" s="475" t="e">
        <f t="shared" si="46"/>
        <v>#N/A</v>
      </c>
      <c r="AN79" s="709"/>
      <c r="AO79" s="573"/>
      <c r="AP79" s="574"/>
      <c r="AQ79" s="574"/>
      <c r="AR79" s="475" t="e">
        <f t="shared" si="48"/>
        <v>#N/A</v>
      </c>
      <c r="AS79" s="709"/>
      <c r="AT79" s="573"/>
      <c r="AU79" s="574"/>
      <c r="AV79" s="574"/>
      <c r="AW79" s="475" t="e">
        <f t="shared" si="50"/>
        <v>#N/A</v>
      </c>
      <c r="AX79" s="681"/>
    </row>
    <row r="80" spans="2:50">
      <c r="B80" s="667"/>
      <c r="C80" s="309">
        <v>14</v>
      </c>
      <c r="D80" s="227"/>
      <c r="E80" s="182"/>
      <c r="F80" s="569"/>
      <c r="G80" s="570"/>
      <c r="H80" s="709"/>
      <c r="I80" s="202"/>
      <c r="J80" s="202"/>
      <c r="K80" s="202"/>
      <c r="L80" s="641"/>
      <c r="M80" s="201" t="e">
        <f>RANK(K80, K$67:$K$81)</f>
        <v>#DIV/0!</v>
      </c>
      <c r="N80" s="659"/>
      <c r="O80" s="659"/>
      <c r="P80" s="573"/>
      <c r="Q80" s="574"/>
      <c r="R80" s="574"/>
      <c r="S80" s="339" t="e">
        <f t="shared" si="52"/>
        <v>#N/A</v>
      </c>
      <c r="T80" s="709"/>
      <c r="U80" s="573"/>
      <c r="V80" s="574"/>
      <c r="W80" s="574"/>
      <c r="X80" s="475" t="e">
        <f t="shared" si="40"/>
        <v>#N/A</v>
      </c>
      <c r="Y80" s="709"/>
      <c r="Z80" s="573"/>
      <c r="AA80" s="574"/>
      <c r="AB80" s="574"/>
      <c r="AC80" s="475" t="e">
        <f t="shared" si="42"/>
        <v>#N/A</v>
      </c>
      <c r="AD80" s="709"/>
      <c r="AE80" s="573"/>
      <c r="AF80" s="574"/>
      <c r="AG80" s="574"/>
      <c r="AH80" s="475" t="e">
        <f t="shared" si="44"/>
        <v>#N/A</v>
      </c>
      <c r="AI80" s="709"/>
      <c r="AJ80" s="573"/>
      <c r="AK80" s="574"/>
      <c r="AL80" s="574"/>
      <c r="AM80" s="475" t="e">
        <f t="shared" si="46"/>
        <v>#N/A</v>
      </c>
      <c r="AN80" s="709"/>
      <c r="AO80" s="573"/>
      <c r="AP80" s="574"/>
      <c r="AQ80" s="574"/>
      <c r="AR80" s="475" t="e">
        <f t="shared" si="48"/>
        <v>#N/A</v>
      </c>
      <c r="AS80" s="709"/>
      <c r="AT80" s="573"/>
      <c r="AU80" s="574"/>
      <c r="AV80" s="574"/>
      <c r="AW80" s="475" t="e">
        <f t="shared" si="50"/>
        <v>#N/A</v>
      </c>
      <c r="AX80" s="681"/>
    </row>
    <row r="81" spans="2:50">
      <c r="B81" s="667"/>
      <c r="C81" s="309">
        <v>15</v>
      </c>
      <c r="D81" s="227"/>
      <c r="E81" s="182"/>
      <c r="F81" s="569"/>
      <c r="G81" s="570"/>
      <c r="H81" s="710"/>
      <c r="I81" s="202"/>
      <c r="J81" s="202"/>
      <c r="K81" s="202"/>
      <c r="L81" s="642"/>
      <c r="M81" s="201" t="e">
        <f>RANK(K81, K$67:$K$81)</f>
        <v>#DIV/0!</v>
      </c>
      <c r="N81" s="659"/>
      <c r="O81" s="659"/>
      <c r="P81" s="573"/>
      <c r="Q81" s="574"/>
      <c r="R81" s="574"/>
      <c r="S81" s="339" t="e">
        <f t="shared" si="52"/>
        <v>#N/A</v>
      </c>
      <c r="T81" s="710"/>
      <c r="U81" s="573"/>
      <c r="V81" s="574"/>
      <c r="W81" s="574"/>
      <c r="X81" s="475" t="e">
        <f t="shared" si="40"/>
        <v>#N/A</v>
      </c>
      <c r="Y81" s="710"/>
      <c r="Z81" s="573"/>
      <c r="AA81" s="574"/>
      <c r="AB81" s="574"/>
      <c r="AC81" s="475" t="e">
        <f t="shared" si="42"/>
        <v>#N/A</v>
      </c>
      <c r="AD81" s="710"/>
      <c r="AE81" s="573"/>
      <c r="AF81" s="574"/>
      <c r="AG81" s="574"/>
      <c r="AH81" s="475" t="e">
        <f t="shared" si="44"/>
        <v>#N/A</v>
      </c>
      <c r="AI81" s="710"/>
      <c r="AJ81" s="573"/>
      <c r="AK81" s="574"/>
      <c r="AL81" s="574"/>
      <c r="AM81" s="475" t="e">
        <f t="shared" si="46"/>
        <v>#N/A</v>
      </c>
      <c r="AN81" s="710"/>
      <c r="AO81" s="573"/>
      <c r="AP81" s="574"/>
      <c r="AQ81" s="574"/>
      <c r="AR81" s="475" t="e">
        <f t="shared" si="48"/>
        <v>#N/A</v>
      </c>
      <c r="AS81" s="710"/>
      <c r="AT81" s="573"/>
      <c r="AU81" s="574"/>
      <c r="AV81" s="574"/>
      <c r="AW81" s="475" t="e">
        <f t="shared" si="50"/>
        <v>#N/A</v>
      </c>
      <c r="AX81" s="681"/>
    </row>
    <row r="82" spans="2:50" ht="15.75">
      <c r="B82" s="671" t="s">
        <v>163</v>
      </c>
      <c r="C82" s="672"/>
      <c r="D82" s="672"/>
      <c r="E82" s="672"/>
      <c r="F82" s="672"/>
      <c r="G82" s="672"/>
      <c r="H82" s="673"/>
      <c r="I82" s="208"/>
      <c r="J82" s="208"/>
      <c r="K82" s="208"/>
      <c r="L82" s="208"/>
      <c r="M82" s="207"/>
      <c r="N82" s="660" t="s">
        <v>156</v>
      </c>
      <c r="O82" s="660" t="s">
        <v>105</v>
      </c>
      <c r="P82" s="666">
        <f>P62+7</f>
        <v>46112</v>
      </c>
      <c r="Q82" s="667"/>
      <c r="R82" s="667"/>
      <c r="S82" s="667"/>
      <c r="T82" s="667"/>
      <c r="U82" s="663">
        <f>P82+1</f>
        <v>46113</v>
      </c>
      <c r="V82" s="664"/>
      <c r="W82" s="664"/>
      <c r="X82" s="664"/>
      <c r="Y82" s="665"/>
      <c r="Z82" s="663">
        <f>U82+1</f>
        <v>46114</v>
      </c>
      <c r="AA82" s="664"/>
      <c r="AB82" s="664"/>
      <c r="AC82" s="664"/>
      <c r="AD82" s="665"/>
      <c r="AE82" s="663">
        <f>Z82+1</f>
        <v>46115</v>
      </c>
      <c r="AF82" s="664"/>
      <c r="AG82" s="664"/>
      <c r="AH82" s="664"/>
      <c r="AI82" s="665"/>
      <c r="AJ82" s="663">
        <f>AE82+1</f>
        <v>46116</v>
      </c>
      <c r="AK82" s="664"/>
      <c r="AL82" s="664"/>
      <c r="AM82" s="664"/>
      <c r="AN82" s="665"/>
      <c r="AO82" s="663">
        <f>AJ82+1</f>
        <v>46117</v>
      </c>
      <c r="AP82" s="664"/>
      <c r="AQ82" s="664"/>
      <c r="AR82" s="664"/>
      <c r="AS82" s="665"/>
      <c r="AT82" s="663">
        <f>AO82+1</f>
        <v>46118</v>
      </c>
      <c r="AU82" s="664"/>
      <c r="AV82" s="664"/>
      <c r="AW82" s="664"/>
      <c r="AX82" s="665"/>
    </row>
    <row r="83" spans="2:50" ht="15.75">
      <c r="B83" s="674"/>
      <c r="C83" s="674"/>
      <c r="D83" s="674"/>
      <c r="E83" s="674"/>
      <c r="F83" s="674"/>
      <c r="G83" s="674"/>
      <c r="H83" s="674"/>
      <c r="I83" s="205"/>
      <c r="J83" s="205"/>
      <c r="K83" s="205"/>
      <c r="L83" s="205"/>
      <c r="M83" s="206"/>
      <c r="N83" s="662"/>
      <c r="O83" s="662"/>
      <c r="P83" s="666" t="s">
        <v>336</v>
      </c>
      <c r="Q83" s="667"/>
      <c r="R83" s="667"/>
      <c r="S83" s="667"/>
      <c r="T83" s="667"/>
      <c r="U83" s="666" t="s">
        <v>337</v>
      </c>
      <c r="V83" s="667"/>
      <c r="W83" s="667"/>
      <c r="X83" s="667"/>
      <c r="Y83" s="667"/>
      <c r="Z83" s="666" t="s">
        <v>338</v>
      </c>
      <c r="AA83" s="667"/>
      <c r="AB83" s="667"/>
      <c r="AC83" s="667"/>
      <c r="AD83" s="667"/>
      <c r="AE83" s="666" t="s">
        <v>339</v>
      </c>
      <c r="AF83" s="667"/>
      <c r="AG83" s="667"/>
      <c r="AH83" s="667"/>
      <c r="AI83" s="667"/>
      <c r="AJ83" s="666" t="s">
        <v>340</v>
      </c>
      <c r="AK83" s="667"/>
      <c r="AL83" s="667"/>
      <c r="AM83" s="667"/>
      <c r="AN83" s="667"/>
      <c r="AO83" s="666" t="s">
        <v>341</v>
      </c>
      <c r="AP83" s="667"/>
      <c r="AQ83" s="667"/>
      <c r="AR83" s="667"/>
      <c r="AS83" s="667"/>
      <c r="AT83" s="666" t="s">
        <v>342</v>
      </c>
      <c r="AU83" s="667"/>
      <c r="AV83" s="667"/>
      <c r="AW83" s="667"/>
      <c r="AX83" s="667"/>
    </row>
    <row r="84" spans="2:50">
      <c r="B84" s="659" t="s">
        <v>478</v>
      </c>
      <c r="C84" s="659" t="s">
        <v>479</v>
      </c>
      <c r="D84" s="659"/>
      <c r="E84" s="659" t="s">
        <v>480</v>
      </c>
      <c r="F84" s="659"/>
      <c r="G84" s="659"/>
      <c r="H84" s="675" t="s">
        <v>481</v>
      </c>
      <c r="I84" s="643" t="s">
        <v>482</v>
      </c>
      <c r="J84" s="643"/>
      <c r="K84" s="643"/>
      <c r="L84" s="644" t="s">
        <v>481</v>
      </c>
      <c r="M84" s="650" t="s">
        <v>483</v>
      </c>
      <c r="N84" s="659"/>
      <c r="O84" s="659" t="s">
        <v>484</v>
      </c>
      <c r="P84" s="656" t="s">
        <v>485</v>
      </c>
      <c r="Q84" s="657"/>
      <c r="R84" s="657"/>
      <c r="S84" s="658"/>
      <c r="T84" s="659" t="s">
        <v>481</v>
      </c>
      <c r="U84" s="656" t="s">
        <v>485</v>
      </c>
      <c r="V84" s="657"/>
      <c r="W84" s="657"/>
      <c r="X84" s="658"/>
      <c r="Y84" s="659" t="s">
        <v>481</v>
      </c>
      <c r="Z84" s="656" t="s">
        <v>485</v>
      </c>
      <c r="AA84" s="657"/>
      <c r="AB84" s="657"/>
      <c r="AC84" s="658"/>
      <c r="AD84" s="659" t="s">
        <v>481</v>
      </c>
      <c r="AE84" s="656" t="s">
        <v>485</v>
      </c>
      <c r="AF84" s="657"/>
      <c r="AG84" s="657"/>
      <c r="AH84" s="658"/>
      <c r="AI84" s="659" t="s">
        <v>481</v>
      </c>
      <c r="AJ84" s="656" t="s">
        <v>485</v>
      </c>
      <c r="AK84" s="657"/>
      <c r="AL84" s="657"/>
      <c r="AM84" s="658"/>
      <c r="AN84" s="659" t="s">
        <v>481</v>
      </c>
      <c r="AO84" s="656" t="s">
        <v>485</v>
      </c>
      <c r="AP84" s="657"/>
      <c r="AQ84" s="657"/>
      <c r="AR84" s="658"/>
      <c r="AS84" s="659" t="s">
        <v>481</v>
      </c>
      <c r="AT84" s="656" t="s">
        <v>485</v>
      </c>
      <c r="AU84" s="657"/>
      <c r="AV84" s="657"/>
      <c r="AW84" s="658"/>
      <c r="AX84" s="659" t="s">
        <v>481</v>
      </c>
    </row>
    <row r="85" spans="2:50">
      <c r="B85" s="659"/>
      <c r="C85" s="659"/>
      <c r="D85" s="659"/>
      <c r="E85" s="659" t="s">
        <v>486</v>
      </c>
      <c r="F85" s="659"/>
      <c r="G85" s="659"/>
      <c r="H85" s="676"/>
      <c r="I85" s="643" t="s">
        <v>486</v>
      </c>
      <c r="J85" s="643"/>
      <c r="K85" s="643"/>
      <c r="L85" s="645"/>
      <c r="M85" s="651"/>
      <c r="N85" s="659"/>
      <c r="O85" s="659"/>
      <c r="P85" s="656" t="s">
        <v>487</v>
      </c>
      <c r="Q85" s="657"/>
      <c r="R85" s="657"/>
      <c r="S85" s="658"/>
      <c r="T85" s="659"/>
      <c r="U85" s="656" t="s">
        <v>487</v>
      </c>
      <c r="V85" s="657"/>
      <c r="W85" s="657"/>
      <c r="X85" s="658"/>
      <c r="Y85" s="659"/>
      <c r="Z85" s="656" t="s">
        <v>487</v>
      </c>
      <c r="AA85" s="657"/>
      <c r="AB85" s="657"/>
      <c r="AC85" s="658"/>
      <c r="AD85" s="659"/>
      <c r="AE85" s="656" t="s">
        <v>487</v>
      </c>
      <c r="AF85" s="657"/>
      <c r="AG85" s="657"/>
      <c r="AH85" s="658"/>
      <c r="AI85" s="659"/>
      <c r="AJ85" s="656" t="s">
        <v>487</v>
      </c>
      <c r="AK85" s="657"/>
      <c r="AL85" s="657"/>
      <c r="AM85" s="658"/>
      <c r="AN85" s="659"/>
      <c r="AO85" s="656" t="s">
        <v>487</v>
      </c>
      <c r="AP85" s="657"/>
      <c r="AQ85" s="657"/>
      <c r="AR85" s="658"/>
      <c r="AS85" s="659"/>
      <c r="AT85" s="656" t="s">
        <v>487</v>
      </c>
      <c r="AU85" s="657"/>
      <c r="AV85" s="657"/>
      <c r="AW85" s="658"/>
      <c r="AX85" s="659"/>
    </row>
    <row r="86" spans="2:50">
      <c r="B86" s="659"/>
      <c r="C86" s="659"/>
      <c r="D86" s="659"/>
      <c r="E86" s="305" t="s">
        <v>488</v>
      </c>
      <c r="F86" s="305" t="s">
        <v>489</v>
      </c>
      <c r="G86" s="305" t="s">
        <v>490</v>
      </c>
      <c r="H86" s="677"/>
      <c r="I86" s="306" t="s">
        <v>488</v>
      </c>
      <c r="J86" s="306" t="s">
        <v>489</v>
      </c>
      <c r="K86" s="306" t="s">
        <v>490</v>
      </c>
      <c r="L86" s="646"/>
      <c r="M86" s="652"/>
      <c r="N86" s="659"/>
      <c r="O86" s="659"/>
      <c r="P86" s="305" t="s">
        <v>488</v>
      </c>
      <c r="Q86" s="305" t="s">
        <v>489</v>
      </c>
      <c r="R86" s="305" t="s">
        <v>490</v>
      </c>
      <c r="S86" s="305" t="s">
        <v>483</v>
      </c>
      <c r="T86" s="659"/>
      <c r="U86" s="305" t="s">
        <v>488</v>
      </c>
      <c r="V86" s="305" t="s">
        <v>489</v>
      </c>
      <c r="W86" s="305" t="s">
        <v>490</v>
      </c>
      <c r="X86" s="305" t="s">
        <v>483</v>
      </c>
      <c r="Y86" s="659"/>
      <c r="Z86" s="305" t="s">
        <v>488</v>
      </c>
      <c r="AA86" s="305" t="s">
        <v>489</v>
      </c>
      <c r="AB86" s="305" t="s">
        <v>490</v>
      </c>
      <c r="AC86" s="305" t="s">
        <v>483</v>
      </c>
      <c r="AD86" s="659"/>
      <c r="AE86" s="305" t="s">
        <v>488</v>
      </c>
      <c r="AF86" s="305" t="s">
        <v>489</v>
      </c>
      <c r="AG86" s="305" t="s">
        <v>490</v>
      </c>
      <c r="AH86" s="305" t="s">
        <v>483</v>
      </c>
      <c r="AI86" s="659"/>
      <c r="AJ86" s="305" t="s">
        <v>488</v>
      </c>
      <c r="AK86" s="305" t="s">
        <v>489</v>
      </c>
      <c r="AL86" s="305" t="s">
        <v>490</v>
      </c>
      <c r="AM86" s="305" t="s">
        <v>483</v>
      </c>
      <c r="AN86" s="659"/>
      <c r="AO86" s="305" t="s">
        <v>488</v>
      </c>
      <c r="AP86" s="305" t="s">
        <v>489</v>
      </c>
      <c r="AQ86" s="305" t="s">
        <v>490</v>
      </c>
      <c r="AR86" s="305" t="s">
        <v>483</v>
      </c>
      <c r="AS86" s="659"/>
      <c r="AT86" s="305" t="s">
        <v>488</v>
      </c>
      <c r="AU86" s="305" t="s">
        <v>489</v>
      </c>
      <c r="AV86" s="305" t="s">
        <v>490</v>
      </c>
      <c r="AW86" s="305" t="s">
        <v>483</v>
      </c>
      <c r="AX86" s="659"/>
    </row>
    <row r="87" spans="2:50">
      <c r="B87" s="659" t="s">
        <v>495</v>
      </c>
      <c r="C87" s="304">
        <v>1</v>
      </c>
      <c r="D87" s="227"/>
      <c r="E87" s="182"/>
      <c r="F87" s="545"/>
      <c r="G87" s="546"/>
      <c r="H87" s="708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0" t="str">
        <f>IFERROR(AVERAGE(K87:K101),"-")</f>
        <v>-</v>
      </c>
      <c r="M87" s="201" t="e">
        <f>RANK(K87, K$87:$K$101)</f>
        <v>#DIV/0!</v>
      </c>
      <c r="N87" s="659"/>
      <c r="O87" s="659"/>
      <c r="P87" s="573"/>
      <c r="Q87" s="574"/>
      <c r="R87" s="574"/>
      <c r="S87" s="304" t="e">
        <f>RANK(R87, R$87:R$101)</f>
        <v>#N/A</v>
      </c>
      <c r="T87" s="708" t="e">
        <f>AVERAGE(R87:R101)</f>
        <v>#DIV/0!</v>
      </c>
      <c r="U87" s="573"/>
      <c r="V87" s="574"/>
      <c r="W87" s="574"/>
      <c r="X87" s="475" t="e">
        <f t="shared" ref="X87:X101" si="56">RANK(W87, W$87:W$101)</f>
        <v>#N/A</v>
      </c>
      <c r="Y87" s="708" t="e">
        <f t="shared" ref="Y87" si="57">AVERAGE(W87:W101)</f>
        <v>#DIV/0!</v>
      </c>
      <c r="Z87" s="573"/>
      <c r="AA87" s="574"/>
      <c r="AB87" s="574"/>
      <c r="AC87" s="475" t="e">
        <f t="shared" ref="AC87:AC101" si="58">RANK(AB87, AB$87:AB$101)</f>
        <v>#N/A</v>
      </c>
      <c r="AD87" s="708" t="e">
        <f t="shared" ref="AD87" si="59">AVERAGE(AB87:AB101)</f>
        <v>#DIV/0!</v>
      </c>
      <c r="AE87" s="573"/>
      <c r="AF87" s="574"/>
      <c r="AG87" s="574"/>
      <c r="AH87" s="475" t="e">
        <f t="shared" ref="AH87:AH101" si="60">RANK(AG87, AG$87:AG$101)</f>
        <v>#N/A</v>
      </c>
      <c r="AI87" s="708" t="e">
        <f t="shared" ref="AI87" si="61">AVERAGE(AG87:AG101)</f>
        <v>#DIV/0!</v>
      </c>
      <c r="AJ87" s="573"/>
      <c r="AK87" s="574"/>
      <c r="AL87" s="574"/>
      <c r="AM87" s="475" t="e">
        <f t="shared" ref="AM87:AM101" si="62">RANK(AL87, AL$87:AL$101)</f>
        <v>#N/A</v>
      </c>
      <c r="AN87" s="708" t="e">
        <f t="shared" ref="AN87" si="63">AVERAGE(AL87:AL101)</f>
        <v>#DIV/0!</v>
      </c>
      <c r="AO87" s="573"/>
      <c r="AP87" s="574"/>
      <c r="AQ87" s="574"/>
      <c r="AR87" s="475" t="e">
        <f t="shared" ref="AR87:AR101" si="64">RANK(AQ87, AQ$87:AQ$101)</f>
        <v>#N/A</v>
      </c>
      <c r="AS87" s="708" t="e">
        <f t="shared" ref="AS87" si="65">AVERAGE(AQ87:AQ101)</f>
        <v>#DIV/0!</v>
      </c>
      <c r="AT87" s="573"/>
      <c r="AU87" s="574"/>
      <c r="AV87" s="574"/>
      <c r="AW87" s="475" t="e">
        <f t="shared" ref="AW87:AW101" si="66">RANK(AV87, AV$87:AV$101)</f>
        <v>#N/A</v>
      </c>
      <c r="AX87" s="681" t="e">
        <f t="shared" ref="AX87" si="67">AVERAGE(AV87:AV101)</f>
        <v>#DIV/0!</v>
      </c>
    </row>
    <row r="88" spans="2:50">
      <c r="B88" s="667"/>
      <c r="C88" s="304">
        <v>2</v>
      </c>
      <c r="D88" s="227"/>
      <c r="E88" s="182"/>
      <c r="F88" s="545"/>
      <c r="G88" s="546"/>
      <c r="H88" s="709"/>
      <c r="I88" s="199" t="e">
        <f t="shared" ref="I88:K91" si="68">AVERAGE(P88,U88,Z88,AE88,AJ88,AO88,AT88)</f>
        <v>#DIV/0!</v>
      </c>
      <c r="J88" s="199" t="e">
        <f t="shared" si="68"/>
        <v>#DIV/0!</v>
      </c>
      <c r="K88" s="200" t="e">
        <f t="shared" si="68"/>
        <v>#DIV/0!</v>
      </c>
      <c r="L88" s="641"/>
      <c r="M88" s="201" t="e">
        <f>RANK(K88, K$87:$K$101)</f>
        <v>#DIV/0!</v>
      </c>
      <c r="N88" s="659"/>
      <c r="O88" s="659"/>
      <c r="P88" s="573"/>
      <c r="Q88" s="574"/>
      <c r="R88" s="574"/>
      <c r="S88" s="304" t="e">
        <f t="shared" ref="S88:S101" si="69">RANK(R88, R$87:R$101)</f>
        <v>#N/A</v>
      </c>
      <c r="T88" s="709"/>
      <c r="U88" s="573"/>
      <c r="V88" s="574"/>
      <c r="W88" s="574"/>
      <c r="X88" s="475" t="e">
        <f t="shared" si="56"/>
        <v>#N/A</v>
      </c>
      <c r="Y88" s="709"/>
      <c r="Z88" s="573"/>
      <c r="AA88" s="574"/>
      <c r="AB88" s="574"/>
      <c r="AC88" s="475" t="e">
        <f t="shared" si="58"/>
        <v>#N/A</v>
      </c>
      <c r="AD88" s="709"/>
      <c r="AE88" s="573"/>
      <c r="AF88" s="574"/>
      <c r="AG88" s="574"/>
      <c r="AH88" s="475" t="e">
        <f t="shared" si="60"/>
        <v>#N/A</v>
      </c>
      <c r="AI88" s="709"/>
      <c r="AJ88" s="573"/>
      <c r="AK88" s="574"/>
      <c r="AL88" s="574"/>
      <c r="AM88" s="475" t="e">
        <f t="shared" si="62"/>
        <v>#N/A</v>
      </c>
      <c r="AN88" s="709"/>
      <c r="AO88" s="573"/>
      <c r="AP88" s="574"/>
      <c r="AQ88" s="574"/>
      <c r="AR88" s="475" t="e">
        <f t="shared" si="64"/>
        <v>#N/A</v>
      </c>
      <c r="AS88" s="709"/>
      <c r="AT88" s="573"/>
      <c r="AU88" s="574"/>
      <c r="AV88" s="574"/>
      <c r="AW88" s="475" t="e">
        <f t="shared" si="66"/>
        <v>#N/A</v>
      </c>
      <c r="AX88" s="681"/>
    </row>
    <row r="89" spans="2:50">
      <c r="B89" s="667"/>
      <c r="C89" s="304">
        <v>3</v>
      </c>
      <c r="D89" s="227"/>
      <c r="E89" s="182"/>
      <c r="F89" s="545"/>
      <c r="G89" s="546"/>
      <c r="H89" s="709"/>
      <c r="I89" s="199" t="e">
        <f t="shared" si="68"/>
        <v>#DIV/0!</v>
      </c>
      <c r="J89" s="199" t="e">
        <f t="shared" si="68"/>
        <v>#DIV/0!</v>
      </c>
      <c r="K89" s="200" t="e">
        <f t="shared" si="68"/>
        <v>#DIV/0!</v>
      </c>
      <c r="L89" s="641"/>
      <c r="M89" s="201" t="e">
        <f>RANK(K89, K$87:$K$101)</f>
        <v>#DIV/0!</v>
      </c>
      <c r="N89" s="659"/>
      <c r="O89" s="659"/>
      <c r="P89" s="573"/>
      <c r="Q89" s="574"/>
      <c r="R89" s="574"/>
      <c r="S89" s="304" t="e">
        <f t="shared" si="69"/>
        <v>#N/A</v>
      </c>
      <c r="T89" s="709"/>
      <c r="U89" s="573"/>
      <c r="V89" s="574"/>
      <c r="W89" s="574"/>
      <c r="X89" s="475" t="e">
        <f t="shared" si="56"/>
        <v>#N/A</v>
      </c>
      <c r="Y89" s="709"/>
      <c r="Z89" s="573"/>
      <c r="AA89" s="574"/>
      <c r="AB89" s="574"/>
      <c r="AC89" s="475" t="e">
        <f t="shared" si="58"/>
        <v>#N/A</v>
      </c>
      <c r="AD89" s="709"/>
      <c r="AE89" s="573"/>
      <c r="AF89" s="574"/>
      <c r="AG89" s="574"/>
      <c r="AH89" s="475" t="e">
        <f t="shared" si="60"/>
        <v>#N/A</v>
      </c>
      <c r="AI89" s="709"/>
      <c r="AJ89" s="573"/>
      <c r="AK89" s="574"/>
      <c r="AL89" s="574"/>
      <c r="AM89" s="475" t="e">
        <f t="shared" si="62"/>
        <v>#N/A</v>
      </c>
      <c r="AN89" s="709"/>
      <c r="AO89" s="573"/>
      <c r="AP89" s="574"/>
      <c r="AQ89" s="574"/>
      <c r="AR89" s="475" t="e">
        <f t="shared" si="64"/>
        <v>#N/A</v>
      </c>
      <c r="AS89" s="709"/>
      <c r="AT89" s="573"/>
      <c r="AU89" s="574"/>
      <c r="AV89" s="574"/>
      <c r="AW89" s="475" t="e">
        <f t="shared" si="66"/>
        <v>#N/A</v>
      </c>
      <c r="AX89" s="681"/>
    </row>
    <row r="90" spans="2:50">
      <c r="B90" s="667"/>
      <c r="C90" s="304">
        <v>4</v>
      </c>
      <c r="D90" s="227"/>
      <c r="E90" s="182"/>
      <c r="F90" s="545"/>
      <c r="G90" s="546"/>
      <c r="H90" s="709"/>
      <c r="I90" s="199" t="e">
        <f t="shared" si="68"/>
        <v>#DIV/0!</v>
      </c>
      <c r="J90" s="199" t="e">
        <f t="shared" si="68"/>
        <v>#DIV/0!</v>
      </c>
      <c r="K90" s="200" t="e">
        <f t="shared" si="68"/>
        <v>#DIV/0!</v>
      </c>
      <c r="L90" s="641"/>
      <c r="M90" s="201" t="e">
        <f>RANK(K90, K$87:$K$101)</f>
        <v>#DIV/0!</v>
      </c>
      <c r="N90" s="659"/>
      <c r="O90" s="659"/>
      <c r="P90" s="573"/>
      <c r="Q90" s="574"/>
      <c r="R90" s="574"/>
      <c r="S90" s="304" t="e">
        <f t="shared" si="69"/>
        <v>#N/A</v>
      </c>
      <c r="T90" s="709"/>
      <c r="U90" s="573"/>
      <c r="V90" s="574"/>
      <c r="W90" s="574"/>
      <c r="X90" s="475" t="e">
        <f t="shared" si="56"/>
        <v>#N/A</v>
      </c>
      <c r="Y90" s="709"/>
      <c r="Z90" s="573"/>
      <c r="AA90" s="574"/>
      <c r="AB90" s="574"/>
      <c r="AC90" s="475" t="e">
        <f t="shared" si="58"/>
        <v>#N/A</v>
      </c>
      <c r="AD90" s="709"/>
      <c r="AE90" s="573"/>
      <c r="AF90" s="574"/>
      <c r="AG90" s="574"/>
      <c r="AH90" s="475" t="e">
        <f t="shared" si="60"/>
        <v>#N/A</v>
      </c>
      <c r="AI90" s="709"/>
      <c r="AJ90" s="573"/>
      <c r="AK90" s="574"/>
      <c r="AL90" s="574"/>
      <c r="AM90" s="475" t="e">
        <f t="shared" si="62"/>
        <v>#N/A</v>
      </c>
      <c r="AN90" s="709"/>
      <c r="AO90" s="573"/>
      <c r="AP90" s="574"/>
      <c r="AQ90" s="574"/>
      <c r="AR90" s="475" t="e">
        <f t="shared" si="64"/>
        <v>#N/A</v>
      </c>
      <c r="AS90" s="709"/>
      <c r="AT90" s="573"/>
      <c r="AU90" s="574"/>
      <c r="AV90" s="574"/>
      <c r="AW90" s="475" t="e">
        <f t="shared" si="66"/>
        <v>#N/A</v>
      </c>
      <c r="AX90" s="681"/>
    </row>
    <row r="91" spans="2:50">
      <c r="B91" s="667"/>
      <c r="C91" s="304">
        <v>5</v>
      </c>
      <c r="D91" s="227"/>
      <c r="E91" s="182"/>
      <c r="F91" s="545"/>
      <c r="G91" s="546"/>
      <c r="H91" s="709"/>
      <c r="I91" s="199" t="e">
        <f t="shared" si="68"/>
        <v>#DIV/0!</v>
      </c>
      <c r="J91" s="199" t="e">
        <f t="shared" si="68"/>
        <v>#DIV/0!</v>
      </c>
      <c r="K91" s="200" t="e">
        <f t="shared" si="68"/>
        <v>#DIV/0!</v>
      </c>
      <c r="L91" s="641"/>
      <c r="M91" s="201" t="e">
        <f>RANK(K91, K$87:$K$101)</f>
        <v>#DIV/0!</v>
      </c>
      <c r="N91" s="659"/>
      <c r="O91" s="659"/>
      <c r="P91" s="573"/>
      <c r="Q91" s="574"/>
      <c r="R91" s="574"/>
      <c r="S91" s="304" t="e">
        <f t="shared" si="69"/>
        <v>#N/A</v>
      </c>
      <c r="T91" s="709"/>
      <c r="U91" s="573"/>
      <c r="V91" s="574"/>
      <c r="W91" s="574"/>
      <c r="X91" s="475" t="e">
        <f t="shared" si="56"/>
        <v>#N/A</v>
      </c>
      <c r="Y91" s="709"/>
      <c r="Z91" s="573"/>
      <c r="AA91" s="574"/>
      <c r="AB91" s="574"/>
      <c r="AC91" s="475" t="e">
        <f t="shared" si="58"/>
        <v>#N/A</v>
      </c>
      <c r="AD91" s="709"/>
      <c r="AE91" s="573"/>
      <c r="AF91" s="574"/>
      <c r="AG91" s="574"/>
      <c r="AH91" s="475" t="e">
        <f t="shared" si="60"/>
        <v>#N/A</v>
      </c>
      <c r="AI91" s="709"/>
      <c r="AJ91" s="573"/>
      <c r="AK91" s="574"/>
      <c r="AL91" s="574"/>
      <c r="AM91" s="475" t="e">
        <f t="shared" si="62"/>
        <v>#N/A</v>
      </c>
      <c r="AN91" s="709"/>
      <c r="AO91" s="573"/>
      <c r="AP91" s="574"/>
      <c r="AQ91" s="574"/>
      <c r="AR91" s="475" t="e">
        <f t="shared" si="64"/>
        <v>#N/A</v>
      </c>
      <c r="AS91" s="709"/>
      <c r="AT91" s="573"/>
      <c r="AU91" s="574"/>
      <c r="AV91" s="574"/>
      <c r="AW91" s="475" t="e">
        <f t="shared" si="66"/>
        <v>#N/A</v>
      </c>
      <c r="AX91" s="681"/>
    </row>
    <row r="92" spans="2:50">
      <c r="B92" s="667"/>
      <c r="C92" s="304">
        <v>6</v>
      </c>
      <c r="D92" s="227"/>
      <c r="E92" s="182"/>
      <c r="F92" s="510"/>
      <c r="G92" s="511"/>
      <c r="H92" s="709"/>
      <c r="I92" s="199"/>
      <c r="J92" s="199"/>
      <c r="K92" s="200"/>
      <c r="L92" s="641"/>
      <c r="M92" s="201" t="e">
        <f>RANK(K92, K$87:$K$101)</f>
        <v>#DIV/0!</v>
      </c>
      <c r="N92" s="659"/>
      <c r="O92" s="659"/>
      <c r="P92" s="573"/>
      <c r="Q92" s="574"/>
      <c r="R92" s="574"/>
      <c r="S92" s="304" t="e">
        <f t="shared" si="69"/>
        <v>#N/A</v>
      </c>
      <c r="T92" s="709"/>
      <c r="U92" s="573"/>
      <c r="V92" s="574"/>
      <c r="W92" s="574"/>
      <c r="X92" s="475" t="e">
        <f t="shared" si="56"/>
        <v>#N/A</v>
      </c>
      <c r="Y92" s="709"/>
      <c r="Z92" s="573"/>
      <c r="AA92" s="574"/>
      <c r="AB92" s="574"/>
      <c r="AC92" s="475" t="e">
        <f t="shared" si="58"/>
        <v>#N/A</v>
      </c>
      <c r="AD92" s="709"/>
      <c r="AE92" s="573"/>
      <c r="AF92" s="574"/>
      <c r="AG92" s="574"/>
      <c r="AH92" s="475" t="e">
        <f t="shared" si="60"/>
        <v>#N/A</v>
      </c>
      <c r="AI92" s="709"/>
      <c r="AJ92" s="573"/>
      <c r="AK92" s="574"/>
      <c r="AL92" s="574"/>
      <c r="AM92" s="475" t="e">
        <f t="shared" si="62"/>
        <v>#N/A</v>
      </c>
      <c r="AN92" s="709"/>
      <c r="AO92" s="573"/>
      <c r="AP92" s="574"/>
      <c r="AQ92" s="574"/>
      <c r="AR92" s="475" t="e">
        <f t="shared" si="64"/>
        <v>#N/A</v>
      </c>
      <c r="AS92" s="709"/>
      <c r="AT92" s="573"/>
      <c r="AU92" s="574"/>
      <c r="AV92" s="574"/>
      <c r="AW92" s="475" t="e">
        <f t="shared" si="66"/>
        <v>#N/A</v>
      </c>
      <c r="AX92" s="681"/>
    </row>
    <row r="93" spans="2:50">
      <c r="B93" s="667"/>
      <c r="C93" s="304">
        <v>7</v>
      </c>
      <c r="D93" s="227"/>
      <c r="E93" s="182"/>
      <c r="F93" s="510"/>
      <c r="G93" s="511"/>
      <c r="H93" s="709"/>
      <c r="I93" s="199"/>
      <c r="J93" s="199"/>
      <c r="K93" s="200"/>
      <c r="L93" s="641"/>
      <c r="M93" s="201" t="e">
        <f>RANK(K93, K$87:$K$101)</f>
        <v>#DIV/0!</v>
      </c>
      <c r="N93" s="659"/>
      <c r="O93" s="659"/>
      <c r="P93" s="573"/>
      <c r="Q93" s="574"/>
      <c r="R93" s="574"/>
      <c r="S93" s="304" t="e">
        <f t="shared" si="69"/>
        <v>#N/A</v>
      </c>
      <c r="T93" s="709"/>
      <c r="U93" s="573"/>
      <c r="V93" s="574"/>
      <c r="W93" s="574"/>
      <c r="X93" s="475" t="e">
        <f t="shared" si="56"/>
        <v>#N/A</v>
      </c>
      <c r="Y93" s="709"/>
      <c r="Z93" s="573"/>
      <c r="AA93" s="574"/>
      <c r="AB93" s="574"/>
      <c r="AC93" s="475" t="e">
        <f t="shared" si="58"/>
        <v>#N/A</v>
      </c>
      <c r="AD93" s="709"/>
      <c r="AE93" s="573"/>
      <c r="AF93" s="574"/>
      <c r="AG93" s="574"/>
      <c r="AH93" s="475" t="e">
        <f t="shared" si="60"/>
        <v>#N/A</v>
      </c>
      <c r="AI93" s="709"/>
      <c r="AJ93" s="573"/>
      <c r="AK93" s="574"/>
      <c r="AL93" s="574"/>
      <c r="AM93" s="475" t="e">
        <f t="shared" si="62"/>
        <v>#N/A</v>
      </c>
      <c r="AN93" s="709"/>
      <c r="AO93" s="573"/>
      <c r="AP93" s="574"/>
      <c r="AQ93" s="574"/>
      <c r="AR93" s="475" t="e">
        <f t="shared" si="64"/>
        <v>#N/A</v>
      </c>
      <c r="AS93" s="709"/>
      <c r="AT93" s="573"/>
      <c r="AU93" s="574"/>
      <c r="AV93" s="574"/>
      <c r="AW93" s="475" t="e">
        <f t="shared" si="66"/>
        <v>#N/A</v>
      </c>
      <c r="AX93" s="681"/>
    </row>
    <row r="94" spans="2:50">
      <c r="B94" s="667"/>
      <c r="C94" s="304">
        <v>8</v>
      </c>
      <c r="D94" s="227"/>
      <c r="E94" s="182"/>
      <c r="F94" s="510"/>
      <c r="G94" s="511"/>
      <c r="H94" s="709"/>
      <c r="I94" s="199"/>
      <c r="J94" s="199"/>
      <c r="K94" s="200"/>
      <c r="L94" s="641"/>
      <c r="M94" s="201" t="e">
        <f>RANK(K94, K$87:$K$101)</f>
        <v>#DIV/0!</v>
      </c>
      <c r="N94" s="659"/>
      <c r="O94" s="659"/>
      <c r="P94" s="573"/>
      <c r="Q94" s="574"/>
      <c r="R94" s="574"/>
      <c r="S94" s="304" t="e">
        <f t="shared" si="69"/>
        <v>#N/A</v>
      </c>
      <c r="T94" s="709"/>
      <c r="U94" s="573"/>
      <c r="V94" s="574"/>
      <c r="W94" s="574"/>
      <c r="X94" s="475" t="e">
        <f t="shared" si="56"/>
        <v>#N/A</v>
      </c>
      <c r="Y94" s="709"/>
      <c r="Z94" s="573"/>
      <c r="AA94" s="574"/>
      <c r="AB94" s="574"/>
      <c r="AC94" s="475" t="e">
        <f t="shared" si="58"/>
        <v>#N/A</v>
      </c>
      <c r="AD94" s="709"/>
      <c r="AE94" s="573"/>
      <c r="AF94" s="574"/>
      <c r="AG94" s="574"/>
      <c r="AH94" s="475" t="e">
        <f t="shared" si="60"/>
        <v>#N/A</v>
      </c>
      <c r="AI94" s="709"/>
      <c r="AJ94" s="573"/>
      <c r="AK94" s="574"/>
      <c r="AL94" s="574"/>
      <c r="AM94" s="475" t="e">
        <f t="shared" si="62"/>
        <v>#N/A</v>
      </c>
      <c r="AN94" s="709"/>
      <c r="AO94" s="573"/>
      <c r="AP94" s="574"/>
      <c r="AQ94" s="574"/>
      <c r="AR94" s="475" t="e">
        <f t="shared" si="64"/>
        <v>#N/A</v>
      </c>
      <c r="AS94" s="709"/>
      <c r="AT94" s="573"/>
      <c r="AU94" s="574"/>
      <c r="AV94" s="574"/>
      <c r="AW94" s="475" t="e">
        <f t="shared" si="66"/>
        <v>#N/A</v>
      </c>
      <c r="AX94" s="681"/>
    </row>
    <row r="95" spans="2:50">
      <c r="B95" s="667"/>
      <c r="C95" s="304">
        <v>9</v>
      </c>
      <c r="D95" s="227"/>
      <c r="E95" s="182"/>
      <c r="F95" s="510"/>
      <c r="G95" s="511"/>
      <c r="H95" s="709"/>
      <c r="I95" s="199"/>
      <c r="J95" s="199"/>
      <c r="K95" s="200"/>
      <c r="L95" s="641"/>
      <c r="M95" s="201" t="e">
        <f>RANK(K95, K$87:$K$101)</f>
        <v>#DIV/0!</v>
      </c>
      <c r="N95" s="659"/>
      <c r="O95" s="659"/>
      <c r="P95" s="573"/>
      <c r="Q95" s="574"/>
      <c r="R95" s="574"/>
      <c r="S95" s="304" t="e">
        <f t="shared" si="69"/>
        <v>#N/A</v>
      </c>
      <c r="T95" s="709"/>
      <c r="U95" s="573"/>
      <c r="V95" s="574"/>
      <c r="W95" s="574"/>
      <c r="X95" s="475" t="e">
        <f t="shared" si="56"/>
        <v>#N/A</v>
      </c>
      <c r="Y95" s="709"/>
      <c r="Z95" s="573"/>
      <c r="AA95" s="574"/>
      <c r="AB95" s="574"/>
      <c r="AC95" s="475" t="e">
        <f t="shared" si="58"/>
        <v>#N/A</v>
      </c>
      <c r="AD95" s="709"/>
      <c r="AE95" s="573"/>
      <c r="AF95" s="574"/>
      <c r="AG95" s="574"/>
      <c r="AH95" s="475" t="e">
        <f t="shared" si="60"/>
        <v>#N/A</v>
      </c>
      <c r="AI95" s="709"/>
      <c r="AJ95" s="573"/>
      <c r="AK95" s="574"/>
      <c r="AL95" s="574"/>
      <c r="AM95" s="475" t="e">
        <f t="shared" si="62"/>
        <v>#N/A</v>
      </c>
      <c r="AN95" s="709"/>
      <c r="AO95" s="573"/>
      <c r="AP95" s="574"/>
      <c r="AQ95" s="574"/>
      <c r="AR95" s="475" t="e">
        <f t="shared" si="64"/>
        <v>#N/A</v>
      </c>
      <c r="AS95" s="709"/>
      <c r="AT95" s="573"/>
      <c r="AU95" s="574"/>
      <c r="AV95" s="574"/>
      <c r="AW95" s="475" t="e">
        <f t="shared" si="66"/>
        <v>#N/A</v>
      </c>
      <c r="AX95" s="681"/>
    </row>
    <row r="96" spans="2:50">
      <c r="B96" s="667"/>
      <c r="C96" s="304">
        <v>10</v>
      </c>
      <c r="D96" s="227"/>
      <c r="E96" s="182"/>
      <c r="F96" s="510"/>
      <c r="G96" s="511"/>
      <c r="H96" s="709"/>
      <c r="I96" s="199"/>
      <c r="J96" s="199"/>
      <c r="K96" s="200"/>
      <c r="L96" s="641"/>
      <c r="M96" s="201" t="e">
        <f>RANK(K96, K$87:$K$101)</f>
        <v>#DIV/0!</v>
      </c>
      <c r="N96" s="659"/>
      <c r="O96" s="659"/>
      <c r="P96" s="573"/>
      <c r="Q96" s="574"/>
      <c r="R96" s="574"/>
      <c r="S96" s="304" t="e">
        <f t="shared" si="69"/>
        <v>#N/A</v>
      </c>
      <c r="T96" s="709"/>
      <c r="U96" s="573"/>
      <c r="V96" s="574"/>
      <c r="W96" s="574"/>
      <c r="X96" s="475" t="e">
        <f t="shared" si="56"/>
        <v>#N/A</v>
      </c>
      <c r="Y96" s="709"/>
      <c r="Z96" s="573"/>
      <c r="AA96" s="574"/>
      <c r="AB96" s="574"/>
      <c r="AC96" s="475" t="e">
        <f t="shared" si="58"/>
        <v>#N/A</v>
      </c>
      <c r="AD96" s="709"/>
      <c r="AE96" s="573"/>
      <c r="AF96" s="574"/>
      <c r="AG96" s="574"/>
      <c r="AH96" s="475" t="e">
        <f t="shared" si="60"/>
        <v>#N/A</v>
      </c>
      <c r="AI96" s="709"/>
      <c r="AJ96" s="573"/>
      <c r="AK96" s="574"/>
      <c r="AL96" s="574"/>
      <c r="AM96" s="475" t="e">
        <f t="shared" si="62"/>
        <v>#N/A</v>
      </c>
      <c r="AN96" s="709"/>
      <c r="AO96" s="573"/>
      <c r="AP96" s="574"/>
      <c r="AQ96" s="574"/>
      <c r="AR96" s="475" t="e">
        <f t="shared" si="64"/>
        <v>#N/A</v>
      </c>
      <c r="AS96" s="709"/>
      <c r="AT96" s="573"/>
      <c r="AU96" s="574"/>
      <c r="AV96" s="574"/>
      <c r="AW96" s="475" t="e">
        <f t="shared" si="66"/>
        <v>#N/A</v>
      </c>
      <c r="AX96" s="681"/>
    </row>
    <row r="97" spans="2:50">
      <c r="B97" s="667"/>
      <c r="C97" s="304">
        <v>11</v>
      </c>
      <c r="D97" s="227"/>
      <c r="E97" s="182"/>
      <c r="F97" s="510"/>
      <c r="G97" s="511"/>
      <c r="H97" s="709"/>
      <c r="I97" s="202"/>
      <c r="J97" s="202"/>
      <c r="K97" s="202"/>
      <c r="L97" s="641"/>
      <c r="M97" s="201" t="e">
        <f>RANK(K97, K$87:$K$101)</f>
        <v>#DIV/0!</v>
      </c>
      <c r="N97" s="659"/>
      <c r="O97" s="659"/>
      <c r="P97" s="573"/>
      <c r="Q97" s="574"/>
      <c r="R97" s="574"/>
      <c r="S97" s="304" t="e">
        <f t="shared" si="69"/>
        <v>#N/A</v>
      </c>
      <c r="T97" s="709"/>
      <c r="U97" s="573"/>
      <c r="V97" s="574"/>
      <c r="W97" s="574"/>
      <c r="X97" s="475" t="e">
        <f t="shared" si="56"/>
        <v>#N/A</v>
      </c>
      <c r="Y97" s="709"/>
      <c r="Z97" s="573"/>
      <c r="AA97" s="574"/>
      <c r="AB97" s="574"/>
      <c r="AC97" s="475" t="e">
        <f t="shared" si="58"/>
        <v>#N/A</v>
      </c>
      <c r="AD97" s="709"/>
      <c r="AE97" s="573"/>
      <c r="AF97" s="574"/>
      <c r="AG97" s="574"/>
      <c r="AH97" s="475" t="e">
        <f t="shared" si="60"/>
        <v>#N/A</v>
      </c>
      <c r="AI97" s="709"/>
      <c r="AJ97" s="573"/>
      <c r="AK97" s="574"/>
      <c r="AL97" s="574"/>
      <c r="AM97" s="475" t="e">
        <f t="shared" si="62"/>
        <v>#N/A</v>
      </c>
      <c r="AN97" s="709"/>
      <c r="AO97" s="573"/>
      <c r="AP97" s="574"/>
      <c r="AQ97" s="574"/>
      <c r="AR97" s="475" t="e">
        <f t="shared" si="64"/>
        <v>#N/A</v>
      </c>
      <c r="AS97" s="709"/>
      <c r="AT97" s="573"/>
      <c r="AU97" s="574"/>
      <c r="AV97" s="574"/>
      <c r="AW97" s="475" t="e">
        <f t="shared" si="66"/>
        <v>#N/A</v>
      </c>
      <c r="AX97" s="681"/>
    </row>
    <row r="98" spans="2:50">
      <c r="B98" s="667"/>
      <c r="C98" s="304">
        <v>12</v>
      </c>
      <c r="D98" s="227"/>
      <c r="E98" s="182"/>
      <c r="F98" s="510"/>
      <c r="G98" s="511"/>
      <c r="H98" s="709"/>
      <c r="I98" s="202"/>
      <c r="J98" s="202"/>
      <c r="K98" s="202"/>
      <c r="L98" s="641"/>
      <c r="M98" s="201" t="e">
        <f>RANK(K98, K$87:$K$101)</f>
        <v>#DIV/0!</v>
      </c>
      <c r="N98" s="659"/>
      <c r="O98" s="659"/>
      <c r="P98" s="573"/>
      <c r="Q98" s="574"/>
      <c r="R98" s="574"/>
      <c r="S98" s="304" t="e">
        <f t="shared" si="69"/>
        <v>#N/A</v>
      </c>
      <c r="T98" s="709"/>
      <c r="U98" s="573"/>
      <c r="V98" s="574"/>
      <c r="W98" s="574"/>
      <c r="X98" s="475" t="e">
        <f t="shared" si="56"/>
        <v>#N/A</v>
      </c>
      <c r="Y98" s="709"/>
      <c r="Z98" s="573"/>
      <c r="AA98" s="574"/>
      <c r="AB98" s="574"/>
      <c r="AC98" s="475" t="e">
        <f t="shared" si="58"/>
        <v>#N/A</v>
      </c>
      <c r="AD98" s="709"/>
      <c r="AE98" s="573"/>
      <c r="AF98" s="574"/>
      <c r="AG98" s="574"/>
      <c r="AH98" s="475" t="e">
        <f t="shared" si="60"/>
        <v>#N/A</v>
      </c>
      <c r="AI98" s="709"/>
      <c r="AJ98" s="573"/>
      <c r="AK98" s="574"/>
      <c r="AL98" s="574"/>
      <c r="AM98" s="475" t="e">
        <f t="shared" si="62"/>
        <v>#N/A</v>
      </c>
      <c r="AN98" s="709"/>
      <c r="AO98" s="573"/>
      <c r="AP98" s="574"/>
      <c r="AQ98" s="574"/>
      <c r="AR98" s="475" t="e">
        <f t="shared" si="64"/>
        <v>#N/A</v>
      </c>
      <c r="AS98" s="709"/>
      <c r="AT98" s="573"/>
      <c r="AU98" s="574"/>
      <c r="AV98" s="574"/>
      <c r="AW98" s="475" t="e">
        <f t="shared" si="66"/>
        <v>#N/A</v>
      </c>
      <c r="AX98" s="681"/>
    </row>
    <row r="99" spans="2:50">
      <c r="B99" s="667"/>
      <c r="C99" s="304">
        <v>13</v>
      </c>
      <c r="D99" s="227"/>
      <c r="E99" s="182"/>
      <c r="F99" s="510"/>
      <c r="G99" s="511"/>
      <c r="H99" s="709"/>
      <c r="I99" s="202"/>
      <c r="J99" s="202"/>
      <c r="K99" s="202"/>
      <c r="L99" s="641"/>
      <c r="M99" s="201" t="e">
        <f>RANK(K99, K$87:$K$101)</f>
        <v>#DIV/0!</v>
      </c>
      <c r="N99" s="659"/>
      <c r="O99" s="659"/>
      <c r="P99" s="573"/>
      <c r="Q99" s="574"/>
      <c r="R99" s="574"/>
      <c r="S99" s="304" t="e">
        <f t="shared" si="69"/>
        <v>#N/A</v>
      </c>
      <c r="T99" s="709"/>
      <c r="U99" s="573"/>
      <c r="V99" s="574"/>
      <c r="W99" s="574"/>
      <c r="X99" s="475" t="e">
        <f t="shared" si="56"/>
        <v>#N/A</v>
      </c>
      <c r="Y99" s="709"/>
      <c r="Z99" s="573"/>
      <c r="AA99" s="574"/>
      <c r="AB99" s="574"/>
      <c r="AC99" s="475" t="e">
        <f t="shared" si="58"/>
        <v>#N/A</v>
      </c>
      <c r="AD99" s="709"/>
      <c r="AE99" s="573"/>
      <c r="AF99" s="574"/>
      <c r="AG99" s="574"/>
      <c r="AH99" s="475" t="e">
        <f t="shared" si="60"/>
        <v>#N/A</v>
      </c>
      <c r="AI99" s="709"/>
      <c r="AJ99" s="573"/>
      <c r="AK99" s="574"/>
      <c r="AL99" s="574"/>
      <c r="AM99" s="475" t="e">
        <f t="shared" si="62"/>
        <v>#N/A</v>
      </c>
      <c r="AN99" s="709"/>
      <c r="AO99" s="573"/>
      <c r="AP99" s="574"/>
      <c r="AQ99" s="574"/>
      <c r="AR99" s="475" t="e">
        <f t="shared" si="64"/>
        <v>#N/A</v>
      </c>
      <c r="AS99" s="709"/>
      <c r="AT99" s="573"/>
      <c r="AU99" s="574"/>
      <c r="AV99" s="574"/>
      <c r="AW99" s="475" t="e">
        <f t="shared" si="66"/>
        <v>#N/A</v>
      </c>
      <c r="AX99" s="681"/>
    </row>
    <row r="100" spans="2:50">
      <c r="B100" s="667"/>
      <c r="C100" s="304">
        <v>14</v>
      </c>
      <c r="D100" s="227"/>
      <c r="E100" s="182"/>
      <c r="F100" s="510"/>
      <c r="G100" s="511"/>
      <c r="H100" s="709"/>
      <c r="I100" s="202"/>
      <c r="J100" s="202"/>
      <c r="K100" s="202"/>
      <c r="L100" s="641"/>
      <c r="M100" s="201" t="e">
        <f>RANK(K100, K$87:$K$101)</f>
        <v>#DIV/0!</v>
      </c>
      <c r="N100" s="659"/>
      <c r="O100" s="659"/>
      <c r="P100" s="573"/>
      <c r="Q100" s="574"/>
      <c r="R100" s="574"/>
      <c r="S100" s="304" t="e">
        <f t="shared" si="69"/>
        <v>#N/A</v>
      </c>
      <c r="T100" s="709"/>
      <c r="U100" s="573"/>
      <c r="V100" s="574"/>
      <c r="W100" s="574"/>
      <c r="X100" s="475" t="e">
        <f t="shared" si="56"/>
        <v>#N/A</v>
      </c>
      <c r="Y100" s="709"/>
      <c r="Z100" s="573"/>
      <c r="AA100" s="574"/>
      <c r="AB100" s="574"/>
      <c r="AC100" s="475" t="e">
        <f t="shared" si="58"/>
        <v>#N/A</v>
      </c>
      <c r="AD100" s="709"/>
      <c r="AE100" s="573"/>
      <c r="AF100" s="574"/>
      <c r="AG100" s="574"/>
      <c r="AH100" s="475" t="e">
        <f t="shared" si="60"/>
        <v>#N/A</v>
      </c>
      <c r="AI100" s="709"/>
      <c r="AJ100" s="573"/>
      <c r="AK100" s="574"/>
      <c r="AL100" s="574"/>
      <c r="AM100" s="475" t="e">
        <f t="shared" si="62"/>
        <v>#N/A</v>
      </c>
      <c r="AN100" s="709"/>
      <c r="AO100" s="573"/>
      <c r="AP100" s="574"/>
      <c r="AQ100" s="574"/>
      <c r="AR100" s="475" t="e">
        <f t="shared" si="64"/>
        <v>#N/A</v>
      </c>
      <c r="AS100" s="709"/>
      <c r="AT100" s="573"/>
      <c r="AU100" s="574"/>
      <c r="AV100" s="574"/>
      <c r="AW100" s="475" t="e">
        <f t="shared" si="66"/>
        <v>#N/A</v>
      </c>
      <c r="AX100" s="681"/>
    </row>
    <row r="101" spans="2:50">
      <c r="B101" s="667"/>
      <c r="C101" s="304">
        <v>15</v>
      </c>
      <c r="D101" s="227"/>
      <c r="E101" s="182"/>
      <c r="F101" s="510"/>
      <c r="G101" s="511"/>
      <c r="H101" s="710"/>
      <c r="I101" s="202"/>
      <c r="J101" s="202"/>
      <c r="K101" s="202"/>
      <c r="L101" s="642"/>
      <c r="M101" s="199" t="e">
        <f>RANK(K101, K$87:$K$101)</f>
        <v>#DIV/0!</v>
      </c>
      <c r="N101" s="659"/>
      <c r="O101" s="659"/>
      <c r="P101" s="573"/>
      <c r="Q101" s="574"/>
      <c r="R101" s="574"/>
      <c r="S101" s="304" t="e">
        <f t="shared" si="69"/>
        <v>#N/A</v>
      </c>
      <c r="T101" s="710"/>
      <c r="U101" s="573"/>
      <c r="V101" s="574"/>
      <c r="W101" s="574"/>
      <c r="X101" s="475" t="e">
        <f t="shared" si="56"/>
        <v>#N/A</v>
      </c>
      <c r="Y101" s="710"/>
      <c r="Z101" s="573"/>
      <c r="AA101" s="574"/>
      <c r="AB101" s="574"/>
      <c r="AC101" s="475" t="e">
        <f t="shared" si="58"/>
        <v>#N/A</v>
      </c>
      <c r="AD101" s="710"/>
      <c r="AE101" s="573"/>
      <c r="AF101" s="574"/>
      <c r="AG101" s="574"/>
      <c r="AH101" s="475" t="e">
        <f t="shared" si="60"/>
        <v>#N/A</v>
      </c>
      <c r="AI101" s="710"/>
      <c r="AJ101" s="573"/>
      <c r="AK101" s="574"/>
      <c r="AL101" s="574"/>
      <c r="AM101" s="475" t="e">
        <f t="shared" si="62"/>
        <v>#N/A</v>
      </c>
      <c r="AN101" s="710"/>
      <c r="AO101" s="573"/>
      <c r="AP101" s="574"/>
      <c r="AQ101" s="574"/>
      <c r="AR101" s="475" t="e">
        <f t="shared" si="64"/>
        <v>#N/A</v>
      </c>
      <c r="AS101" s="710"/>
      <c r="AT101" s="573"/>
      <c r="AU101" s="574"/>
      <c r="AV101" s="574"/>
      <c r="AW101" s="475" t="e">
        <f t="shared" si="66"/>
        <v>#N/A</v>
      </c>
      <c r="AX101" s="681"/>
    </row>
    <row r="102" spans="2:50" ht="15.75">
      <c r="B102" s="671" t="s">
        <v>163</v>
      </c>
      <c r="C102" s="672"/>
      <c r="D102" s="672"/>
      <c r="E102" s="672"/>
      <c r="F102" s="672"/>
      <c r="G102" s="672"/>
      <c r="H102" s="673"/>
      <c r="I102" s="208"/>
      <c r="J102" s="208"/>
      <c r="K102" s="208"/>
      <c r="L102" s="208"/>
      <c r="M102" s="207"/>
      <c r="N102" s="660" t="s">
        <v>156</v>
      </c>
      <c r="O102" s="660" t="s">
        <v>105</v>
      </c>
      <c r="P102" s="666">
        <f>P82+7</f>
        <v>46119</v>
      </c>
      <c r="Q102" s="667"/>
      <c r="R102" s="667"/>
      <c r="S102" s="667"/>
      <c r="T102" s="667"/>
      <c r="U102" s="663">
        <f>P102+1</f>
        <v>46120</v>
      </c>
      <c r="V102" s="664"/>
      <c r="W102" s="664"/>
      <c r="X102" s="664"/>
      <c r="Y102" s="665"/>
      <c r="Z102" s="663">
        <f>U102+1</f>
        <v>46121</v>
      </c>
      <c r="AA102" s="664"/>
      <c r="AB102" s="664"/>
      <c r="AC102" s="664"/>
      <c r="AD102" s="665"/>
      <c r="AE102" s="663">
        <f>Z102+1</f>
        <v>46122</v>
      </c>
      <c r="AF102" s="664"/>
      <c r="AG102" s="664"/>
      <c r="AH102" s="664"/>
      <c r="AI102" s="665"/>
      <c r="AJ102" s="663">
        <f>AE102+1</f>
        <v>46123</v>
      </c>
      <c r="AK102" s="664"/>
      <c r="AL102" s="664"/>
      <c r="AM102" s="664"/>
      <c r="AN102" s="665"/>
      <c r="AO102" s="663">
        <f>AJ102+1</f>
        <v>46124</v>
      </c>
      <c r="AP102" s="664"/>
      <c r="AQ102" s="664"/>
      <c r="AR102" s="664"/>
      <c r="AS102" s="665"/>
      <c r="AT102" s="663">
        <f>AO102+1</f>
        <v>46125</v>
      </c>
      <c r="AU102" s="664"/>
      <c r="AV102" s="664"/>
      <c r="AW102" s="664"/>
      <c r="AX102" s="665"/>
    </row>
    <row r="103" spans="2:50" ht="15.75">
      <c r="B103" s="674"/>
      <c r="C103" s="674"/>
      <c r="D103" s="674"/>
      <c r="E103" s="674"/>
      <c r="F103" s="674"/>
      <c r="G103" s="674"/>
      <c r="H103" s="674"/>
      <c r="I103" s="205"/>
      <c r="J103" s="205"/>
      <c r="K103" s="205"/>
      <c r="L103" s="205"/>
      <c r="M103" s="206"/>
      <c r="N103" s="662"/>
      <c r="O103" s="662"/>
      <c r="P103" s="666" t="s">
        <v>158</v>
      </c>
      <c r="Q103" s="667"/>
      <c r="R103" s="667"/>
      <c r="S103" s="667"/>
      <c r="T103" s="667"/>
      <c r="U103" s="666" t="s">
        <v>114</v>
      </c>
      <c r="V103" s="667"/>
      <c r="W103" s="667"/>
      <c r="X103" s="667"/>
      <c r="Y103" s="667"/>
      <c r="Z103" s="666" t="s">
        <v>159</v>
      </c>
      <c r="AA103" s="667"/>
      <c r="AB103" s="667"/>
      <c r="AC103" s="667"/>
      <c r="AD103" s="667"/>
      <c r="AE103" s="666" t="s">
        <v>157</v>
      </c>
      <c r="AF103" s="667"/>
      <c r="AG103" s="667"/>
      <c r="AH103" s="667"/>
      <c r="AI103" s="667"/>
      <c r="AJ103" s="666" t="s">
        <v>160</v>
      </c>
      <c r="AK103" s="667"/>
      <c r="AL103" s="667"/>
      <c r="AM103" s="667"/>
      <c r="AN103" s="667"/>
      <c r="AO103" s="666" t="s">
        <v>115</v>
      </c>
      <c r="AP103" s="667"/>
      <c r="AQ103" s="667"/>
      <c r="AR103" s="667"/>
      <c r="AS103" s="667"/>
      <c r="AT103" s="666" t="s">
        <v>162</v>
      </c>
      <c r="AU103" s="667"/>
      <c r="AV103" s="667"/>
      <c r="AW103" s="667"/>
      <c r="AX103" s="667"/>
    </row>
    <row r="104" spans="2:50">
      <c r="B104" s="659" t="s">
        <v>827</v>
      </c>
      <c r="C104" s="659" t="s">
        <v>828</v>
      </c>
      <c r="D104" s="659"/>
      <c r="E104" s="659" t="s">
        <v>829</v>
      </c>
      <c r="F104" s="659"/>
      <c r="G104" s="659"/>
      <c r="H104" s="675" t="s">
        <v>830</v>
      </c>
      <c r="I104" s="659" t="s">
        <v>831</v>
      </c>
      <c r="J104" s="659"/>
      <c r="K104" s="659"/>
      <c r="L104" s="675" t="s">
        <v>830</v>
      </c>
      <c r="M104" s="660" t="s">
        <v>832</v>
      </c>
      <c r="N104" s="659"/>
      <c r="O104" s="659" t="s">
        <v>818</v>
      </c>
      <c r="P104" s="656" t="s">
        <v>819</v>
      </c>
      <c r="Q104" s="657"/>
      <c r="R104" s="657"/>
      <c r="S104" s="658"/>
      <c r="T104" s="659" t="s">
        <v>815</v>
      </c>
      <c r="U104" s="656" t="s">
        <v>819</v>
      </c>
      <c r="V104" s="657"/>
      <c r="W104" s="657"/>
      <c r="X104" s="658"/>
      <c r="Y104" s="659" t="s">
        <v>815</v>
      </c>
      <c r="Z104" s="656" t="s">
        <v>819</v>
      </c>
      <c r="AA104" s="657"/>
      <c r="AB104" s="657"/>
      <c r="AC104" s="658"/>
      <c r="AD104" s="659" t="s">
        <v>815</v>
      </c>
      <c r="AE104" s="656" t="s">
        <v>819</v>
      </c>
      <c r="AF104" s="657"/>
      <c r="AG104" s="657"/>
      <c r="AH104" s="658"/>
      <c r="AI104" s="659" t="s">
        <v>815</v>
      </c>
      <c r="AJ104" s="656" t="s">
        <v>819</v>
      </c>
      <c r="AK104" s="657"/>
      <c r="AL104" s="657"/>
      <c r="AM104" s="658"/>
      <c r="AN104" s="659" t="s">
        <v>815</v>
      </c>
      <c r="AO104" s="656" t="s">
        <v>819</v>
      </c>
      <c r="AP104" s="657"/>
      <c r="AQ104" s="657"/>
      <c r="AR104" s="658"/>
      <c r="AS104" s="659" t="s">
        <v>815</v>
      </c>
      <c r="AT104" s="656" t="s">
        <v>819</v>
      </c>
      <c r="AU104" s="657"/>
      <c r="AV104" s="657"/>
      <c r="AW104" s="658"/>
      <c r="AX104" s="659" t="s">
        <v>815</v>
      </c>
    </row>
    <row r="105" spans="2:50">
      <c r="B105" s="659"/>
      <c r="C105" s="659"/>
      <c r="D105" s="659"/>
      <c r="E105" s="659" t="s">
        <v>834</v>
      </c>
      <c r="F105" s="659"/>
      <c r="G105" s="659"/>
      <c r="H105" s="676"/>
      <c r="I105" s="659" t="s">
        <v>834</v>
      </c>
      <c r="J105" s="659"/>
      <c r="K105" s="659"/>
      <c r="L105" s="676"/>
      <c r="M105" s="661"/>
      <c r="N105" s="659"/>
      <c r="O105" s="659"/>
      <c r="P105" s="656" t="s">
        <v>821</v>
      </c>
      <c r="Q105" s="657"/>
      <c r="R105" s="657"/>
      <c r="S105" s="658"/>
      <c r="T105" s="659"/>
      <c r="U105" s="656" t="s">
        <v>821</v>
      </c>
      <c r="V105" s="657"/>
      <c r="W105" s="657"/>
      <c r="X105" s="658"/>
      <c r="Y105" s="659"/>
      <c r="Z105" s="656" t="s">
        <v>821</v>
      </c>
      <c r="AA105" s="657"/>
      <c r="AB105" s="657"/>
      <c r="AC105" s="658"/>
      <c r="AD105" s="659"/>
      <c r="AE105" s="656" t="s">
        <v>821</v>
      </c>
      <c r="AF105" s="657"/>
      <c r="AG105" s="657"/>
      <c r="AH105" s="658"/>
      <c r="AI105" s="659"/>
      <c r="AJ105" s="656" t="s">
        <v>821</v>
      </c>
      <c r="AK105" s="657"/>
      <c r="AL105" s="657"/>
      <c r="AM105" s="658"/>
      <c r="AN105" s="659"/>
      <c r="AO105" s="656" t="s">
        <v>821</v>
      </c>
      <c r="AP105" s="657"/>
      <c r="AQ105" s="657"/>
      <c r="AR105" s="658"/>
      <c r="AS105" s="659"/>
      <c r="AT105" s="656" t="s">
        <v>821</v>
      </c>
      <c r="AU105" s="657"/>
      <c r="AV105" s="657"/>
      <c r="AW105" s="658"/>
      <c r="AX105" s="659"/>
    </row>
    <row r="106" spans="2:50">
      <c r="B106" s="659"/>
      <c r="C106" s="659"/>
      <c r="D106" s="659"/>
      <c r="E106" s="488" t="s">
        <v>835</v>
      </c>
      <c r="F106" s="488" t="s">
        <v>836</v>
      </c>
      <c r="G106" s="488" t="s">
        <v>837</v>
      </c>
      <c r="H106" s="677"/>
      <c r="I106" s="488" t="s">
        <v>835</v>
      </c>
      <c r="J106" s="488" t="s">
        <v>836</v>
      </c>
      <c r="K106" s="488" t="s">
        <v>837</v>
      </c>
      <c r="L106" s="677"/>
      <c r="M106" s="662"/>
      <c r="N106" s="659"/>
      <c r="O106" s="659"/>
      <c r="P106" s="488" t="s">
        <v>822</v>
      </c>
      <c r="Q106" s="488" t="s">
        <v>823</v>
      </c>
      <c r="R106" s="488" t="s">
        <v>824</v>
      </c>
      <c r="S106" s="488" t="s">
        <v>817</v>
      </c>
      <c r="T106" s="659"/>
      <c r="U106" s="488" t="s">
        <v>822</v>
      </c>
      <c r="V106" s="488" t="s">
        <v>823</v>
      </c>
      <c r="W106" s="488" t="s">
        <v>824</v>
      </c>
      <c r="X106" s="488" t="s">
        <v>817</v>
      </c>
      <c r="Y106" s="659"/>
      <c r="Z106" s="488" t="s">
        <v>822</v>
      </c>
      <c r="AA106" s="488" t="s">
        <v>823</v>
      </c>
      <c r="AB106" s="488" t="s">
        <v>824</v>
      </c>
      <c r="AC106" s="488" t="s">
        <v>817</v>
      </c>
      <c r="AD106" s="659"/>
      <c r="AE106" s="488" t="s">
        <v>822</v>
      </c>
      <c r="AF106" s="488" t="s">
        <v>823</v>
      </c>
      <c r="AG106" s="488" t="s">
        <v>824</v>
      </c>
      <c r="AH106" s="488" t="s">
        <v>817</v>
      </c>
      <c r="AI106" s="659"/>
      <c r="AJ106" s="488" t="s">
        <v>822</v>
      </c>
      <c r="AK106" s="488" t="s">
        <v>823</v>
      </c>
      <c r="AL106" s="488" t="s">
        <v>824</v>
      </c>
      <c r="AM106" s="488" t="s">
        <v>817</v>
      </c>
      <c r="AN106" s="659"/>
      <c r="AO106" s="488" t="s">
        <v>822</v>
      </c>
      <c r="AP106" s="488" t="s">
        <v>823</v>
      </c>
      <c r="AQ106" s="488" t="s">
        <v>824</v>
      </c>
      <c r="AR106" s="488" t="s">
        <v>817</v>
      </c>
      <c r="AS106" s="659"/>
      <c r="AT106" s="488" t="s">
        <v>822</v>
      </c>
      <c r="AU106" s="488" t="s">
        <v>823</v>
      </c>
      <c r="AV106" s="488" t="s">
        <v>824</v>
      </c>
      <c r="AW106" s="488" t="s">
        <v>817</v>
      </c>
      <c r="AX106" s="659"/>
    </row>
    <row r="107" spans="2:50">
      <c r="B107" s="659" t="s">
        <v>136</v>
      </c>
      <c r="C107" s="493">
        <v>1</v>
      </c>
      <c r="D107" s="227"/>
      <c r="E107" s="182"/>
      <c r="F107" s="510"/>
      <c r="G107" s="511"/>
      <c r="H107" s="726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0" t="str">
        <f>IFERROR(AVERAGE(K107:K121),"-")</f>
        <v>-</v>
      </c>
      <c r="M107" s="494" t="e">
        <f>RANK(K107, K$67:$K$81)</f>
        <v>#DIV/0!</v>
      </c>
      <c r="N107" s="659"/>
      <c r="O107" s="659"/>
      <c r="P107" s="493"/>
      <c r="Q107" s="494"/>
      <c r="R107" s="494"/>
      <c r="S107" s="493" t="e">
        <f>RANK(R107, R$67:R$81)</f>
        <v>#N/A</v>
      </c>
      <c r="T107" s="706" t="e">
        <f>AVERAGE(R107:R121)</f>
        <v>#DIV/0!</v>
      </c>
      <c r="U107" s="515"/>
      <c r="V107" s="518"/>
      <c r="W107" s="518"/>
      <c r="X107" s="493" t="e">
        <f>RANK(W107, W$67:W$81)</f>
        <v>#N/A</v>
      </c>
      <c r="Y107" s="706" t="e">
        <f>AVERAGE(W107:W121)</f>
        <v>#DIV/0!</v>
      </c>
      <c r="Z107" s="515"/>
      <c r="AA107" s="518"/>
      <c r="AB107" s="518"/>
      <c r="AC107" s="493" t="e">
        <f>RANK(AB107, AB$67:AB$81)</f>
        <v>#N/A</v>
      </c>
      <c r="AD107" s="706" t="e">
        <f>AVERAGE(AB107:AB121)</f>
        <v>#DIV/0!</v>
      </c>
      <c r="AE107" s="515"/>
      <c r="AF107" s="518"/>
      <c r="AG107" s="518"/>
      <c r="AH107" s="493" t="e">
        <f>RANK(AG107, AG$67:AG$81)</f>
        <v>#N/A</v>
      </c>
      <c r="AI107" s="706" t="e">
        <f>AVERAGE(AG107:AG121)</f>
        <v>#DIV/0!</v>
      </c>
      <c r="AJ107" s="515"/>
      <c r="AK107" s="518"/>
      <c r="AL107" s="518"/>
      <c r="AM107" s="493" t="e">
        <f>RANK(AL107, AL$67:AL$81)</f>
        <v>#N/A</v>
      </c>
      <c r="AN107" s="706" t="e">
        <f>AVERAGE(AL107:AL121)</f>
        <v>#DIV/0!</v>
      </c>
      <c r="AO107" s="515"/>
      <c r="AP107" s="518"/>
      <c r="AQ107" s="518"/>
      <c r="AR107" s="493" t="e">
        <f>RANK(AQ107, AQ$67:AQ$81)</f>
        <v>#N/A</v>
      </c>
      <c r="AS107" s="706" t="e">
        <f>AVERAGE(AQ107:AQ121)</f>
        <v>#DIV/0!</v>
      </c>
      <c r="AT107" s="182"/>
      <c r="AU107" s="511"/>
      <c r="AV107" s="511"/>
      <c r="AW107" s="493" t="e">
        <f>RANK(AV107, AV$67:AV$81)</f>
        <v>#N/A</v>
      </c>
      <c r="AX107" s="706" t="e">
        <f>AVERAGE(AV107:AV121)</f>
        <v>#DIV/0!</v>
      </c>
    </row>
    <row r="108" spans="2:50">
      <c r="B108" s="692"/>
      <c r="C108" s="493">
        <v>2</v>
      </c>
      <c r="D108" s="227"/>
      <c r="E108" s="182"/>
      <c r="F108" s="510"/>
      <c r="G108" s="511"/>
      <c r="H108" s="727"/>
      <c r="I108" s="494" t="e">
        <f t="shared" ref="I108:K111" si="70">AVERAGE(P108,U108,Z108,AE108,AJ108,AO108,AT108)</f>
        <v>#DIV/0!</v>
      </c>
      <c r="J108" s="494" t="e">
        <f t="shared" si="70"/>
        <v>#DIV/0!</v>
      </c>
      <c r="K108" s="495" t="e">
        <f t="shared" si="70"/>
        <v>#DIV/0!</v>
      </c>
      <c r="L108" s="641"/>
      <c r="M108" s="494" t="e">
        <f>RANK(K108, K$67:$K$81)</f>
        <v>#DIV/0!</v>
      </c>
      <c r="N108" s="659"/>
      <c r="O108" s="659"/>
      <c r="P108" s="493"/>
      <c r="Q108" s="494"/>
      <c r="R108" s="494"/>
      <c r="S108" s="493" t="e">
        <f t="shared" ref="S108:S121" si="71">RANK(R108, R$67:R$81)</f>
        <v>#N/A</v>
      </c>
      <c r="T108" s="706"/>
      <c r="U108" s="515"/>
      <c r="V108" s="518"/>
      <c r="W108" s="518"/>
      <c r="X108" s="493" t="e">
        <f t="shared" ref="X108:X121" si="72">RANK(W108, W$67:W$81)</f>
        <v>#N/A</v>
      </c>
      <c r="Y108" s="706"/>
      <c r="Z108" s="515"/>
      <c r="AA108" s="518"/>
      <c r="AB108" s="518"/>
      <c r="AC108" s="493" t="e">
        <f t="shared" ref="AC108:AC121" si="73">RANK(AB108, AB$67:AB$81)</f>
        <v>#N/A</v>
      </c>
      <c r="AD108" s="706"/>
      <c r="AE108" s="515"/>
      <c r="AF108" s="518"/>
      <c r="AG108" s="518"/>
      <c r="AH108" s="493" t="e">
        <f t="shared" ref="AH108:AH121" si="74">RANK(AG108, AG$67:AG$81)</f>
        <v>#N/A</v>
      </c>
      <c r="AI108" s="706"/>
      <c r="AJ108" s="515"/>
      <c r="AK108" s="518"/>
      <c r="AL108" s="518"/>
      <c r="AM108" s="493" t="e">
        <f t="shared" ref="AM108:AM121" si="75">RANK(AL108, AL$67:AL$81)</f>
        <v>#N/A</v>
      </c>
      <c r="AN108" s="706"/>
      <c r="AO108" s="515"/>
      <c r="AP108" s="518"/>
      <c r="AQ108" s="518"/>
      <c r="AR108" s="493" t="e">
        <f t="shared" ref="AR108:AR121" si="76">RANK(AQ108, AQ$67:AQ$81)</f>
        <v>#N/A</v>
      </c>
      <c r="AS108" s="706"/>
      <c r="AT108" s="510"/>
      <c r="AU108" s="511"/>
      <c r="AV108" s="511"/>
      <c r="AW108" s="493" t="e">
        <f t="shared" ref="AW108:AW121" si="77">RANK(AV108, AV$67:AV$81)</f>
        <v>#N/A</v>
      </c>
      <c r="AX108" s="706"/>
    </row>
    <row r="109" spans="2:50">
      <c r="B109" s="692"/>
      <c r="C109" s="493">
        <v>3</v>
      </c>
      <c r="D109" s="227"/>
      <c r="E109" s="182"/>
      <c r="F109" s="510"/>
      <c r="G109" s="511"/>
      <c r="H109" s="727"/>
      <c r="I109" s="494" t="e">
        <f t="shared" si="70"/>
        <v>#DIV/0!</v>
      </c>
      <c r="J109" s="494" t="e">
        <f t="shared" si="70"/>
        <v>#DIV/0!</v>
      </c>
      <c r="K109" s="495" t="e">
        <f t="shared" si="70"/>
        <v>#DIV/0!</v>
      </c>
      <c r="L109" s="641"/>
      <c r="M109" s="494" t="e">
        <f>RANK(K109, K$67:$K$81)</f>
        <v>#DIV/0!</v>
      </c>
      <c r="N109" s="659"/>
      <c r="O109" s="659"/>
      <c r="P109" s="493"/>
      <c r="Q109" s="494"/>
      <c r="R109" s="494"/>
      <c r="S109" s="493" t="e">
        <f t="shared" si="71"/>
        <v>#N/A</v>
      </c>
      <c r="T109" s="706"/>
      <c r="U109" s="515"/>
      <c r="V109" s="518"/>
      <c r="W109" s="518"/>
      <c r="X109" s="493" t="e">
        <f t="shared" si="72"/>
        <v>#N/A</v>
      </c>
      <c r="Y109" s="706"/>
      <c r="Z109" s="515"/>
      <c r="AA109" s="518"/>
      <c r="AB109" s="518"/>
      <c r="AC109" s="493" t="e">
        <f t="shared" si="73"/>
        <v>#N/A</v>
      </c>
      <c r="AD109" s="706"/>
      <c r="AE109" s="515"/>
      <c r="AF109" s="518"/>
      <c r="AG109" s="518"/>
      <c r="AH109" s="493" t="e">
        <f t="shared" si="74"/>
        <v>#N/A</v>
      </c>
      <c r="AI109" s="706"/>
      <c r="AJ109" s="515"/>
      <c r="AK109" s="518"/>
      <c r="AL109" s="518"/>
      <c r="AM109" s="493" t="e">
        <f t="shared" si="75"/>
        <v>#N/A</v>
      </c>
      <c r="AN109" s="706"/>
      <c r="AO109" s="515"/>
      <c r="AP109" s="518"/>
      <c r="AQ109" s="518"/>
      <c r="AR109" s="493" t="e">
        <f t="shared" si="76"/>
        <v>#N/A</v>
      </c>
      <c r="AS109" s="706"/>
      <c r="AT109" s="510"/>
      <c r="AU109" s="511"/>
      <c r="AV109" s="511"/>
      <c r="AW109" s="493" t="e">
        <f t="shared" si="77"/>
        <v>#N/A</v>
      </c>
      <c r="AX109" s="706"/>
    </row>
    <row r="110" spans="2:50">
      <c r="B110" s="692"/>
      <c r="C110" s="493">
        <v>4</v>
      </c>
      <c r="D110" s="227"/>
      <c r="E110" s="182"/>
      <c r="F110" s="510"/>
      <c r="G110" s="511"/>
      <c r="H110" s="727"/>
      <c r="I110" s="494" t="e">
        <f t="shared" si="70"/>
        <v>#DIV/0!</v>
      </c>
      <c r="J110" s="494" t="e">
        <f t="shared" si="70"/>
        <v>#DIV/0!</v>
      </c>
      <c r="K110" s="495" t="e">
        <f t="shared" si="70"/>
        <v>#DIV/0!</v>
      </c>
      <c r="L110" s="641"/>
      <c r="M110" s="494" t="e">
        <f>RANK(K110, K$67:$K$81)</f>
        <v>#DIV/0!</v>
      </c>
      <c r="N110" s="659"/>
      <c r="O110" s="659"/>
      <c r="P110" s="493"/>
      <c r="Q110" s="494"/>
      <c r="R110" s="494"/>
      <c r="S110" s="493" t="e">
        <f t="shared" si="71"/>
        <v>#N/A</v>
      </c>
      <c r="T110" s="706"/>
      <c r="U110" s="515"/>
      <c r="V110" s="518"/>
      <c r="W110" s="518"/>
      <c r="X110" s="493" t="e">
        <f t="shared" si="72"/>
        <v>#N/A</v>
      </c>
      <c r="Y110" s="706"/>
      <c r="Z110" s="515"/>
      <c r="AA110" s="518"/>
      <c r="AB110" s="518"/>
      <c r="AC110" s="493" t="e">
        <f t="shared" si="73"/>
        <v>#N/A</v>
      </c>
      <c r="AD110" s="706"/>
      <c r="AE110" s="515"/>
      <c r="AF110" s="518"/>
      <c r="AG110" s="518"/>
      <c r="AH110" s="493" t="e">
        <f t="shared" si="74"/>
        <v>#N/A</v>
      </c>
      <c r="AI110" s="706"/>
      <c r="AJ110" s="515"/>
      <c r="AK110" s="518"/>
      <c r="AL110" s="518"/>
      <c r="AM110" s="493" t="e">
        <f t="shared" si="75"/>
        <v>#N/A</v>
      </c>
      <c r="AN110" s="706"/>
      <c r="AO110" s="515"/>
      <c r="AP110" s="518"/>
      <c r="AQ110" s="518"/>
      <c r="AR110" s="493" t="e">
        <f t="shared" si="76"/>
        <v>#N/A</v>
      </c>
      <c r="AS110" s="706"/>
      <c r="AT110" s="510"/>
      <c r="AU110" s="511"/>
      <c r="AV110" s="511"/>
      <c r="AW110" s="493" t="e">
        <f t="shared" si="77"/>
        <v>#N/A</v>
      </c>
      <c r="AX110" s="706"/>
    </row>
    <row r="111" spans="2:50">
      <c r="B111" s="692"/>
      <c r="C111" s="493">
        <v>5</v>
      </c>
      <c r="D111" s="227"/>
      <c r="E111" s="182"/>
      <c r="F111" s="510"/>
      <c r="G111" s="511"/>
      <c r="H111" s="727"/>
      <c r="I111" s="494" t="e">
        <f t="shared" si="70"/>
        <v>#DIV/0!</v>
      </c>
      <c r="J111" s="494" t="e">
        <f t="shared" si="70"/>
        <v>#DIV/0!</v>
      </c>
      <c r="K111" s="495" t="e">
        <f t="shared" si="70"/>
        <v>#DIV/0!</v>
      </c>
      <c r="L111" s="641"/>
      <c r="M111" s="494" t="e">
        <f>RANK(K111, K$67:$K$81)</f>
        <v>#DIV/0!</v>
      </c>
      <c r="N111" s="659"/>
      <c r="O111" s="659"/>
      <c r="P111" s="493"/>
      <c r="Q111" s="494"/>
      <c r="R111" s="494"/>
      <c r="S111" s="493" t="e">
        <f t="shared" si="71"/>
        <v>#N/A</v>
      </c>
      <c r="T111" s="706"/>
      <c r="U111" s="515"/>
      <c r="V111" s="518"/>
      <c r="W111" s="518"/>
      <c r="X111" s="493" t="e">
        <f t="shared" si="72"/>
        <v>#N/A</v>
      </c>
      <c r="Y111" s="706"/>
      <c r="Z111" s="515"/>
      <c r="AA111" s="518"/>
      <c r="AB111" s="518"/>
      <c r="AC111" s="493" t="e">
        <f t="shared" si="73"/>
        <v>#N/A</v>
      </c>
      <c r="AD111" s="706"/>
      <c r="AE111" s="515"/>
      <c r="AF111" s="518"/>
      <c r="AG111" s="518"/>
      <c r="AH111" s="493" t="e">
        <f t="shared" si="74"/>
        <v>#N/A</v>
      </c>
      <c r="AI111" s="706"/>
      <c r="AJ111" s="515"/>
      <c r="AK111" s="518"/>
      <c r="AL111" s="518"/>
      <c r="AM111" s="493" t="e">
        <f t="shared" si="75"/>
        <v>#N/A</v>
      </c>
      <c r="AN111" s="706"/>
      <c r="AO111" s="515"/>
      <c r="AP111" s="518"/>
      <c r="AQ111" s="518"/>
      <c r="AR111" s="493" t="e">
        <f t="shared" si="76"/>
        <v>#N/A</v>
      </c>
      <c r="AS111" s="706"/>
      <c r="AT111" s="510"/>
      <c r="AU111" s="511"/>
      <c r="AV111" s="511"/>
      <c r="AW111" s="493" t="e">
        <f t="shared" si="77"/>
        <v>#N/A</v>
      </c>
      <c r="AX111" s="706"/>
    </row>
    <row r="112" spans="2:50">
      <c r="B112" s="692"/>
      <c r="C112" s="493">
        <v>6</v>
      </c>
      <c r="D112" s="227"/>
      <c r="E112" s="182"/>
      <c r="F112" s="510"/>
      <c r="G112" s="511"/>
      <c r="H112" s="727"/>
      <c r="I112" s="494"/>
      <c r="J112" s="494"/>
      <c r="K112" s="495"/>
      <c r="L112" s="641"/>
      <c r="M112" s="494" t="e">
        <f>RANK(K112, K$67:$K$81)</f>
        <v>#DIV/0!</v>
      </c>
      <c r="N112" s="659"/>
      <c r="O112" s="659"/>
      <c r="P112" s="493"/>
      <c r="Q112" s="494"/>
      <c r="R112" s="494"/>
      <c r="S112" s="493" t="e">
        <f t="shared" si="71"/>
        <v>#N/A</v>
      </c>
      <c r="T112" s="706"/>
      <c r="U112" s="515"/>
      <c r="V112" s="518"/>
      <c r="W112" s="518"/>
      <c r="X112" s="493" t="e">
        <f t="shared" si="72"/>
        <v>#N/A</v>
      </c>
      <c r="Y112" s="706"/>
      <c r="Z112" s="515"/>
      <c r="AA112" s="518"/>
      <c r="AB112" s="518"/>
      <c r="AC112" s="493" t="e">
        <f t="shared" si="73"/>
        <v>#N/A</v>
      </c>
      <c r="AD112" s="706"/>
      <c r="AE112" s="515"/>
      <c r="AF112" s="518"/>
      <c r="AG112" s="518"/>
      <c r="AH112" s="493" t="e">
        <f t="shared" si="74"/>
        <v>#N/A</v>
      </c>
      <c r="AI112" s="706"/>
      <c r="AJ112" s="515"/>
      <c r="AK112" s="518"/>
      <c r="AL112" s="518"/>
      <c r="AM112" s="493" t="e">
        <f t="shared" si="75"/>
        <v>#N/A</v>
      </c>
      <c r="AN112" s="706"/>
      <c r="AO112" s="515"/>
      <c r="AP112" s="518"/>
      <c r="AQ112" s="518"/>
      <c r="AR112" s="493" t="e">
        <f t="shared" si="76"/>
        <v>#N/A</v>
      </c>
      <c r="AS112" s="706"/>
      <c r="AT112" s="510"/>
      <c r="AU112" s="511"/>
      <c r="AV112" s="511"/>
      <c r="AW112" s="493" t="e">
        <f t="shared" si="77"/>
        <v>#N/A</v>
      </c>
      <c r="AX112" s="706"/>
    </row>
    <row r="113" spans="2:50">
      <c r="B113" s="692"/>
      <c r="C113" s="493">
        <v>7</v>
      </c>
      <c r="D113" s="227"/>
      <c r="E113" s="182"/>
      <c r="F113" s="510"/>
      <c r="G113" s="511"/>
      <c r="H113" s="727"/>
      <c r="I113" s="494"/>
      <c r="J113" s="494"/>
      <c r="K113" s="495"/>
      <c r="L113" s="641"/>
      <c r="M113" s="494" t="e">
        <f>RANK(K113, K$67:$K$81)</f>
        <v>#DIV/0!</v>
      </c>
      <c r="N113" s="659"/>
      <c r="O113" s="659"/>
      <c r="P113" s="493"/>
      <c r="Q113" s="494"/>
      <c r="R113" s="494"/>
      <c r="S113" s="493" t="e">
        <f t="shared" si="71"/>
        <v>#N/A</v>
      </c>
      <c r="T113" s="706"/>
      <c r="U113" s="515"/>
      <c r="V113" s="518"/>
      <c r="W113" s="518"/>
      <c r="X113" s="493" t="e">
        <f t="shared" si="72"/>
        <v>#N/A</v>
      </c>
      <c r="Y113" s="706"/>
      <c r="Z113" s="515"/>
      <c r="AA113" s="518"/>
      <c r="AB113" s="518"/>
      <c r="AC113" s="493" t="e">
        <f t="shared" si="73"/>
        <v>#N/A</v>
      </c>
      <c r="AD113" s="706"/>
      <c r="AE113" s="515"/>
      <c r="AF113" s="518"/>
      <c r="AG113" s="518"/>
      <c r="AH113" s="493" t="e">
        <f t="shared" si="74"/>
        <v>#N/A</v>
      </c>
      <c r="AI113" s="706"/>
      <c r="AJ113" s="515"/>
      <c r="AK113" s="518"/>
      <c r="AL113" s="518"/>
      <c r="AM113" s="493" t="e">
        <f t="shared" si="75"/>
        <v>#N/A</v>
      </c>
      <c r="AN113" s="706"/>
      <c r="AO113" s="515"/>
      <c r="AP113" s="518"/>
      <c r="AQ113" s="518"/>
      <c r="AR113" s="493" t="e">
        <f t="shared" si="76"/>
        <v>#N/A</v>
      </c>
      <c r="AS113" s="706"/>
      <c r="AT113" s="510"/>
      <c r="AU113" s="511"/>
      <c r="AV113" s="511"/>
      <c r="AW113" s="493" t="e">
        <f t="shared" si="77"/>
        <v>#N/A</v>
      </c>
      <c r="AX113" s="706"/>
    </row>
    <row r="114" spans="2:50">
      <c r="B114" s="692"/>
      <c r="C114" s="493">
        <v>8</v>
      </c>
      <c r="D114" s="227"/>
      <c r="E114" s="182"/>
      <c r="F114" s="510"/>
      <c r="G114" s="511"/>
      <c r="H114" s="727"/>
      <c r="I114" s="494"/>
      <c r="J114" s="494"/>
      <c r="K114" s="495"/>
      <c r="L114" s="641"/>
      <c r="M114" s="494" t="e">
        <f>RANK(K114, K$67:$K$81)</f>
        <v>#DIV/0!</v>
      </c>
      <c r="N114" s="659"/>
      <c r="O114" s="659"/>
      <c r="P114" s="493"/>
      <c r="Q114" s="494"/>
      <c r="R114" s="494"/>
      <c r="S114" s="493" t="e">
        <f t="shared" si="71"/>
        <v>#N/A</v>
      </c>
      <c r="T114" s="706"/>
      <c r="U114" s="515"/>
      <c r="V114" s="518"/>
      <c r="W114" s="518"/>
      <c r="X114" s="493" t="e">
        <f t="shared" si="72"/>
        <v>#N/A</v>
      </c>
      <c r="Y114" s="706"/>
      <c r="Z114" s="515"/>
      <c r="AA114" s="518"/>
      <c r="AB114" s="518"/>
      <c r="AC114" s="493" t="e">
        <f t="shared" si="73"/>
        <v>#N/A</v>
      </c>
      <c r="AD114" s="706"/>
      <c r="AE114" s="515"/>
      <c r="AF114" s="518"/>
      <c r="AG114" s="518"/>
      <c r="AH114" s="493" t="e">
        <f t="shared" si="74"/>
        <v>#N/A</v>
      </c>
      <c r="AI114" s="706"/>
      <c r="AJ114" s="515"/>
      <c r="AK114" s="518"/>
      <c r="AL114" s="518"/>
      <c r="AM114" s="493" t="e">
        <f t="shared" si="75"/>
        <v>#N/A</v>
      </c>
      <c r="AN114" s="706"/>
      <c r="AO114" s="515"/>
      <c r="AP114" s="518"/>
      <c r="AQ114" s="518"/>
      <c r="AR114" s="493" t="e">
        <f t="shared" si="76"/>
        <v>#N/A</v>
      </c>
      <c r="AS114" s="706"/>
      <c r="AT114" s="510"/>
      <c r="AU114" s="511"/>
      <c r="AV114" s="511"/>
      <c r="AW114" s="493" t="e">
        <f t="shared" si="77"/>
        <v>#N/A</v>
      </c>
      <c r="AX114" s="706"/>
    </row>
    <row r="115" spans="2:50">
      <c r="B115" s="692"/>
      <c r="C115" s="493">
        <v>9</v>
      </c>
      <c r="D115" s="227"/>
      <c r="E115" s="182"/>
      <c r="F115" s="510"/>
      <c r="G115" s="511"/>
      <c r="H115" s="727"/>
      <c r="I115" s="494"/>
      <c r="J115" s="494"/>
      <c r="K115" s="495"/>
      <c r="L115" s="641"/>
      <c r="M115" s="494" t="e">
        <f>RANK(K115, K$67:$K$81)</f>
        <v>#DIV/0!</v>
      </c>
      <c r="N115" s="659"/>
      <c r="O115" s="659"/>
      <c r="P115" s="493"/>
      <c r="Q115" s="494"/>
      <c r="R115" s="494"/>
      <c r="S115" s="493" t="e">
        <f t="shared" si="71"/>
        <v>#N/A</v>
      </c>
      <c r="T115" s="706"/>
      <c r="U115" s="515"/>
      <c r="V115" s="518"/>
      <c r="W115" s="518"/>
      <c r="X115" s="493" t="e">
        <f t="shared" si="72"/>
        <v>#N/A</v>
      </c>
      <c r="Y115" s="706"/>
      <c r="Z115" s="515"/>
      <c r="AA115" s="518"/>
      <c r="AB115" s="518"/>
      <c r="AC115" s="493" t="e">
        <f t="shared" si="73"/>
        <v>#N/A</v>
      </c>
      <c r="AD115" s="706"/>
      <c r="AE115" s="515"/>
      <c r="AF115" s="518"/>
      <c r="AG115" s="518"/>
      <c r="AH115" s="493" t="e">
        <f t="shared" si="74"/>
        <v>#N/A</v>
      </c>
      <c r="AI115" s="706"/>
      <c r="AJ115" s="515"/>
      <c r="AK115" s="518"/>
      <c r="AL115" s="518"/>
      <c r="AM115" s="493" t="e">
        <f t="shared" si="75"/>
        <v>#N/A</v>
      </c>
      <c r="AN115" s="706"/>
      <c r="AO115" s="515"/>
      <c r="AP115" s="518"/>
      <c r="AQ115" s="518"/>
      <c r="AR115" s="493" t="e">
        <f t="shared" si="76"/>
        <v>#N/A</v>
      </c>
      <c r="AS115" s="706"/>
      <c r="AT115" s="510"/>
      <c r="AU115" s="511"/>
      <c r="AV115" s="511"/>
      <c r="AW115" s="493" t="e">
        <f t="shared" si="77"/>
        <v>#N/A</v>
      </c>
      <c r="AX115" s="706"/>
    </row>
    <row r="116" spans="2:50">
      <c r="B116" s="692"/>
      <c r="C116" s="493">
        <v>10</v>
      </c>
      <c r="D116" s="227"/>
      <c r="E116" s="182"/>
      <c r="F116" s="510"/>
      <c r="G116" s="511"/>
      <c r="H116" s="727"/>
      <c r="I116" s="494"/>
      <c r="J116" s="494"/>
      <c r="K116" s="495"/>
      <c r="L116" s="641"/>
      <c r="M116" s="494" t="e">
        <f>RANK(K116, K$67:$K$81)</f>
        <v>#DIV/0!</v>
      </c>
      <c r="N116" s="659"/>
      <c r="O116" s="659"/>
      <c r="P116" s="493"/>
      <c r="Q116" s="494"/>
      <c r="R116" s="494"/>
      <c r="S116" s="493" t="e">
        <f t="shared" si="71"/>
        <v>#N/A</v>
      </c>
      <c r="T116" s="706"/>
      <c r="U116" s="515"/>
      <c r="V116" s="518"/>
      <c r="W116" s="518"/>
      <c r="X116" s="493" t="e">
        <f t="shared" si="72"/>
        <v>#N/A</v>
      </c>
      <c r="Y116" s="706"/>
      <c r="Z116" s="515"/>
      <c r="AA116" s="518"/>
      <c r="AB116" s="518"/>
      <c r="AC116" s="493" t="e">
        <f t="shared" si="73"/>
        <v>#N/A</v>
      </c>
      <c r="AD116" s="706"/>
      <c r="AE116" s="515"/>
      <c r="AF116" s="518"/>
      <c r="AG116" s="518"/>
      <c r="AH116" s="493" t="e">
        <f t="shared" si="74"/>
        <v>#N/A</v>
      </c>
      <c r="AI116" s="706"/>
      <c r="AJ116" s="515"/>
      <c r="AK116" s="518"/>
      <c r="AL116" s="518"/>
      <c r="AM116" s="493" t="e">
        <f t="shared" si="75"/>
        <v>#N/A</v>
      </c>
      <c r="AN116" s="706"/>
      <c r="AO116" s="515"/>
      <c r="AP116" s="518"/>
      <c r="AQ116" s="518"/>
      <c r="AR116" s="493" t="e">
        <f t="shared" si="76"/>
        <v>#N/A</v>
      </c>
      <c r="AS116" s="706"/>
      <c r="AT116" s="510"/>
      <c r="AU116" s="510"/>
      <c r="AV116" s="511"/>
      <c r="AW116" s="493" t="e">
        <f t="shared" si="77"/>
        <v>#N/A</v>
      </c>
      <c r="AX116" s="706"/>
    </row>
    <row r="117" spans="2:50">
      <c r="B117" s="692"/>
      <c r="C117" s="493">
        <v>11</v>
      </c>
      <c r="D117" s="227"/>
      <c r="E117" s="182"/>
      <c r="F117" s="510"/>
      <c r="G117" s="511"/>
      <c r="H117" s="727"/>
      <c r="I117" s="493"/>
      <c r="J117" s="493"/>
      <c r="K117" s="493"/>
      <c r="L117" s="641"/>
      <c r="M117" s="494" t="e">
        <f>RANK(K117, K$67:$K$81)</f>
        <v>#DIV/0!</v>
      </c>
      <c r="N117" s="659"/>
      <c r="O117" s="659"/>
      <c r="P117" s="493"/>
      <c r="Q117" s="494"/>
      <c r="R117" s="494"/>
      <c r="S117" s="493" t="e">
        <f t="shared" si="71"/>
        <v>#N/A</v>
      </c>
      <c r="T117" s="706"/>
      <c r="U117" s="515"/>
      <c r="V117" s="518"/>
      <c r="W117" s="518"/>
      <c r="X117" s="493" t="e">
        <f t="shared" si="72"/>
        <v>#N/A</v>
      </c>
      <c r="Y117" s="706"/>
      <c r="Z117" s="515"/>
      <c r="AA117" s="518"/>
      <c r="AB117" s="518"/>
      <c r="AC117" s="493" t="e">
        <f t="shared" si="73"/>
        <v>#N/A</v>
      </c>
      <c r="AD117" s="706"/>
      <c r="AE117" s="515"/>
      <c r="AF117" s="518"/>
      <c r="AG117" s="518"/>
      <c r="AH117" s="493" t="e">
        <f t="shared" si="74"/>
        <v>#N/A</v>
      </c>
      <c r="AI117" s="706"/>
      <c r="AJ117" s="515"/>
      <c r="AK117" s="518"/>
      <c r="AL117" s="518"/>
      <c r="AM117" s="493" t="e">
        <f t="shared" si="75"/>
        <v>#N/A</v>
      </c>
      <c r="AN117" s="706"/>
      <c r="AO117" s="515"/>
      <c r="AP117" s="518"/>
      <c r="AQ117" s="518"/>
      <c r="AR117" s="493" t="e">
        <f t="shared" si="76"/>
        <v>#N/A</v>
      </c>
      <c r="AS117" s="706"/>
      <c r="AT117" s="510"/>
      <c r="AU117" s="510"/>
      <c r="AV117" s="510"/>
      <c r="AW117" s="493" t="e">
        <f t="shared" si="77"/>
        <v>#N/A</v>
      </c>
      <c r="AX117" s="706"/>
    </row>
    <row r="118" spans="2:50">
      <c r="B118" s="692"/>
      <c r="C118" s="493">
        <v>12</v>
      </c>
      <c r="D118" s="227"/>
      <c r="E118" s="182"/>
      <c r="F118" s="510"/>
      <c r="G118" s="511"/>
      <c r="H118" s="727"/>
      <c r="I118" s="493"/>
      <c r="J118" s="493"/>
      <c r="K118" s="493"/>
      <c r="L118" s="641"/>
      <c r="M118" s="494" t="e">
        <f>RANK(K118, K$67:$K$81)</f>
        <v>#DIV/0!</v>
      </c>
      <c r="N118" s="659"/>
      <c r="O118" s="659"/>
      <c r="P118" s="493"/>
      <c r="Q118" s="494"/>
      <c r="R118" s="494"/>
      <c r="S118" s="493" t="e">
        <f t="shared" si="71"/>
        <v>#N/A</v>
      </c>
      <c r="T118" s="706"/>
      <c r="U118" s="515"/>
      <c r="V118" s="518"/>
      <c r="W118" s="518"/>
      <c r="X118" s="493" t="e">
        <f t="shared" si="72"/>
        <v>#N/A</v>
      </c>
      <c r="Y118" s="706"/>
      <c r="Z118" s="515"/>
      <c r="AA118" s="518"/>
      <c r="AB118" s="518"/>
      <c r="AC118" s="493" t="e">
        <f t="shared" si="73"/>
        <v>#N/A</v>
      </c>
      <c r="AD118" s="706"/>
      <c r="AE118" s="515"/>
      <c r="AF118" s="518"/>
      <c r="AG118" s="518"/>
      <c r="AH118" s="493" t="e">
        <f t="shared" si="74"/>
        <v>#N/A</v>
      </c>
      <c r="AI118" s="706"/>
      <c r="AJ118" s="515"/>
      <c r="AK118" s="518"/>
      <c r="AL118" s="518"/>
      <c r="AM118" s="493" t="e">
        <f t="shared" si="75"/>
        <v>#N/A</v>
      </c>
      <c r="AN118" s="706"/>
      <c r="AO118" s="515"/>
      <c r="AP118" s="518"/>
      <c r="AQ118" s="518"/>
      <c r="AR118" s="493" t="e">
        <f t="shared" si="76"/>
        <v>#N/A</v>
      </c>
      <c r="AS118" s="706"/>
      <c r="AT118" s="510"/>
      <c r="AU118" s="510"/>
      <c r="AV118" s="510"/>
      <c r="AW118" s="493" t="e">
        <f t="shared" si="77"/>
        <v>#N/A</v>
      </c>
      <c r="AX118" s="706"/>
    </row>
    <row r="119" spans="2:50">
      <c r="B119" s="692"/>
      <c r="C119" s="493">
        <v>13</v>
      </c>
      <c r="D119" s="227"/>
      <c r="E119" s="182"/>
      <c r="F119" s="510"/>
      <c r="G119" s="511"/>
      <c r="H119" s="727"/>
      <c r="I119" s="493"/>
      <c r="J119" s="493"/>
      <c r="K119" s="493"/>
      <c r="L119" s="641"/>
      <c r="M119" s="494" t="e">
        <f>RANK(K119, K$67:$K$81)</f>
        <v>#DIV/0!</v>
      </c>
      <c r="N119" s="659"/>
      <c r="O119" s="659"/>
      <c r="P119" s="493"/>
      <c r="Q119" s="494"/>
      <c r="R119" s="494"/>
      <c r="S119" s="493" t="e">
        <f t="shared" si="71"/>
        <v>#N/A</v>
      </c>
      <c r="T119" s="706"/>
      <c r="U119" s="515"/>
      <c r="V119" s="518"/>
      <c r="W119" s="518"/>
      <c r="X119" s="493" t="e">
        <f t="shared" si="72"/>
        <v>#N/A</v>
      </c>
      <c r="Y119" s="706"/>
      <c r="Z119" s="515"/>
      <c r="AA119" s="518"/>
      <c r="AB119" s="518"/>
      <c r="AC119" s="493" t="e">
        <f t="shared" si="73"/>
        <v>#N/A</v>
      </c>
      <c r="AD119" s="706"/>
      <c r="AE119" s="515"/>
      <c r="AF119" s="518"/>
      <c r="AG119" s="518"/>
      <c r="AH119" s="493" t="e">
        <f t="shared" si="74"/>
        <v>#N/A</v>
      </c>
      <c r="AI119" s="706"/>
      <c r="AJ119" s="515"/>
      <c r="AK119" s="518"/>
      <c r="AL119" s="518"/>
      <c r="AM119" s="493" t="e">
        <f t="shared" si="75"/>
        <v>#N/A</v>
      </c>
      <c r="AN119" s="706"/>
      <c r="AO119" s="515"/>
      <c r="AP119" s="518"/>
      <c r="AQ119" s="518"/>
      <c r="AR119" s="493" t="e">
        <f t="shared" si="76"/>
        <v>#N/A</v>
      </c>
      <c r="AS119" s="706"/>
      <c r="AT119" s="510"/>
      <c r="AU119" s="510"/>
      <c r="AV119" s="510"/>
      <c r="AW119" s="493" t="e">
        <f t="shared" si="77"/>
        <v>#N/A</v>
      </c>
      <c r="AX119" s="706"/>
    </row>
    <row r="120" spans="2:50">
      <c r="B120" s="692"/>
      <c r="C120" s="493">
        <v>14</v>
      </c>
      <c r="D120" s="227"/>
      <c r="E120" s="182"/>
      <c r="F120" s="510"/>
      <c r="G120" s="511"/>
      <c r="H120" s="727"/>
      <c r="I120" s="493"/>
      <c r="J120" s="493"/>
      <c r="K120" s="493"/>
      <c r="L120" s="641"/>
      <c r="M120" s="494" t="e">
        <f>RANK(K120, K$67:$K$81)</f>
        <v>#DIV/0!</v>
      </c>
      <c r="N120" s="659"/>
      <c r="O120" s="659"/>
      <c r="P120" s="493"/>
      <c r="Q120" s="494"/>
      <c r="R120" s="494"/>
      <c r="S120" s="493" t="e">
        <f t="shared" si="71"/>
        <v>#N/A</v>
      </c>
      <c r="T120" s="706"/>
      <c r="U120" s="515"/>
      <c r="V120" s="518"/>
      <c r="W120" s="518"/>
      <c r="X120" s="493" t="e">
        <f t="shared" si="72"/>
        <v>#N/A</v>
      </c>
      <c r="Y120" s="706"/>
      <c r="Z120" s="515"/>
      <c r="AA120" s="518"/>
      <c r="AB120" s="518"/>
      <c r="AC120" s="493" t="e">
        <f t="shared" si="73"/>
        <v>#N/A</v>
      </c>
      <c r="AD120" s="706"/>
      <c r="AE120" s="515"/>
      <c r="AF120" s="518"/>
      <c r="AG120" s="518"/>
      <c r="AH120" s="493" t="e">
        <f t="shared" si="74"/>
        <v>#N/A</v>
      </c>
      <c r="AI120" s="706"/>
      <c r="AJ120" s="515"/>
      <c r="AK120" s="518"/>
      <c r="AL120" s="518"/>
      <c r="AM120" s="493" t="e">
        <f t="shared" si="75"/>
        <v>#N/A</v>
      </c>
      <c r="AN120" s="706"/>
      <c r="AO120" s="515"/>
      <c r="AP120" s="518"/>
      <c r="AQ120" s="518"/>
      <c r="AR120" s="493" t="e">
        <f t="shared" si="76"/>
        <v>#N/A</v>
      </c>
      <c r="AS120" s="706"/>
      <c r="AT120" s="510"/>
      <c r="AU120" s="510"/>
      <c r="AV120" s="510"/>
      <c r="AW120" s="493" t="e">
        <f t="shared" si="77"/>
        <v>#N/A</v>
      </c>
      <c r="AX120" s="706"/>
    </row>
    <row r="121" spans="2:50">
      <c r="B121" s="692"/>
      <c r="C121" s="493">
        <v>15</v>
      </c>
      <c r="D121" s="227"/>
      <c r="E121" s="182"/>
      <c r="F121" s="510"/>
      <c r="G121" s="511"/>
      <c r="H121" s="728"/>
      <c r="I121" s="493"/>
      <c r="J121" s="493"/>
      <c r="K121" s="493"/>
      <c r="L121" s="642"/>
      <c r="M121" s="494" t="e">
        <f>RANK(K121, K$47:$K$61)</f>
        <v>#DIV/0!</v>
      </c>
      <c r="N121" s="659"/>
      <c r="O121" s="659"/>
      <c r="P121" s="493"/>
      <c r="Q121" s="494"/>
      <c r="R121" s="494"/>
      <c r="S121" s="493" t="e">
        <f t="shared" si="71"/>
        <v>#N/A</v>
      </c>
      <c r="T121" s="706"/>
      <c r="U121" s="515"/>
      <c r="V121" s="518"/>
      <c r="W121" s="518"/>
      <c r="X121" s="493" t="e">
        <f t="shared" si="72"/>
        <v>#N/A</v>
      </c>
      <c r="Y121" s="706"/>
      <c r="Z121" s="515"/>
      <c r="AA121" s="518"/>
      <c r="AB121" s="518"/>
      <c r="AC121" s="493" t="e">
        <f t="shared" si="73"/>
        <v>#N/A</v>
      </c>
      <c r="AD121" s="706"/>
      <c r="AE121" s="515"/>
      <c r="AF121" s="518"/>
      <c r="AG121" s="518"/>
      <c r="AH121" s="493" t="e">
        <f t="shared" si="74"/>
        <v>#N/A</v>
      </c>
      <c r="AI121" s="706"/>
      <c r="AJ121" s="515"/>
      <c r="AK121" s="518"/>
      <c r="AL121" s="518"/>
      <c r="AM121" s="493" t="e">
        <f t="shared" si="75"/>
        <v>#N/A</v>
      </c>
      <c r="AN121" s="706"/>
      <c r="AO121" s="515"/>
      <c r="AP121" s="518"/>
      <c r="AQ121" s="518"/>
      <c r="AR121" s="493" t="e">
        <f t="shared" si="76"/>
        <v>#N/A</v>
      </c>
      <c r="AS121" s="706"/>
      <c r="AT121" s="510"/>
      <c r="AU121" s="510"/>
      <c r="AV121" s="510"/>
      <c r="AW121" s="493" t="e">
        <f t="shared" si="77"/>
        <v>#N/A</v>
      </c>
      <c r="AX121" s="706"/>
    </row>
    <row r="123" spans="2:50" ht="15.75">
      <c r="B123" s="698" t="s">
        <v>661</v>
      </c>
      <c r="C123" s="699"/>
      <c r="D123" s="699"/>
      <c r="E123" s="699"/>
      <c r="F123" s="699"/>
      <c r="G123" s="699"/>
      <c r="H123" s="700"/>
      <c r="I123" s="347"/>
      <c r="J123" s="347"/>
      <c r="K123" s="347"/>
      <c r="L123" s="347"/>
      <c r="M123" s="348"/>
    </row>
    <row r="124" spans="2:50" ht="15.75">
      <c r="B124" s="701"/>
      <c r="C124" s="701"/>
      <c r="D124" s="701"/>
      <c r="E124" s="701"/>
      <c r="F124" s="701"/>
      <c r="G124" s="701"/>
      <c r="H124" s="701"/>
      <c r="I124" s="349"/>
      <c r="J124" s="349"/>
      <c r="K124" s="349"/>
      <c r="L124" s="349"/>
      <c r="M124" s="350"/>
    </row>
    <row r="125" spans="2:50">
      <c r="B125" s="659" t="s">
        <v>662</v>
      </c>
      <c r="C125" s="659" t="s">
        <v>663</v>
      </c>
      <c r="D125" s="659"/>
      <c r="E125" s="659" t="s">
        <v>664</v>
      </c>
      <c r="F125" s="659"/>
      <c r="G125" s="659"/>
      <c r="H125" s="675" t="s">
        <v>665</v>
      </c>
      <c r="I125" s="702" t="s">
        <v>666</v>
      </c>
      <c r="J125" s="702"/>
      <c r="K125" s="702"/>
      <c r="L125" s="718" t="s">
        <v>665</v>
      </c>
      <c r="M125" s="721" t="s">
        <v>667</v>
      </c>
    </row>
    <row r="126" spans="2:50">
      <c r="B126" s="659"/>
      <c r="C126" s="659"/>
      <c r="D126" s="659"/>
      <c r="E126" s="659" t="s">
        <v>668</v>
      </c>
      <c r="F126" s="659"/>
      <c r="G126" s="659"/>
      <c r="H126" s="676"/>
      <c r="I126" s="702" t="s">
        <v>668</v>
      </c>
      <c r="J126" s="702"/>
      <c r="K126" s="702"/>
      <c r="L126" s="719"/>
      <c r="M126" s="722"/>
    </row>
    <row r="127" spans="2:50">
      <c r="B127" s="659"/>
      <c r="C127" s="659"/>
      <c r="D127" s="659"/>
      <c r="E127" s="344" t="s">
        <v>669</v>
      </c>
      <c r="F127" s="344" t="s">
        <v>670</v>
      </c>
      <c r="G127" s="344" t="s">
        <v>671</v>
      </c>
      <c r="H127" s="677"/>
      <c r="I127" s="351" t="s">
        <v>669</v>
      </c>
      <c r="J127" s="351" t="s">
        <v>670</v>
      </c>
      <c r="K127" s="351" t="s">
        <v>671</v>
      </c>
      <c r="L127" s="720"/>
      <c r="M127" s="723"/>
    </row>
    <row r="128" spans="2:50">
      <c r="B128" s="659" t="s">
        <v>678</v>
      </c>
      <c r="C128" s="343">
        <v>1</v>
      </c>
      <c r="D128" s="227"/>
      <c r="E128" s="182"/>
      <c r="F128" s="343"/>
      <c r="G128" s="346"/>
      <c r="H128" s="708" t="e">
        <f>AVERAGE(G128:G142)</f>
        <v>#DIV/0!</v>
      </c>
      <c r="I128" s="199" t="e">
        <f t="shared" ref="I128:J132" si="78">AVERAGEIF($D$7:$D$121,$D128,I$7:I$121)</f>
        <v>#DIV/0!</v>
      </c>
      <c r="J128" s="199" t="e">
        <f t="shared" si="78"/>
        <v>#DIV/0!</v>
      </c>
      <c r="K128" s="199" t="e">
        <f>AVERAGEIF($D$7:$D$121,$D128,K$7:K$121)</f>
        <v>#DIV/0!</v>
      </c>
      <c r="L128" s="715" t="e">
        <f>AVERAGE(K128:K142)</f>
        <v>#DIV/0!</v>
      </c>
      <c r="M128" s="199" t="e">
        <f>RANK(K128, K$128:$K$142)</f>
        <v>#DIV/0!</v>
      </c>
    </row>
    <row r="129" spans="2:13" s="108" customFormat="1">
      <c r="B129" s="667"/>
      <c r="C129" s="343">
        <v>2</v>
      </c>
      <c r="D129" s="227"/>
      <c r="E129" s="182"/>
      <c r="F129" s="343"/>
      <c r="G129" s="346"/>
      <c r="H129" s="709"/>
      <c r="I129" s="199" t="e">
        <f t="shared" si="78"/>
        <v>#DIV/0!</v>
      </c>
      <c r="J129" s="199" t="e">
        <f t="shared" si="78"/>
        <v>#DIV/0!</v>
      </c>
      <c r="K129" s="199" t="e">
        <f>AVERAGEIF($D$7:$D$121,$D129,K$7:K$121)</f>
        <v>#DIV/0!</v>
      </c>
      <c r="L129" s="716"/>
      <c r="M129" s="199" t="e">
        <f>RANK(K129, K$128:$K$142)</f>
        <v>#DIV/0!</v>
      </c>
    </row>
    <row r="130" spans="2:13" s="108" customFormat="1">
      <c r="B130" s="667"/>
      <c r="C130" s="343">
        <v>3</v>
      </c>
      <c r="D130" s="227"/>
      <c r="E130" s="182"/>
      <c r="F130" s="343"/>
      <c r="G130" s="346"/>
      <c r="H130" s="709"/>
      <c r="I130" s="199" t="e">
        <f t="shared" si="78"/>
        <v>#DIV/0!</v>
      </c>
      <c r="J130" s="199" t="e">
        <f t="shared" si="78"/>
        <v>#DIV/0!</v>
      </c>
      <c r="K130" s="199" t="e">
        <f>AVERAGEIF($D$7:$D$121,$D130,K$7:K$121)</f>
        <v>#DIV/0!</v>
      </c>
      <c r="L130" s="716"/>
      <c r="M130" s="199" t="e">
        <f>RANK(K130, K$128:$K$142)</f>
        <v>#DIV/0!</v>
      </c>
    </row>
    <row r="131" spans="2:13" s="108" customFormat="1">
      <c r="B131" s="667"/>
      <c r="C131" s="343">
        <v>4</v>
      </c>
      <c r="D131" s="227"/>
      <c r="E131" s="182"/>
      <c r="F131" s="343"/>
      <c r="G131" s="346"/>
      <c r="H131" s="709"/>
      <c r="I131" s="199" t="e">
        <f t="shared" si="78"/>
        <v>#DIV/0!</v>
      </c>
      <c r="J131" s="199" t="e">
        <f t="shared" si="78"/>
        <v>#DIV/0!</v>
      </c>
      <c r="K131" s="199" t="e">
        <f>AVERAGEIF($D$7:$D$121,$D131,K$7:K$121)</f>
        <v>#DIV/0!</v>
      </c>
      <c r="L131" s="716"/>
      <c r="M131" s="199" t="e">
        <f>RANK(K131, K$128:$K$142)</f>
        <v>#DIV/0!</v>
      </c>
    </row>
    <row r="132" spans="2:13" s="108" customFormat="1">
      <c r="B132" s="667"/>
      <c r="C132" s="343">
        <v>5</v>
      </c>
      <c r="D132" s="227"/>
      <c r="E132" s="182"/>
      <c r="F132" s="343"/>
      <c r="G132" s="346"/>
      <c r="H132" s="709"/>
      <c r="I132" s="199" t="e">
        <f t="shared" si="78"/>
        <v>#DIV/0!</v>
      </c>
      <c r="J132" s="199" t="e">
        <f t="shared" si="78"/>
        <v>#DIV/0!</v>
      </c>
      <c r="K132" s="199" t="e">
        <f>AVERAGEIF($D$7:$D$121,$D132,K$7:K$121)</f>
        <v>#DIV/0!</v>
      </c>
      <c r="L132" s="716"/>
      <c r="M132" s="199" t="e">
        <f>RANK(K132, K$128:$K$142)</f>
        <v>#DIV/0!</v>
      </c>
    </row>
    <row r="133" spans="2:13" s="108" customFormat="1">
      <c r="B133" s="667"/>
      <c r="C133" s="343">
        <v>6</v>
      </c>
      <c r="D133" s="352"/>
      <c r="E133" s="182"/>
      <c r="F133" s="343"/>
      <c r="G133" s="346"/>
      <c r="H133" s="709"/>
      <c r="I133" s="199"/>
      <c r="J133" s="199"/>
      <c r="K133" s="199"/>
      <c r="L133" s="716"/>
      <c r="M133" s="199" t="e">
        <f>RANK(K133, K$128:$K$142)</f>
        <v>#DIV/0!</v>
      </c>
    </row>
    <row r="134" spans="2:13" s="108" customFormat="1">
      <c r="B134" s="667"/>
      <c r="C134" s="343">
        <v>7</v>
      </c>
      <c r="D134" s="227"/>
      <c r="E134" s="182"/>
      <c r="F134" s="343"/>
      <c r="G134" s="346"/>
      <c r="H134" s="709"/>
      <c r="I134" s="199"/>
      <c r="J134" s="199"/>
      <c r="K134" s="199"/>
      <c r="L134" s="716"/>
      <c r="M134" s="199" t="e">
        <f>RANK(K134, K$128:$K$142)</f>
        <v>#DIV/0!</v>
      </c>
    </row>
    <row r="135" spans="2:13" s="108" customFormat="1">
      <c r="B135" s="667"/>
      <c r="C135" s="343">
        <v>8</v>
      </c>
      <c r="D135" s="227"/>
      <c r="E135" s="182"/>
      <c r="F135" s="343"/>
      <c r="G135" s="346"/>
      <c r="H135" s="709"/>
      <c r="I135" s="199"/>
      <c r="J135" s="199"/>
      <c r="K135" s="199"/>
      <c r="L135" s="716"/>
      <c r="M135" s="199" t="e">
        <f>RANK(K135, K$128:$K$142)</f>
        <v>#DIV/0!</v>
      </c>
    </row>
    <row r="136" spans="2:13" s="108" customFormat="1">
      <c r="B136" s="667"/>
      <c r="C136" s="343">
        <v>9</v>
      </c>
      <c r="D136" s="227"/>
      <c r="E136" s="343"/>
      <c r="F136" s="343"/>
      <c r="G136" s="343"/>
      <c r="H136" s="709"/>
      <c r="I136" s="199"/>
      <c r="J136" s="199"/>
      <c r="K136" s="199"/>
      <c r="L136" s="716"/>
      <c r="M136" s="199" t="e">
        <f>RANK(K136, K$128:$K$142)</f>
        <v>#DIV/0!</v>
      </c>
    </row>
    <row r="137" spans="2:13" s="108" customFormat="1">
      <c r="B137" s="667"/>
      <c r="C137" s="343">
        <v>10</v>
      </c>
      <c r="D137" s="227"/>
      <c r="E137" s="343"/>
      <c r="F137" s="343"/>
      <c r="G137" s="343"/>
      <c r="H137" s="709"/>
      <c r="I137" s="199"/>
      <c r="J137" s="199"/>
      <c r="K137" s="199"/>
      <c r="L137" s="716"/>
      <c r="M137" s="199" t="e">
        <f>RANK(K137, K$128:$K$142)</f>
        <v>#DIV/0!</v>
      </c>
    </row>
    <row r="138" spans="2:13" s="108" customFormat="1">
      <c r="B138" s="667"/>
      <c r="C138" s="343">
        <v>11</v>
      </c>
      <c r="D138" s="227"/>
      <c r="E138" s="343"/>
      <c r="F138" s="343"/>
      <c r="G138" s="343"/>
      <c r="H138" s="709"/>
      <c r="I138" s="199"/>
      <c r="J138" s="199"/>
      <c r="K138" s="199"/>
      <c r="L138" s="716"/>
      <c r="M138" s="199" t="e">
        <f>RANK(K138, K$128:$K$142)</f>
        <v>#DIV/0!</v>
      </c>
    </row>
    <row r="139" spans="2:13" s="108" customFormat="1">
      <c r="B139" s="667"/>
      <c r="C139" s="343">
        <v>12</v>
      </c>
      <c r="D139" s="227"/>
      <c r="E139" s="343"/>
      <c r="F139" s="343"/>
      <c r="G139" s="343"/>
      <c r="H139" s="709"/>
      <c r="I139" s="199"/>
      <c r="J139" s="199"/>
      <c r="K139" s="199"/>
      <c r="L139" s="716"/>
      <c r="M139" s="199" t="e">
        <f>RANK(K139, K$128:$K$142)</f>
        <v>#DIV/0!</v>
      </c>
    </row>
    <row r="140" spans="2:13" s="108" customFormat="1">
      <c r="B140" s="667"/>
      <c r="C140" s="343">
        <v>13</v>
      </c>
      <c r="D140" s="227"/>
      <c r="E140" s="343"/>
      <c r="F140" s="343"/>
      <c r="G140" s="343"/>
      <c r="H140" s="709"/>
      <c r="I140" s="199"/>
      <c r="J140" s="199"/>
      <c r="K140" s="199"/>
      <c r="L140" s="716"/>
      <c r="M140" s="199" t="e">
        <f>RANK(K140, K$128:$K$142)</f>
        <v>#DIV/0!</v>
      </c>
    </row>
    <row r="141" spans="2:13" s="108" customFormat="1">
      <c r="B141" s="667"/>
      <c r="C141" s="343">
        <v>14</v>
      </c>
      <c r="D141" s="227"/>
      <c r="E141" s="343"/>
      <c r="F141" s="343"/>
      <c r="G141" s="343"/>
      <c r="H141" s="709"/>
      <c r="I141" s="199"/>
      <c r="J141" s="199"/>
      <c r="K141" s="199"/>
      <c r="L141" s="716"/>
      <c r="M141" s="199" t="e">
        <f>RANK(K141, K$128:$K$142)</f>
        <v>#DIV/0!</v>
      </c>
    </row>
    <row r="142" spans="2:13" s="108" customFormat="1">
      <c r="B142" s="667"/>
      <c r="C142" s="343">
        <v>15</v>
      </c>
      <c r="D142" s="227"/>
      <c r="E142" s="343"/>
      <c r="F142" s="343"/>
      <c r="G142" s="343"/>
      <c r="H142" s="710"/>
      <c r="I142" s="199"/>
      <c r="J142" s="199"/>
      <c r="K142" s="199"/>
      <c r="L142" s="717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P2" sqref="P2:AX2"/>
      <selection pane="topRight" activeCell="D7" sqref="D7:G1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173.33729823426933</v>
      </c>
    </row>
    <row r="2" spans="1:54" ht="15.75">
      <c r="A2" s="81"/>
      <c r="B2" s="671" t="s">
        <v>163</v>
      </c>
      <c r="C2" s="671"/>
      <c r="D2" s="671"/>
      <c r="E2" s="671"/>
      <c r="F2" s="671"/>
      <c r="G2" s="671"/>
      <c r="H2" s="671"/>
      <c r="I2" s="310"/>
      <c r="J2" s="310"/>
      <c r="K2" s="310"/>
      <c r="L2" s="310"/>
      <c r="M2" s="197"/>
      <c r="N2" s="660" t="s">
        <v>156</v>
      </c>
      <c r="O2" s="660" t="s">
        <v>155</v>
      </c>
      <c r="P2" s="687">
        <v>46084</v>
      </c>
      <c r="Q2" s="688"/>
      <c r="R2" s="688"/>
      <c r="S2" s="688"/>
      <c r="T2" s="689"/>
      <c r="U2" s="666">
        <f>P2+1</f>
        <v>46085</v>
      </c>
      <c r="V2" s="667"/>
      <c r="W2" s="667"/>
      <c r="X2" s="667"/>
      <c r="Y2" s="667"/>
      <c r="Z2" s="666">
        <f>U2+1</f>
        <v>46086</v>
      </c>
      <c r="AA2" s="667"/>
      <c r="AB2" s="667"/>
      <c r="AC2" s="667"/>
      <c r="AD2" s="667"/>
      <c r="AE2" s="666">
        <f>Z2+1</f>
        <v>46087</v>
      </c>
      <c r="AF2" s="667"/>
      <c r="AG2" s="667"/>
      <c r="AH2" s="667"/>
      <c r="AI2" s="667"/>
      <c r="AJ2" s="666">
        <f>AE2+1</f>
        <v>46088</v>
      </c>
      <c r="AK2" s="667"/>
      <c r="AL2" s="667"/>
      <c r="AM2" s="667"/>
      <c r="AN2" s="667"/>
      <c r="AO2" s="666">
        <f>AJ2+1</f>
        <v>46089</v>
      </c>
      <c r="AP2" s="667"/>
      <c r="AQ2" s="667"/>
      <c r="AR2" s="667"/>
      <c r="AS2" s="667"/>
      <c r="AT2" s="663">
        <f>AO2+1</f>
        <v>46090</v>
      </c>
      <c r="AU2" s="664"/>
      <c r="AV2" s="664"/>
      <c r="AW2" s="664"/>
      <c r="AX2" s="665"/>
    </row>
    <row r="3" spans="1:54" ht="15.75">
      <c r="A3" s="81"/>
      <c r="B3" s="690"/>
      <c r="C3" s="690"/>
      <c r="D3" s="690"/>
      <c r="E3" s="690"/>
      <c r="F3" s="690"/>
      <c r="G3" s="690"/>
      <c r="H3" s="690"/>
      <c r="I3" s="311"/>
      <c r="J3" s="311"/>
      <c r="K3" s="311"/>
      <c r="L3" s="311"/>
      <c r="M3" s="198"/>
      <c r="N3" s="662"/>
      <c r="O3" s="662"/>
      <c r="P3" s="663" t="s">
        <v>158</v>
      </c>
      <c r="Q3" s="664"/>
      <c r="R3" s="664"/>
      <c r="S3" s="664"/>
      <c r="T3" s="665"/>
      <c r="U3" s="663" t="s">
        <v>114</v>
      </c>
      <c r="V3" s="664"/>
      <c r="W3" s="664"/>
      <c r="X3" s="664"/>
      <c r="Y3" s="665"/>
      <c r="Z3" s="663" t="s">
        <v>159</v>
      </c>
      <c r="AA3" s="664"/>
      <c r="AB3" s="664"/>
      <c r="AC3" s="664"/>
      <c r="AD3" s="665"/>
      <c r="AE3" s="663" t="s">
        <v>157</v>
      </c>
      <c r="AF3" s="664"/>
      <c r="AG3" s="664"/>
      <c r="AH3" s="664"/>
      <c r="AI3" s="665"/>
      <c r="AJ3" s="663" t="s">
        <v>160</v>
      </c>
      <c r="AK3" s="664"/>
      <c r="AL3" s="664"/>
      <c r="AM3" s="664"/>
      <c r="AN3" s="665"/>
      <c r="AO3" s="663" t="s">
        <v>161</v>
      </c>
      <c r="AP3" s="664"/>
      <c r="AQ3" s="664"/>
      <c r="AR3" s="664"/>
      <c r="AS3" s="665"/>
      <c r="AT3" s="663" t="s">
        <v>162</v>
      </c>
      <c r="AU3" s="664"/>
      <c r="AV3" s="664"/>
      <c r="AW3" s="664"/>
      <c r="AX3" s="665"/>
    </row>
    <row r="4" spans="1:54" ht="14.25">
      <c r="A4" s="81"/>
      <c r="B4" s="659" t="s">
        <v>827</v>
      </c>
      <c r="C4" s="659" t="s">
        <v>828</v>
      </c>
      <c r="D4" s="659"/>
      <c r="E4" s="659" t="s">
        <v>829</v>
      </c>
      <c r="F4" s="659"/>
      <c r="G4" s="659"/>
      <c r="H4" s="675" t="s">
        <v>830</v>
      </c>
      <c r="I4" s="659" t="s">
        <v>831</v>
      </c>
      <c r="J4" s="659"/>
      <c r="K4" s="659"/>
      <c r="L4" s="675" t="s">
        <v>830</v>
      </c>
      <c r="M4" s="660" t="s">
        <v>832</v>
      </c>
      <c r="N4" s="659"/>
      <c r="O4" s="659" t="s">
        <v>466</v>
      </c>
      <c r="P4" s="656" t="s">
        <v>418</v>
      </c>
      <c r="Q4" s="657"/>
      <c r="R4" s="657"/>
      <c r="S4" s="658"/>
      <c r="T4" s="659" t="s">
        <v>416</v>
      </c>
      <c r="U4" s="656" t="s">
        <v>418</v>
      </c>
      <c r="V4" s="657"/>
      <c r="W4" s="657"/>
      <c r="X4" s="658"/>
      <c r="Y4" s="659" t="s">
        <v>416</v>
      </c>
      <c r="Z4" s="656" t="s">
        <v>418</v>
      </c>
      <c r="AA4" s="657"/>
      <c r="AB4" s="657"/>
      <c r="AC4" s="658"/>
      <c r="AD4" s="659" t="s">
        <v>416</v>
      </c>
      <c r="AE4" s="656" t="s">
        <v>418</v>
      </c>
      <c r="AF4" s="657"/>
      <c r="AG4" s="657"/>
      <c r="AH4" s="658"/>
      <c r="AI4" s="659" t="s">
        <v>416</v>
      </c>
      <c r="AJ4" s="656" t="s">
        <v>418</v>
      </c>
      <c r="AK4" s="657"/>
      <c r="AL4" s="657"/>
      <c r="AM4" s="658"/>
      <c r="AN4" s="659" t="s">
        <v>416</v>
      </c>
      <c r="AO4" s="656" t="s">
        <v>418</v>
      </c>
      <c r="AP4" s="657"/>
      <c r="AQ4" s="657"/>
      <c r="AR4" s="658"/>
      <c r="AS4" s="659" t="s">
        <v>416</v>
      </c>
      <c r="AT4" s="656" t="s">
        <v>418</v>
      </c>
      <c r="AU4" s="657"/>
      <c r="AV4" s="657"/>
      <c r="AW4" s="658"/>
      <c r="AX4" s="659" t="s">
        <v>416</v>
      </c>
    </row>
    <row r="5" spans="1:54" ht="14.25">
      <c r="A5" s="81"/>
      <c r="B5" s="659"/>
      <c r="C5" s="659"/>
      <c r="D5" s="659"/>
      <c r="E5" s="659" t="s">
        <v>834</v>
      </c>
      <c r="F5" s="659"/>
      <c r="G5" s="659"/>
      <c r="H5" s="676"/>
      <c r="I5" s="659" t="s">
        <v>834</v>
      </c>
      <c r="J5" s="659"/>
      <c r="K5" s="659"/>
      <c r="L5" s="676"/>
      <c r="M5" s="661"/>
      <c r="N5" s="659"/>
      <c r="O5" s="659"/>
      <c r="P5" s="656" t="s">
        <v>821</v>
      </c>
      <c r="Q5" s="657"/>
      <c r="R5" s="657"/>
      <c r="S5" s="658"/>
      <c r="T5" s="659"/>
      <c r="U5" s="656" t="s">
        <v>821</v>
      </c>
      <c r="V5" s="657"/>
      <c r="W5" s="657"/>
      <c r="X5" s="658"/>
      <c r="Y5" s="659"/>
      <c r="Z5" s="656" t="s">
        <v>821</v>
      </c>
      <c r="AA5" s="657"/>
      <c r="AB5" s="657"/>
      <c r="AC5" s="658"/>
      <c r="AD5" s="659"/>
      <c r="AE5" s="656" t="s">
        <v>821</v>
      </c>
      <c r="AF5" s="657"/>
      <c r="AG5" s="657"/>
      <c r="AH5" s="658"/>
      <c r="AI5" s="659"/>
      <c r="AJ5" s="656" t="s">
        <v>821</v>
      </c>
      <c r="AK5" s="657"/>
      <c r="AL5" s="657"/>
      <c r="AM5" s="658"/>
      <c r="AN5" s="659"/>
      <c r="AO5" s="656" t="s">
        <v>821</v>
      </c>
      <c r="AP5" s="657"/>
      <c r="AQ5" s="657"/>
      <c r="AR5" s="658"/>
      <c r="AS5" s="659"/>
      <c r="AT5" s="656" t="s">
        <v>821</v>
      </c>
      <c r="AU5" s="657"/>
      <c r="AV5" s="657"/>
      <c r="AW5" s="658"/>
      <c r="AX5" s="659"/>
    </row>
    <row r="6" spans="1:54" ht="14.25">
      <c r="A6" s="79"/>
      <c r="B6" s="659"/>
      <c r="C6" s="659"/>
      <c r="D6" s="659"/>
      <c r="E6" s="514" t="s">
        <v>835</v>
      </c>
      <c r="F6" s="514" t="s">
        <v>836</v>
      </c>
      <c r="G6" s="514" t="s">
        <v>837</v>
      </c>
      <c r="H6" s="677"/>
      <c r="I6" s="514" t="s">
        <v>835</v>
      </c>
      <c r="J6" s="514" t="s">
        <v>836</v>
      </c>
      <c r="K6" s="514" t="s">
        <v>837</v>
      </c>
      <c r="L6" s="677"/>
      <c r="M6" s="662"/>
      <c r="N6" s="659"/>
      <c r="O6" s="659"/>
      <c r="P6" s="514" t="s">
        <v>425</v>
      </c>
      <c r="Q6" s="514" t="s">
        <v>823</v>
      </c>
      <c r="R6" s="514" t="s">
        <v>824</v>
      </c>
      <c r="S6" s="514" t="s">
        <v>417</v>
      </c>
      <c r="T6" s="659"/>
      <c r="U6" s="514" t="s">
        <v>425</v>
      </c>
      <c r="V6" s="514" t="s">
        <v>823</v>
      </c>
      <c r="W6" s="514" t="s">
        <v>824</v>
      </c>
      <c r="X6" s="514" t="s">
        <v>417</v>
      </c>
      <c r="Y6" s="659"/>
      <c r="Z6" s="514" t="s">
        <v>425</v>
      </c>
      <c r="AA6" s="514" t="s">
        <v>823</v>
      </c>
      <c r="AB6" s="514" t="s">
        <v>824</v>
      </c>
      <c r="AC6" s="514" t="s">
        <v>417</v>
      </c>
      <c r="AD6" s="659"/>
      <c r="AE6" s="514" t="s">
        <v>425</v>
      </c>
      <c r="AF6" s="514" t="s">
        <v>823</v>
      </c>
      <c r="AG6" s="514" t="s">
        <v>824</v>
      </c>
      <c r="AH6" s="514" t="s">
        <v>417</v>
      </c>
      <c r="AI6" s="659"/>
      <c r="AJ6" s="514" t="s">
        <v>425</v>
      </c>
      <c r="AK6" s="514" t="s">
        <v>823</v>
      </c>
      <c r="AL6" s="514" t="s">
        <v>824</v>
      </c>
      <c r="AM6" s="514" t="s">
        <v>417</v>
      </c>
      <c r="AN6" s="659"/>
      <c r="AO6" s="514" t="s">
        <v>425</v>
      </c>
      <c r="AP6" s="514" t="s">
        <v>823</v>
      </c>
      <c r="AQ6" s="514" t="s">
        <v>824</v>
      </c>
      <c r="AR6" s="514" t="s">
        <v>417</v>
      </c>
      <c r="AS6" s="659"/>
      <c r="AT6" s="514" t="s">
        <v>425</v>
      </c>
      <c r="AU6" s="514" t="s">
        <v>823</v>
      </c>
      <c r="AV6" s="514" t="s">
        <v>824</v>
      </c>
      <c r="AW6" s="514" t="s">
        <v>417</v>
      </c>
      <c r="AX6" s="659"/>
    </row>
    <row r="7" spans="1:54" ht="14.25">
      <c r="A7" s="81"/>
      <c r="B7" s="659" t="s">
        <v>136</v>
      </c>
      <c r="C7" s="515">
        <v>1</v>
      </c>
      <c r="D7" s="227" t="s">
        <v>383</v>
      </c>
      <c r="E7" s="182">
        <v>7</v>
      </c>
      <c r="F7" s="545">
        <v>1500</v>
      </c>
      <c r="G7" s="546">
        <v>214.3</v>
      </c>
      <c r="H7" s="703">
        <f>AVERAGE(G7:G21)</f>
        <v>488.12857142857149</v>
      </c>
      <c r="I7" s="518">
        <f>AVERAGE(P7,U7,Z7,AE7,AJ7,AO7,AT7)</f>
        <v>7</v>
      </c>
      <c r="J7" s="518">
        <f>AVERAGE(Q7,V7,AA7,AF7,AK7,AP7,AU7)</f>
        <v>1456.3739369680773</v>
      </c>
      <c r="K7" s="513">
        <f>AVERAGE(R7,W7,AB7,AG7,AL7,AQ7,AV7)</f>
        <v>208.05341956686817</v>
      </c>
      <c r="L7" s="703">
        <f>AVERAGE(K7:K21)</f>
        <v>173.33729823426933</v>
      </c>
      <c r="M7" s="517">
        <f>RANK(K7, K$7:$K$21)</f>
        <v>5</v>
      </c>
      <c r="N7" s="659"/>
      <c r="O7" s="659"/>
      <c r="P7" s="515">
        <v>7</v>
      </c>
      <c r="Q7" s="518">
        <v>1464.1666666666661</v>
      </c>
      <c r="R7" s="518">
        <v>209.16666666666657</v>
      </c>
      <c r="S7" s="515">
        <f>RANK(R7, R$7:R$21)</f>
        <v>4</v>
      </c>
      <c r="T7" s="706">
        <f>AVERAGE(R7:R21)</f>
        <v>173.73522285535583</v>
      </c>
      <c r="U7" s="573">
        <v>7</v>
      </c>
      <c r="V7" s="574">
        <v>1463.9999999999998</v>
      </c>
      <c r="W7" s="574">
        <v>209.14285714285711</v>
      </c>
      <c r="X7" s="515">
        <f>RANK(W7, W$7:W$21)</f>
        <v>3</v>
      </c>
      <c r="Y7" s="706">
        <f>AVERAGE(W7:W21)</f>
        <v>172.69212601576865</v>
      </c>
      <c r="Z7" s="573">
        <v>7</v>
      </c>
      <c r="AA7" s="574">
        <v>1453.714285714286</v>
      </c>
      <c r="AB7" s="574">
        <v>207.67346938775515</v>
      </c>
      <c r="AC7" s="515">
        <f>RANK(AB7, AB$7:AB$21)</f>
        <v>5</v>
      </c>
      <c r="AD7" s="706">
        <f>AVERAGE(AB7:AB21)</f>
        <v>173.10964897176294</v>
      </c>
      <c r="AE7" s="573">
        <v>7</v>
      </c>
      <c r="AF7" s="574">
        <v>1441.9354838709683</v>
      </c>
      <c r="AG7" s="574">
        <v>205.99078341013833</v>
      </c>
      <c r="AH7" s="515">
        <f>RANK(AG7, AG$7:AG$21)</f>
        <v>5</v>
      </c>
      <c r="AI7" s="706">
        <f>AVERAGE(AG7:AG21)</f>
        <v>173.9819072913352</v>
      </c>
      <c r="AJ7" s="573">
        <v>7</v>
      </c>
      <c r="AK7" s="574">
        <v>1447.6056338028172</v>
      </c>
      <c r="AL7" s="574">
        <v>206.8008048289739</v>
      </c>
      <c r="AM7" s="515">
        <f>RANK(AL7, AL$7:AL$21)</f>
        <v>5</v>
      </c>
      <c r="AN7" s="706">
        <f>AVERAGE(AL7:AL21)</f>
        <v>172.82360241296351</v>
      </c>
      <c r="AO7" s="573">
        <v>7</v>
      </c>
      <c r="AP7" s="574">
        <v>1457.1428571428576</v>
      </c>
      <c r="AQ7" s="574">
        <v>208.1632653061225</v>
      </c>
      <c r="AR7" s="515">
        <f>RANK(AQ7, AQ$7:AQ$21)</f>
        <v>2</v>
      </c>
      <c r="AS7" s="706">
        <f>AVERAGE(AQ7:AQ21)</f>
        <v>173.1690537053843</v>
      </c>
      <c r="AT7" s="573">
        <v>7</v>
      </c>
      <c r="AU7" s="574">
        <v>1466.0526315789471</v>
      </c>
      <c r="AV7" s="574">
        <v>209.43609022556387</v>
      </c>
      <c r="AW7" s="515">
        <f>RANK(AV7, AV$7:AV$21)</f>
        <v>3</v>
      </c>
      <c r="AX7" s="706">
        <f>AVERAGE(AV7:AV21)</f>
        <v>173.84952638731494</v>
      </c>
      <c r="AZ7" s="362" t="e">
        <f>RANK(AX7, $K$7:AX$21)</f>
        <v>#N/A</v>
      </c>
      <c r="BB7" s="359" t="e">
        <f>RANK(BA7, BA$7:BA$21)</f>
        <v>#N/A</v>
      </c>
    </row>
    <row r="8" spans="1:54" ht="15" customHeight="1">
      <c r="A8" s="81"/>
      <c r="B8" s="692"/>
      <c r="C8" s="515">
        <v>2</v>
      </c>
      <c r="D8" s="227" t="s">
        <v>384</v>
      </c>
      <c r="E8" s="182">
        <v>7</v>
      </c>
      <c r="F8" s="545">
        <v>1500</v>
      </c>
      <c r="G8" s="546">
        <v>214.3</v>
      </c>
      <c r="H8" s="704"/>
      <c r="I8" s="518">
        <f t="shared" ref="I8:I13" si="0">AVERAGE(P8,U8,Z8,AE8,AJ8,AO8,AT8)</f>
        <v>7</v>
      </c>
      <c r="J8" s="518">
        <f t="shared" ref="J8:J13" si="1">AVERAGE(Q8,V8,AA8,AF8,AK8,AP8,AU8)</f>
        <v>1463.3848501766622</v>
      </c>
      <c r="K8" s="513">
        <f t="shared" ref="K8:K13" si="2">AVERAGE(R8,W8,AB8,AG8,AL8,AQ8,AV8)</f>
        <v>209.05497859666599</v>
      </c>
      <c r="L8" s="704"/>
      <c r="M8" s="517">
        <f>RANK(K8, K$7:$K$21)</f>
        <v>3</v>
      </c>
      <c r="N8" s="659"/>
      <c r="O8" s="659"/>
      <c r="P8" s="515">
        <v>7</v>
      </c>
      <c r="Q8" s="518">
        <v>1457.4545454545453</v>
      </c>
      <c r="R8" s="518">
        <v>208.20779220779218</v>
      </c>
      <c r="S8" s="515">
        <f t="shared" ref="S8:S21" si="3">RANK(R8, R$7:R$21)</f>
        <v>5</v>
      </c>
      <c r="T8" s="706"/>
      <c r="U8" s="573">
        <v>7</v>
      </c>
      <c r="V8" s="574">
        <v>1448.1081081081081</v>
      </c>
      <c r="W8" s="574">
        <v>206.87258687258688</v>
      </c>
      <c r="X8" s="515">
        <f t="shared" ref="X8:X21" si="4">RANK(W8, W$7:W$21)</f>
        <v>4</v>
      </c>
      <c r="Y8" s="706"/>
      <c r="Z8" s="573">
        <v>7</v>
      </c>
      <c r="AA8" s="574">
        <v>1467.3214285714284</v>
      </c>
      <c r="AB8" s="574">
        <v>209.61734693877548</v>
      </c>
      <c r="AC8" s="515">
        <f t="shared" ref="AC8:AC21" si="5">RANK(AB8, AB$7:AB$21)</f>
        <v>4</v>
      </c>
      <c r="AD8" s="706"/>
      <c r="AE8" s="573">
        <v>7</v>
      </c>
      <c r="AF8" s="574">
        <v>1482.8571428571433</v>
      </c>
      <c r="AG8" s="574">
        <v>211.83673469387762</v>
      </c>
      <c r="AH8" s="515">
        <f t="shared" ref="AH8:AH21" si="6">RANK(AG8, AG$7:AG$21)</f>
        <v>2</v>
      </c>
      <c r="AI8" s="706"/>
      <c r="AJ8" s="573">
        <v>7</v>
      </c>
      <c r="AK8" s="574">
        <v>1469.7297297297298</v>
      </c>
      <c r="AL8" s="574">
        <v>209.96138996138998</v>
      </c>
      <c r="AM8" s="515">
        <f t="shared" ref="AM8:AM21" si="7">RANK(AL8, AL$7:AL$21)</f>
        <v>3</v>
      </c>
      <c r="AN8" s="706"/>
      <c r="AO8" s="573">
        <v>7</v>
      </c>
      <c r="AP8" s="574">
        <v>1445.3658536585363</v>
      </c>
      <c r="AQ8" s="574">
        <v>206.48083623693375</v>
      </c>
      <c r="AR8" s="515">
        <f t="shared" ref="AR8:AR21" si="8">RANK(AQ8, AQ$7:AQ$21)</f>
        <v>5</v>
      </c>
      <c r="AS8" s="706"/>
      <c r="AT8" s="573">
        <v>7</v>
      </c>
      <c r="AU8" s="574">
        <v>1472.8571428571424</v>
      </c>
      <c r="AV8" s="574">
        <v>210.40816326530606</v>
      </c>
      <c r="AW8" s="515">
        <f t="shared" ref="AW8:AW21" si="9">RANK(AV8, AV$7:AV$21)</f>
        <v>2</v>
      </c>
      <c r="AX8" s="706"/>
      <c r="AZ8" s="362" t="e">
        <f>RANK(AX8, $K$7:AX$21)</f>
        <v>#N/A</v>
      </c>
      <c r="BB8" s="359" t="e">
        <f t="shared" ref="BB8:BB21" si="10">RANK(BA8, BA$7:BA$21)</f>
        <v>#N/A</v>
      </c>
    </row>
    <row r="9" spans="1:54" ht="14.25">
      <c r="A9" s="81"/>
      <c r="B9" s="692"/>
      <c r="C9" s="515">
        <v>3</v>
      </c>
      <c r="D9" s="227" t="s">
        <v>349</v>
      </c>
      <c r="E9" s="182">
        <v>20</v>
      </c>
      <c r="F9" s="545">
        <v>1500</v>
      </c>
      <c r="G9" s="546">
        <v>75</v>
      </c>
      <c r="H9" s="704"/>
      <c r="I9" s="518">
        <f t="shared" si="0"/>
        <v>20</v>
      </c>
      <c r="J9" s="518">
        <f t="shared" si="1"/>
        <v>1335.419049434357</v>
      </c>
      <c r="K9" s="513">
        <f t="shared" si="2"/>
        <v>66.770952471717848</v>
      </c>
      <c r="L9" s="704"/>
      <c r="M9" s="517">
        <f>RANK(K9, K$7:$K$21)</f>
        <v>7</v>
      </c>
      <c r="N9" s="659"/>
      <c r="O9" s="659"/>
      <c r="P9" s="515">
        <v>20</v>
      </c>
      <c r="Q9" s="518">
        <v>1329.0439024390248</v>
      </c>
      <c r="R9" s="518">
        <v>66.452195121951235</v>
      </c>
      <c r="S9" s="515">
        <f t="shared" si="3"/>
        <v>7</v>
      </c>
      <c r="T9" s="706"/>
      <c r="U9" s="573">
        <v>20</v>
      </c>
      <c r="V9" s="574">
        <v>1329.7655172413795</v>
      </c>
      <c r="W9" s="574">
        <v>66.488275862068974</v>
      </c>
      <c r="X9" s="515">
        <f t="shared" si="4"/>
        <v>7</v>
      </c>
      <c r="Y9" s="706"/>
      <c r="Z9" s="573">
        <v>20</v>
      </c>
      <c r="AA9" s="574">
        <v>1328.9513513513514</v>
      </c>
      <c r="AB9" s="574">
        <v>66.447567567567575</v>
      </c>
      <c r="AC9" s="515">
        <f t="shared" si="5"/>
        <v>7</v>
      </c>
      <c r="AD9" s="706"/>
      <c r="AE9" s="573">
        <v>20</v>
      </c>
      <c r="AF9" s="574">
        <v>1351.2932038834958</v>
      </c>
      <c r="AG9" s="574">
        <v>67.564660194174792</v>
      </c>
      <c r="AH9" s="515">
        <f t="shared" si="6"/>
        <v>7</v>
      </c>
      <c r="AI9" s="706"/>
      <c r="AJ9" s="573">
        <v>20</v>
      </c>
      <c r="AK9" s="574">
        <v>1336.5405405405404</v>
      </c>
      <c r="AL9" s="574">
        <v>66.827027027027015</v>
      </c>
      <c r="AM9" s="515">
        <f t="shared" si="7"/>
        <v>7</v>
      </c>
      <c r="AN9" s="706"/>
      <c r="AO9" s="573">
        <v>20</v>
      </c>
      <c r="AP9" s="574">
        <v>1330.6344827586208</v>
      </c>
      <c r="AQ9" s="574">
        <v>66.531724137931036</v>
      </c>
      <c r="AR9" s="515">
        <f t="shared" si="8"/>
        <v>7</v>
      </c>
      <c r="AS9" s="706"/>
      <c r="AT9" s="573">
        <v>20</v>
      </c>
      <c r="AU9" s="574">
        <v>1341.7043478260871</v>
      </c>
      <c r="AV9" s="574">
        <v>67.085217391304354</v>
      </c>
      <c r="AW9" s="515">
        <f t="shared" si="9"/>
        <v>7</v>
      </c>
      <c r="AX9" s="706"/>
      <c r="AZ9" s="362" t="e">
        <f>RANK(AX9, $K$7:AX$21)</f>
        <v>#N/A</v>
      </c>
      <c r="BB9" s="359" t="e">
        <f t="shared" si="10"/>
        <v>#N/A</v>
      </c>
    </row>
    <row r="10" spans="1:54" ht="14.25">
      <c r="A10" s="81"/>
      <c r="B10" s="692"/>
      <c r="C10" s="515">
        <v>4</v>
      </c>
      <c r="D10" s="227" t="s">
        <v>385</v>
      </c>
      <c r="E10" s="182">
        <v>16</v>
      </c>
      <c r="F10" s="545">
        <v>1440</v>
      </c>
      <c r="G10" s="546">
        <v>84.7</v>
      </c>
      <c r="H10" s="704"/>
      <c r="I10" s="518">
        <f t="shared" si="0"/>
        <v>16</v>
      </c>
      <c r="J10" s="518">
        <f t="shared" si="1"/>
        <v>1395.8191101694076</v>
      </c>
      <c r="K10" s="513">
        <f t="shared" si="2"/>
        <v>87.238694385587976</v>
      </c>
      <c r="L10" s="704"/>
      <c r="M10" s="517">
        <f>RANK(K10, K$7:$K$21)</f>
        <v>6</v>
      </c>
      <c r="N10" s="659"/>
      <c r="O10" s="659"/>
      <c r="P10" s="515">
        <v>16</v>
      </c>
      <c r="Q10" s="518">
        <v>1388.5714285714284</v>
      </c>
      <c r="R10" s="518">
        <v>86.785714285714278</v>
      </c>
      <c r="S10" s="515">
        <f t="shared" si="3"/>
        <v>6</v>
      </c>
      <c r="T10" s="706"/>
      <c r="U10" s="573">
        <v>16</v>
      </c>
      <c r="V10" s="574">
        <v>1402.9213483146068</v>
      </c>
      <c r="W10" s="574">
        <v>87.682584269662925</v>
      </c>
      <c r="X10" s="515">
        <f t="shared" si="4"/>
        <v>6</v>
      </c>
      <c r="Y10" s="706"/>
      <c r="Z10" s="573">
        <v>16</v>
      </c>
      <c r="AA10" s="574">
        <v>1407.1428571428567</v>
      </c>
      <c r="AB10" s="574">
        <v>87.946428571428541</v>
      </c>
      <c r="AC10" s="515">
        <f t="shared" si="5"/>
        <v>6</v>
      </c>
      <c r="AD10" s="706"/>
      <c r="AE10" s="573">
        <v>16</v>
      </c>
      <c r="AF10" s="574">
        <v>1399.090909090909</v>
      </c>
      <c r="AG10" s="574">
        <v>87.443181818181813</v>
      </c>
      <c r="AH10" s="515">
        <f t="shared" si="6"/>
        <v>6</v>
      </c>
      <c r="AI10" s="706"/>
      <c r="AJ10" s="573">
        <v>16</v>
      </c>
      <c r="AK10" s="574">
        <v>1419.7402597402602</v>
      </c>
      <c r="AL10" s="574">
        <v>88.733766233766261</v>
      </c>
      <c r="AM10" s="515">
        <f t="shared" si="7"/>
        <v>6</v>
      </c>
      <c r="AN10" s="706"/>
      <c r="AO10" s="573">
        <v>16</v>
      </c>
      <c r="AP10" s="574">
        <v>1377.8823529411764</v>
      </c>
      <c r="AQ10" s="574">
        <v>86.117647058823522</v>
      </c>
      <c r="AR10" s="515">
        <f t="shared" si="8"/>
        <v>6</v>
      </c>
      <c r="AS10" s="706"/>
      <c r="AT10" s="573">
        <v>16</v>
      </c>
      <c r="AU10" s="574">
        <v>1375.3846153846155</v>
      </c>
      <c r="AV10" s="574">
        <v>85.961538461538467</v>
      </c>
      <c r="AW10" s="515">
        <f t="shared" si="9"/>
        <v>6</v>
      </c>
      <c r="AX10" s="706"/>
      <c r="AZ10" s="362" t="e">
        <f>RANK(AX10, $K$7:AX$21)</f>
        <v>#N/A</v>
      </c>
      <c r="BB10" s="359" t="e">
        <f t="shared" si="10"/>
        <v>#N/A</v>
      </c>
    </row>
    <row r="11" spans="1:54" ht="14.25">
      <c r="A11" s="81"/>
      <c r="B11" s="692"/>
      <c r="C11" s="515">
        <v>5</v>
      </c>
      <c r="D11" s="227" t="s">
        <v>458</v>
      </c>
      <c r="E11" s="182">
        <v>7</v>
      </c>
      <c r="F11" s="545">
        <v>1500</v>
      </c>
      <c r="G11" s="546">
        <v>214.3</v>
      </c>
      <c r="H11" s="704"/>
      <c r="I11" s="518">
        <f t="shared" si="0"/>
        <v>7</v>
      </c>
      <c r="J11" s="518">
        <f t="shared" si="1"/>
        <v>1460.7200413856517</v>
      </c>
      <c r="K11" s="513">
        <f t="shared" si="2"/>
        <v>208.67429162652164</v>
      </c>
      <c r="L11" s="704"/>
      <c r="M11" s="517">
        <f>RANK(K11, K$7:$K$21)</f>
        <v>4</v>
      </c>
      <c r="N11" s="659"/>
      <c r="O11" s="659"/>
      <c r="P11" s="515">
        <v>7</v>
      </c>
      <c r="Q11" s="518">
        <v>1466.5486725663711</v>
      </c>
      <c r="R11" s="518">
        <v>209.50695322376731</v>
      </c>
      <c r="S11" s="515">
        <f t="shared" si="3"/>
        <v>3</v>
      </c>
      <c r="T11" s="706"/>
      <c r="U11" s="573">
        <v>7</v>
      </c>
      <c r="V11" s="574">
        <v>1447.9591836734696</v>
      </c>
      <c r="W11" s="574">
        <v>206.85131195335279</v>
      </c>
      <c r="X11" s="515">
        <f t="shared" si="4"/>
        <v>5</v>
      </c>
      <c r="Y11" s="706"/>
      <c r="Z11" s="573">
        <v>7</v>
      </c>
      <c r="AA11" s="574">
        <v>1469.0909090909095</v>
      </c>
      <c r="AB11" s="574">
        <v>209.87012987012992</v>
      </c>
      <c r="AC11" s="515">
        <f t="shared" si="5"/>
        <v>3</v>
      </c>
      <c r="AD11" s="706"/>
      <c r="AE11" s="573">
        <v>7</v>
      </c>
      <c r="AF11" s="574">
        <v>1450.9677419354834</v>
      </c>
      <c r="AG11" s="574">
        <v>207.28110599078335</v>
      </c>
      <c r="AH11" s="515">
        <f t="shared" si="6"/>
        <v>4</v>
      </c>
      <c r="AI11" s="706"/>
      <c r="AJ11" s="573">
        <v>7</v>
      </c>
      <c r="AK11" s="574">
        <v>1477.3469387755106</v>
      </c>
      <c r="AL11" s="574">
        <v>211.04956268221579</v>
      </c>
      <c r="AM11" s="515">
        <f t="shared" si="7"/>
        <v>2</v>
      </c>
      <c r="AN11" s="706"/>
      <c r="AO11" s="573">
        <v>7</v>
      </c>
      <c r="AP11" s="574">
        <v>1456.4601769911503</v>
      </c>
      <c r="AQ11" s="574">
        <v>208.06573957016434</v>
      </c>
      <c r="AR11" s="515">
        <f t="shared" si="8"/>
        <v>3</v>
      </c>
      <c r="AS11" s="706"/>
      <c r="AT11" s="573">
        <v>7</v>
      </c>
      <c r="AU11" s="574">
        <v>1456.6666666666672</v>
      </c>
      <c r="AV11" s="574">
        <v>208.09523809523816</v>
      </c>
      <c r="AW11" s="515">
        <f t="shared" si="9"/>
        <v>4</v>
      </c>
      <c r="AX11" s="706"/>
      <c r="AZ11" s="362" t="e">
        <f>RANK(AX11, $K$7:AX$21)</f>
        <v>#N/A</v>
      </c>
      <c r="BB11" s="359" t="e">
        <f t="shared" si="10"/>
        <v>#N/A</v>
      </c>
    </row>
    <row r="12" spans="1:54" ht="14.25">
      <c r="A12" s="81"/>
      <c r="B12" s="692"/>
      <c r="C12" s="515">
        <v>6</v>
      </c>
      <c r="D12" s="227" t="s">
        <v>910</v>
      </c>
      <c r="E12" s="182">
        <v>6</v>
      </c>
      <c r="F12" s="545">
        <v>1636</v>
      </c>
      <c r="G12" s="546">
        <v>2400</v>
      </c>
      <c r="H12" s="704"/>
      <c r="I12" s="518">
        <f t="shared" si="0"/>
        <v>6</v>
      </c>
      <c r="J12" s="518">
        <f t="shared" si="1"/>
        <v>1346.8072755417941</v>
      </c>
      <c r="K12" s="513">
        <f t="shared" si="2"/>
        <v>224.46787925696566</v>
      </c>
      <c r="L12" s="704"/>
      <c r="M12" s="517">
        <f>RANK(K12, K$7:$K$21)</f>
        <v>1</v>
      </c>
      <c r="N12" s="659"/>
      <c r="O12" s="659"/>
      <c r="P12" s="515">
        <v>6</v>
      </c>
      <c r="Q12" s="518">
        <v>1358.823529411763</v>
      </c>
      <c r="R12" s="518">
        <v>226.47058823529383</v>
      </c>
      <c r="S12" s="515">
        <f t="shared" si="3"/>
        <v>1</v>
      </c>
      <c r="T12" s="706"/>
      <c r="U12" s="573">
        <v>6</v>
      </c>
      <c r="V12" s="574">
        <v>1323.7499999999982</v>
      </c>
      <c r="W12" s="574">
        <v>220.62499999999969</v>
      </c>
      <c r="X12" s="515">
        <f t="shared" si="4"/>
        <v>1</v>
      </c>
      <c r="Y12" s="706"/>
      <c r="Z12" s="573">
        <v>6</v>
      </c>
      <c r="AA12" s="574">
        <v>1316.842105263157</v>
      </c>
      <c r="AB12" s="574">
        <v>219.47368421052616</v>
      </c>
      <c r="AC12" s="515">
        <f t="shared" si="5"/>
        <v>1</v>
      </c>
      <c r="AD12" s="706"/>
      <c r="AE12" s="573">
        <v>6</v>
      </c>
      <c r="AF12" s="574">
        <v>1376.4705882352923</v>
      </c>
      <c r="AG12" s="574">
        <v>229.41176470588206</v>
      </c>
      <c r="AH12" s="515">
        <f t="shared" si="6"/>
        <v>1</v>
      </c>
      <c r="AI12" s="706"/>
      <c r="AJ12" s="573">
        <v>6</v>
      </c>
      <c r="AK12" s="574">
        <v>1298.823529411763</v>
      </c>
      <c r="AL12" s="574">
        <v>216.47058823529383</v>
      </c>
      <c r="AM12" s="515">
        <f t="shared" si="7"/>
        <v>1</v>
      </c>
      <c r="AN12" s="706"/>
      <c r="AO12" s="573">
        <v>6</v>
      </c>
      <c r="AP12" s="574">
        <v>1376.4705882352923</v>
      </c>
      <c r="AQ12" s="574">
        <v>229.41176470588206</v>
      </c>
      <c r="AR12" s="515">
        <f t="shared" si="8"/>
        <v>1</v>
      </c>
      <c r="AS12" s="706"/>
      <c r="AT12" s="573">
        <v>6</v>
      </c>
      <c r="AU12" s="574">
        <v>1376.4705882352923</v>
      </c>
      <c r="AV12" s="574">
        <v>229.41176470588206</v>
      </c>
      <c r="AW12" s="515">
        <f t="shared" si="9"/>
        <v>1</v>
      </c>
      <c r="AX12" s="706"/>
      <c r="AZ12" s="362" t="e">
        <f>RANK(AX12, $K$7:AX$21)</f>
        <v>#N/A</v>
      </c>
      <c r="BB12" s="359" t="e">
        <f t="shared" si="10"/>
        <v>#N/A</v>
      </c>
    </row>
    <row r="13" spans="1:54" ht="14.25">
      <c r="A13" s="81"/>
      <c r="B13" s="692"/>
      <c r="C13" s="515">
        <v>7</v>
      </c>
      <c r="D13" s="227" t="s">
        <v>915</v>
      </c>
      <c r="E13" s="182">
        <v>7</v>
      </c>
      <c r="F13" s="545">
        <v>1500</v>
      </c>
      <c r="G13" s="546">
        <v>214.3</v>
      </c>
      <c r="H13" s="704"/>
      <c r="I13" s="518">
        <f t="shared" si="0"/>
        <v>7</v>
      </c>
      <c r="J13" s="518">
        <f t="shared" si="1"/>
        <v>1463.7061021489062</v>
      </c>
      <c r="K13" s="513">
        <f t="shared" si="2"/>
        <v>209.10087173555803</v>
      </c>
      <c r="L13" s="704"/>
      <c r="M13" s="517">
        <f>RANK(K13, K$7:$K$21)</f>
        <v>2</v>
      </c>
      <c r="N13" s="659"/>
      <c r="O13" s="659"/>
      <c r="P13" s="515">
        <v>7</v>
      </c>
      <c r="Q13" s="518">
        <v>1466.8965517241381</v>
      </c>
      <c r="R13" s="518">
        <v>209.55665024630545</v>
      </c>
      <c r="S13" s="515">
        <f t="shared" si="3"/>
        <v>2</v>
      </c>
      <c r="T13" s="706"/>
      <c r="U13" s="573">
        <v>7</v>
      </c>
      <c r="V13" s="574">
        <v>1478.2758620689656</v>
      </c>
      <c r="W13" s="574">
        <v>211.18226600985221</v>
      </c>
      <c r="X13" s="515">
        <f t="shared" si="4"/>
        <v>2</v>
      </c>
      <c r="Y13" s="706"/>
      <c r="Z13" s="573">
        <v>7</v>
      </c>
      <c r="AA13" s="574">
        <v>1475.1724137931035</v>
      </c>
      <c r="AB13" s="574">
        <v>210.73891625615764</v>
      </c>
      <c r="AC13" s="515">
        <f t="shared" si="5"/>
        <v>2</v>
      </c>
      <c r="AD13" s="706"/>
      <c r="AE13" s="573">
        <v>7</v>
      </c>
      <c r="AF13" s="574">
        <v>1458.4158415841591</v>
      </c>
      <c r="AG13" s="574">
        <v>208.34512022630844</v>
      </c>
      <c r="AH13" s="515">
        <f t="shared" si="6"/>
        <v>3</v>
      </c>
      <c r="AI13" s="706"/>
      <c r="AJ13" s="573">
        <v>7</v>
      </c>
      <c r="AK13" s="574">
        <v>1469.4545454545453</v>
      </c>
      <c r="AL13" s="574">
        <v>209.9220779220779</v>
      </c>
      <c r="AM13" s="515">
        <f t="shared" si="7"/>
        <v>4</v>
      </c>
      <c r="AN13" s="706"/>
      <c r="AO13" s="573">
        <v>7</v>
      </c>
      <c r="AP13" s="574">
        <v>1451.8867924528297</v>
      </c>
      <c r="AQ13" s="574">
        <v>207.41239892183282</v>
      </c>
      <c r="AR13" s="515">
        <f t="shared" si="8"/>
        <v>4</v>
      </c>
      <c r="AS13" s="706"/>
      <c r="AT13" s="573">
        <v>7</v>
      </c>
      <c r="AU13" s="574">
        <v>1445.8407079646017</v>
      </c>
      <c r="AV13" s="574">
        <v>206.54867256637166</v>
      </c>
      <c r="AW13" s="515">
        <f t="shared" si="9"/>
        <v>5</v>
      </c>
      <c r="AX13" s="706"/>
      <c r="AZ13" s="362" t="e">
        <f>RANK(AX13, $K$7:AX$21)</f>
        <v>#N/A</v>
      </c>
      <c r="BB13" s="359" t="e">
        <f t="shared" si="10"/>
        <v>#N/A</v>
      </c>
    </row>
    <row r="14" spans="1:54" ht="14.25">
      <c r="A14" s="81"/>
      <c r="B14" s="692"/>
      <c r="C14" s="515">
        <v>8</v>
      </c>
      <c r="D14" s="352"/>
      <c r="E14" s="518"/>
      <c r="F14" s="518"/>
      <c r="G14" s="518"/>
      <c r="H14" s="704"/>
      <c r="I14" s="518"/>
      <c r="J14" s="518"/>
      <c r="K14" s="513"/>
      <c r="L14" s="704"/>
      <c r="M14" s="517" t="e">
        <f>RANK(K14, K$7:$K$21)</f>
        <v>#N/A</v>
      </c>
      <c r="N14" s="659"/>
      <c r="O14" s="659"/>
      <c r="P14" s="515"/>
      <c r="Q14" s="518"/>
      <c r="R14" s="518"/>
      <c r="S14" s="515" t="e">
        <f t="shared" si="3"/>
        <v>#N/A</v>
      </c>
      <c r="T14" s="706"/>
      <c r="U14" s="573"/>
      <c r="V14" s="574"/>
      <c r="W14" s="574"/>
      <c r="X14" s="515" t="e">
        <f t="shared" si="4"/>
        <v>#N/A</v>
      </c>
      <c r="Y14" s="706"/>
      <c r="Z14" s="573"/>
      <c r="AA14" s="574"/>
      <c r="AB14" s="574"/>
      <c r="AC14" s="515" t="e">
        <f t="shared" si="5"/>
        <v>#N/A</v>
      </c>
      <c r="AD14" s="706"/>
      <c r="AE14" s="573"/>
      <c r="AF14" s="574"/>
      <c r="AG14" s="574"/>
      <c r="AH14" s="515" t="e">
        <f t="shared" si="6"/>
        <v>#N/A</v>
      </c>
      <c r="AI14" s="706"/>
      <c r="AJ14" s="573"/>
      <c r="AK14" s="574"/>
      <c r="AL14" s="574"/>
      <c r="AM14" s="515" t="e">
        <f t="shared" si="7"/>
        <v>#N/A</v>
      </c>
      <c r="AN14" s="706"/>
      <c r="AO14" s="573"/>
      <c r="AP14" s="574"/>
      <c r="AQ14" s="574"/>
      <c r="AR14" s="515" t="e">
        <f t="shared" si="8"/>
        <v>#N/A</v>
      </c>
      <c r="AS14" s="706"/>
      <c r="AT14" s="573"/>
      <c r="AU14" s="574"/>
      <c r="AV14" s="574"/>
      <c r="AW14" s="515" t="e">
        <f t="shared" si="9"/>
        <v>#N/A</v>
      </c>
      <c r="AX14" s="706"/>
      <c r="AZ14" s="362" t="e">
        <f>RANK(AX14, $K$7:AX$21)</f>
        <v>#N/A</v>
      </c>
      <c r="BB14" s="359" t="e">
        <f t="shared" si="10"/>
        <v>#N/A</v>
      </c>
    </row>
    <row r="15" spans="1:54" ht="14.25">
      <c r="A15" s="81"/>
      <c r="B15" s="692"/>
      <c r="C15" s="515">
        <v>9</v>
      </c>
      <c r="D15" s="498"/>
      <c r="E15" s="518"/>
      <c r="F15" s="518"/>
      <c r="G15" s="518"/>
      <c r="H15" s="704"/>
      <c r="I15" s="518"/>
      <c r="J15" s="518"/>
      <c r="K15" s="513"/>
      <c r="L15" s="704"/>
      <c r="M15" s="517" t="e">
        <f>RANK(K15, K$7:$K$21)</f>
        <v>#N/A</v>
      </c>
      <c r="N15" s="659"/>
      <c r="O15" s="659"/>
      <c r="P15" s="515"/>
      <c r="Q15" s="518"/>
      <c r="R15" s="518"/>
      <c r="S15" s="515" t="e">
        <f t="shared" si="3"/>
        <v>#N/A</v>
      </c>
      <c r="T15" s="706"/>
      <c r="U15" s="573"/>
      <c r="V15" s="574"/>
      <c r="W15" s="574"/>
      <c r="X15" s="515" t="e">
        <f t="shared" si="4"/>
        <v>#N/A</v>
      </c>
      <c r="Y15" s="706"/>
      <c r="Z15" s="573"/>
      <c r="AA15" s="574"/>
      <c r="AB15" s="574"/>
      <c r="AC15" s="515" t="e">
        <f t="shared" si="5"/>
        <v>#N/A</v>
      </c>
      <c r="AD15" s="706"/>
      <c r="AE15" s="573"/>
      <c r="AF15" s="574"/>
      <c r="AG15" s="574"/>
      <c r="AH15" s="515" t="e">
        <f t="shared" si="6"/>
        <v>#N/A</v>
      </c>
      <c r="AI15" s="706"/>
      <c r="AJ15" s="573"/>
      <c r="AK15" s="574"/>
      <c r="AL15" s="574"/>
      <c r="AM15" s="515" t="e">
        <f t="shared" si="7"/>
        <v>#N/A</v>
      </c>
      <c r="AN15" s="706"/>
      <c r="AO15" s="573"/>
      <c r="AP15" s="574"/>
      <c r="AQ15" s="574"/>
      <c r="AR15" s="515" t="e">
        <f t="shared" si="8"/>
        <v>#N/A</v>
      </c>
      <c r="AS15" s="706"/>
      <c r="AT15" s="573"/>
      <c r="AU15" s="574"/>
      <c r="AV15" s="574"/>
      <c r="AW15" s="515" t="e">
        <f t="shared" si="9"/>
        <v>#N/A</v>
      </c>
      <c r="AX15" s="706"/>
      <c r="AZ15" s="362" t="e">
        <f>RANK(AX15, $K$7:AX$21)</f>
        <v>#N/A</v>
      </c>
      <c r="BB15" s="359" t="e">
        <f t="shared" si="10"/>
        <v>#N/A</v>
      </c>
    </row>
    <row r="16" spans="1:54" ht="14.25">
      <c r="A16" s="81"/>
      <c r="B16" s="692"/>
      <c r="C16" s="515">
        <v>10</v>
      </c>
      <c r="D16" s="498"/>
      <c r="E16" s="518"/>
      <c r="F16" s="518"/>
      <c r="G16" s="518"/>
      <c r="H16" s="704"/>
      <c r="I16" s="518"/>
      <c r="J16" s="518"/>
      <c r="K16" s="513"/>
      <c r="L16" s="704"/>
      <c r="M16" s="517" t="e">
        <f>RANK(K16, K$7:$K$21)</f>
        <v>#N/A</v>
      </c>
      <c r="N16" s="659"/>
      <c r="O16" s="659"/>
      <c r="P16" s="515"/>
      <c r="Q16" s="518"/>
      <c r="R16" s="518"/>
      <c r="S16" s="515" t="e">
        <f t="shared" si="3"/>
        <v>#N/A</v>
      </c>
      <c r="T16" s="706"/>
      <c r="U16" s="573"/>
      <c r="V16" s="574"/>
      <c r="W16" s="574"/>
      <c r="X16" s="515" t="e">
        <f t="shared" si="4"/>
        <v>#N/A</v>
      </c>
      <c r="Y16" s="706"/>
      <c r="Z16" s="573"/>
      <c r="AA16" s="574"/>
      <c r="AB16" s="574"/>
      <c r="AC16" s="515" t="e">
        <f t="shared" si="5"/>
        <v>#N/A</v>
      </c>
      <c r="AD16" s="706"/>
      <c r="AE16" s="573"/>
      <c r="AF16" s="574"/>
      <c r="AG16" s="574"/>
      <c r="AH16" s="515" t="e">
        <f t="shared" si="6"/>
        <v>#N/A</v>
      </c>
      <c r="AI16" s="706"/>
      <c r="AJ16" s="573"/>
      <c r="AK16" s="574"/>
      <c r="AL16" s="574"/>
      <c r="AM16" s="515" t="e">
        <f t="shared" si="7"/>
        <v>#N/A</v>
      </c>
      <c r="AN16" s="706"/>
      <c r="AO16" s="573"/>
      <c r="AP16" s="574"/>
      <c r="AQ16" s="574"/>
      <c r="AR16" s="515" t="e">
        <f t="shared" si="8"/>
        <v>#N/A</v>
      </c>
      <c r="AS16" s="706"/>
      <c r="AT16" s="573"/>
      <c r="AU16" s="574"/>
      <c r="AV16" s="574"/>
      <c r="AW16" s="515" t="e">
        <f t="shared" si="9"/>
        <v>#N/A</v>
      </c>
      <c r="AX16" s="706"/>
      <c r="AZ16" s="362" t="e">
        <f>RANK(AX16, $K$7:AX$21)</f>
        <v>#N/A</v>
      </c>
      <c r="BB16" s="359" t="e">
        <f t="shared" si="10"/>
        <v>#N/A</v>
      </c>
    </row>
    <row r="17" spans="2:54">
      <c r="B17" s="692"/>
      <c r="C17" s="515">
        <v>11</v>
      </c>
      <c r="D17" s="498"/>
      <c r="E17" s="518"/>
      <c r="F17" s="518"/>
      <c r="G17" s="518"/>
      <c r="H17" s="704"/>
      <c r="I17" s="515"/>
      <c r="J17" s="515"/>
      <c r="K17" s="515"/>
      <c r="L17" s="704"/>
      <c r="M17" s="517" t="e">
        <f>RANK(K17, K$7:$K$21)</f>
        <v>#N/A</v>
      </c>
      <c r="N17" s="659"/>
      <c r="O17" s="659"/>
      <c r="P17" s="515"/>
      <c r="Q17" s="518"/>
      <c r="R17" s="518"/>
      <c r="S17" s="515" t="e">
        <f t="shared" si="3"/>
        <v>#N/A</v>
      </c>
      <c r="T17" s="706"/>
      <c r="U17" s="573"/>
      <c r="V17" s="574"/>
      <c r="W17" s="574"/>
      <c r="X17" s="515" t="e">
        <f t="shared" si="4"/>
        <v>#N/A</v>
      </c>
      <c r="Y17" s="706"/>
      <c r="Z17" s="573"/>
      <c r="AA17" s="574"/>
      <c r="AB17" s="574"/>
      <c r="AC17" s="515" t="e">
        <f t="shared" si="5"/>
        <v>#N/A</v>
      </c>
      <c r="AD17" s="706"/>
      <c r="AE17" s="573"/>
      <c r="AF17" s="574"/>
      <c r="AG17" s="574"/>
      <c r="AH17" s="515" t="e">
        <f t="shared" si="6"/>
        <v>#N/A</v>
      </c>
      <c r="AI17" s="706"/>
      <c r="AJ17" s="573"/>
      <c r="AK17" s="574"/>
      <c r="AL17" s="574"/>
      <c r="AM17" s="515" t="e">
        <f t="shared" si="7"/>
        <v>#N/A</v>
      </c>
      <c r="AN17" s="706"/>
      <c r="AO17" s="573"/>
      <c r="AP17" s="574"/>
      <c r="AQ17" s="574"/>
      <c r="AR17" s="515" t="e">
        <f t="shared" si="8"/>
        <v>#N/A</v>
      </c>
      <c r="AS17" s="706"/>
      <c r="AT17" s="573"/>
      <c r="AU17" s="574"/>
      <c r="AV17" s="574"/>
      <c r="AW17" s="515" t="e">
        <f t="shared" si="9"/>
        <v>#N/A</v>
      </c>
      <c r="AX17" s="706"/>
      <c r="AZ17" s="362" t="e">
        <f>RANK(AX17, $K$7:AX$21)</f>
        <v>#N/A</v>
      </c>
      <c r="BB17" s="359" t="e">
        <f t="shared" si="10"/>
        <v>#N/A</v>
      </c>
    </row>
    <row r="18" spans="2:54">
      <c r="B18" s="692"/>
      <c r="C18" s="515">
        <v>12</v>
      </c>
      <c r="D18" s="498"/>
      <c r="E18" s="518"/>
      <c r="F18" s="518"/>
      <c r="G18" s="518"/>
      <c r="H18" s="704"/>
      <c r="I18" s="515"/>
      <c r="J18" s="515"/>
      <c r="K18" s="515"/>
      <c r="L18" s="704"/>
      <c r="M18" s="517" t="e">
        <f>RANK(K18, K$7:$K$21)</f>
        <v>#N/A</v>
      </c>
      <c r="N18" s="659"/>
      <c r="O18" s="659"/>
      <c r="P18" s="515"/>
      <c r="Q18" s="518"/>
      <c r="R18" s="518"/>
      <c r="S18" s="515" t="e">
        <f t="shared" si="3"/>
        <v>#N/A</v>
      </c>
      <c r="T18" s="706"/>
      <c r="U18" s="573"/>
      <c r="V18" s="574"/>
      <c r="W18" s="574"/>
      <c r="X18" s="515" t="e">
        <f t="shared" si="4"/>
        <v>#N/A</v>
      </c>
      <c r="Y18" s="706"/>
      <c r="Z18" s="573"/>
      <c r="AA18" s="574"/>
      <c r="AB18" s="574"/>
      <c r="AC18" s="515" t="e">
        <f t="shared" si="5"/>
        <v>#N/A</v>
      </c>
      <c r="AD18" s="706"/>
      <c r="AE18" s="573"/>
      <c r="AF18" s="574"/>
      <c r="AG18" s="574"/>
      <c r="AH18" s="515" t="e">
        <f t="shared" si="6"/>
        <v>#N/A</v>
      </c>
      <c r="AI18" s="706"/>
      <c r="AJ18" s="573"/>
      <c r="AK18" s="574"/>
      <c r="AL18" s="574"/>
      <c r="AM18" s="515" t="e">
        <f t="shared" si="7"/>
        <v>#N/A</v>
      </c>
      <c r="AN18" s="706"/>
      <c r="AO18" s="573"/>
      <c r="AP18" s="574"/>
      <c r="AQ18" s="574"/>
      <c r="AR18" s="515" t="e">
        <f t="shared" si="8"/>
        <v>#N/A</v>
      </c>
      <c r="AS18" s="706"/>
      <c r="AT18" s="573"/>
      <c r="AU18" s="574"/>
      <c r="AV18" s="574"/>
      <c r="AW18" s="515" t="e">
        <f t="shared" si="9"/>
        <v>#N/A</v>
      </c>
      <c r="AX18" s="706"/>
      <c r="AZ18" s="362" t="e">
        <f>RANK(AX18, $K$7:AX$21)</f>
        <v>#N/A</v>
      </c>
      <c r="BB18" s="359" t="e">
        <f t="shared" si="10"/>
        <v>#N/A</v>
      </c>
    </row>
    <row r="19" spans="2:54">
      <c r="B19" s="692"/>
      <c r="C19" s="515">
        <v>13</v>
      </c>
      <c r="D19" s="498"/>
      <c r="E19" s="518"/>
      <c r="F19" s="518"/>
      <c r="G19" s="518"/>
      <c r="H19" s="704"/>
      <c r="I19" s="515"/>
      <c r="J19" s="515"/>
      <c r="K19" s="515"/>
      <c r="L19" s="704"/>
      <c r="M19" s="517" t="e">
        <f>RANK(K19, K$7:$K$21)</f>
        <v>#N/A</v>
      </c>
      <c r="N19" s="659"/>
      <c r="O19" s="659"/>
      <c r="P19" s="515"/>
      <c r="Q19" s="518"/>
      <c r="R19" s="518"/>
      <c r="S19" s="515" t="e">
        <f t="shared" si="3"/>
        <v>#N/A</v>
      </c>
      <c r="T19" s="706"/>
      <c r="U19" s="573"/>
      <c r="V19" s="574"/>
      <c r="W19" s="574"/>
      <c r="X19" s="515" t="e">
        <f t="shared" si="4"/>
        <v>#N/A</v>
      </c>
      <c r="Y19" s="706"/>
      <c r="Z19" s="573"/>
      <c r="AA19" s="574"/>
      <c r="AB19" s="574"/>
      <c r="AC19" s="515" t="e">
        <f t="shared" si="5"/>
        <v>#N/A</v>
      </c>
      <c r="AD19" s="706"/>
      <c r="AE19" s="573"/>
      <c r="AF19" s="574"/>
      <c r="AG19" s="574"/>
      <c r="AH19" s="515" t="e">
        <f t="shared" si="6"/>
        <v>#N/A</v>
      </c>
      <c r="AI19" s="706"/>
      <c r="AJ19" s="573"/>
      <c r="AK19" s="574"/>
      <c r="AL19" s="574"/>
      <c r="AM19" s="515" t="e">
        <f t="shared" si="7"/>
        <v>#N/A</v>
      </c>
      <c r="AN19" s="706"/>
      <c r="AO19" s="573"/>
      <c r="AP19" s="574"/>
      <c r="AQ19" s="574"/>
      <c r="AR19" s="515" t="e">
        <f t="shared" si="8"/>
        <v>#N/A</v>
      </c>
      <c r="AS19" s="706"/>
      <c r="AT19" s="573"/>
      <c r="AU19" s="574"/>
      <c r="AV19" s="574"/>
      <c r="AW19" s="515" t="e">
        <f t="shared" si="9"/>
        <v>#N/A</v>
      </c>
      <c r="AX19" s="706"/>
      <c r="AZ19" s="362" t="e">
        <f>RANK(AX19, $K$7:AX$21)</f>
        <v>#N/A</v>
      </c>
      <c r="BB19" s="359" t="e">
        <f t="shared" si="10"/>
        <v>#N/A</v>
      </c>
    </row>
    <row r="20" spans="2:54">
      <c r="B20" s="692"/>
      <c r="C20" s="515">
        <v>14</v>
      </c>
      <c r="D20" s="498"/>
      <c r="E20" s="518"/>
      <c r="F20" s="518"/>
      <c r="G20" s="518"/>
      <c r="H20" s="704"/>
      <c r="I20" s="515"/>
      <c r="J20" s="515"/>
      <c r="K20" s="515"/>
      <c r="L20" s="704"/>
      <c r="M20" s="517" t="e">
        <f>RANK(K20, K$7:$K$21)</f>
        <v>#N/A</v>
      </c>
      <c r="N20" s="659"/>
      <c r="O20" s="659"/>
      <c r="P20" s="515"/>
      <c r="Q20" s="518"/>
      <c r="R20" s="518"/>
      <c r="S20" s="515" t="e">
        <f t="shared" si="3"/>
        <v>#N/A</v>
      </c>
      <c r="T20" s="706"/>
      <c r="U20" s="573"/>
      <c r="V20" s="574"/>
      <c r="W20" s="574"/>
      <c r="X20" s="515" t="e">
        <f t="shared" si="4"/>
        <v>#N/A</v>
      </c>
      <c r="Y20" s="706"/>
      <c r="Z20" s="573"/>
      <c r="AA20" s="574"/>
      <c r="AB20" s="574"/>
      <c r="AC20" s="515" t="e">
        <f t="shared" si="5"/>
        <v>#N/A</v>
      </c>
      <c r="AD20" s="706"/>
      <c r="AE20" s="573"/>
      <c r="AF20" s="574"/>
      <c r="AG20" s="574"/>
      <c r="AH20" s="515" t="e">
        <f t="shared" si="6"/>
        <v>#N/A</v>
      </c>
      <c r="AI20" s="706"/>
      <c r="AJ20" s="573"/>
      <c r="AK20" s="574"/>
      <c r="AL20" s="574"/>
      <c r="AM20" s="515" t="e">
        <f t="shared" si="7"/>
        <v>#N/A</v>
      </c>
      <c r="AN20" s="706"/>
      <c r="AO20" s="573"/>
      <c r="AP20" s="574"/>
      <c r="AQ20" s="574"/>
      <c r="AR20" s="515" t="e">
        <f t="shared" si="8"/>
        <v>#N/A</v>
      </c>
      <c r="AS20" s="706"/>
      <c r="AT20" s="573"/>
      <c r="AU20" s="574"/>
      <c r="AV20" s="574"/>
      <c r="AW20" s="515" t="e">
        <f t="shared" si="9"/>
        <v>#N/A</v>
      </c>
      <c r="AX20" s="706"/>
      <c r="AZ20" s="362" t="e">
        <f>RANK(AX20, $K$7:AX$21)</f>
        <v>#N/A</v>
      </c>
      <c r="BB20" s="359" t="e">
        <f t="shared" si="10"/>
        <v>#N/A</v>
      </c>
    </row>
    <row r="21" spans="2:54">
      <c r="B21" s="692"/>
      <c r="C21" s="515">
        <v>15</v>
      </c>
      <c r="D21" s="498"/>
      <c r="E21" s="518"/>
      <c r="F21" s="518"/>
      <c r="G21" s="518"/>
      <c r="H21" s="714"/>
      <c r="I21" s="515"/>
      <c r="J21" s="515"/>
      <c r="K21" s="515"/>
      <c r="L21" s="714"/>
      <c r="M21" s="517" t="e">
        <f>RANK(K21, K$7:$K$21)</f>
        <v>#N/A</v>
      </c>
      <c r="N21" s="659"/>
      <c r="O21" s="659"/>
      <c r="P21" s="515"/>
      <c r="Q21" s="518"/>
      <c r="R21" s="518"/>
      <c r="S21" s="515" t="e">
        <f t="shared" si="3"/>
        <v>#N/A</v>
      </c>
      <c r="T21" s="706"/>
      <c r="U21" s="573"/>
      <c r="V21" s="574"/>
      <c r="W21" s="574"/>
      <c r="X21" s="515" t="e">
        <f t="shared" si="4"/>
        <v>#N/A</v>
      </c>
      <c r="Y21" s="706"/>
      <c r="Z21" s="573"/>
      <c r="AA21" s="574"/>
      <c r="AB21" s="574"/>
      <c r="AC21" s="515" t="e">
        <f t="shared" si="5"/>
        <v>#N/A</v>
      </c>
      <c r="AD21" s="706"/>
      <c r="AE21" s="573"/>
      <c r="AF21" s="574"/>
      <c r="AG21" s="574"/>
      <c r="AH21" s="515" t="e">
        <f t="shared" si="6"/>
        <v>#N/A</v>
      </c>
      <c r="AI21" s="706"/>
      <c r="AJ21" s="573"/>
      <c r="AK21" s="574"/>
      <c r="AL21" s="574"/>
      <c r="AM21" s="515" t="e">
        <f t="shared" si="7"/>
        <v>#N/A</v>
      </c>
      <c r="AN21" s="706"/>
      <c r="AO21" s="573"/>
      <c r="AP21" s="574"/>
      <c r="AQ21" s="574"/>
      <c r="AR21" s="515" t="e">
        <f t="shared" si="8"/>
        <v>#N/A</v>
      </c>
      <c r="AS21" s="706"/>
      <c r="AT21" s="573"/>
      <c r="AU21" s="574"/>
      <c r="AV21" s="574"/>
      <c r="AW21" s="515" t="e">
        <f t="shared" si="9"/>
        <v>#N/A</v>
      </c>
      <c r="AX21" s="706"/>
      <c r="AZ21" s="361" t="e">
        <f>RANK(AX21, $K$7:AX$21)</f>
        <v>#N/A</v>
      </c>
      <c r="BB21" s="359" t="e">
        <f t="shared" si="10"/>
        <v>#N/A</v>
      </c>
    </row>
    <row r="22" spans="2:54" ht="15.75">
      <c r="B22" s="685" t="s">
        <v>163</v>
      </c>
      <c r="C22" s="686"/>
      <c r="D22" s="686"/>
      <c r="E22" s="686"/>
      <c r="F22" s="686"/>
      <c r="G22" s="686"/>
      <c r="H22" s="686"/>
      <c r="I22" s="203"/>
      <c r="J22" s="203"/>
      <c r="K22" s="203"/>
      <c r="L22" s="203"/>
      <c r="M22" s="204"/>
      <c r="N22" s="660" t="s">
        <v>156</v>
      </c>
      <c r="O22" s="660" t="s">
        <v>105</v>
      </c>
      <c r="P22" s="666">
        <f>P2+7</f>
        <v>46091</v>
      </c>
      <c r="Q22" s="667"/>
      <c r="R22" s="667"/>
      <c r="S22" s="667"/>
      <c r="T22" s="667"/>
      <c r="U22" s="663">
        <f>P22+1</f>
        <v>46092</v>
      </c>
      <c r="V22" s="664"/>
      <c r="W22" s="664"/>
      <c r="X22" s="664"/>
      <c r="Y22" s="665"/>
      <c r="Z22" s="663">
        <f>U22+1</f>
        <v>46093</v>
      </c>
      <c r="AA22" s="664"/>
      <c r="AB22" s="664"/>
      <c r="AC22" s="664"/>
      <c r="AD22" s="665"/>
      <c r="AE22" s="663">
        <f>Z22+1</f>
        <v>46094</v>
      </c>
      <c r="AF22" s="664"/>
      <c r="AG22" s="664"/>
      <c r="AH22" s="664"/>
      <c r="AI22" s="665"/>
      <c r="AJ22" s="663">
        <f>AE22+1</f>
        <v>46095</v>
      </c>
      <c r="AK22" s="664"/>
      <c r="AL22" s="664"/>
      <c r="AM22" s="664"/>
      <c r="AN22" s="665"/>
      <c r="AO22" s="663">
        <f>AJ22+1</f>
        <v>46096</v>
      </c>
      <c r="AP22" s="664"/>
      <c r="AQ22" s="664"/>
      <c r="AR22" s="664"/>
      <c r="AS22" s="665"/>
      <c r="AT22" s="663">
        <f>AO22+1</f>
        <v>46097</v>
      </c>
      <c r="AU22" s="664"/>
      <c r="AV22" s="664"/>
      <c r="AW22" s="664"/>
      <c r="AX22" s="665"/>
    </row>
    <row r="23" spans="2:54" ht="15.75">
      <c r="B23" s="674"/>
      <c r="C23" s="674"/>
      <c r="D23" s="674"/>
      <c r="E23" s="674"/>
      <c r="F23" s="674"/>
      <c r="G23" s="674"/>
      <c r="H23" s="674"/>
      <c r="I23" s="205"/>
      <c r="J23" s="205"/>
      <c r="K23" s="205"/>
      <c r="L23" s="205"/>
      <c r="M23" s="206"/>
      <c r="N23" s="662"/>
      <c r="O23" s="662"/>
      <c r="P23" s="666" t="s">
        <v>336</v>
      </c>
      <c r="Q23" s="667"/>
      <c r="R23" s="667"/>
      <c r="S23" s="667"/>
      <c r="T23" s="667"/>
      <c r="U23" s="666" t="s">
        <v>337</v>
      </c>
      <c r="V23" s="667"/>
      <c r="W23" s="667"/>
      <c r="X23" s="667"/>
      <c r="Y23" s="667"/>
      <c r="Z23" s="666" t="s">
        <v>338</v>
      </c>
      <c r="AA23" s="667"/>
      <c r="AB23" s="667"/>
      <c r="AC23" s="667"/>
      <c r="AD23" s="667"/>
      <c r="AE23" s="666" t="s">
        <v>339</v>
      </c>
      <c r="AF23" s="667"/>
      <c r="AG23" s="667"/>
      <c r="AH23" s="667"/>
      <c r="AI23" s="667"/>
      <c r="AJ23" s="666" t="s">
        <v>340</v>
      </c>
      <c r="AK23" s="667"/>
      <c r="AL23" s="667"/>
      <c r="AM23" s="667"/>
      <c r="AN23" s="667"/>
      <c r="AO23" s="666" t="s">
        <v>341</v>
      </c>
      <c r="AP23" s="667"/>
      <c r="AQ23" s="667"/>
      <c r="AR23" s="667"/>
      <c r="AS23" s="667"/>
      <c r="AT23" s="666" t="s">
        <v>342</v>
      </c>
      <c r="AU23" s="667"/>
      <c r="AV23" s="667"/>
      <c r="AW23" s="667"/>
      <c r="AX23" s="667"/>
    </row>
    <row r="24" spans="2:54">
      <c r="B24" s="659" t="s">
        <v>550</v>
      </c>
      <c r="C24" s="659" t="s">
        <v>551</v>
      </c>
      <c r="D24" s="659"/>
      <c r="E24" s="659" t="s">
        <v>552</v>
      </c>
      <c r="F24" s="659"/>
      <c r="G24" s="659"/>
      <c r="H24" s="675" t="s">
        <v>523</v>
      </c>
      <c r="I24" s="643" t="s">
        <v>519</v>
      </c>
      <c r="J24" s="643"/>
      <c r="K24" s="643"/>
      <c r="L24" s="644" t="s">
        <v>523</v>
      </c>
      <c r="M24" s="650" t="s">
        <v>553</v>
      </c>
      <c r="N24" s="659"/>
      <c r="O24" s="659" t="s">
        <v>554</v>
      </c>
      <c r="P24" s="656" t="s">
        <v>521</v>
      </c>
      <c r="Q24" s="657"/>
      <c r="R24" s="657"/>
      <c r="S24" s="658"/>
      <c r="T24" s="659" t="s">
        <v>523</v>
      </c>
      <c r="U24" s="656" t="s">
        <v>521</v>
      </c>
      <c r="V24" s="657"/>
      <c r="W24" s="657"/>
      <c r="X24" s="658"/>
      <c r="Y24" s="659" t="s">
        <v>523</v>
      </c>
      <c r="Z24" s="656" t="s">
        <v>521</v>
      </c>
      <c r="AA24" s="657"/>
      <c r="AB24" s="657"/>
      <c r="AC24" s="658"/>
      <c r="AD24" s="659" t="s">
        <v>523</v>
      </c>
      <c r="AE24" s="656" t="s">
        <v>521</v>
      </c>
      <c r="AF24" s="657"/>
      <c r="AG24" s="657"/>
      <c r="AH24" s="658"/>
      <c r="AI24" s="659" t="s">
        <v>523</v>
      </c>
      <c r="AJ24" s="656" t="s">
        <v>521</v>
      </c>
      <c r="AK24" s="657"/>
      <c r="AL24" s="657"/>
      <c r="AM24" s="658"/>
      <c r="AN24" s="659" t="s">
        <v>523</v>
      </c>
      <c r="AO24" s="656" t="s">
        <v>521</v>
      </c>
      <c r="AP24" s="657"/>
      <c r="AQ24" s="657"/>
      <c r="AR24" s="658"/>
      <c r="AS24" s="659" t="s">
        <v>523</v>
      </c>
      <c r="AT24" s="656" t="s">
        <v>521</v>
      </c>
      <c r="AU24" s="657"/>
      <c r="AV24" s="657"/>
      <c r="AW24" s="658"/>
      <c r="AX24" s="659" t="s">
        <v>523</v>
      </c>
    </row>
    <row r="25" spans="2:54">
      <c r="B25" s="659"/>
      <c r="C25" s="659"/>
      <c r="D25" s="659"/>
      <c r="E25" s="659" t="s">
        <v>526</v>
      </c>
      <c r="F25" s="659"/>
      <c r="G25" s="659"/>
      <c r="H25" s="676"/>
      <c r="I25" s="643" t="s">
        <v>526</v>
      </c>
      <c r="J25" s="643"/>
      <c r="K25" s="643"/>
      <c r="L25" s="645"/>
      <c r="M25" s="651"/>
      <c r="N25" s="659"/>
      <c r="O25" s="659"/>
      <c r="P25" s="656" t="s">
        <v>527</v>
      </c>
      <c r="Q25" s="657"/>
      <c r="R25" s="657"/>
      <c r="S25" s="658"/>
      <c r="T25" s="659"/>
      <c r="U25" s="656" t="s">
        <v>527</v>
      </c>
      <c r="V25" s="657"/>
      <c r="W25" s="657"/>
      <c r="X25" s="658"/>
      <c r="Y25" s="659"/>
      <c r="Z25" s="656" t="s">
        <v>527</v>
      </c>
      <c r="AA25" s="657"/>
      <c r="AB25" s="657"/>
      <c r="AC25" s="658"/>
      <c r="AD25" s="659"/>
      <c r="AE25" s="656" t="s">
        <v>527</v>
      </c>
      <c r="AF25" s="657"/>
      <c r="AG25" s="657"/>
      <c r="AH25" s="658"/>
      <c r="AI25" s="659"/>
      <c r="AJ25" s="656" t="s">
        <v>527</v>
      </c>
      <c r="AK25" s="657"/>
      <c r="AL25" s="657"/>
      <c r="AM25" s="658"/>
      <c r="AN25" s="659"/>
      <c r="AO25" s="656" t="s">
        <v>527</v>
      </c>
      <c r="AP25" s="657"/>
      <c r="AQ25" s="657"/>
      <c r="AR25" s="658"/>
      <c r="AS25" s="659"/>
      <c r="AT25" s="656" t="s">
        <v>527</v>
      </c>
      <c r="AU25" s="657"/>
      <c r="AV25" s="657"/>
      <c r="AW25" s="658"/>
      <c r="AX25" s="659"/>
    </row>
    <row r="26" spans="2:54">
      <c r="B26" s="659"/>
      <c r="C26" s="659"/>
      <c r="D26" s="659"/>
      <c r="E26" s="320" t="s">
        <v>531</v>
      </c>
      <c r="F26" s="320" t="s">
        <v>555</v>
      </c>
      <c r="G26" s="320" t="s">
        <v>530</v>
      </c>
      <c r="H26" s="677"/>
      <c r="I26" s="319" t="s">
        <v>531</v>
      </c>
      <c r="J26" s="319" t="s">
        <v>555</v>
      </c>
      <c r="K26" s="319" t="s">
        <v>530</v>
      </c>
      <c r="L26" s="646"/>
      <c r="M26" s="652"/>
      <c r="N26" s="659"/>
      <c r="O26" s="659"/>
      <c r="P26" s="320" t="s">
        <v>531</v>
      </c>
      <c r="Q26" s="320" t="s">
        <v>555</v>
      </c>
      <c r="R26" s="320" t="s">
        <v>530</v>
      </c>
      <c r="S26" s="320" t="s">
        <v>553</v>
      </c>
      <c r="T26" s="659"/>
      <c r="U26" s="320" t="s">
        <v>531</v>
      </c>
      <c r="V26" s="320" t="s">
        <v>426</v>
      </c>
      <c r="W26" s="320" t="s">
        <v>530</v>
      </c>
      <c r="X26" s="320" t="s">
        <v>553</v>
      </c>
      <c r="Y26" s="659"/>
      <c r="Z26" s="320" t="s">
        <v>531</v>
      </c>
      <c r="AA26" s="320" t="s">
        <v>426</v>
      </c>
      <c r="AB26" s="320" t="s">
        <v>530</v>
      </c>
      <c r="AC26" s="320" t="s">
        <v>553</v>
      </c>
      <c r="AD26" s="659"/>
      <c r="AE26" s="320" t="s">
        <v>531</v>
      </c>
      <c r="AF26" s="320" t="s">
        <v>555</v>
      </c>
      <c r="AG26" s="320" t="s">
        <v>530</v>
      </c>
      <c r="AH26" s="320" t="s">
        <v>553</v>
      </c>
      <c r="AI26" s="659"/>
      <c r="AJ26" s="320" t="s">
        <v>531</v>
      </c>
      <c r="AK26" s="320" t="s">
        <v>555</v>
      </c>
      <c r="AL26" s="320" t="s">
        <v>530</v>
      </c>
      <c r="AM26" s="320" t="s">
        <v>553</v>
      </c>
      <c r="AN26" s="659"/>
      <c r="AO26" s="320" t="s">
        <v>531</v>
      </c>
      <c r="AP26" s="320" t="s">
        <v>555</v>
      </c>
      <c r="AQ26" s="320" t="s">
        <v>530</v>
      </c>
      <c r="AR26" s="320" t="s">
        <v>553</v>
      </c>
      <c r="AS26" s="659"/>
      <c r="AT26" s="320" t="s">
        <v>531</v>
      </c>
      <c r="AU26" s="320" t="s">
        <v>555</v>
      </c>
      <c r="AV26" s="320" t="s">
        <v>530</v>
      </c>
      <c r="AW26" s="320" t="s">
        <v>553</v>
      </c>
      <c r="AX26" s="659"/>
    </row>
    <row r="27" spans="2:54">
      <c r="B27" s="659" t="s">
        <v>556</v>
      </c>
      <c r="C27" s="321">
        <v>1</v>
      </c>
      <c r="D27" s="227"/>
      <c r="E27" s="182"/>
      <c r="F27" s="569"/>
      <c r="G27" s="570"/>
      <c r="H27" s="708" t="e">
        <f>AVERAGE(G27:G41)</f>
        <v>#DIV/0!</v>
      </c>
      <c r="I27" s="199" t="e">
        <f t="shared" ref="I27:K32" si="11">AVERAGE(P27,U27,Z27,AE27,AJ27,AO27,AT27)</f>
        <v>#DIV/0!</v>
      </c>
      <c r="J27" s="199" t="e">
        <f t="shared" si="11"/>
        <v>#DIV/0!</v>
      </c>
      <c r="K27" s="200" t="e">
        <f t="shared" si="11"/>
        <v>#DIV/0!</v>
      </c>
      <c r="L27" s="640" t="str">
        <f>IFERROR(AVERAGE(K27:K41),"-")</f>
        <v>-</v>
      </c>
      <c r="M27" s="201" t="e">
        <f>RANK(K27, K$27:$K$41)</f>
        <v>#DIV/0!</v>
      </c>
      <c r="N27" s="659"/>
      <c r="O27" s="659"/>
      <c r="P27" s="573"/>
      <c r="Q27" s="574"/>
      <c r="R27" s="574"/>
      <c r="S27" s="321" t="e">
        <f t="shared" ref="S27:S41" si="12">RANK(R27, R$27:R$41)</f>
        <v>#N/A</v>
      </c>
      <c r="T27" s="668" t="e">
        <f>AVERAGE(R27:R41)</f>
        <v>#DIV/0!</v>
      </c>
      <c r="U27" s="573"/>
      <c r="V27" s="574"/>
      <c r="W27" s="574"/>
      <c r="X27" s="475" t="e">
        <f t="shared" ref="X27:X41" si="13">RANK(W27, W$27:W$41)</f>
        <v>#N/A</v>
      </c>
      <c r="Y27" s="668" t="e">
        <f t="shared" ref="Y27" si="14">AVERAGE(W27:W41)</f>
        <v>#DIV/0!</v>
      </c>
      <c r="Z27" s="573"/>
      <c r="AA27" s="574"/>
      <c r="AB27" s="574"/>
      <c r="AC27" s="475" t="e">
        <f t="shared" ref="AC27:AC41" si="15">RANK(AB27, AB$27:AB$41)</f>
        <v>#N/A</v>
      </c>
      <c r="AD27" s="668" t="e">
        <f t="shared" ref="AD27" si="16">AVERAGE(AB27:AB41)</f>
        <v>#DIV/0!</v>
      </c>
      <c r="AE27" s="573"/>
      <c r="AF27" s="574"/>
      <c r="AG27" s="574"/>
      <c r="AH27" s="475" t="e">
        <f t="shared" ref="AH27:AH41" si="17">RANK(AG27, AG$27:AG$41)</f>
        <v>#N/A</v>
      </c>
      <c r="AI27" s="668" t="e">
        <f t="shared" ref="AI27" si="18">AVERAGE(AG27:AG41)</f>
        <v>#DIV/0!</v>
      </c>
      <c r="AJ27" s="573"/>
      <c r="AK27" s="574"/>
      <c r="AL27" s="574"/>
      <c r="AM27" s="475" t="e">
        <f t="shared" ref="AM27:AM41" si="19">RANK(AL27, AL$27:AL$41)</f>
        <v>#N/A</v>
      </c>
      <c r="AN27" s="668" t="e">
        <f t="shared" ref="AN27" si="20">AVERAGE(AL27:AL41)</f>
        <v>#DIV/0!</v>
      </c>
      <c r="AO27" s="573"/>
      <c r="AP27" s="574"/>
      <c r="AQ27" s="574"/>
      <c r="AR27" s="475" t="e">
        <f t="shared" ref="AR27:AR41" si="21">RANK(AQ27, AQ$27:AQ$41)</f>
        <v>#N/A</v>
      </c>
      <c r="AS27" s="668" t="e">
        <f t="shared" ref="AS27" si="22">AVERAGE(AQ27:AQ41)</f>
        <v>#DIV/0!</v>
      </c>
      <c r="AT27" s="573"/>
      <c r="AU27" s="574"/>
      <c r="AV27" s="574"/>
      <c r="AW27" s="475" t="e">
        <f t="shared" ref="AW27:AW41" si="23">RANK(AV27, AV$27:AV$41)</f>
        <v>#N/A</v>
      </c>
      <c r="AX27" s="681" t="e">
        <f t="shared" ref="AX27" si="24">AVERAGE(AV27:AV41)</f>
        <v>#DIV/0!</v>
      </c>
    </row>
    <row r="28" spans="2:54">
      <c r="B28" s="667"/>
      <c r="C28" s="321">
        <v>2</v>
      </c>
      <c r="D28" s="227"/>
      <c r="E28" s="182"/>
      <c r="F28" s="569"/>
      <c r="G28" s="570"/>
      <c r="H28" s="709"/>
      <c r="I28" s="199" t="e">
        <f t="shared" si="11"/>
        <v>#DIV/0!</v>
      </c>
      <c r="J28" s="199" t="e">
        <f t="shared" si="11"/>
        <v>#DIV/0!</v>
      </c>
      <c r="K28" s="200" t="e">
        <f t="shared" si="11"/>
        <v>#DIV/0!</v>
      </c>
      <c r="L28" s="641"/>
      <c r="M28" s="201" t="e">
        <f>RANK(K28, K$27:$K$41)</f>
        <v>#DIV/0!</v>
      </c>
      <c r="N28" s="659"/>
      <c r="O28" s="659"/>
      <c r="P28" s="573"/>
      <c r="Q28" s="574"/>
      <c r="R28" s="574"/>
      <c r="S28" s="321" t="e">
        <f t="shared" si="12"/>
        <v>#N/A</v>
      </c>
      <c r="T28" s="669"/>
      <c r="U28" s="573"/>
      <c r="V28" s="574"/>
      <c r="W28" s="574"/>
      <c r="X28" s="475" t="e">
        <f t="shared" si="13"/>
        <v>#N/A</v>
      </c>
      <c r="Y28" s="669"/>
      <c r="Z28" s="573"/>
      <c r="AA28" s="574"/>
      <c r="AB28" s="574"/>
      <c r="AC28" s="475" t="e">
        <f t="shared" si="15"/>
        <v>#N/A</v>
      </c>
      <c r="AD28" s="669"/>
      <c r="AE28" s="573"/>
      <c r="AF28" s="574"/>
      <c r="AG28" s="574"/>
      <c r="AH28" s="475" t="e">
        <f t="shared" si="17"/>
        <v>#N/A</v>
      </c>
      <c r="AI28" s="669"/>
      <c r="AJ28" s="573"/>
      <c r="AK28" s="574"/>
      <c r="AL28" s="574"/>
      <c r="AM28" s="475" t="e">
        <f t="shared" si="19"/>
        <v>#N/A</v>
      </c>
      <c r="AN28" s="669"/>
      <c r="AO28" s="573"/>
      <c r="AP28" s="574"/>
      <c r="AQ28" s="574"/>
      <c r="AR28" s="475" t="e">
        <f t="shared" si="21"/>
        <v>#N/A</v>
      </c>
      <c r="AS28" s="669"/>
      <c r="AT28" s="573"/>
      <c r="AU28" s="574"/>
      <c r="AV28" s="574"/>
      <c r="AW28" s="475" t="e">
        <f t="shared" si="23"/>
        <v>#N/A</v>
      </c>
      <c r="AX28" s="681"/>
    </row>
    <row r="29" spans="2:54">
      <c r="B29" s="667"/>
      <c r="C29" s="321">
        <v>3</v>
      </c>
      <c r="D29" s="227"/>
      <c r="E29" s="182"/>
      <c r="F29" s="569"/>
      <c r="G29" s="570"/>
      <c r="H29" s="709"/>
      <c r="I29" s="199" t="e">
        <f t="shared" si="11"/>
        <v>#DIV/0!</v>
      </c>
      <c r="J29" s="199" t="e">
        <f t="shared" si="11"/>
        <v>#DIV/0!</v>
      </c>
      <c r="K29" s="200" t="e">
        <f t="shared" si="11"/>
        <v>#DIV/0!</v>
      </c>
      <c r="L29" s="641"/>
      <c r="M29" s="201" t="e">
        <f>RANK(K29, K$27:$K$41)</f>
        <v>#DIV/0!</v>
      </c>
      <c r="N29" s="659"/>
      <c r="O29" s="659"/>
      <c r="P29" s="573"/>
      <c r="Q29" s="574"/>
      <c r="R29" s="574"/>
      <c r="S29" s="321" t="e">
        <f t="shared" si="12"/>
        <v>#N/A</v>
      </c>
      <c r="T29" s="669"/>
      <c r="U29" s="573"/>
      <c r="V29" s="574"/>
      <c r="W29" s="574"/>
      <c r="X29" s="475" t="e">
        <f t="shared" si="13"/>
        <v>#N/A</v>
      </c>
      <c r="Y29" s="669"/>
      <c r="Z29" s="573"/>
      <c r="AA29" s="574"/>
      <c r="AB29" s="574"/>
      <c r="AC29" s="475" t="e">
        <f t="shared" si="15"/>
        <v>#N/A</v>
      </c>
      <c r="AD29" s="669"/>
      <c r="AE29" s="573"/>
      <c r="AF29" s="574"/>
      <c r="AG29" s="574"/>
      <c r="AH29" s="475" t="e">
        <f t="shared" si="17"/>
        <v>#N/A</v>
      </c>
      <c r="AI29" s="669"/>
      <c r="AJ29" s="573"/>
      <c r="AK29" s="574"/>
      <c r="AL29" s="574"/>
      <c r="AM29" s="475" t="e">
        <f t="shared" si="19"/>
        <v>#N/A</v>
      </c>
      <c r="AN29" s="669"/>
      <c r="AO29" s="573"/>
      <c r="AP29" s="574"/>
      <c r="AQ29" s="574"/>
      <c r="AR29" s="475" t="e">
        <f t="shared" si="21"/>
        <v>#N/A</v>
      </c>
      <c r="AS29" s="669"/>
      <c r="AT29" s="573"/>
      <c r="AU29" s="574"/>
      <c r="AV29" s="574"/>
      <c r="AW29" s="475" t="e">
        <f t="shared" si="23"/>
        <v>#N/A</v>
      </c>
      <c r="AX29" s="681"/>
    </row>
    <row r="30" spans="2:54">
      <c r="B30" s="667"/>
      <c r="C30" s="321">
        <v>4</v>
      </c>
      <c r="D30" s="227"/>
      <c r="E30" s="182"/>
      <c r="F30" s="569"/>
      <c r="G30" s="570"/>
      <c r="H30" s="709"/>
      <c r="I30" s="199" t="e">
        <f t="shared" si="11"/>
        <v>#DIV/0!</v>
      </c>
      <c r="J30" s="199" t="e">
        <f t="shared" si="11"/>
        <v>#DIV/0!</v>
      </c>
      <c r="K30" s="200" t="e">
        <f t="shared" si="11"/>
        <v>#DIV/0!</v>
      </c>
      <c r="L30" s="641"/>
      <c r="M30" s="201" t="e">
        <f>RANK(K30, K$27:$K$41)</f>
        <v>#DIV/0!</v>
      </c>
      <c r="N30" s="659"/>
      <c r="O30" s="659"/>
      <c r="P30" s="573"/>
      <c r="Q30" s="574"/>
      <c r="R30" s="574"/>
      <c r="S30" s="321" t="e">
        <f t="shared" si="12"/>
        <v>#N/A</v>
      </c>
      <c r="T30" s="669"/>
      <c r="U30" s="573"/>
      <c r="V30" s="574"/>
      <c r="W30" s="574"/>
      <c r="X30" s="475" t="e">
        <f t="shared" si="13"/>
        <v>#N/A</v>
      </c>
      <c r="Y30" s="669"/>
      <c r="Z30" s="573"/>
      <c r="AA30" s="574"/>
      <c r="AB30" s="574"/>
      <c r="AC30" s="475" t="e">
        <f t="shared" si="15"/>
        <v>#N/A</v>
      </c>
      <c r="AD30" s="669"/>
      <c r="AE30" s="573"/>
      <c r="AF30" s="574"/>
      <c r="AG30" s="574"/>
      <c r="AH30" s="475" t="e">
        <f t="shared" si="17"/>
        <v>#N/A</v>
      </c>
      <c r="AI30" s="669"/>
      <c r="AJ30" s="573"/>
      <c r="AK30" s="574"/>
      <c r="AL30" s="574"/>
      <c r="AM30" s="475" t="e">
        <f t="shared" si="19"/>
        <v>#N/A</v>
      </c>
      <c r="AN30" s="669"/>
      <c r="AO30" s="573"/>
      <c r="AP30" s="574"/>
      <c r="AQ30" s="574"/>
      <c r="AR30" s="475" t="e">
        <f t="shared" si="21"/>
        <v>#N/A</v>
      </c>
      <c r="AS30" s="669"/>
      <c r="AT30" s="573"/>
      <c r="AU30" s="574"/>
      <c r="AV30" s="574"/>
      <c r="AW30" s="475" t="e">
        <f t="shared" si="23"/>
        <v>#N/A</v>
      </c>
      <c r="AX30" s="681"/>
    </row>
    <row r="31" spans="2:54">
      <c r="B31" s="667"/>
      <c r="C31" s="321">
        <v>5</v>
      </c>
      <c r="D31" s="227"/>
      <c r="E31" s="182"/>
      <c r="F31" s="569"/>
      <c r="G31" s="570"/>
      <c r="H31" s="709"/>
      <c r="I31" s="199" t="e">
        <f t="shared" si="11"/>
        <v>#DIV/0!</v>
      </c>
      <c r="J31" s="199" t="e">
        <f t="shared" si="11"/>
        <v>#DIV/0!</v>
      </c>
      <c r="K31" s="200" t="e">
        <f t="shared" si="11"/>
        <v>#DIV/0!</v>
      </c>
      <c r="L31" s="641"/>
      <c r="M31" s="201" t="e">
        <f>RANK(K31, K$27:$K$41)</f>
        <v>#DIV/0!</v>
      </c>
      <c r="N31" s="659"/>
      <c r="O31" s="659"/>
      <c r="P31" s="573"/>
      <c r="Q31" s="574"/>
      <c r="R31" s="574"/>
      <c r="S31" s="321" t="e">
        <f t="shared" si="12"/>
        <v>#N/A</v>
      </c>
      <c r="T31" s="669"/>
      <c r="U31" s="573"/>
      <c r="V31" s="574"/>
      <c r="W31" s="574"/>
      <c r="X31" s="475" t="e">
        <f t="shared" si="13"/>
        <v>#N/A</v>
      </c>
      <c r="Y31" s="669"/>
      <c r="Z31" s="573"/>
      <c r="AA31" s="574"/>
      <c r="AB31" s="574"/>
      <c r="AC31" s="475" t="e">
        <f t="shared" si="15"/>
        <v>#N/A</v>
      </c>
      <c r="AD31" s="669"/>
      <c r="AE31" s="573"/>
      <c r="AF31" s="574"/>
      <c r="AG31" s="574"/>
      <c r="AH31" s="475" t="e">
        <f t="shared" si="17"/>
        <v>#N/A</v>
      </c>
      <c r="AI31" s="669"/>
      <c r="AJ31" s="573"/>
      <c r="AK31" s="574"/>
      <c r="AL31" s="574"/>
      <c r="AM31" s="475" t="e">
        <f t="shared" si="19"/>
        <v>#N/A</v>
      </c>
      <c r="AN31" s="669"/>
      <c r="AO31" s="573"/>
      <c r="AP31" s="574"/>
      <c r="AQ31" s="574"/>
      <c r="AR31" s="475" t="e">
        <f t="shared" si="21"/>
        <v>#N/A</v>
      </c>
      <c r="AS31" s="669"/>
      <c r="AT31" s="573"/>
      <c r="AU31" s="574"/>
      <c r="AV31" s="574"/>
      <c r="AW31" s="475" t="e">
        <f t="shared" si="23"/>
        <v>#N/A</v>
      </c>
      <c r="AX31" s="681"/>
    </row>
    <row r="32" spans="2:54">
      <c r="B32" s="667"/>
      <c r="C32" s="321">
        <v>6</v>
      </c>
      <c r="D32" s="227"/>
      <c r="E32" s="182"/>
      <c r="F32" s="569"/>
      <c r="G32" s="570"/>
      <c r="H32" s="709"/>
      <c r="I32" s="199" t="e">
        <f t="shared" si="11"/>
        <v>#DIV/0!</v>
      </c>
      <c r="J32" s="199" t="e">
        <f t="shared" si="11"/>
        <v>#DIV/0!</v>
      </c>
      <c r="K32" s="200" t="e">
        <f t="shared" si="11"/>
        <v>#DIV/0!</v>
      </c>
      <c r="L32" s="641"/>
      <c r="M32" s="201" t="e">
        <f>RANK(K32, K$27:$K$41)</f>
        <v>#DIV/0!</v>
      </c>
      <c r="N32" s="659"/>
      <c r="O32" s="659"/>
      <c r="P32" s="573"/>
      <c r="Q32" s="574"/>
      <c r="R32" s="574"/>
      <c r="S32" s="321" t="e">
        <f t="shared" si="12"/>
        <v>#N/A</v>
      </c>
      <c r="T32" s="669"/>
      <c r="U32" s="573"/>
      <c r="V32" s="574"/>
      <c r="W32" s="574"/>
      <c r="X32" s="475" t="e">
        <f t="shared" si="13"/>
        <v>#N/A</v>
      </c>
      <c r="Y32" s="669"/>
      <c r="Z32" s="573"/>
      <c r="AA32" s="574"/>
      <c r="AB32" s="574"/>
      <c r="AC32" s="475" t="e">
        <f t="shared" si="15"/>
        <v>#N/A</v>
      </c>
      <c r="AD32" s="669"/>
      <c r="AE32" s="573"/>
      <c r="AF32" s="574"/>
      <c r="AG32" s="574"/>
      <c r="AH32" s="475" t="e">
        <f t="shared" si="17"/>
        <v>#N/A</v>
      </c>
      <c r="AI32" s="669"/>
      <c r="AJ32" s="573"/>
      <c r="AK32" s="574"/>
      <c r="AL32" s="574"/>
      <c r="AM32" s="475" t="e">
        <f t="shared" si="19"/>
        <v>#N/A</v>
      </c>
      <c r="AN32" s="669"/>
      <c r="AO32" s="573"/>
      <c r="AP32" s="574"/>
      <c r="AQ32" s="574"/>
      <c r="AR32" s="475" t="e">
        <f t="shared" si="21"/>
        <v>#N/A</v>
      </c>
      <c r="AS32" s="669"/>
      <c r="AT32" s="573"/>
      <c r="AU32" s="574"/>
      <c r="AV32" s="574"/>
      <c r="AW32" s="475" t="e">
        <f t="shared" si="23"/>
        <v>#N/A</v>
      </c>
      <c r="AX32" s="681"/>
    </row>
    <row r="33" spans="2:50">
      <c r="B33" s="667"/>
      <c r="C33" s="321">
        <v>7</v>
      </c>
      <c r="D33" s="227"/>
      <c r="E33" s="182"/>
      <c r="F33" s="569"/>
      <c r="G33" s="570"/>
      <c r="H33" s="709"/>
      <c r="I33" s="458" t="e">
        <f t="shared" ref="I33:I34" si="25">AVERAGE(P33,U33,Z33,AE33,AJ33,AO33,AT33)</f>
        <v>#DIV/0!</v>
      </c>
      <c r="J33" s="458" t="e">
        <f t="shared" ref="J33:J34" si="26">AVERAGE(Q33,V33,AA33,AF33,AK33,AP33,AU33)</f>
        <v>#DIV/0!</v>
      </c>
      <c r="K33" s="200" t="e">
        <f t="shared" ref="K33:K34" si="27">AVERAGE(R33,W33,AB33,AG33,AL33,AQ33,AV33)</f>
        <v>#DIV/0!</v>
      </c>
      <c r="L33" s="641"/>
      <c r="M33" s="201" t="e">
        <f>RANK(K33, K$27:$K$41)</f>
        <v>#DIV/0!</v>
      </c>
      <c r="N33" s="659"/>
      <c r="O33" s="659"/>
      <c r="P33" s="573"/>
      <c r="Q33" s="574"/>
      <c r="R33" s="574"/>
      <c r="S33" s="321" t="e">
        <f t="shared" si="12"/>
        <v>#N/A</v>
      </c>
      <c r="T33" s="669"/>
      <c r="U33" s="573"/>
      <c r="V33" s="574"/>
      <c r="W33" s="574"/>
      <c r="X33" s="475" t="e">
        <f t="shared" si="13"/>
        <v>#N/A</v>
      </c>
      <c r="Y33" s="669"/>
      <c r="Z33" s="573"/>
      <c r="AA33" s="574"/>
      <c r="AB33" s="574"/>
      <c r="AC33" s="475" t="e">
        <f t="shared" si="15"/>
        <v>#N/A</v>
      </c>
      <c r="AD33" s="669"/>
      <c r="AE33" s="573"/>
      <c r="AF33" s="574"/>
      <c r="AG33" s="574"/>
      <c r="AH33" s="475" t="e">
        <f t="shared" si="17"/>
        <v>#N/A</v>
      </c>
      <c r="AI33" s="669"/>
      <c r="AJ33" s="573"/>
      <c r="AK33" s="574"/>
      <c r="AL33" s="574"/>
      <c r="AM33" s="475" t="e">
        <f t="shared" si="19"/>
        <v>#N/A</v>
      </c>
      <c r="AN33" s="669"/>
      <c r="AO33" s="573"/>
      <c r="AP33" s="574"/>
      <c r="AQ33" s="574"/>
      <c r="AR33" s="475" t="e">
        <f t="shared" si="21"/>
        <v>#N/A</v>
      </c>
      <c r="AS33" s="669"/>
      <c r="AT33" s="573"/>
      <c r="AU33" s="574"/>
      <c r="AV33" s="574"/>
      <c r="AW33" s="475" t="e">
        <f t="shared" si="23"/>
        <v>#N/A</v>
      </c>
      <c r="AX33" s="681"/>
    </row>
    <row r="34" spans="2:50">
      <c r="B34" s="667"/>
      <c r="C34" s="321">
        <v>8</v>
      </c>
      <c r="D34" s="227"/>
      <c r="E34" s="182"/>
      <c r="F34" s="569"/>
      <c r="G34" s="570"/>
      <c r="H34" s="709"/>
      <c r="I34" s="458" t="e">
        <f t="shared" si="25"/>
        <v>#DIV/0!</v>
      </c>
      <c r="J34" s="458" t="e">
        <f t="shared" si="26"/>
        <v>#DIV/0!</v>
      </c>
      <c r="K34" s="200" t="e">
        <f t="shared" si="27"/>
        <v>#DIV/0!</v>
      </c>
      <c r="L34" s="641"/>
      <c r="M34" s="201" t="e">
        <f>RANK(K34, K$27:$K$41)</f>
        <v>#DIV/0!</v>
      </c>
      <c r="N34" s="659"/>
      <c r="O34" s="659"/>
      <c r="P34" s="573"/>
      <c r="Q34" s="574"/>
      <c r="R34" s="574"/>
      <c r="S34" s="321" t="e">
        <f t="shared" si="12"/>
        <v>#N/A</v>
      </c>
      <c r="T34" s="669"/>
      <c r="U34" s="573"/>
      <c r="V34" s="574"/>
      <c r="W34" s="574"/>
      <c r="X34" s="475" t="e">
        <f t="shared" si="13"/>
        <v>#N/A</v>
      </c>
      <c r="Y34" s="669"/>
      <c r="Z34" s="573"/>
      <c r="AA34" s="574"/>
      <c r="AB34" s="574"/>
      <c r="AC34" s="475" t="e">
        <f t="shared" si="15"/>
        <v>#N/A</v>
      </c>
      <c r="AD34" s="669"/>
      <c r="AE34" s="573"/>
      <c r="AF34" s="574"/>
      <c r="AG34" s="574"/>
      <c r="AH34" s="475" t="e">
        <f t="shared" si="17"/>
        <v>#N/A</v>
      </c>
      <c r="AI34" s="669"/>
      <c r="AJ34" s="573"/>
      <c r="AK34" s="574"/>
      <c r="AL34" s="574"/>
      <c r="AM34" s="475" t="e">
        <f t="shared" si="19"/>
        <v>#N/A</v>
      </c>
      <c r="AN34" s="669"/>
      <c r="AO34" s="573"/>
      <c r="AP34" s="574"/>
      <c r="AQ34" s="574"/>
      <c r="AR34" s="475" t="e">
        <f t="shared" si="21"/>
        <v>#N/A</v>
      </c>
      <c r="AS34" s="669"/>
      <c r="AT34" s="573"/>
      <c r="AU34" s="574"/>
      <c r="AV34" s="574"/>
      <c r="AW34" s="475" t="e">
        <f t="shared" si="23"/>
        <v>#N/A</v>
      </c>
      <c r="AX34" s="681"/>
    </row>
    <row r="35" spans="2:50">
      <c r="B35" s="667"/>
      <c r="C35" s="321">
        <v>9</v>
      </c>
      <c r="D35" s="227"/>
      <c r="E35" s="182"/>
      <c r="F35" s="569"/>
      <c r="G35" s="570"/>
      <c r="H35" s="709"/>
      <c r="I35" s="199"/>
      <c r="J35" s="199"/>
      <c r="K35" s="200"/>
      <c r="L35" s="641"/>
      <c r="M35" s="201" t="e">
        <f>RANK(K35, K$27:$K$41)</f>
        <v>#DIV/0!</v>
      </c>
      <c r="N35" s="659"/>
      <c r="O35" s="659"/>
      <c r="P35" s="573"/>
      <c r="Q35" s="574"/>
      <c r="R35" s="574"/>
      <c r="S35" s="321" t="e">
        <f t="shared" si="12"/>
        <v>#N/A</v>
      </c>
      <c r="T35" s="669"/>
      <c r="U35" s="573"/>
      <c r="V35" s="574"/>
      <c r="W35" s="574"/>
      <c r="X35" s="475" t="e">
        <f t="shared" si="13"/>
        <v>#N/A</v>
      </c>
      <c r="Y35" s="669"/>
      <c r="Z35" s="573"/>
      <c r="AA35" s="574"/>
      <c r="AB35" s="574"/>
      <c r="AC35" s="475" t="e">
        <f t="shared" si="15"/>
        <v>#N/A</v>
      </c>
      <c r="AD35" s="669"/>
      <c r="AE35" s="573"/>
      <c r="AF35" s="574"/>
      <c r="AG35" s="574"/>
      <c r="AH35" s="475" t="e">
        <f t="shared" si="17"/>
        <v>#N/A</v>
      </c>
      <c r="AI35" s="669"/>
      <c r="AJ35" s="573"/>
      <c r="AK35" s="574"/>
      <c r="AL35" s="574"/>
      <c r="AM35" s="475" t="e">
        <f t="shared" si="19"/>
        <v>#N/A</v>
      </c>
      <c r="AN35" s="669"/>
      <c r="AO35" s="573"/>
      <c r="AP35" s="574"/>
      <c r="AQ35" s="574"/>
      <c r="AR35" s="475" t="e">
        <f t="shared" si="21"/>
        <v>#N/A</v>
      </c>
      <c r="AS35" s="669"/>
      <c r="AT35" s="573"/>
      <c r="AU35" s="574"/>
      <c r="AV35" s="574"/>
      <c r="AW35" s="475" t="e">
        <f t="shared" si="23"/>
        <v>#N/A</v>
      </c>
      <c r="AX35" s="681"/>
    </row>
    <row r="36" spans="2:50">
      <c r="B36" s="667"/>
      <c r="C36" s="321">
        <v>10</v>
      </c>
      <c r="D36" s="227"/>
      <c r="E36" s="182"/>
      <c r="F36" s="569"/>
      <c r="G36" s="570"/>
      <c r="H36" s="709"/>
      <c r="I36" s="199"/>
      <c r="J36" s="199"/>
      <c r="K36" s="200"/>
      <c r="L36" s="641"/>
      <c r="M36" s="201" t="e">
        <f>RANK(K36, K$27:$K$41)</f>
        <v>#DIV/0!</v>
      </c>
      <c r="N36" s="659"/>
      <c r="O36" s="659"/>
      <c r="P36" s="573"/>
      <c r="Q36" s="574"/>
      <c r="R36" s="574"/>
      <c r="S36" s="321" t="e">
        <f t="shared" si="12"/>
        <v>#N/A</v>
      </c>
      <c r="T36" s="669"/>
      <c r="U36" s="573"/>
      <c r="V36" s="574"/>
      <c r="W36" s="574"/>
      <c r="X36" s="475" t="e">
        <f t="shared" si="13"/>
        <v>#N/A</v>
      </c>
      <c r="Y36" s="669"/>
      <c r="Z36" s="573"/>
      <c r="AA36" s="574"/>
      <c r="AB36" s="574"/>
      <c r="AC36" s="475" t="e">
        <f t="shared" si="15"/>
        <v>#N/A</v>
      </c>
      <c r="AD36" s="669"/>
      <c r="AE36" s="573"/>
      <c r="AF36" s="574"/>
      <c r="AG36" s="574"/>
      <c r="AH36" s="475" t="e">
        <f t="shared" si="17"/>
        <v>#N/A</v>
      </c>
      <c r="AI36" s="669"/>
      <c r="AJ36" s="573"/>
      <c r="AK36" s="574"/>
      <c r="AL36" s="574"/>
      <c r="AM36" s="475" t="e">
        <f t="shared" si="19"/>
        <v>#N/A</v>
      </c>
      <c r="AN36" s="669"/>
      <c r="AO36" s="573"/>
      <c r="AP36" s="574"/>
      <c r="AQ36" s="574"/>
      <c r="AR36" s="475" t="e">
        <f t="shared" si="21"/>
        <v>#N/A</v>
      </c>
      <c r="AS36" s="669"/>
      <c r="AT36" s="573"/>
      <c r="AU36" s="574"/>
      <c r="AV36" s="574"/>
      <c r="AW36" s="475" t="e">
        <f t="shared" si="23"/>
        <v>#N/A</v>
      </c>
      <c r="AX36" s="681"/>
    </row>
    <row r="37" spans="2:50">
      <c r="B37" s="667"/>
      <c r="C37" s="321">
        <v>11</v>
      </c>
      <c r="D37" s="227"/>
      <c r="E37" s="182"/>
      <c r="F37" s="569"/>
      <c r="G37" s="570"/>
      <c r="H37" s="709"/>
      <c r="I37" s="199"/>
      <c r="J37" s="199"/>
      <c r="K37" s="200"/>
      <c r="L37" s="641"/>
      <c r="M37" s="201" t="e">
        <f>RANK(K37, K$27:$K$41)</f>
        <v>#DIV/0!</v>
      </c>
      <c r="N37" s="659"/>
      <c r="O37" s="659"/>
      <c r="P37" s="573"/>
      <c r="Q37" s="574"/>
      <c r="R37" s="574"/>
      <c r="S37" s="321" t="e">
        <f t="shared" si="12"/>
        <v>#N/A</v>
      </c>
      <c r="T37" s="669"/>
      <c r="U37" s="573"/>
      <c r="V37" s="574"/>
      <c r="W37" s="574"/>
      <c r="X37" s="475" t="e">
        <f t="shared" si="13"/>
        <v>#N/A</v>
      </c>
      <c r="Y37" s="669"/>
      <c r="Z37" s="573"/>
      <c r="AA37" s="574"/>
      <c r="AB37" s="574"/>
      <c r="AC37" s="475" t="e">
        <f t="shared" si="15"/>
        <v>#N/A</v>
      </c>
      <c r="AD37" s="669"/>
      <c r="AE37" s="573"/>
      <c r="AF37" s="574"/>
      <c r="AG37" s="574"/>
      <c r="AH37" s="475" t="e">
        <f t="shared" si="17"/>
        <v>#N/A</v>
      </c>
      <c r="AI37" s="669"/>
      <c r="AJ37" s="573"/>
      <c r="AK37" s="574"/>
      <c r="AL37" s="574"/>
      <c r="AM37" s="475" t="e">
        <f t="shared" si="19"/>
        <v>#N/A</v>
      </c>
      <c r="AN37" s="669"/>
      <c r="AO37" s="573"/>
      <c r="AP37" s="574"/>
      <c r="AQ37" s="574"/>
      <c r="AR37" s="475" t="e">
        <f t="shared" si="21"/>
        <v>#N/A</v>
      </c>
      <c r="AS37" s="669"/>
      <c r="AT37" s="573"/>
      <c r="AU37" s="574"/>
      <c r="AV37" s="574"/>
      <c r="AW37" s="475" t="e">
        <f t="shared" si="23"/>
        <v>#N/A</v>
      </c>
      <c r="AX37" s="681"/>
    </row>
    <row r="38" spans="2:50">
      <c r="B38" s="667"/>
      <c r="C38" s="321">
        <v>12</v>
      </c>
      <c r="D38" s="227"/>
      <c r="E38" s="182"/>
      <c r="F38" s="569"/>
      <c r="G38" s="570"/>
      <c r="H38" s="709"/>
      <c r="I38" s="199"/>
      <c r="J38" s="199"/>
      <c r="K38" s="200"/>
      <c r="L38" s="641"/>
      <c r="M38" s="201" t="e">
        <f>RANK(K38, K$27:$K$41)</f>
        <v>#DIV/0!</v>
      </c>
      <c r="N38" s="659"/>
      <c r="O38" s="659"/>
      <c r="P38" s="573"/>
      <c r="Q38" s="574"/>
      <c r="R38" s="574"/>
      <c r="S38" s="321" t="e">
        <f t="shared" si="12"/>
        <v>#N/A</v>
      </c>
      <c r="T38" s="669"/>
      <c r="U38" s="573"/>
      <c r="V38" s="574"/>
      <c r="W38" s="574"/>
      <c r="X38" s="475" t="e">
        <f t="shared" si="13"/>
        <v>#N/A</v>
      </c>
      <c r="Y38" s="669"/>
      <c r="Z38" s="573"/>
      <c r="AA38" s="574"/>
      <c r="AB38" s="574"/>
      <c r="AC38" s="475" t="e">
        <f t="shared" si="15"/>
        <v>#N/A</v>
      </c>
      <c r="AD38" s="669"/>
      <c r="AE38" s="573"/>
      <c r="AF38" s="574"/>
      <c r="AG38" s="574"/>
      <c r="AH38" s="475" t="e">
        <f t="shared" si="17"/>
        <v>#N/A</v>
      </c>
      <c r="AI38" s="669"/>
      <c r="AJ38" s="573"/>
      <c r="AK38" s="574"/>
      <c r="AL38" s="574"/>
      <c r="AM38" s="475" t="e">
        <f t="shared" si="19"/>
        <v>#N/A</v>
      </c>
      <c r="AN38" s="669"/>
      <c r="AO38" s="573"/>
      <c r="AP38" s="574"/>
      <c r="AQ38" s="574"/>
      <c r="AR38" s="475" t="e">
        <f t="shared" si="21"/>
        <v>#N/A</v>
      </c>
      <c r="AS38" s="669"/>
      <c r="AT38" s="573"/>
      <c r="AU38" s="574"/>
      <c r="AV38" s="574"/>
      <c r="AW38" s="475" t="e">
        <f t="shared" si="23"/>
        <v>#N/A</v>
      </c>
      <c r="AX38" s="681"/>
    </row>
    <row r="39" spans="2:50">
      <c r="B39" s="667"/>
      <c r="C39" s="321">
        <v>13</v>
      </c>
      <c r="D39" s="227"/>
      <c r="E39" s="182"/>
      <c r="F39" s="569"/>
      <c r="G39" s="570"/>
      <c r="H39" s="709"/>
      <c r="I39" s="199"/>
      <c r="J39" s="199"/>
      <c r="K39" s="200"/>
      <c r="L39" s="641"/>
      <c r="M39" s="201" t="e">
        <f>RANK(K39, K$27:$K$41)</f>
        <v>#DIV/0!</v>
      </c>
      <c r="N39" s="659"/>
      <c r="O39" s="659"/>
      <c r="P39" s="573"/>
      <c r="Q39" s="574"/>
      <c r="R39" s="574"/>
      <c r="S39" s="321" t="e">
        <f t="shared" si="12"/>
        <v>#N/A</v>
      </c>
      <c r="T39" s="669"/>
      <c r="U39" s="573"/>
      <c r="V39" s="574"/>
      <c r="W39" s="574"/>
      <c r="X39" s="475" t="e">
        <f t="shared" si="13"/>
        <v>#N/A</v>
      </c>
      <c r="Y39" s="669"/>
      <c r="Z39" s="573"/>
      <c r="AA39" s="574"/>
      <c r="AB39" s="574"/>
      <c r="AC39" s="475" t="e">
        <f t="shared" si="15"/>
        <v>#N/A</v>
      </c>
      <c r="AD39" s="669"/>
      <c r="AE39" s="573"/>
      <c r="AF39" s="574"/>
      <c r="AG39" s="574"/>
      <c r="AH39" s="475" t="e">
        <f t="shared" si="17"/>
        <v>#N/A</v>
      </c>
      <c r="AI39" s="669"/>
      <c r="AJ39" s="573"/>
      <c r="AK39" s="574"/>
      <c r="AL39" s="574"/>
      <c r="AM39" s="475" t="e">
        <f t="shared" si="19"/>
        <v>#N/A</v>
      </c>
      <c r="AN39" s="669"/>
      <c r="AO39" s="573"/>
      <c r="AP39" s="574"/>
      <c r="AQ39" s="574"/>
      <c r="AR39" s="475" t="e">
        <f t="shared" si="21"/>
        <v>#N/A</v>
      </c>
      <c r="AS39" s="669"/>
      <c r="AT39" s="573"/>
      <c r="AU39" s="574"/>
      <c r="AV39" s="574"/>
      <c r="AW39" s="475" t="e">
        <f t="shared" si="23"/>
        <v>#N/A</v>
      </c>
      <c r="AX39" s="681"/>
    </row>
    <row r="40" spans="2:50">
      <c r="B40" s="667"/>
      <c r="C40" s="321">
        <v>14</v>
      </c>
      <c r="D40" s="227"/>
      <c r="E40" s="182"/>
      <c r="F40" s="569"/>
      <c r="G40" s="570"/>
      <c r="H40" s="709"/>
      <c r="I40" s="199"/>
      <c r="J40" s="199"/>
      <c r="K40" s="200"/>
      <c r="L40" s="641"/>
      <c r="M40" s="201" t="e">
        <f>RANK(K40, K$27:$K$41)</f>
        <v>#DIV/0!</v>
      </c>
      <c r="N40" s="659"/>
      <c r="O40" s="659"/>
      <c r="P40" s="573"/>
      <c r="Q40" s="574"/>
      <c r="R40" s="574"/>
      <c r="S40" s="321" t="e">
        <f t="shared" si="12"/>
        <v>#N/A</v>
      </c>
      <c r="T40" s="669"/>
      <c r="U40" s="573"/>
      <c r="V40" s="574"/>
      <c r="W40" s="574"/>
      <c r="X40" s="475" t="e">
        <f t="shared" si="13"/>
        <v>#N/A</v>
      </c>
      <c r="Y40" s="669"/>
      <c r="Z40" s="573"/>
      <c r="AA40" s="574"/>
      <c r="AB40" s="574"/>
      <c r="AC40" s="475" t="e">
        <f t="shared" si="15"/>
        <v>#N/A</v>
      </c>
      <c r="AD40" s="669"/>
      <c r="AE40" s="573"/>
      <c r="AF40" s="574"/>
      <c r="AG40" s="574"/>
      <c r="AH40" s="475" t="e">
        <f t="shared" si="17"/>
        <v>#N/A</v>
      </c>
      <c r="AI40" s="669"/>
      <c r="AJ40" s="573"/>
      <c r="AK40" s="574"/>
      <c r="AL40" s="574"/>
      <c r="AM40" s="475" t="e">
        <f t="shared" si="19"/>
        <v>#N/A</v>
      </c>
      <c r="AN40" s="669"/>
      <c r="AO40" s="573"/>
      <c r="AP40" s="574"/>
      <c r="AQ40" s="574"/>
      <c r="AR40" s="475" t="e">
        <f t="shared" si="21"/>
        <v>#N/A</v>
      </c>
      <c r="AS40" s="669"/>
      <c r="AT40" s="573"/>
      <c r="AU40" s="574"/>
      <c r="AV40" s="574"/>
      <c r="AW40" s="475" t="e">
        <f t="shared" si="23"/>
        <v>#N/A</v>
      </c>
      <c r="AX40" s="681"/>
    </row>
    <row r="41" spans="2:50">
      <c r="B41" s="667"/>
      <c r="C41" s="321">
        <v>15</v>
      </c>
      <c r="D41" s="227"/>
      <c r="E41" s="182"/>
      <c r="F41" s="569"/>
      <c r="G41" s="570"/>
      <c r="H41" s="710"/>
      <c r="I41" s="199"/>
      <c r="J41" s="199"/>
      <c r="K41" s="200"/>
      <c r="L41" s="642"/>
      <c r="M41" s="199" t="e">
        <f>RANK(K41, K$27:$K$41)</f>
        <v>#DIV/0!</v>
      </c>
      <c r="N41" s="659"/>
      <c r="O41" s="659"/>
      <c r="P41" s="573"/>
      <c r="Q41" s="574"/>
      <c r="R41" s="574"/>
      <c r="S41" s="321" t="e">
        <f t="shared" si="12"/>
        <v>#N/A</v>
      </c>
      <c r="T41" s="670"/>
      <c r="U41" s="573"/>
      <c r="V41" s="574"/>
      <c r="W41" s="574"/>
      <c r="X41" s="475" t="e">
        <f t="shared" si="13"/>
        <v>#N/A</v>
      </c>
      <c r="Y41" s="670"/>
      <c r="Z41" s="573"/>
      <c r="AA41" s="574"/>
      <c r="AB41" s="574"/>
      <c r="AC41" s="475" t="e">
        <f t="shared" si="15"/>
        <v>#N/A</v>
      </c>
      <c r="AD41" s="670"/>
      <c r="AE41" s="573"/>
      <c r="AF41" s="574"/>
      <c r="AG41" s="574"/>
      <c r="AH41" s="475" t="e">
        <f t="shared" si="17"/>
        <v>#N/A</v>
      </c>
      <c r="AI41" s="670"/>
      <c r="AJ41" s="573"/>
      <c r="AK41" s="574"/>
      <c r="AL41" s="574"/>
      <c r="AM41" s="475" t="e">
        <f t="shared" si="19"/>
        <v>#N/A</v>
      </c>
      <c r="AN41" s="670"/>
      <c r="AO41" s="573"/>
      <c r="AP41" s="574"/>
      <c r="AQ41" s="574"/>
      <c r="AR41" s="475" t="e">
        <f t="shared" si="21"/>
        <v>#N/A</v>
      </c>
      <c r="AS41" s="670"/>
      <c r="AT41" s="573"/>
      <c r="AU41" s="574"/>
      <c r="AV41" s="574"/>
      <c r="AW41" s="475" t="e">
        <f t="shared" si="23"/>
        <v>#N/A</v>
      </c>
      <c r="AX41" s="681"/>
    </row>
    <row r="42" spans="2:50" ht="15.75">
      <c r="B42" s="685" t="s">
        <v>163</v>
      </c>
      <c r="C42" s="686"/>
      <c r="D42" s="686"/>
      <c r="E42" s="686"/>
      <c r="F42" s="686"/>
      <c r="G42" s="686"/>
      <c r="H42" s="686"/>
      <c r="I42" s="208"/>
      <c r="J42" s="203"/>
      <c r="K42" s="208"/>
      <c r="L42" s="208"/>
      <c r="M42" s="204"/>
      <c r="N42" s="660" t="s">
        <v>156</v>
      </c>
      <c r="O42" s="660" t="s">
        <v>105</v>
      </c>
      <c r="P42" s="666">
        <f>P22+7</f>
        <v>46098</v>
      </c>
      <c r="Q42" s="667"/>
      <c r="R42" s="667"/>
      <c r="S42" s="667"/>
      <c r="T42" s="667"/>
      <c r="U42" s="663">
        <f>P42+1</f>
        <v>46099</v>
      </c>
      <c r="V42" s="664"/>
      <c r="W42" s="664"/>
      <c r="X42" s="664"/>
      <c r="Y42" s="665"/>
      <c r="Z42" s="663">
        <f>U42+1</f>
        <v>46100</v>
      </c>
      <c r="AA42" s="664"/>
      <c r="AB42" s="664"/>
      <c r="AC42" s="664"/>
      <c r="AD42" s="665"/>
      <c r="AE42" s="663">
        <f>Z42+1</f>
        <v>46101</v>
      </c>
      <c r="AF42" s="664"/>
      <c r="AG42" s="664"/>
      <c r="AH42" s="664"/>
      <c r="AI42" s="665"/>
      <c r="AJ42" s="663">
        <f>AE42+1</f>
        <v>46102</v>
      </c>
      <c r="AK42" s="664"/>
      <c r="AL42" s="664"/>
      <c r="AM42" s="664"/>
      <c r="AN42" s="665"/>
      <c r="AO42" s="663">
        <f>AJ42+1</f>
        <v>46103</v>
      </c>
      <c r="AP42" s="664"/>
      <c r="AQ42" s="664"/>
      <c r="AR42" s="664"/>
      <c r="AS42" s="665"/>
      <c r="AT42" s="663">
        <f>AO42+1</f>
        <v>46104</v>
      </c>
      <c r="AU42" s="664"/>
      <c r="AV42" s="664"/>
      <c r="AW42" s="664"/>
      <c r="AX42" s="665"/>
    </row>
    <row r="43" spans="2:50" ht="15.75">
      <c r="B43" s="674"/>
      <c r="C43" s="674"/>
      <c r="D43" s="674"/>
      <c r="E43" s="674"/>
      <c r="F43" s="674"/>
      <c r="G43" s="674"/>
      <c r="H43" s="674"/>
      <c r="I43" s="205"/>
      <c r="J43" s="205"/>
      <c r="K43" s="205"/>
      <c r="L43" s="205"/>
      <c r="M43" s="206"/>
      <c r="N43" s="662"/>
      <c r="O43" s="662"/>
      <c r="P43" s="666" t="s">
        <v>336</v>
      </c>
      <c r="Q43" s="667"/>
      <c r="R43" s="667"/>
      <c r="S43" s="667"/>
      <c r="T43" s="667"/>
      <c r="U43" s="666" t="s">
        <v>337</v>
      </c>
      <c r="V43" s="667"/>
      <c r="W43" s="667"/>
      <c r="X43" s="667"/>
      <c r="Y43" s="667"/>
      <c r="Z43" s="666" t="s">
        <v>338</v>
      </c>
      <c r="AA43" s="667"/>
      <c r="AB43" s="667"/>
      <c r="AC43" s="667"/>
      <c r="AD43" s="667"/>
      <c r="AE43" s="666" t="s">
        <v>339</v>
      </c>
      <c r="AF43" s="667"/>
      <c r="AG43" s="667"/>
      <c r="AH43" s="667"/>
      <c r="AI43" s="667"/>
      <c r="AJ43" s="666" t="s">
        <v>340</v>
      </c>
      <c r="AK43" s="667"/>
      <c r="AL43" s="667"/>
      <c r="AM43" s="667"/>
      <c r="AN43" s="667"/>
      <c r="AO43" s="666" t="s">
        <v>341</v>
      </c>
      <c r="AP43" s="667"/>
      <c r="AQ43" s="667"/>
      <c r="AR43" s="667"/>
      <c r="AS43" s="667"/>
      <c r="AT43" s="666" t="s">
        <v>342</v>
      </c>
      <c r="AU43" s="667"/>
      <c r="AV43" s="667"/>
      <c r="AW43" s="667"/>
      <c r="AX43" s="667"/>
    </row>
    <row r="44" spans="2:50">
      <c r="B44" s="659" t="s">
        <v>605</v>
      </c>
      <c r="C44" s="659" t="s">
        <v>606</v>
      </c>
      <c r="D44" s="659"/>
      <c r="E44" s="659" t="s">
        <v>607</v>
      </c>
      <c r="F44" s="659"/>
      <c r="G44" s="659"/>
      <c r="H44" s="675" t="s">
        <v>608</v>
      </c>
      <c r="I44" s="643" t="s">
        <v>609</v>
      </c>
      <c r="J44" s="643"/>
      <c r="K44" s="643"/>
      <c r="L44" s="644" t="s">
        <v>608</v>
      </c>
      <c r="M44" s="650" t="s">
        <v>610</v>
      </c>
      <c r="N44" s="659"/>
      <c r="O44" s="659" t="s">
        <v>611</v>
      </c>
      <c r="P44" s="656" t="s">
        <v>900</v>
      </c>
      <c r="Q44" s="657"/>
      <c r="R44" s="657"/>
      <c r="S44" s="658"/>
      <c r="T44" s="659" t="s">
        <v>901</v>
      </c>
      <c r="U44" s="656" t="s">
        <v>900</v>
      </c>
      <c r="V44" s="657"/>
      <c r="W44" s="657"/>
      <c r="X44" s="658"/>
      <c r="Y44" s="659" t="s">
        <v>901</v>
      </c>
      <c r="Z44" s="656" t="s">
        <v>900</v>
      </c>
      <c r="AA44" s="657"/>
      <c r="AB44" s="657"/>
      <c r="AC44" s="658"/>
      <c r="AD44" s="659" t="s">
        <v>901</v>
      </c>
      <c r="AE44" s="656" t="s">
        <v>900</v>
      </c>
      <c r="AF44" s="657"/>
      <c r="AG44" s="657"/>
      <c r="AH44" s="658"/>
      <c r="AI44" s="659" t="s">
        <v>901</v>
      </c>
      <c r="AJ44" s="656" t="s">
        <v>900</v>
      </c>
      <c r="AK44" s="657"/>
      <c r="AL44" s="657"/>
      <c r="AM44" s="658"/>
      <c r="AN44" s="659" t="s">
        <v>901</v>
      </c>
      <c r="AO44" s="656" t="s">
        <v>900</v>
      </c>
      <c r="AP44" s="657"/>
      <c r="AQ44" s="657"/>
      <c r="AR44" s="658"/>
      <c r="AS44" s="659" t="s">
        <v>901</v>
      </c>
      <c r="AT44" s="656" t="s">
        <v>900</v>
      </c>
      <c r="AU44" s="657"/>
      <c r="AV44" s="657"/>
      <c r="AW44" s="658"/>
      <c r="AX44" s="659" t="s">
        <v>901</v>
      </c>
    </row>
    <row r="45" spans="2:50">
      <c r="B45" s="659"/>
      <c r="C45" s="659"/>
      <c r="D45" s="659"/>
      <c r="E45" s="659" t="s">
        <v>613</v>
      </c>
      <c r="F45" s="659"/>
      <c r="G45" s="659"/>
      <c r="H45" s="676"/>
      <c r="I45" s="643" t="s">
        <v>613</v>
      </c>
      <c r="J45" s="643"/>
      <c r="K45" s="643"/>
      <c r="L45" s="645"/>
      <c r="M45" s="651"/>
      <c r="N45" s="659"/>
      <c r="O45" s="659"/>
      <c r="P45" s="656" t="s">
        <v>902</v>
      </c>
      <c r="Q45" s="657"/>
      <c r="R45" s="657"/>
      <c r="S45" s="658"/>
      <c r="T45" s="659"/>
      <c r="U45" s="656" t="s">
        <v>902</v>
      </c>
      <c r="V45" s="657"/>
      <c r="W45" s="657"/>
      <c r="X45" s="658"/>
      <c r="Y45" s="659"/>
      <c r="Z45" s="656" t="s">
        <v>902</v>
      </c>
      <c r="AA45" s="657"/>
      <c r="AB45" s="657"/>
      <c r="AC45" s="658"/>
      <c r="AD45" s="659"/>
      <c r="AE45" s="656" t="s">
        <v>902</v>
      </c>
      <c r="AF45" s="657"/>
      <c r="AG45" s="657"/>
      <c r="AH45" s="658"/>
      <c r="AI45" s="659"/>
      <c r="AJ45" s="656" t="s">
        <v>902</v>
      </c>
      <c r="AK45" s="657"/>
      <c r="AL45" s="657"/>
      <c r="AM45" s="658"/>
      <c r="AN45" s="659"/>
      <c r="AO45" s="656" t="s">
        <v>902</v>
      </c>
      <c r="AP45" s="657"/>
      <c r="AQ45" s="657"/>
      <c r="AR45" s="658"/>
      <c r="AS45" s="659"/>
      <c r="AT45" s="656" t="s">
        <v>902</v>
      </c>
      <c r="AU45" s="657"/>
      <c r="AV45" s="657"/>
      <c r="AW45" s="658"/>
      <c r="AX45" s="659"/>
    </row>
    <row r="46" spans="2:50">
      <c r="B46" s="659"/>
      <c r="C46" s="659"/>
      <c r="D46" s="659"/>
      <c r="E46" s="326" t="s">
        <v>615</v>
      </c>
      <c r="F46" s="326" t="s">
        <v>616</v>
      </c>
      <c r="G46" s="326" t="s">
        <v>617</v>
      </c>
      <c r="H46" s="677"/>
      <c r="I46" s="325" t="s">
        <v>615</v>
      </c>
      <c r="J46" s="325" t="s">
        <v>616</v>
      </c>
      <c r="K46" s="325" t="s">
        <v>617</v>
      </c>
      <c r="L46" s="646"/>
      <c r="M46" s="652"/>
      <c r="N46" s="659"/>
      <c r="O46" s="659"/>
      <c r="P46" s="532" t="s">
        <v>903</v>
      </c>
      <c r="Q46" s="532" t="s">
        <v>904</v>
      </c>
      <c r="R46" s="532" t="s">
        <v>905</v>
      </c>
      <c r="S46" s="532" t="s">
        <v>906</v>
      </c>
      <c r="T46" s="659"/>
      <c r="U46" s="532" t="s">
        <v>903</v>
      </c>
      <c r="V46" s="532" t="s">
        <v>904</v>
      </c>
      <c r="W46" s="532" t="s">
        <v>905</v>
      </c>
      <c r="X46" s="532" t="s">
        <v>906</v>
      </c>
      <c r="Y46" s="659"/>
      <c r="Z46" s="532" t="s">
        <v>903</v>
      </c>
      <c r="AA46" s="532" t="s">
        <v>904</v>
      </c>
      <c r="AB46" s="532" t="s">
        <v>905</v>
      </c>
      <c r="AC46" s="532" t="s">
        <v>906</v>
      </c>
      <c r="AD46" s="659"/>
      <c r="AE46" s="532" t="s">
        <v>903</v>
      </c>
      <c r="AF46" s="532" t="s">
        <v>904</v>
      </c>
      <c r="AG46" s="532" t="s">
        <v>905</v>
      </c>
      <c r="AH46" s="532" t="s">
        <v>906</v>
      </c>
      <c r="AI46" s="659"/>
      <c r="AJ46" s="532" t="s">
        <v>903</v>
      </c>
      <c r="AK46" s="532" t="s">
        <v>904</v>
      </c>
      <c r="AL46" s="532" t="s">
        <v>905</v>
      </c>
      <c r="AM46" s="532" t="s">
        <v>906</v>
      </c>
      <c r="AN46" s="659"/>
      <c r="AO46" s="532" t="s">
        <v>903</v>
      </c>
      <c r="AP46" s="532" t="s">
        <v>904</v>
      </c>
      <c r="AQ46" s="532" t="s">
        <v>905</v>
      </c>
      <c r="AR46" s="532" t="s">
        <v>906</v>
      </c>
      <c r="AS46" s="659"/>
      <c r="AT46" s="532" t="s">
        <v>903</v>
      </c>
      <c r="AU46" s="532" t="s">
        <v>904</v>
      </c>
      <c r="AV46" s="532" t="s">
        <v>905</v>
      </c>
      <c r="AW46" s="532" t="s">
        <v>906</v>
      </c>
      <c r="AX46" s="659"/>
    </row>
    <row r="47" spans="2:50">
      <c r="B47" s="659" t="s">
        <v>621</v>
      </c>
      <c r="C47" s="327">
        <v>1</v>
      </c>
      <c r="D47" s="227"/>
      <c r="E47" s="182"/>
      <c r="F47" s="569"/>
      <c r="G47" s="570"/>
      <c r="H47" s="708" t="e">
        <f>AVERAGE(G47:G61)</f>
        <v>#DIV/0!</v>
      </c>
      <c r="I47" s="199" t="e">
        <f t="shared" ref="I47:K51" si="28">AVERAGE(P47,U47,Z47,AE47,AJ47,AO47,AT47)</f>
        <v>#DIV/0!</v>
      </c>
      <c r="J47" s="199" t="e">
        <f t="shared" si="28"/>
        <v>#DIV/0!</v>
      </c>
      <c r="K47" s="200" t="e">
        <f t="shared" si="28"/>
        <v>#DIV/0!</v>
      </c>
      <c r="L47" s="640" t="str">
        <f>IFERROR(AVERAGE(K47:K61),"-")</f>
        <v>-</v>
      </c>
      <c r="M47" s="201" t="e">
        <f>RANK(K47, K$47:$K$61)</f>
        <v>#DIV/0!</v>
      </c>
      <c r="N47" s="659"/>
      <c r="O47" s="659"/>
      <c r="P47" s="573"/>
      <c r="Q47" s="574"/>
      <c r="R47" s="574"/>
      <c r="S47" s="533" t="e">
        <f>RANK(R47, R$47:R$61)</f>
        <v>#N/A</v>
      </c>
      <c r="T47" s="681" t="e">
        <f>AVERAGE(R47:R61)</f>
        <v>#DIV/0!</v>
      </c>
      <c r="U47" s="573"/>
      <c r="V47" s="574"/>
      <c r="W47" s="574"/>
      <c r="X47" s="533" t="e">
        <f>RANK(W47, W$47:W$61)</f>
        <v>#N/A</v>
      </c>
      <c r="Y47" s="681" t="e">
        <f>AVERAGE(W47:W61)</f>
        <v>#DIV/0!</v>
      </c>
      <c r="Z47" s="573"/>
      <c r="AA47" s="574"/>
      <c r="AB47" s="574"/>
      <c r="AC47" s="533" t="e">
        <f>RANK(AB47, AB$47:AB$61)</f>
        <v>#N/A</v>
      </c>
      <c r="AD47" s="681" t="e">
        <f>AVERAGE(AB47:AB61)</f>
        <v>#DIV/0!</v>
      </c>
      <c r="AE47" s="573"/>
      <c r="AF47" s="574"/>
      <c r="AG47" s="574"/>
      <c r="AH47" s="533" t="e">
        <f>RANK(AG47, AG$47:AG$61)</f>
        <v>#N/A</v>
      </c>
      <c r="AI47" s="681" t="e">
        <f>AVERAGE(AG47:AG61)</f>
        <v>#DIV/0!</v>
      </c>
      <c r="AJ47" s="573"/>
      <c r="AK47" s="574"/>
      <c r="AL47" s="574"/>
      <c r="AM47" s="533" t="e">
        <f>RANK(AL47, AL$47:AL$61)</f>
        <v>#N/A</v>
      </c>
      <c r="AN47" s="681" t="e">
        <f>AVERAGE(AL47:AL61)</f>
        <v>#DIV/0!</v>
      </c>
      <c r="AO47" s="573"/>
      <c r="AP47" s="574"/>
      <c r="AQ47" s="574"/>
      <c r="AR47" s="533" t="e">
        <f>RANK(AQ47, AQ$47:AQ$61)</f>
        <v>#N/A</v>
      </c>
      <c r="AS47" s="681" t="e">
        <f>AVERAGE(AQ47:AQ61)</f>
        <v>#DIV/0!</v>
      </c>
      <c r="AT47" s="573"/>
      <c r="AU47" s="574"/>
      <c r="AV47" s="574"/>
      <c r="AW47" s="533" t="e">
        <f>RANK(AV47, AV$47:AV$61)</f>
        <v>#N/A</v>
      </c>
      <c r="AX47" s="681" t="e">
        <f>AVERAGE(AV47:AV61)</f>
        <v>#DIV/0!</v>
      </c>
    </row>
    <row r="48" spans="2:50">
      <c r="B48" s="667"/>
      <c r="C48" s="327">
        <v>2</v>
      </c>
      <c r="D48" s="227"/>
      <c r="E48" s="182"/>
      <c r="F48" s="569"/>
      <c r="G48" s="570"/>
      <c r="H48" s="709"/>
      <c r="I48" s="199" t="e">
        <f t="shared" si="28"/>
        <v>#DIV/0!</v>
      </c>
      <c r="J48" s="199" t="e">
        <f t="shared" si="28"/>
        <v>#DIV/0!</v>
      </c>
      <c r="K48" s="200" t="e">
        <f t="shared" si="28"/>
        <v>#DIV/0!</v>
      </c>
      <c r="L48" s="641"/>
      <c r="M48" s="201" t="e">
        <f>RANK(K48, K$47:$K$61)</f>
        <v>#DIV/0!</v>
      </c>
      <c r="N48" s="659"/>
      <c r="O48" s="659"/>
      <c r="P48" s="573"/>
      <c r="Q48" s="574"/>
      <c r="R48" s="574"/>
      <c r="S48" s="533" t="e">
        <f t="shared" ref="S48:S54" si="29">RANK(R48, R$47:R$61)</f>
        <v>#N/A</v>
      </c>
      <c r="T48" s="681"/>
      <c r="U48" s="573"/>
      <c r="V48" s="574"/>
      <c r="W48" s="574"/>
      <c r="X48" s="533" t="e">
        <f t="shared" ref="X48:X54" si="30">RANK(W48, W$47:W$61)</f>
        <v>#N/A</v>
      </c>
      <c r="Y48" s="681"/>
      <c r="Z48" s="573"/>
      <c r="AA48" s="574"/>
      <c r="AB48" s="574"/>
      <c r="AC48" s="533" t="e">
        <f t="shared" ref="AC48:AC54" si="31">RANK(AB48, AB$47:AB$61)</f>
        <v>#N/A</v>
      </c>
      <c r="AD48" s="681"/>
      <c r="AE48" s="573"/>
      <c r="AF48" s="574"/>
      <c r="AG48" s="574"/>
      <c r="AH48" s="533" t="e">
        <f t="shared" ref="AH48:AH54" si="32">RANK(AG48, AG$47:AG$61)</f>
        <v>#N/A</v>
      </c>
      <c r="AI48" s="681"/>
      <c r="AJ48" s="573"/>
      <c r="AK48" s="574"/>
      <c r="AL48" s="574"/>
      <c r="AM48" s="533" t="e">
        <f t="shared" ref="AM48:AM54" si="33">RANK(AL48, AL$47:AL$61)</f>
        <v>#N/A</v>
      </c>
      <c r="AN48" s="681"/>
      <c r="AO48" s="573"/>
      <c r="AP48" s="574"/>
      <c r="AQ48" s="574"/>
      <c r="AR48" s="533" t="e">
        <f t="shared" ref="AR48:AR54" si="34">RANK(AQ48, AQ$47:AQ$61)</f>
        <v>#N/A</v>
      </c>
      <c r="AS48" s="681"/>
      <c r="AT48" s="573"/>
      <c r="AU48" s="574"/>
      <c r="AV48" s="574"/>
      <c r="AW48" s="533" t="e">
        <f t="shared" ref="AW48:AW54" si="35">RANK(AV48, AV$47:AV$61)</f>
        <v>#N/A</v>
      </c>
      <c r="AX48" s="681"/>
    </row>
    <row r="49" spans="2:50">
      <c r="B49" s="667"/>
      <c r="C49" s="327">
        <v>3</v>
      </c>
      <c r="D49" s="227"/>
      <c r="E49" s="182"/>
      <c r="F49" s="569"/>
      <c r="G49" s="570"/>
      <c r="H49" s="709"/>
      <c r="I49" s="199" t="e">
        <f t="shared" si="28"/>
        <v>#DIV/0!</v>
      </c>
      <c r="J49" s="199" t="e">
        <f t="shared" si="28"/>
        <v>#DIV/0!</v>
      </c>
      <c r="K49" s="200" t="e">
        <f t="shared" si="28"/>
        <v>#DIV/0!</v>
      </c>
      <c r="L49" s="641"/>
      <c r="M49" s="201" t="e">
        <f>RANK(K49, K$47:$K$61)</f>
        <v>#DIV/0!</v>
      </c>
      <c r="N49" s="659"/>
      <c r="O49" s="659"/>
      <c r="P49" s="573"/>
      <c r="Q49" s="574"/>
      <c r="R49" s="574"/>
      <c r="S49" s="533" t="e">
        <f t="shared" si="29"/>
        <v>#N/A</v>
      </c>
      <c r="T49" s="681"/>
      <c r="U49" s="573"/>
      <c r="V49" s="574"/>
      <c r="W49" s="574"/>
      <c r="X49" s="533" t="e">
        <f t="shared" si="30"/>
        <v>#N/A</v>
      </c>
      <c r="Y49" s="681"/>
      <c r="Z49" s="573"/>
      <c r="AA49" s="574"/>
      <c r="AB49" s="574"/>
      <c r="AC49" s="533" t="e">
        <f t="shared" si="31"/>
        <v>#N/A</v>
      </c>
      <c r="AD49" s="681"/>
      <c r="AE49" s="573"/>
      <c r="AF49" s="574"/>
      <c r="AG49" s="574"/>
      <c r="AH49" s="533" t="e">
        <f t="shared" si="32"/>
        <v>#N/A</v>
      </c>
      <c r="AI49" s="681"/>
      <c r="AJ49" s="573"/>
      <c r="AK49" s="574"/>
      <c r="AL49" s="574"/>
      <c r="AM49" s="533" t="e">
        <f t="shared" si="33"/>
        <v>#N/A</v>
      </c>
      <c r="AN49" s="681"/>
      <c r="AO49" s="573"/>
      <c r="AP49" s="574"/>
      <c r="AQ49" s="574"/>
      <c r="AR49" s="533" t="e">
        <f t="shared" si="34"/>
        <v>#N/A</v>
      </c>
      <c r="AS49" s="681"/>
      <c r="AT49" s="573"/>
      <c r="AU49" s="574"/>
      <c r="AV49" s="574"/>
      <c r="AW49" s="533" t="e">
        <f t="shared" si="35"/>
        <v>#N/A</v>
      </c>
      <c r="AX49" s="681"/>
    </row>
    <row r="50" spans="2:50">
      <c r="B50" s="667"/>
      <c r="C50" s="327">
        <v>4</v>
      </c>
      <c r="D50" s="227"/>
      <c r="E50" s="182"/>
      <c r="F50" s="569"/>
      <c r="G50" s="570"/>
      <c r="H50" s="709"/>
      <c r="I50" s="199" t="e">
        <f t="shared" si="28"/>
        <v>#DIV/0!</v>
      </c>
      <c r="J50" s="199" t="e">
        <f t="shared" si="28"/>
        <v>#DIV/0!</v>
      </c>
      <c r="K50" s="200" t="e">
        <f t="shared" si="28"/>
        <v>#DIV/0!</v>
      </c>
      <c r="L50" s="641"/>
      <c r="M50" s="201" t="e">
        <f>RANK(K50, K$47:$K$61)</f>
        <v>#DIV/0!</v>
      </c>
      <c r="N50" s="659"/>
      <c r="O50" s="659"/>
      <c r="P50" s="573"/>
      <c r="Q50" s="574"/>
      <c r="R50" s="574"/>
      <c r="S50" s="533" t="e">
        <f t="shared" si="29"/>
        <v>#N/A</v>
      </c>
      <c r="T50" s="681"/>
      <c r="U50" s="573"/>
      <c r="V50" s="574"/>
      <c r="W50" s="574"/>
      <c r="X50" s="533" t="e">
        <f t="shared" si="30"/>
        <v>#N/A</v>
      </c>
      <c r="Y50" s="681"/>
      <c r="Z50" s="573"/>
      <c r="AA50" s="574"/>
      <c r="AB50" s="574"/>
      <c r="AC50" s="533" t="e">
        <f t="shared" si="31"/>
        <v>#N/A</v>
      </c>
      <c r="AD50" s="681"/>
      <c r="AE50" s="573"/>
      <c r="AF50" s="574"/>
      <c r="AG50" s="574"/>
      <c r="AH50" s="533" t="e">
        <f t="shared" si="32"/>
        <v>#N/A</v>
      </c>
      <c r="AI50" s="681"/>
      <c r="AJ50" s="573"/>
      <c r="AK50" s="574"/>
      <c r="AL50" s="574"/>
      <c r="AM50" s="533" t="e">
        <f t="shared" si="33"/>
        <v>#N/A</v>
      </c>
      <c r="AN50" s="681"/>
      <c r="AO50" s="573"/>
      <c r="AP50" s="574"/>
      <c r="AQ50" s="574"/>
      <c r="AR50" s="533" t="e">
        <f t="shared" si="34"/>
        <v>#N/A</v>
      </c>
      <c r="AS50" s="681"/>
      <c r="AT50" s="573"/>
      <c r="AU50" s="574"/>
      <c r="AV50" s="574"/>
      <c r="AW50" s="533" t="e">
        <f t="shared" si="35"/>
        <v>#N/A</v>
      </c>
      <c r="AX50" s="681"/>
    </row>
    <row r="51" spans="2:50">
      <c r="B51" s="667"/>
      <c r="C51" s="327">
        <v>5</v>
      </c>
      <c r="D51" s="227"/>
      <c r="E51" s="182"/>
      <c r="F51" s="569"/>
      <c r="G51" s="570"/>
      <c r="H51" s="709"/>
      <c r="I51" s="199" t="e">
        <f t="shared" si="28"/>
        <v>#DIV/0!</v>
      </c>
      <c r="J51" s="199" t="e">
        <f t="shared" si="28"/>
        <v>#DIV/0!</v>
      </c>
      <c r="K51" s="200" t="e">
        <f t="shared" si="28"/>
        <v>#DIV/0!</v>
      </c>
      <c r="L51" s="641"/>
      <c r="M51" s="201" t="e">
        <f>RANK(K51, K$47:$K$61)</f>
        <v>#DIV/0!</v>
      </c>
      <c r="N51" s="659"/>
      <c r="O51" s="659"/>
      <c r="P51" s="573"/>
      <c r="Q51" s="574"/>
      <c r="R51" s="574"/>
      <c r="S51" s="533" t="e">
        <f>RANK(R51, R$47:R$61)</f>
        <v>#N/A</v>
      </c>
      <c r="T51" s="681"/>
      <c r="U51" s="573"/>
      <c r="V51" s="574"/>
      <c r="W51" s="574"/>
      <c r="X51" s="533" t="e">
        <f>RANK(W51, W$47:W$61)</f>
        <v>#N/A</v>
      </c>
      <c r="Y51" s="681"/>
      <c r="Z51" s="573"/>
      <c r="AA51" s="574"/>
      <c r="AB51" s="574"/>
      <c r="AC51" s="533" t="e">
        <f>RANK(AB51, AB$47:AB$61)</f>
        <v>#N/A</v>
      </c>
      <c r="AD51" s="681"/>
      <c r="AE51" s="573"/>
      <c r="AF51" s="574"/>
      <c r="AG51" s="574"/>
      <c r="AH51" s="533" t="e">
        <f>RANK(AG51, AG$47:AG$61)</f>
        <v>#N/A</v>
      </c>
      <c r="AI51" s="681"/>
      <c r="AJ51" s="573"/>
      <c r="AK51" s="574"/>
      <c r="AL51" s="574"/>
      <c r="AM51" s="533" t="e">
        <f>RANK(AL51, AL$47:AL$61)</f>
        <v>#N/A</v>
      </c>
      <c r="AN51" s="681"/>
      <c r="AO51" s="573"/>
      <c r="AP51" s="574"/>
      <c r="AQ51" s="574"/>
      <c r="AR51" s="533" t="e">
        <f>RANK(AQ51, AQ$47:AQ$61)</f>
        <v>#N/A</v>
      </c>
      <c r="AS51" s="681"/>
      <c r="AT51" s="573"/>
      <c r="AU51" s="574"/>
      <c r="AV51" s="574"/>
      <c r="AW51" s="533" t="e">
        <f>RANK(AV51, AV$47:AV$61)</f>
        <v>#N/A</v>
      </c>
      <c r="AX51" s="681"/>
    </row>
    <row r="52" spans="2:50">
      <c r="B52" s="667"/>
      <c r="C52" s="327">
        <v>6</v>
      </c>
      <c r="D52" s="227"/>
      <c r="E52" s="182"/>
      <c r="F52" s="569"/>
      <c r="G52" s="570"/>
      <c r="H52" s="709"/>
      <c r="I52" s="427" t="e">
        <f t="shared" ref="I52:I53" si="36">AVERAGE(P52,U52,Z52,AE52,AJ52,AO52,AT52)</f>
        <v>#DIV/0!</v>
      </c>
      <c r="J52" s="427" t="e">
        <f t="shared" ref="J52:J53" si="37">AVERAGE(Q52,V52,AA52,AF52,AK52,AP52,AU52)</f>
        <v>#DIV/0!</v>
      </c>
      <c r="K52" s="200" t="e">
        <f t="shared" ref="K52:K53" si="38">AVERAGE(R52,W52,AB52,AG52,AL52,AQ52,AV52)</f>
        <v>#DIV/0!</v>
      </c>
      <c r="L52" s="641"/>
      <c r="M52" s="201" t="e">
        <f>RANK(K52, K$47:$K$61)</f>
        <v>#DIV/0!</v>
      </c>
      <c r="N52" s="659"/>
      <c r="O52" s="659"/>
      <c r="P52" s="573"/>
      <c r="Q52" s="574"/>
      <c r="R52" s="574"/>
      <c r="S52" s="533" t="e">
        <f t="shared" si="29"/>
        <v>#N/A</v>
      </c>
      <c r="T52" s="681"/>
      <c r="U52" s="573"/>
      <c r="V52" s="574"/>
      <c r="W52" s="574"/>
      <c r="X52" s="533" t="e">
        <f t="shared" si="30"/>
        <v>#N/A</v>
      </c>
      <c r="Y52" s="681"/>
      <c r="Z52" s="573"/>
      <c r="AA52" s="574"/>
      <c r="AB52" s="574"/>
      <c r="AC52" s="533" t="e">
        <f t="shared" si="31"/>
        <v>#N/A</v>
      </c>
      <c r="AD52" s="681"/>
      <c r="AE52" s="573"/>
      <c r="AF52" s="574"/>
      <c r="AG52" s="574"/>
      <c r="AH52" s="533" t="e">
        <f t="shared" si="32"/>
        <v>#N/A</v>
      </c>
      <c r="AI52" s="681"/>
      <c r="AJ52" s="573"/>
      <c r="AK52" s="574"/>
      <c r="AL52" s="574"/>
      <c r="AM52" s="533" t="e">
        <f t="shared" si="33"/>
        <v>#N/A</v>
      </c>
      <c r="AN52" s="681"/>
      <c r="AO52" s="573"/>
      <c r="AP52" s="574"/>
      <c r="AQ52" s="574"/>
      <c r="AR52" s="533" t="e">
        <f t="shared" si="34"/>
        <v>#N/A</v>
      </c>
      <c r="AS52" s="681"/>
      <c r="AT52" s="573"/>
      <c r="AU52" s="574"/>
      <c r="AV52" s="574"/>
      <c r="AW52" s="533" t="e">
        <f t="shared" si="35"/>
        <v>#N/A</v>
      </c>
      <c r="AX52" s="681"/>
    </row>
    <row r="53" spans="2:50">
      <c r="B53" s="667"/>
      <c r="C53" s="327">
        <v>7</v>
      </c>
      <c r="D53" s="227"/>
      <c r="E53" s="182"/>
      <c r="F53" s="569"/>
      <c r="G53" s="570"/>
      <c r="H53" s="709"/>
      <c r="I53" s="427" t="e">
        <f t="shared" si="36"/>
        <v>#DIV/0!</v>
      </c>
      <c r="J53" s="427" t="e">
        <f t="shared" si="37"/>
        <v>#DIV/0!</v>
      </c>
      <c r="K53" s="200" t="e">
        <f t="shared" si="38"/>
        <v>#DIV/0!</v>
      </c>
      <c r="L53" s="641"/>
      <c r="M53" s="201" t="e">
        <f>RANK(K53, K$47:$K$61)</f>
        <v>#DIV/0!</v>
      </c>
      <c r="N53" s="659"/>
      <c r="O53" s="659"/>
      <c r="P53" s="573"/>
      <c r="Q53" s="574"/>
      <c r="R53" s="574"/>
      <c r="S53" s="533" t="e">
        <f t="shared" si="29"/>
        <v>#N/A</v>
      </c>
      <c r="T53" s="681"/>
      <c r="U53" s="573"/>
      <c r="V53" s="574"/>
      <c r="W53" s="574"/>
      <c r="X53" s="533" t="e">
        <f t="shared" si="30"/>
        <v>#N/A</v>
      </c>
      <c r="Y53" s="681"/>
      <c r="Z53" s="573"/>
      <c r="AA53" s="574"/>
      <c r="AB53" s="574"/>
      <c r="AC53" s="533" t="e">
        <f t="shared" si="31"/>
        <v>#N/A</v>
      </c>
      <c r="AD53" s="681"/>
      <c r="AE53" s="573"/>
      <c r="AF53" s="574"/>
      <c r="AG53" s="574"/>
      <c r="AH53" s="533" t="e">
        <f t="shared" si="32"/>
        <v>#N/A</v>
      </c>
      <c r="AI53" s="681"/>
      <c r="AJ53" s="573"/>
      <c r="AK53" s="574"/>
      <c r="AL53" s="574"/>
      <c r="AM53" s="533" t="e">
        <f t="shared" si="33"/>
        <v>#N/A</v>
      </c>
      <c r="AN53" s="681"/>
      <c r="AO53" s="573"/>
      <c r="AP53" s="574"/>
      <c r="AQ53" s="574"/>
      <c r="AR53" s="533" t="e">
        <f t="shared" si="34"/>
        <v>#N/A</v>
      </c>
      <c r="AS53" s="681"/>
      <c r="AT53" s="573"/>
      <c r="AU53" s="574"/>
      <c r="AV53" s="574"/>
      <c r="AW53" s="533" t="e">
        <f t="shared" si="35"/>
        <v>#N/A</v>
      </c>
      <c r="AX53" s="681"/>
    </row>
    <row r="54" spans="2:50">
      <c r="B54" s="667"/>
      <c r="C54" s="327">
        <v>8</v>
      </c>
      <c r="D54" s="227"/>
      <c r="E54" s="182"/>
      <c r="F54" s="569"/>
      <c r="G54" s="570"/>
      <c r="H54" s="709"/>
      <c r="I54" s="463"/>
      <c r="J54" s="463"/>
      <c r="K54" s="200"/>
      <c r="L54" s="641"/>
      <c r="M54" s="201" t="e">
        <f>RANK(K54, K$47:$K$61)</f>
        <v>#DIV/0!</v>
      </c>
      <c r="N54" s="659"/>
      <c r="O54" s="659"/>
      <c r="P54" s="573"/>
      <c r="Q54" s="574"/>
      <c r="R54" s="574"/>
      <c r="S54" s="533" t="e">
        <f t="shared" si="29"/>
        <v>#N/A</v>
      </c>
      <c r="T54" s="681"/>
      <c r="U54" s="573"/>
      <c r="V54" s="574"/>
      <c r="W54" s="574"/>
      <c r="X54" s="533" t="e">
        <f t="shared" si="30"/>
        <v>#N/A</v>
      </c>
      <c r="Y54" s="681"/>
      <c r="Z54" s="573"/>
      <c r="AA54" s="574"/>
      <c r="AB54" s="574"/>
      <c r="AC54" s="533" t="e">
        <f t="shared" si="31"/>
        <v>#N/A</v>
      </c>
      <c r="AD54" s="681"/>
      <c r="AE54" s="573"/>
      <c r="AF54" s="574"/>
      <c r="AG54" s="574"/>
      <c r="AH54" s="533" t="e">
        <f t="shared" si="32"/>
        <v>#N/A</v>
      </c>
      <c r="AI54" s="681"/>
      <c r="AJ54" s="573"/>
      <c r="AK54" s="574"/>
      <c r="AL54" s="574"/>
      <c r="AM54" s="533" t="e">
        <f t="shared" si="33"/>
        <v>#N/A</v>
      </c>
      <c r="AN54" s="681"/>
      <c r="AO54" s="573"/>
      <c r="AP54" s="574"/>
      <c r="AQ54" s="574"/>
      <c r="AR54" s="533" t="e">
        <f t="shared" si="34"/>
        <v>#N/A</v>
      </c>
      <c r="AS54" s="681"/>
      <c r="AT54" s="573"/>
      <c r="AU54" s="574"/>
      <c r="AV54" s="574"/>
      <c r="AW54" s="533" t="e">
        <f t="shared" si="35"/>
        <v>#N/A</v>
      </c>
      <c r="AX54" s="681"/>
    </row>
    <row r="55" spans="2:50">
      <c r="B55" s="667"/>
      <c r="C55" s="327">
        <v>9</v>
      </c>
      <c r="D55" s="227"/>
      <c r="E55" s="182"/>
      <c r="F55" s="569"/>
      <c r="G55" s="570"/>
      <c r="H55" s="709"/>
      <c r="I55" s="199"/>
      <c r="J55" s="199"/>
      <c r="K55" s="200"/>
      <c r="L55" s="641"/>
      <c r="M55" s="201" t="e">
        <f>RANK(K55, K$47:$K$61)</f>
        <v>#DIV/0!</v>
      </c>
      <c r="N55" s="659"/>
      <c r="O55" s="659"/>
      <c r="P55" s="573"/>
      <c r="Q55" s="574"/>
      <c r="R55" s="574"/>
      <c r="S55" s="533"/>
      <c r="T55" s="681"/>
      <c r="U55" s="573"/>
      <c r="V55" s="574"/>
      <c r="W55" s="574"/>
      <c r="X55" s="533"/>
      <c r="Y55" s="681"/>
      <c r="Z55" s="573"/>
      <c r="AA55" s="574"/>
      <c r="AB55" s="574"/>
      <c r="AC55" s="533"/>
      <c r="AD55" s="681"/>
      <c r="AE55" s="573"/>
      <c r="AF55" s="574"/>
      <c r="AG55" s="574"/>
      <c r="AH55" s="533"/>
      <c r="AI55" s="681"/>
      <c r="AJ55" s="573"/>
      <c r="AK55" s="574"/>
      <c r="AL55" s="574"/>
      <c r="AM55" s="533"/>
      <c r="AN55" s="681"/>
      <c r="AO55" s="573"/>
      <c r="AP55" s="574"/>
      <c r="AQ55" s="574"/>
      <c r="AR55" s="533"/>
      <c r="AS55" s="681"/>
      <c r="AT55" s="573"/>
      <c r="AU55" s="574"/>
      <c r="AV55" s="574"/>
      <c r="AW55" s="533"/>
      <c r="AX55" s="681"/>
    </row>
    <row r="56" spans="2:50">
      <c r="B56" s="667"/>
      <c r="C56" s="327">
        <v>10</v>
      </c>
      <c r="D56" s="227"/>
      <c r="E56" s="182"/>
      <c r="F56" s="569"/>
      <c r="G56" s="570"/>
      <c r="H56" s="709"/>
      <c r="I56" s="199"/>
      <c r="J56" s="199"/>
      <c r="K56" s="200"/>
      <c r="L56" s="641"/>
      <c r="M56" s="201" t="e">
        <f>RANK(K56, K$47:$K$61)</f>
        <v>#DIV/0!</v>
      </c>
      <c r="N56" s="659"/>
      <c r="O56" s="659"/>
      <c r="P56" s="573"/>
      <c r="Q56" s="574"/>
      <c r="R56" s="574"/>
      <c r="S56" s="533"/>
      <c r="T56" s="681"/>
      <c r="U56" s="573"/>
      <c r="V56" s="574"/>
      <c r="W56" s="574"/>
      <c r="X56" s="533"/>
      <c r="Y56" s="681"/>
      <c r="Z56" s="573"/>
      <c r="AA56" s="574"/>
      <c r="AB56" s="574"/>
      <c r="AC56" s="533"/>
      <c r="AD56" s="681"/>
      <c r="AE56" s="573"/>
      <c r="AF56" s="574"/>
      <c r="AG56" s="574"/>
      <c r="AH56" s="533"/>
      <c r="AI56" s="681"/>
      <c r="AJ56" s="573"/>
      <c r="AK56" s="574"/>
      <c r="AL56" s="574"/>
      <c r="AM56" s="533"/>
      <c r="AN56" s="681"/>
      <c r="AO56" s="573"/>
      <c r="AP56" s="574"/>
      <c r="AQ56" s="574"/>
      <c r="AR56" s="533"/>
      <c r="AS56" s="681"/>
      <c r="AT56" s="573"/>
      <c r="AU56" s="574"/>
      <c r="AV56" s="574"/>
      <c r="AW56" s="533"/>
      <c r="AX56" s="681"/>
    </row>
    <row r="57" spans="2:50">
      <c r="B57" s="667"/>
      <c r="C57" s="327">
        <v>11</v>
      </c>
      <c r="D57" s="227"/>
      <c r="E57" s="182"/>
      <c r="F57" s="569"/>
      <c r="G57" s="570"/>
      <c r="H57" s="709"/>
      <c r="I57" s="199"/>
      <c r="J57" s="199"/>
      <c r="K57" s="200"/>
      <c r="L57" s="641"/>
      <c r="M57" s="201" t="e">
        <f>RANK(K57, K$47:$K$61)</f>
        <v>#DIV/0!</v>
      </c>
      <c r="N57" s="659"/>
      <c r="O57" s="659"/>
      <c r="P57" s="573"/>
      <c r="Q57" s="574"/>
      <c r="R57" s="574"/>
      <c r="S57" s="533"/>
      <c r="T57" s="681"/>
      <c r="U57" s="573"/>
      <c r="V57" s="574"/>
      <c r="W57" s="574"/>
      <c r="X57" s="533"/>
      <c r="Y57" s="681"/>
      <c r="Z57" s="573"/>
      <c r="AA57" s="574"/>
      <c r="AB57" s="574"/>
      <c r="AC57" s="533"/>
      <c r="AD57" s="681"/>
      <c r="AE57" s="573"/>
      <c r="AF57" s="574"/>
      <c r="AG57" s="574"/>
      <c r="AH57" s="533"/>
      <c r="AI57" s="681"/>
      <c r="AJ57" s="573"/>
      <c r="AK57" s="574"/>
      <c r="AL57" s="574"/>
      <c r="AM57" s="533"/>
      <c r="AN57" s="681"/>
      <c r="AO57" s="573"/>
      <c r="AP57" s="574"/>
      <c r="AQ57" s="574"/>
      <c r="AR57" s="533"/>
      <c r="AS57" s="681"/>
      <c r="AT57" s="573"/>
      <c r="AU57" s="574"/>
      <c r="AV57" s="574"/>
      <c r="AW57" s="533"/>
      <c r="AX57" s="681"/>
    </row>
    <row r="58" spans="2:50">
      <c r="B58" s="667"/>
      <c r="C58" s="327">
        <v>12</v>
      </c>
      <c r="D58" s="227"/>
      <c r="E58" s="182"/>
      <c r="F58" s="569"/>
      <c r="G58" s="570"/>
      <c r="H58" s="709"/>
      <c r="I58" s="199"/>
      <c r="J58" s="199"/>
      <c r="K58" s="200"/>
      <c r="L58" s="641"/>
      <c r="M58" s="201" t="e">
        <f>RANK(K58, K$47:$K$61)</f>
        <v>#DIV/0!</v>
      </c>
      <c r="N58" s="659"/>
      <c r="O58" s="659"/>
      <c r="P58" s="573"/>
      <c r="Q58" s="574"/>
      <c r="R58" s="574"/>
      <c r="S58" s="533"/>
      <c r="T58" s="681"/>
      <c r="U58" s="573"/>
      <c r="V58" s="574"/>
      <c r="W58" s="574"/>
      <c r="X58" s="533"/>
      <c r="Y58" s="681"/>
      <c r="Z58" s="573"/>
      <c r="AA58" s="574"/>
      <c r="AB58" s="574"/>
      <c r="AC58" s="533"/>
      <c r="AD58" s="681"/>
      <c r="AE58" s="573"/>
      <c r="AF58" s="574"/>
      <c r="AG58" s="574"/>
      <c r="AH58" s="533"/>
      <c r="AI58" s="681"/>
      <c r="AJ58" s="573"/>
      <c r="AK58" s="574"/>
      <c r="AL58" s="574"/>
      <c r="AM58" s="533"/>
      <c r="AN58" s="681"/>
      <c r="AO58" s="573"/>
      <c r="AP58" s="574"/>
      <c r="AQ58" s="574"/>
      <c r="AR58" s="533"/>
      <c r="AS58" s="681"/>
      <c r="AT58" s="573"/>
      <c r="AU58" s="574"/>
      <c r="AV58" s="574"/>
      <c r="AW58" s="533"/>
      <c r="AX58" s="681"/>
    </row>
    <row r="59" spans="2:50">
      <c r="B59" s="667"/>
      <c r="C59" s="327">
        <v>13</v>
      </c>
      <c r="D59" s="227"/>
      <c r="E59" s="182"/>
      <c r="F59" s="569"/>
      <c r="G59" s="570"/>
      <c r="H59" s="709"/>
      <c r="I59" s="199"/>
      <c r="J59" s="199"/>
      <c r="K59" s="200"/>
      <c r="L59" s="641"/>
      <c r="M59" s="201" t="e">
        <f>RANK(K59, K$47:$K$61)</f>
        <v>#DIV/0!</v>
      </c>
      <c r="N59" s="659"/>
      <c r="O59" s="659"/>
      <c r="P59" s="573"/>
      <c r="Q59" s="574"/>
      <c r="R59" s="574"/>
      <c r="S59" s="533"/>
      <c r="T59" s="681"/>
      <c r="U59" s="573"/>
      <c r="V59" s="574"/>
      <c r="W59" s="574"/>
      <c r="X59" s="533"/>
      <c r="Y59" s="681"/>
      <c r="Z59" s="573"/>
      <c r="AA59" s="574"/>
      <c r="AB59" s="574"/>
      <c r="AC59" s="533"/>
      <c r="AD59" s="681"/>
      <c r="AE59" s="573"/>
      <c r="AF59" s="574"/>
      <c r="AG59" s="574"/>
      <c r="AH59" s="533"/>
      <c r="AI59" s="681"/>
      <c r="AJ59" s="573"/>
      <c r="AK59" s="574"/>
      <c r="AL59" s="574"/>
      <c r="AM59" s="533"/>
      <c r="AN59" s="681"/>
      <c r="AO59" s="573"/>
      <c r="AP59" s="574"/>
      <c r="AQ59" s="574"/>
      <c r="AR59" s="533"/>
      <c r="AS59" s="681"/>
      <c r="AT59" s="573"/>
      <c r="AU59" s="574"/>
      <c r="AV59" s="574"/>
      <c r="AW59" s="533"/>
      <c r="AX59" s="681"/>
    </row>
    <row r="60" spans="2:50">
      <c r="B60" s="667"/>
      <c r="C60" s="327">
        <v>14</v>
      </c>
      <c r="D60" s="227"/>
      <c r="E60" s="182"/>
      <c r="F60" s="569"/>
      <c r="G60" s="570"/>
      <c r="H60" s="709"/>
      <c r="I60" s="199"/>
      <c r="J60" s="199"/>
      <c r="K60" s="200"/>
      <c r="L60" s="641"/>
      <c r="M60" s="201" t="e">
        <f>RANK(K60, K$47:$K$61)</f>
        <v>#DIV/0!</v>
      </c>
      <c r="N60" s="659"/>
      <c r="O60" s="659"/>
      <c r="P60" s="573"/>
      <c r="Q60" s="574"/>
      <c r="R60" s="574"/>
      <c r="S60" s="533"/>
      <c r="T60" s="681"/>
      <c r="U60" s="573"/>
      <c r="V60" s="574"/>
      <c r="W60" s="574"/>
      <c r="X60" s="533"/>
      <c r="Y60" s="681"/>
      <c r="Z60" s="573"/>
      <c r="AA60" s="574"/>
      <c r="AB60" s="574"/>
      <c r="AC60" s="533"/>
      <c r="AD60" s="681"/>
      <c r="AE60" s="573"/>
      <c r="AF60" s="574"/>
      <c r="AG60" s="574"/>
      <c r="AH60" s="533"/>
      <c r="AI60" s="681"/>
      <c r="AJ60" s="573"/>
      <c r="AK60" s="574"/>
      <c r="AL60" s="574"/>
      <c r="AM60" s="533"/>
      <c r="AN60" s="681"/>
      <c r="AO60" s="573"/>
      <c r="AP60" s="574"/>
      <c r="AQ60" s="574"/>
      <c r="AR60" s="533"/>
      <c r="AS60" s="681"/>
      <c r="AT60" s="573"/>
      <c r="AU60" s="574"/>
      <c r="AV60" s="574"/>
      <c r="AW60" s="533"/>
      <c r="AX60" s="681"/>
    </row>
    <row r="61" spans="2:50">
      <c r="B61" s="667"/>
      <c r="C61" s="327">
        <v>15</v>
      </c>
      <c r="D61" s="227"/>
      <c r="E61" s="182"/>
      <c r="F61" s="569"/>
      <c r="G61" s="570"/>
      <c r="H61" s="710"/>
      <c r="I61" s="199"/>
      <c r="J61" s="199"/>
      <c r="K61" s="200"/>
      <c r="L61" s="642"/>
      <c r="M61" s="201" t="e">
        <f>RANK(K61, K$47:$K$61)</f>
        <v>#DIV/0!</v>
      </c>
      <c r="N61" s="659"/>
      <c r="O61" s="659"/>
      <c r="P61" s="573"/>
      <c r="Q61" s="574"/>
      <c r="R61" s="574"/>
      <c r="S61" s="533"/>
      <c r="T61" s="681"/>
      <c r="U61" s="573"/>
      <c r="V61" s="574"/>
      <c r="W61" s="574"/>
      <c r="X61" s="533"/>
      <c r="Y61" s="681"/>
      <c r="Z61" s="573"/>
      <c r="AA61" s="574"/>
      <c r="AB61" s="574"/>
      <c r="AC61" s="533"/>
      <c r="AD61" s="681"/>
      <c r="AE61" s="573"/>
      <c r="AF61" s="574"/>
      <c r="AG61" s="574"/>
      <c r="AH61" s="533"/>
      <c r="AI61" s="681"/>
      <c r="AJ61" s="573"/>
      <c r="AK61" s="574"/>
      <c r="AL61" s="574"/>
      <c r="AM61" s="533"/>
      <c r="AN61" s="681"/>
      <c r="AO61" s="573"/>
      <c r="AP61" s="574"/>
      <c r="AQ61" s="574"/>
      <c r="AR61" s="533"/>
      <c r="AS61" s="681"/>
      <c r="AT61" s="573"/>
      <c r="AU61" s="574"/>
      <c r="AV61" s="574"/>
      <c r="AW61" s="533"/>
      <c r="AX61" s="681"/>
    </row>
    <row r="62" spans="2:50" ht="15.75">
      <c r="B62" s="671" t="s">
        <v>163</v>
      </c>
      <c r="C62" s="672"/>
      <c r="D62" s="672"/>
      <c r="E62" s="672"/>
      <c r="F62" s="672"/>
      <c r="G62" s="672"/>
      <c r="H62" s="673"/>
      <c r="I62" s="208"/>
      <c r="J62" s="208"/>
      <c r="K62" s="208"/>
      <c r="L62" s="208"/>
      <c r="M62" s="207"/>
      <c r="N62" s="660" t="s">
        <v>156</v>
      </c>
      <c r="O62" s="660" t="s">
        <v>105</v>
      </c>
      <c r="P62" s="666">
        <f>P42+7</f>
        <v>46105</v>
      </c>
      <c r="Q62" s="667"/>
      <c r="R62" s="667"/>
      <c r="S62" s="667"/>
      <c r="T62" s="667"/>
      <c r="U62" s="663">
        <f>P62+1</f>
        <v>46106</v>
      </c>
      <c r="V62" s="664"/>
      <c r="W62" s="664"/>
      <c r="X62" s="664"/>
      <c r="Y62" s="665"/>
      <c r="Z62" s="663">
        <f>U62+1</f>
        <v>46107</v>
      </c>
      <c r="AA62" s="664"/>
      <c r="AB62" s="664"/>
      <c r="AC62" s="664"/>
      <c r="AD62" s="665"/>
      <c r="AE62" s="663">
        <f>Z62+1</f>
        <v>46108</v>
      </c>
      <c r="AF62" s="664"/>
      <c r="AG62" s="664"/>
      <c r="AH62" s="664"/>
      <c r="AI62" s="665"/>
      <c r="AJ62" s="663">
        <f>AE62+1</f>
        <v>46109</v>
      </c>
      <c r="AK62" s="664"/>
      <c r="AL62" s="664"/>
      <c r="AM62" s="664"/>
      <c r="AN62" s="665"/>
      <c r="AO62" s="663">
        <f>AJ62+1</f>
        <v>46110</v>
      </c>
      <c r="AP62" s="664"/>
      <c r="AQ62" s="664"/>
      <c r="AR62" s="664"/>
      <c r="AS62" s="665"/>
      <c r="AT62" s="663">
        <f>AO62+1</f>
        <v>46111</v>
      </c>
      <c r="AU62" s="664"/>
      <c r="AV62" s="664"/>
      <c r="AW62" s="664"/>
      <c r="AX62" s="665"/>
    </row>
    <row r="63" spans="2:50" ht="15.75">
      <c r="B63" s="674"/>
      <c r="C63" s="674"/>
      <c r="D63" s="674"/>
      <c r="E63" s="674"/>
      <c r="F63" s="674"/>
      <c r="G63" s="674"/>
      <c r="H63" s="674"/>
      <c r="I63" s="205"/>
      <c r="J63" s="205"/>
      <c r="K63" s="205"/>
      <c r="L63" s="205"/>
      <c r="M63" s="206"/>
      <c r="N63" s="662"/>
      <c r="O63" s="662"/>
      <c r="P63" s="666" t="s">
        <v>336</v>
      </c>
      <c r="Q63" s="667"/>
      <c r="R63" s="667"/>
      <c r="S63" s="667"/>
      <c r="T63" s="667"/>
      <c r="U63" s="666" t="s">
        <v>337</v>
      </c>
      <c r="V63" s="667"/>
      <c r="W63" s="667"/>
      <c r="X63" s="667"/>
      <c r="Y63" s="667"/>
      <c r="Z63" s="666" t="s">
        <v>338</v>
      </c>
      <c r="AA63" s="667"/>
      <c r="AB63" s="667"/>
      <c r="AC63" s="667"/>
      <c r="AD63" s="667"/>
      <c r="AE63" s="666" t="s">
        <v>339</v>
      </c>
      <c r="AF63" s="667"/>
      <c r="AG63" s="667"/>
      <c r="AH63" s="667"/>
      <c r="AI63" s="667"/>
      <c r="AJ63" s="666" t="s">
        <v>340</v>
      </c>
      <c r="AK63" s="667"/>
      <c r="AL63" s="667"/>
      <c r="AM63" s="667"/>
      <c r="AN63" s="667"/>
      <c r="AO63" s="666" t="s">
        <v>341</v>
      </c>
      <c r="AP63" s="667"/>
      <c r="AQ63" s="667"/>
      <c r="AR63" s="667"/>
      <c r="AS63" s="667"/>
      <c r="AT63" s="666" t="s">
        <v>342</v>
      </c>
      <c r="AU63" s="667"/>
      <c r="AV63" s="667"/>
      <c r="AW63" s="667"/>
      <c r="AX63" s="667"/>
    </row>
    <row r="64" spans="2:50">
      <c r="B64" s="659" t="s">
        <v>478</v>
      </c>
      <c r="C64" s="659" t="s">
        <v>479</v>
      </c>
      <c r="D64" s="659"/>
      <c r="E64" s="659" t="s">
        <v>480</v>
      </c>
      <c r="F64" s="659"/>
      <c r="G64" s="659"/>
      <c r="H64" s="675" t="s">
        <v>481</v>
      </c>
      <c r="I64" s="643" t="s">
        <v>482</v>
      </c>
      <c r="J64" s="643"/>
      <c r="K64" s="643"/>
      <c r="L64" s="644" t="s">
        <v>481</v>
      </c>
      <c r="M64" s="650" t="s">
        <v>483</v>
      </c>
      <c r="N64" s="659"/>
      <c r="O64" s="659" t="s">
        <v>484</v>
      </c>
      <c r="P64" s="656" t="s">
        <v>485</v>
      </c>
      <c r="Q64" s="657"/>
      <c r="R64" s="657"/>
      <c r="S64" s="658"/>
      <c r="T64" s="659" t="s">
        <v>481</v>
      </c>
      <c r="U64" s="656" t="s">
        <v>485</v>
      </c>
      <c r="V64" s="657"/>
      <c r="W64" s="657"/>
      <c r="X64" s="658"/>
      <c r="Y64" s="659" t="s">
        <v>481</v>
      </c>
      <c r="Z64" s="656" t="s">
        <v>485</v>
      </c>
      <c r="AA64" s="657"/>
      <c r="AB64" s="657"/>
      <c r="AC64" s="658"/>
      <c r="AD64" s="659" t="s">
        <v>481</v>
      </c>
      <c r="AE64" s="656" t="s">
        <v>485</v>
      </c>
      <c r="AF64" s="657"/>
      <c r="AG64" s="657"/>
      <c r="AH64" s="658"/>
      <c r="AI64" s="659" t="s">
        <v>481</v>
      </c>
      <c r="AJ64" s="656" t="s">
        <v>485</v>
      </c>
      <c r="AK64" s="657"/>
      <c r="AL64" s="657"/>
      <c r="AM64" s="658"/>
      <c r="AN64" s="659" t="s">
        <v>481</v>
      </c>
      <c r="AO64" s="656" t="s">
        <v>485</v>
      </c>
      <c r="AP64" s="657"/>
      <c r="AQ64" s="657"/>
      <c r="AR64" s="658"/>
      <c r="AS64" s="659" t="s">
        <v>481</v>
      </c>
      <c r="AT64" s="656" t="s">
        <v>485</v>
      </c>
      <c r="AU64" s="657"/>
      <c r="AV64" s="657"/>
      <c r="AW64" s="658"/>
      <c r="AX64" s="659" t="s">
        <v>481</v>
      </c>
    </row>
    <row r="65" spans="2:50">
      <c r="B65" s="659"/>
      <c r="C65" s="659"/>
      <c r="D65" s="659"/>
      <c r="E65" s="659" t="s">
        <v>486</v>
      </c>
      <c r="F65" s="659"/>
      <c r="G65" s="659"/>
      <c r="H65" s="676"/>
      <c r="I65" s="643" t="s">
        <v>486</v>
      </c>
      <c r="J65" s="643"/>
      <c r="K65" s="643"/>
      <c r="L65" s="645"/>
      <c r="M65" s="651"/>
      <c r="N65" s="659"/>
      <c r="O65" s="659"/>
      <c r="P65" s="656" t="s">
        <v>487</v>
      </c>
      <c r="Q65" s="657"/>
      <c r="R65" s="657"/>
      <c r="S65" s="658"/>
      <c r="T65" s="659"/>
      <c r="U65" s="656" t="s">
        <v>487</v>
      </c>
      <c r="V65" s="657"/>
      <c r="W65" s="657"/>
      <c r="X65" s="658"/>
      <c r="Y65" s="659"/>
      <c r="Z65" s="656" t="s">
        <v>487</v>
      </c>
      <c r="AA65" s="657"/>
      <c r="AB65" s="657"/>
      <c r="AC65" s="658"/>
      <c r="AD65" s="659"/>
      <c r="AE65" s="656" t="s">
        <v>487</v>
      </c>
      <c r="AF65" s="657"/>
      <c r="AG65" s="657"/>
      <c r="AH65" s="658"/>
      <c r="AI65" s="659"/>
      <c r="AJ65" s="656" t="s">
        <v>487</v>
      </c>
      <c r="AK65" s="657"/>
      <c r="AL65" s="657"/>
      <c r="AM65" s="658"/>
      <c r="AN65" s="659"/>
      <c r="AO65" s="656" t="s">
        <v>487</v>
      </c>
      <c r="AP65" s="657"/>
      <c r="AQ65" s="657"/>
      <c r="AR65" s="658"/>
      <c r="AS65" s="659"/>
      <c r="AT65" s="656" t="s">
        <v>487</v>
      </c>
      <c r="AU65" s="657"/>
      <c r="AV65" s="657"/>
      <c r="AW65" s="658"/>
      <c r="AX65" s="659"/>
    </row>
    <row r="66" spans="2:50">
      <c r="B66" s="659"/>
      <c r="C66" s="659"/>
      <c r="D66" s="659"/>
      <c r="E66" s="308" t="s">
        <v>488</v>
      </c>
      <c r="F66" s="308" t="s">
        <v>489</v>
      </c>
      <c r="G66" s="308" t="s">
        <v>490</v>
      </c>
      <c r="H66" s="677"/>
      <c r="I66" s="307" t="s">
        <v>488</v>
      </c>
      <c r="J66" s="307" t="s">
        <v>489</v>
      </c>
      <c r="K66" s="307" t="s">
        <v>490</v>
      </c>
      <c r="L66" s="646"/>
      <c r="M66" s="652"/>
      <c r="N66" s="659"/>
      <c r="O66" s="659"/>
      <c r="P66" s="308" t="s">
        <v>488</v>
      </c>
      <c r="Q66" s="308" t="s">
        <v>489</v>
      </c>
      <c r="R66" s="308" t="s">
        <v>490</v>
      </c>
      <c r="S66" s="308" t="s">
        <v>483</v>
      </c>
      <c r="T66" s="659"/>
      <c r="U66" s="308" t="s">
        <v>488</v>
      </c>
      <c r="V66" s="308" t="s">
        <v>489</v>
      </c>
      <c r="W66" s="308" t="s">
        <v>490</v>
      </c>
      <c r="X66" s="308" t="s">
        <v>483</v>
      </c>
      <c r="Y66" s="659"/>
      <c r="Z66" s="308" t="s">
        <v>488</v>
      </c>
      <c r="AA66" s="308" t="s">
        <v>489</v>
      </c>
      <c r="AB66" s="308" t="s">
        <v>490</v>
      </c>
      <c r="AC66" s="308" t="s">
        <v>483</v>
      </c>
      <c r="AD66" s="659"/>
      <c r="AE66" s="308" t="s">
        <v>488</v>
      </c>
      <c r="AF66" s="308" t="s">
        <v>489</v>
      </c>
      <c r="AG66" s="308" t="s">
        <v>490</v>
      </c>
      <c r="AH66" s="308" t="s">
        <v>483</v>
      </c>
      <c r="AI66" s="659"/>
      <c r="AJ66" s="308" t="s">
        <v>488</v>
      </c>
      <c r="AK66" s="308" t="s">
        <v>489</v>
      </c>
      <c r="AL66" s="308" t="s">
        <v>490</v>
      </c>
      <c r="AM66" s="308" t="s">
        <v>483</v>
      </c>
      <c r="AN66" s="659"/>
      <c r="AO66" s="308" t="s">
        <v>488</v>
      </c>
      <c r="AP66" s="308" t="s">
        <v>489</v>
      </c>
      <c r="AQ66" s="308" t="s">
        <v>490</v>
      </c>
      <c r="AR66" s="308" t="s">
        <v>483</v>
      </c>
      <c r="AS66" s="659"/>
      <c r="AT66" s="308" t="s">
        <v>488</v>
      </c>
      <c r="AU66" s="308" t="s">
        <v>489</v>
      </c>
      <c r="AV66" s="308" t="s">
        <v>490</v>
      </c>
      <c r="AW66" s="308" t="s">
        <v>483</v>
      </c>
      <c r="AX66" s="659"/>
    </row>
    <row r="67" spans="2:50">
      <c r="B67" s="659" t="s">
        <v>492</v>
      </c>
      <c r="C67" s="309">
        <v>1</v>
      </c>
      <c r="D67" s="227"/>
      <c r="E67" s="182"/>
      <c r="F67" s="569"/>
      <c r="G67" s="570"/>
      <c r="H67" s="708" t="e">
        <f>AVERAGE(G67:G81)</f>
        <v>#DIV/0!</v>
      </c>
      <c r="I67" s="199" t="e">
        <f t="shared" ref="I67:K72" si="39">AVERAGE(P67,U67,Z67,AE67,AJ67,AO67,AT67)</f>
        <v>#DIV/0!</v>
      </c>
      <c r="J67" s="199" t="e">
        <f t="shared" si="39"/>
        <v>#DIV/0!</v>
      </c>
      <c r="K67" s="200" t="e">
        <f t="shared" si="39"/>
        <v>#DIV/0!</v>
      </c>
      <c r="L67" s="640" t="str">
        <f>IFERROR(AVERAGE(K67:K81),"-")</f>
        <v>-</v>
      </c>
      <c r="M67" s="201" t="e">
        <f>RANK(K67, K$67:$K$81)</f>
        <v>#DIV/0!</v>
      </c>
      <c r="N67" s="659"/>
      <c r="O67" s="659"/>
      <c r="P67" s="573"/>
      <c r="Q67" s="574"/>
      <c r="R67" s="574"/>
      <c r="S67" s="309" t="e">
        <f>RANK(R67, R$67:R$81)</f>
        <v>#N/A</v>
      </c>
      <c r="T67" s="668" t="e">
        <f>AVERAGE(R67:R81)</f>
        <v>#DIV/0!</v>
      </c>
      <c r="U67" s="573"/>
      <c r="V67" s="574"/>
      <c r="W67" s="574"/>
      <c r="X67" s="475" t="e">
        <f t="shared" ref="X67:X81" si="40">RANK(W67, W$67:W$81)</f>
        <v>#N/A</v>
      </c>
      <c r="Y67" s="668" t="e">
        <f t="shared" ref="Y67" si="41">AVERAGE(W67:W81)</f>
        <v>#DIV/0!</v>
      </c>
      <c r="Z67" s="573"/>
      <c r="AA67" s="574"/>
      <c r="AB67" s="574"/>
      <c r="AC67" s="475" t="e">
        <f t="shared" ref="AC67:AC81" si="42">RANK(AB67, AB$67:AB$81)</f>
        <v>#N/A</v>
      </c>
      <c r="AD67" s="668" t="e">
        <f t="shared" ref="AD67" si="43">AVERAGE(AB67:AB81)</f>
        <v>#DIV/0!</v>
      </c>
      <c r="AE67" s="573"/>
      <c r="AF67" s="574"/>
      <c r="AG67" s="574"/>
      <c r="AH67" s="475" t="e">
        <f t="shared" ref="AH67:AH81" si="44">RANK(AG67, AG$67:AG$81)</f>
        <v>#N/A</v>
      </c>
      <c r="AI67" s="668" t="e">
        <f t="shared" ref="AI67" si="45">AVERAGE(AG67:AG81)</f>
        <v>#DIV/0!</v>
      </c>
      <c r="AJ67" s="573"/>
      <c r="AK67" s="574"/>
      <c r="AL67" s="574"/>
      <c r="AM67" s="475" t="e">
        <f t="shared" ref="AM67:AM81" si="46">RANK(AL67, AL$67:AL$81)</f>
        <v>#N/A</v>
      </c>
      <c r="AN67" s="668" t="e">
        <f t="shared" ref="AN67" si="47">AVERAGE(AL67:AL81)</f>
        <v>#DIV/0!</v>
      </c>
      <c r="AO67" s="573"/>
      <c r="AP67" s="574"/>
      <c r="AQ67" s="574"/>
      <c r="AR67" s="475" t="e">
        <f t="shared" ref="AR67:AR81" si="48">RANK(AQ67, AQ$67:AQ$81)</f>
        <v>#N/A</v>
      </c>
      <c r="AS67" s="668" t="e">
        <f t="shared" ref="AS67" si="49">AVERAGE(AQ67:AQ81)</f>
        <v>#DIV/0!</v>
      </c>
      <c r="AT67" s="573"/>
      <c r="AU67" s="574"/>
      <c r="AV67" s="574"/>
      <c r="AW67" s="475" t="e">
        <f t="shared" ref="AW67:AW81" si="50">RANK(AV67, AV$67:AV$81)</f>
        <v>#N/A</v>
      </c>
      <c r="AX67" s="681" t="e">
        <f t="shared" ref="AX67" si="51">AVERAGE(AV67:AV81)</f>
        <v>#DIV/0!</v>
      </c>
    </row>
    <row r="68" spans="2:50">
      <c r="B68" s="667"/>
      <c r="C68" s="309">
        <v>2</v>
      </c>
      <c r="D68" s="227"/>
      <c r="E68" s="182"/>
      <c r="F68" s="569"/>
      <c r="G68" s="570"/>
      <c r="H68" s="709"/>
      <c r="I68" s="199" t="e">
        <f t="shared" si="39"/>
        <v>#DIV/0!</v>
      </c>
      <c r="J68" s="199" t="e">
        <f t="shared" si="39"/>
        <v>#DIV/0!</v>
      </c>
      <c r="K68" s="200" t="e">
        <f t="shared" si="39"/>
        <v>#DIV/0!</v>
      </c>
      <c r="L68" s="641"/>
      <c r="M68" s="201" t="e">
        <f>RANK(K68, K$67:$K$81)</f>
        <v>#DIV/0!</v>
      </c>
      <c r="N68" s="659"/>
      <c r="O68" s="659"/>
      <c r="P68" s="573"/>
      <c r="Q68" s="574"/>
      <c r="R68" s="574"/>
      <c r="S68" s="339" t="e">
        <f t="shared" ref="S68:S81" si="52">RANK(R68, R$67:R$81)</f>
        <v>#N/A</v>
      </c>
      <c r="T68" s="669"/>
      <c r="U68" s="573"/>
      <c r="V68" s="574"/>
      <c r="W68" s="574"/>
      <c r="X68" s="475" t="e">
        <f t="shared" si="40"/>
        <v>#N/A</v>
      </c>
      <c r="Y68" s="669"/>
      <c r="Z68" s="573"/>
      <c r="AA68" s="574"/>
      <c r="AB68" s="574"/>
      <c r="AC68" s="475" t="e">
        <f t="shared" si="42"/>
        <v>#N/A</v>
      </c>
      <c r="AD68" s="669"/>
      <c r="AE68" s="573"/>
      <c r="AF68" s="574"/>
      <c r="AG68" s="574"/>
      <c r="AH68" s="475" t="e">
        <f t="shared" si="44"/>
        <v>#N/A</v>
      </c>
      <c r="AI68" s="669"/>
      <c r="AJ68" s="573"/>
      <c r="AK68" s="574"/>
      <c r="AL68" s="574"/>
      <c r="AM68" s="475" t="e">
        <f t="shared" si="46"/>
        <v>#N/A</v>
      </c>
      <c r="AN68" s="669"/>
      <c r="AO68" s="573"/>
      <c r="AP68" s="574"/>
      <c r="AQ68" s="574"/>
      <c r="AR68" s="475" t="e">
        <f t="shared" si="48"/>
        <v>#N/A</v>
      </c>
      <c r="AS68" s="669"/>
      <c r="AT68" s="573"/>
      <c r="AU68" s="574"/>
      <c r="AV68" s="574"/>
      <c r="AW68" s="475" t="e">
        <f t="shared" si="50"/>
        <v>#N/A</v>
      </c>
      <c r="AX68" s="681"/>
    </row>
    <row r="69" spans="2:50">
      <c r="B69" s="667"/>
      <c r="C69" s="309">
        <v>3</v>
      </c>
      <c r="D69" s="227"/>
      <c r="E69" s="182"/>
      <c r="F69" s="569"/>
      <c r="G69" s="570"/>
      <c r="H69" s="709"/>
      <c r="I69" s="199" t="e">
        <f t="shared" si="39"/>
        <v>#DIV/0!</v>
      </c>
      <c r="J69" s="199" t="e">
        <f t="shared" si="39"/>
        <v>#DIV/0!</v>
      </c>
      <c r="K69" s="200" t="e">
        <f t="shared" si="39"/>
        <v>#DIV/0!</v>
      </c>
      <c r="L69" s="641"/>
      <c r="M69" s="201" t="e">
        <f>RANK(K69, K$67:$K$81)</f>
        <v>#DIV/0!</v>
      </c>
      <c r="N69" s="659"/>
      <c r="O69" s="659"/>
      <c r="P69" s="573"/>
      <c r="Q69" s="574"/>
      <c r="R69" s="574"/>
      <c r="S69" s="339" t="e">
        <f t="shared" si="52"/>
        <v>#N/A</v>
      </c>
      <c r="T69" s="669"/>
      <c r="U69" s="573"/>
      <c r="V69" s="574"/>
      <c r="W69" s="574"/>
      <c r="X69" s="475" t="e">
        <f t="shared" si="40"/>
        <v>#N/A</v>
      </c>
      <c r="Y69" s="669"/>
      <c r="Z69" s="573"/>
      <c r="AA69" s="574"/>
      <c r="AB69" s="574"/>
      <c r="AC69" s="475" t="e">
        <f t="shared" si="42"/>
        <v>#N/A</v>
      </c>
      <c r="AD69" s="669"/>
      <c r="AE69" s="573"/>
      <c r="AF69" s="574"/>
      <c r="AG69" s="574"/>
      <c r="AH69" s="475" t="e">
        <f t="shared" si="44"/>
        <v>#N/A</v>
      </c>
      <c r="AI69" s="669"/>
      <c r="AJ69" s="573"/>
      <c r="AK69" s="574"/>
      <c r="AL69" s="574"/>
      <c r="AM69" s="475" t="e">
        <f t="shared" si="46"/>
        <v>#N/A</v>
      </c>
      <c r="AN69" s="669"/>
      <c r="AO69" s="573"/>
      <c r="AP69" s="574"/>
      <c r="AQ69" s="574"/>
      <c r="AR69" s="475" t="e">
        <f t="shared" si="48"/>
        <v>#N/A</v>
      </c>
      <c r="AS69" s="669"/>
      <c r="AT69" s="573"/>
      <c r="AU69" s="574"/>
      <c r="AV69" s="574"/>
      <c r="AW69" s="475" t="e">
        <f t="shared" si="50"/>
        <v>#N/A</v>
      </c>
      <c r="AX69" s="681"/>
    </row>
    <row r="70" spans="2:50">
      <c r="B70" s="667"/>
      <c r="C70" s="309">
        <v>4</v>
      </c>
      <c r="D70" s="227"/>
      <c r="E70" s="182"/>
      <c r="F70" s="569"/>
      <c r="G70" s="570"/>
      <c r="H70" s="709"/>
      <c r="I70" s="199" t="e">
        <f t="shared" si="39"/>
        <v>#DIV/0!</v>
      </c>
      <c r="J70" s="199" t="e">
        <f t="shared" si="39"/>
        <v>#DIV/0!</v>
      </c>
      <c r="K70" s="200" t="e">
        <f t="shared" si="39"/>
        <v>#DIV/0!</v>
      </c>
      <c r="L70" s="641"/>
      <c r="M70" s="201" t="e">
        <f>RANK(K70, K$67:$K$81)</f>
        <v>#DIV/0!</v>
      </c>
      <c r="N70" s="659"/>
      <c r="O70" s="659"/>
      <c r="P70" s="573"/>
      <c r="Q70" s="574"/>
      <c r="R70" s="574"/>
      <c r="S70" s="339" t="e">
        <f t="shared" si="52"/>
        <v>#N/A</v>
      </c>
      <c r="T70" s="669"/>
      <c r="U70" s="573"/>
      <c r="V70" s="574"/>
      <c r="W70" s="574"/>
      <c r="X70" s="475" t="e">
        <f t="shared" si="40"/>
        <v>#N/A</v>
      </c>
      <c r="Y70" s="669"/>
      <c r="Z70" s="573"/>
      <c r="AA70" s="574"/>
      <c r="AB70" s="574"/>
      <c r="AC70" s="475" t="e">
        <f t="shared" si="42"/>
        <v>#N/A</v>
      </c>
      <c r="AD70" s="669"/>
      <c r="AE70" s="573"/>
      <c r="AF70" s="574"/>
      <c r="AG70" s="574"/>
      <c r="AH70" s="475" t="e">
        <f t="shared" si="44"/>
        <v>#N/A</v>
      </c>
      <c r="AI70" s="669"/>
      <c r="AJ70" s="573"/>
      <c r="AK70" s="574"/>
      <c r="AL70" s="574"/>
      <c r="AM70" s="475" t="e">
        <f t="shared" si="46"/>
        <v>#N/A</v>
      </c>
      <c r="AN70" s="669"/>
      <c r="AO70" s="573"/>
      <c r="AP70" s="574"/>
      <c r="AQ70" s="574"/>
      <c r="AR70" s="475" t="e">
        <f t="shared" si="48"/>
        <v>#N/A</v>
      </c>
      <c r="AS70" s="669"/>
      <c r="AT70" s="573"/>
      <c r="AU70" s="574"/>
      <c r="AV70" s="574"/>
      <c r="AW70" s="475" t="e">
        <f t="shared" si="50"/>
        <v>#N/A</v>
      </c>
      <c r="AX70" s="681"/>
    </row>
    <row r="71" spans="2:50">
      <c r="B71" s="667"/>
      <c r="C71" s="309">
        <v>5</v>
      </c>
      <c r="D71" s="227"/>
      <c r="E71" s="182"/>
      <c r="F71" s="569"/>
      <c r="G71" s="570"/>
      <c r="H71" s="709"/>
      <c r="I71" s="199" t="e">
        <f t="shared" si="39"/>
        <v>#DIV/0!</v>
      </c>
      <c r="J71" s="199" t="e">
        <f t="shared" si="39"/>
        <v>#DIV/0!</v>
      </c>
      <c r="K71" s="200" t="e">
        <f t="shared" si="39"/>
        <v>#DIV/0!</v>
      </c>
      <c r="L71" s="641"/>
      <c r="M71" s="201" t="e">
        <f>RANK(K71, K$67:$K$81)</f>
        <v>#DIV/0!</v>
      </c>
      <c r="N71" s="659"/>
      <c r="O71" s="659"/>
      <c r="P71" s="573"/>
      <c r="Q71" s="574"/>
      <c r="R71" s="574"/>
      <c r="S71" s="339" t="e">
        <f t="shared" si="52"/>
        <v>#N/A</v>
      </c>
      <c r="T71" s="669"/>
      <c r="U71" s="573"/>
      <c r="V71" s="574"/>
      <c r="W71" s="574"/>
      <c r="X71" s="475" t="e">
        <f t="shared" si="40"/>
        <v>#N/A</v>
      </c>
      <c r="Y71" s="669"/>
      <c r="Z71" s="573"/>
      <c r="AA71" s="574"/>
      <c r="AB71" s="574"/>
      <c r="AC71" s="475" t="e">
        <f t="shared" si="42"/>
        <v>#N/A</v>
      </c>
      <c r="AD71" s="669"/>
      <c r="AE71" s="573"/>
      <c r="AF71" s="574"/>
      <c r="AG71" s="574"/>
      <c r="AH71" s="475" t="e">
        <f t="shared" si="44"/>
        <v>#N/A</v>
      </c>
      <c r="AI71" s="669"/>
      <c r="AJ71" s="573"/>
      <c r="AK71" s="574"/>
      <c r="AL71" s="574"/>
      <c r="AM71" s="475" t="e">
        <f t="shared" si="46"/>
        <v>#N/A</v>
      </c>
      <c r="AN71" s="669"/>
      <c r="AO71" s="573"/>
      <c r="AP71" s="574"/>
      <c r="AQ71" s="574"/>
      <c r="AR71" s="475" t="e">
        <f t="shared" si="48"/>
        <v>#N/A</v>
      </c>
      <c r="AS71" s="669"/>
      <c r="AT71" s="573"/>
      <c r="AU71" s="574"/>
      <c r="AV71" s="574"/>
      <c r="AW71" s="475" t="e">
        <f t="shared" si="50"/>
        <v>#N/A</v>
      </c>
      <c r="AX71" s="681"/>
    </row>
    <row r="72" spans="2:50">
      <c r="B72" s="667"/>
      <c r="C72" s="309">
        <v>6</v>
      </c>
      <c r="D72" s="227"/>
      <c r="E72" s="182"/>
      <c r="F72" s="569"/>
      <c r="G72" s="570"/>
      <c r="H72" s="709"/>
      <c r="I72" s="199" t="e">
        <f t="shared" si="39"/>
        <v>#DIV/0!</v>
      </c>
      <c r="J72" s="199" t="e">
        <f t="shared" si="39"/>
        <v>#DIV/0!</v>
      </c>
      <c r="K72" s="200" t="e">
        <f t="shared" si="39"/>
        <v>#DIV/0!</v>
      </c>
      <c r="L72" s="641"/>
      <c r="M72" s="201" t="e">
        <f>RANK(K72, K$67:$K$81)</f>
        <v>#DIV/0!</v>
      </c>
      <c r="N72" s="659"/>
      <c r="O72" s="659"/>
      <c r="P72" s="573"/>
      <c r="Q72" s="574"/>
      <c r="R72" s="574"/>
      <c r="S72" s="339" t="e">
        <f t="shared" si="52"/>
        <v>#N/A</v>
      </c>
      <c r="T72" s="669"/>
      <c r="U72" s="573"/>
      <c r="V72" s="574"/>
      <c r="W72" s="574"/>
      <c r="X72" s="475" t="e">
        <f t="shared" si="40"/>
        <v>#N/A</v>
      </c>
      <c r="Y72" s="669"/>
      <c r="Z72" s="573"/>
      <c r="AA72" s="574"/>
      <c r="AB72" s="574"/>
      <c r="AC72" s="475" t="e">
        <f t="shared" si="42"/>
        <v>#N/A</v>
      </c>
      <c r="AD72" s="669"/>
      <c r="AE72" s="573"/>
      <c r="AF72" s="574"/>
      <c r="AG72" s="574"/>
      <c r="AH72" s="475" t="e">
        <f t="shared" si="44"/>
        <v>#N/A</v>
      </c>
      <c r="AI72" s="669"/>
      <c r="AJ72" s="573"/>
      <c r="AK72" s="574"/>
      <c r="AL72" s="574"/>
      <c r="AM72" s="475" t="e">
        <f t="shared" si="46"/>
        <v>#N/A</v>
      </c>
      <c r="AN72" s="669"/>
      <c r="AO72" s="573"/>
      <c r="AP72" s="574"/>
      <c r="AQ72" s="574"/>
      <c r="AR72" s="475" t="e">
        <f t="shared" si="48"/>
        <v>#N/A</v>
      </c>
      <c r="AS72" s="669"/>
      <c r="AT72" s="573"/>
      <c r="AU72" s="574"/>
      <c r="AV72" s="574"/>
      <c r="AW72" s="475" t="e">
        <f t="shared" si="50"/>
        <v>#N/A</v>
      </c>
      <c r="AX72" s="681"/>
    </row>
    <row r="73" spans="2:50">
      <c r="B73" s="667"/>
      <c r="C73" s="309">
        <v>7</v>
      </c>
      <c r="D73" s="227"/>
      <c r="E73" s="182"/>
      <c r="F73" s="569"/>
      <c r="G73" s="570"/>
      <c r="H73" s="709"/>
      <c r="I73" s="428" t="e">
        <f t="shared" ref="I73" si="53">AVERAGE(P73,U73,Z73,AE73,AJ73,AO73,AT73)</f>
        <v>#DIV/0!</v>
      </c>
      <c r="J73" s="428" t="e">
        <f t="shared" ref="J73" si="54">AVERAGE(Q73,V73,AA73,AF73,AK73,AP73,AU73)</f>
        <v>#DIV/0!</v>
      </c>
      <c r="K73" s="200" t="e">
        <f t="shared" ref="K73" si="55">AVERAGE(R73,W73,AB73,AG73,AL73,AQ73,AV73)</f>
        <v>#DIV/0!</v>
      </c>
      <c r="L73" s="641"/>
      <c r="M73" s="201" t="e">
        <f>RANK(K73, K$67:$K$81)</f>
        <v>#DIV/0!</v>
      </c>
      <c r="N73" s="659"/>
      <c r="O73" s="659"/>
      <c r="P73" s="573"/>
      <c r="Q73" s="574"/>
      <c r="R73" s="574"/>
      <c r="S73" s="339" t="e">
        <f t="shared" si="52"/>
        <v>#N/A</v>
      </c>
      <c r="T73" s="669"/>
      <c r="U73" s="573"/>
      <c r="V73" s="574"/>
      <c r="W73" s="574"/>
      <c r="X73" s="475" t="e">
        <f t="shared" si="40"/>
        <v>#N/A</v>
      </c>
      <c r="Y73" s="669"/>
      <c r="Z73" s="573"/>
      <c r="AA73" s="574"/>
      <c r="AB73" s="574"/>
      <c r="AC73" s="475" t="e">
        <f t="shared" si="42"/>
        <v>#N/A</v>
      </c>
      <c r="AD73" s="669"/>
      <c r="AE73" s="573"/>
      <c r="AF73" s="574"/>
      <c r="AG73" s="574"/>
      <c r="AH73" s="475" t="e">
        <f t="shared" si="44"/>
        <v>#N/A</v>
      </c>
      <c r="AI73" s="669"/>
      <c r="AJ73" s="573"/>
      <c r="AK73" s="574"/>
      <c r="AL73" s="574"/>
      <c r="AM73" s="475" t="e">
        <f t="shared" si="46"/>
        <v>#N/A</v>
      </c>
      <c r="AN73" s="669"/>
      <c r="AO73" s="573"/>
      <c r="AP73" s="574"/>
      <c r="AQ73" s="574"/>
      <c r="AR73" s="475" t="e">
        <f t="shared" si="48"/>
        <v>#N/A</v>
      </c>
      <c r="AS73" s="669"/>
      <c r="AT73" s="573"/>
      <c r="AU73" s="574"/>
      <c r="AV73" s="574"/>
      <c r="AW73" s="475" t="e">
        <f t="shared" si="50"/>
        <v>#N/A</v>
      </c>
      <c r="AX73" s="681"/>
    </row>
    <row r="74" spans="2:50">
      <c r="B74" s="667"/>
      <c r="C74" s="309">
        <v>8</v>
      </c>
      <c r="D74" s="227"/>
      <c r="E74" s="182"/>
      <c r="F74" s="569"/>
      <c r="G74" s="570"/>
      <c r="H74" s="709"/>
      <c r="I74" s="466"/>
      <c r="J74" s="466"/>
      <c r="K74" s="200"/>
      <c r="L74" s="641"/>
      <c r="M74" s="201" t="e">
        <f>RANK(K74, K$67:$K$81)</f>
        <v>#DIV/0!</v>
      </c>
      <c r="N74" s="659"/>
      <c r="O74" s="659"/>
      <c r="P74" s="573"/>
      <c r="Q74" s="574"/>
      <c r="R74" s="574"/>
      <c r="S74" s="339" t="e">
        <f t="shared" si="52"/>
        <v>#N/A</v>
      </c>
      <c r="T74" s="669"/>
      <c r="U74" s="573"/>
      <c r="V74" s="574"/>
      <c r="W74" s="574"/>
      <c r="X74" s="475" t="e">
        <f t="shared" si="40"/>
        <v>#N/A</v>
      </c>
      <c r="Y74" s="669"/>
      <c r="Z74" s="573"/>
      <c r="AA74" s="574"/>
      <c r="AB74" s="574"/>
      <c r="AC74" s="475" t="e">
        <f t="shared" si="42"/>
        <v>#N/A</v>
      </c>
      <c r="AD74" s="669"/>
      <c r="AE74" s="573"/>
      <c r="AF74" s="574"/>
      <c r="AG74" s="574"/>
      <c r="AH74" s="475" t="e">
        <f t="shared" si="44"/>
        <v>#N/A</v>
      </c>
      <c r="AI74" s="669"/>
      <c r="AJ74" s="573"/>
      <c r="AK74" s="574"/>
      <c r="AL74" s="574"/>
      <c r="AM74" s="475" t="e">
        <f t="shared" si="46"/>
        <v>#N/A</v>
      </c>
      <c r="AN74" s="669"/>
      <c r="AO74" s="573"/>
      <c r="AP74" s="574"/>
      <c r="AQ74" s="574"/>
      <c r="AR74" s="475" t="e">
        <f t="shared" si="48"/>
        <v>#N/A</v>
      </c>
      <c r="AS74" s="669"/>
      <c r="AT74" s="573"/>
      <c r="AU74" s="574"/>
      <c r="AV74" s="574"/>
      <c r="AW74" s="475" t="e">
        <f t="shared" si="50"/>
        <v>#N/A</v>
      </c>
      <c r="AX74" s="681"/>
    </row>
    <row r="75" spans="2:50">
      <c r="B75" s="667"/>
      <c r="C75" s="309">
        <v>9</v>
      </c>
      <c r="D75" s="227"/>
      <c r="E75" s="182"/>
      <c r="F75" s="569"/>
      <c r="G75" s="570"/>
      <c r="H75" s="709"/>
      <c r="I75" s="199"/>
      <c r="J75" s="199"/>
      <c r="K75" s="200"/>
      <c r="L75" s="641"/>
      <c r="M75" s="201" t="e">
        <f>RANK(K75, K$67:$K$81)</f>
        <v>#DIV/0!</v>
      </c>
      <c r="N75" s="659"/>
      <c r="O75" s="659"/>
      <c r="P75" s="573"/>
      <c r="Q75" s="574"/>
      <c r="R75" s="574"/>
      <c r="S75" s="339" t="e">
        <f t="shared" si="52"/>
        <v>#N/A</v>
      </c>
      <c r="T75" s="669"/>
      <c r="U75" s="573"/>
      <c r="V75" s="574"/>
      <c r="W75" s="574"/>
      <c r="X75" s="475" t="e">
        <f t="shared" si="40"/>
        <v>#N/A</v>
      </c>
      <c r="Y75" s="669"/>
      <c r="Z75" s="573"/>
      <c r="AA75" s="574"/>
      <c r="AB75" s="574"/>
      <c r="AC75" s="475" t="e">
        <f t="shared" si="42"/>
        <v>#N/A</v>
      </c>
      <c r="AD75" s="669"/>
      <c r="AE75" s="573"/>
      <c r="AF75" s="574"/>
      <c r="AG75" s="574"/>
      <c r="AH75" s="475" t="e">
        <f t="shared" si="44"/>
        <v>#N/A</v>
      </c>
      <c r="AI75" s="669"/>
      <c r="AJ75" s="573"/>
      <c r="AK75" s="574"/>
      <c r="AL75" s="574"/>
      <c r="AM75" s="475" t="e">
        <f t="shared" si="46"/>
        <v>#N/A</v>
      </c>
      <c r="AN75" s="669"/>
      <c r="AO75" s="573"/>
      <c r="AP75" s="574"/>
      <c r="AQ75" s="574"/>
      <c r="AR75" s="475" t="e">
        <f t="shared" si="48"/>
        <v>#N/A</v>
      </c>
      <c r="AS75" s="669"/>
      <c r="AT75" s="573"/>
      <c r="AU75" s="574"/>
      <c r="AV75" s="574"/>
      <c r="AW75" s="475" t="e">
        <f t="shared" si="50"/>
        <v>#N/A</v>
      </c>
      <c r="AX75" s="681"/>
    </row>
    <row r="76" spans="2:50">
      <c r="B76" s="667"/>
      <c r="C76" s="309">
        <v>10</v>
      </c>
      <c r="D76" s="227"/>
      <c r="E76" s="182"/>
      <c r="F76" s="569"/>
      <c r="G76" s="570"/>
      <c r="H76" s="709"/>
      <c r="I76" s="199"/>
      <c r="J76" s="199"/>
      <c r="K76" s="200"/>
      <c r="L76" s="641"/>
      <c r="M76" s="201" t="e">
        <f>RANK(K76, K$67:$K$81)</f>
        <v>#DIV/0!</v>
      </c>
      <c r="N76" s="659"/>
      <c r="O76" s="659"/>
      <c r="P76" s="573"/>
      <c r="Q76" s="574"/>
      <c r="R76" s="574"/>
      <c r="S76" s="339" t="e">
        <f t="shared" si="52"/>
        <v>#N/A</v>
      </c>
      <c r="T76" s="669"/>
      <c r="U76" s="573"/>
      <c r="V76" s="574"/>
      <c r="W76" s="574"/>
      <c r="X76" s="475" t="e">
        <f t="shared" si="40"/>
        <v>#N/A</v>
      </c>
      <c r="Y76" s="669"/>
      <c r="Z76" s="573"/>
      <c r="AA76" s="574"/>
      <c r="AB76" s="574"/>
      <c r="AC76" s="475" t="e">
        <f t="shared" si="42"/>
        <v>#N/A</v>
      </c>
      <c r="AD76" s="669"/>
      <c r="AE76" s="573"/>
      <c r="AF76" s="574"/>
      <c r="AG76" s="574"/>
      <c r="AH76" s="475" t="e">
        <f t="shared" si="44"/>
        <v>#N/A</v>
      </c>
      <c r="AI76" s="669"/>
      <c r="AJ76" s="573"/>
      <c r="AK76" s="574"/>
      <c r="AL76" s="574"/>
      <c r="AM76" s="475" t="e">
        <f t="shared" si="46"/>
        <v>#N/A</v>
      </c>
      <c r="AN76" s="669"/>
      <c r="AO76" s="573"/>
      <c r="AP76" s="574"/>
      <c r="AQ76" s="574"/>
      <c r="AR76" s="475" t="e">
        <f t="shared" si="48"/>
        <v>#N/A</v>
      </c>
      <c r="AS76" s="669"/>
      <c r="AT76" s="573"/>
      <c r="AU76" s="574"/>
      <c r="AV76" s="574"/>
      <c r="AW76" s="475" t="e">
        <f t="shared" si="50"/>
        <v>#N/A</v>
      </c>
      <c r="AX76" s="681"/>
    </row>
    <row r="77" spans="2:50">
      <c r="B77" s="667"/>
      <c r="C77" s="309">
        <v>11</v>
      </c>
      <c r="D77" s="227"/>
      <c r="E77" s="182"/>
      <c r="F77" s="569"/>
      <c r="G77" s="570"/>
      <c r="H77" s="709"/>
      <c r="I77" s="199"/>
      <c r="J77" s="199"/>
      <c r="K77" s="200"/>
      <c r="L77" s="641"/>
      <c r="M77" s="201" t="e">
        <f>RANK(K77, K$67:$K$81)</f>
        <v>#DIV/0!</v>
      </c>
      <c r="N77" s="659"/>
      <c r="O77" s="659"/>
      <c r="P77" s="573"/>
      <c r="Q77" s="574"/>
      <c r="R77" s="574"/>
      <c r="S77" s="339" t="e">
        <f t="shared" si="52"/>
        <v>#N/A</v>
      </c>
      <c r="T77" s="669"/>
      <c r="U77" s="573"/>
      <c r="V77" s="574"/>
      <c r="W77" s="574"/>
      <c r="X77" s="475" t="e">
        <f t="shared" si="40"/>
        <v>#N/A</v>
      </c>
      <c r="Y77" s="669"/>
      <c r="Z77" s="573"/>
      <c r="AA77" s="574"/>
      <c r="AB77" s="574"/>
      <c r="AC77" s="475" t="e">
        <f t="shared" si="42"/>
        <v>#N/A</v>
      </c>
      <c r="AD77" s="669"/>
      <c r="AE77" s="573"/>
      <c r="AF77" s="574"/>
      <c r="AG77" s="574"/>
      <c r="AH77" s="475" t="e">
        <f t="shared" si="44"/>
        <v>#N/A</v>
      </c>
      <c r="AI77" s="669"/>
      <c r="AJ77" s="573"/>
      <c r="AK77" s="574"/>
      <c r="AL77" s="574"/>
      <c r="AM77" s="475" t="e">
        <f t="shared" si="46"/>
        <v>#N/A</v>
      </c>
      <c r="AN77" s="669"/>
      <c r="AO77" s="573"/>
      <c r="AP77" s="574"/>
      <c r="AQ77" s="574"/>
      <c r="AR77" s="475" t="e">
        <f t="shared" si="48"/>
        <v>#N/A</v>
      </c>
      <c r="AS77" s="669"/>
      <c r="AT77" s="573"/>
      <c r="AU77" s="574"/>
      <c r="AV77" s="574"/>
      <c r="AW77" s="475" t="e">
        <f t="shared" si="50"/>
        <v>#N/A</v>
      </c>
      <c r="AX77" s="681"/>
    </row>
    <row r="78" spans="2:50">
      <c r="B78" s="667"/>
      <c r="C78" s="309">
        <v>12</v>
      </c>
      <c r="D78" s="227"/>
      <c r="E78" s="182"/>
      <c r="F78" s="569"/>
      <c r="G78" s="570"/>
      <c r="H78" s="709"/>
      <c r="I78" s="199"/>
      <c r="J78" s="199"/>
      <c r="K78" s="200"/>
      <c r="L78" s="641"/>
      <c r="M78" s="201" t="e">
        <f>RANK(K78, K$67:$K$81)</f>
        <v>#DIV/0!</v>
      </c>
      <c r="N78" s="659"/>
      <c r="O78" s="659"/>
      <c r="P78" s="573"/>
      <c r="Q78" s="574"/>
      <c r="R78" s="574"/>
      <c r="S78" s="339" t="e">
        <f t="shared" si="52"/>
        <v>#N/A</v>
      </c>
      <c r="T78" s="669"/>
      <c r="U78" s="573"/>
      <c r="V78" s="574"/>
      <c r="W78" s="574"/>
      <c r="X78" s="475" t="e">
        <f t="shared" si="40"/>
        <v>#N/A</v>
      </c>
      <c r="Y78" s="669"/>
      <c r="Z78" s="573"/>
      <c r="AA78" s="574"/>
      <c r="AB78" s="574"/>
      <c r="AC78" s="475" t="e">
        <f t="shared" si="42"/>
        <v>#N/A</v>
      </c>
      <c r="AD78" s="669"/>
      <c r="AE78" s="573"/>
      <c r="AF78" s="574"/>
      <c r="AG78" s="574"/>
      <c r="AH78" s="475" t="e">
        <f t="shared" si="44"/>
        <v>#N/A</v>
      </c>
      <c r="AI78" s="669"/>
      <c r="AJ78" s="573"/>
      <c r="AK78" s="574"/>
      <c r="AL78" s="574"/>
      <c r="AM78" s="475" t="e">
        <f t="shared" si="46"/>
        <v>#N/A</v>
      </c>
      <c r="AN78" s="669"/>
      <c r="AO78" s="573"/>
      <c r="AP78" s="574"/>
      <c r="AQ78" s="574"/>
      <c r="AR78" s="475" t="e">
        <f t="shared" si="48"/>
        <v>#N/A</v>
      </c>
      <c r="AS78" s="669"/>
      <c r="AT78" s="573"/>
      <c r="AU78" s="574"/>
      <c r="AV78" s="574"/>
      <c r="AW78" s="475" t="e">
        <f t="shared" si="50"/>
        <v>#N/A</v>
      </c>
      <c r="AX78" s="681"/>
    </row>
    <row r="79" spans="2:50">
      <c r="B79" s="667"/>
      <c r="C79" s="309">
        <v>13</v>
      </c>
      <c r="D79" s="227"/>
      <c r="E79" s="182"/>
      <c r="F79" s="569"/>
      <c r="G79" s="570"/>
      <c r="H79" s="709"/>
      <c r="I79" s="199"/>
      <c r="J79" s="199"/>
      <c r="K79" s="200"/>
      <c r="L79" s="641"/>
      <c r="M79" s="201" t="e">
        <f>RANK(K79, K$67:$K$81)</f>
        <v>#DIV/0!</v>
      </c>
      <c r="N79" s="659"/>
      <c r="O79" s="659"/>
      <c r="P79" s="573"/>
      <c r="Q79" s="574"/>
      <c r="R79" s="574"/>
      <c r="S79" s="339" t="e">
        <f t="shared" si="52"/>
        <v>#N/A</v>
      </c>
      <c r="T79" s="669"/>
      <c r="U79" s="573"/>
      <c r="V79" s="574"/>
      <c r="W79" s="574"/>
      <c r="X79" s="475" t="e">
        <f t="shared" si="40"/>
        <v>#N/A</v>
      </c>
      <c r="Y79" s="669"/>
      <c r="Z79" s="573"/>
      <c r="AA79" s="574"/>
      <c r="AB79" s="574"/>
      <c r="AC79" s="475" t="e">
        <f t="shared" si="42"/>
        <v>#N/A</v>
      </c>
      <c r="AD79" s="669"/>
      <c r="AE79" s="573"/>
      <c r="AF79" s="574"/>
      <c r="AG79" s="574"/>
      <c r="AH79" s="475" t="e">
        <f t="shared" si="44"/>
        <v>#N/A</v>
      </c>
      <c r="AI79" s="669"/>
      <c r="AJ79" s="573"/>
      <c r="AK79" s="574"/>
      <c r="AL79" s="574"/>
      <c r="AM79" s="475" t="e">
        <f t="shared" si="46"/>
        <v>#N/A</v>
      </c>
      <c r="AN79" s="669"/>
      <c r="AO79" s="573"/>
      <c r="AP79" s="574"/>
      <c r="AQ79" s="574"/>
      <c r="AR79" s="475" t="e">
        <f t="shared" si="48"/>
        <v>#N/A</v>
      </c>
      <c r="AS79" s="669"/>
      <c r="AT79" s="573"/>
      <c r="AU79" s="574"/>
      <c r="AV79" s="574"/>
      <c r="AW79" s="475" t="e">
        <f t="shared" si="50"/>
        <v>#N/A</v>
      </c>
      <c r="AX79" s="681"/>
    </row>
    <row r="80" spans="2:50">
      <c r="B80" s="667"/>
      <c r="C80" s="309">
        <v>14</v>
      </c>
      <c r="D80" s="227"/>
      <c r="E80" s="182"/>
      <c r="F80" s="569"/>
      <c r="G80" s="570"/>
      <c r="H80" s="709"/>
      <c r="I80" s="199"/>
      <c r="J80" s="199"/>
      <c r="K80" s="200"/>
      <c r="L80" s="641"/>
      <c r="M80" s="201" t="e">
        <f>RANK(K80, K$67:$K$81)</f>
        <v>#DIV/0!</v>
      </c>
      <c r="N80" s="659"/>
      <c r="O80" s="659"/>
      <c r="P80" s="573"/>
      <c r="Q80" s="574"/>
      <c r="R80" s="574"/>
      <c r="S80" s="339" t="e">
        <f t="shared" si="52"/>
        <v>#N/A</v>
      </c>
      <c r="T80" s="669"/>
      <c r="U80" s="573"/>
      <c r="V80" s="574"/>
      <c r="W80" s="574"/>
      <c r="X80" s="475" t="e">
        <f t="shared" si="40"/>
        <v>#N/A</v>
      </c>
      <c r="Y80" s="669"/>
      <c r="Z80" s="573"/>
      <c r="AA80" s="574"/>
      <c r="AB80" s="574"/>
      <c r="AC80" s="475" t="e">
        <f t="shared" si="42"/>
        <v>#N/A</v>
      </c>
      <c r="AD80" s="669"/>
      <c r="AE80" s="573"/>
      <c r="AF80" s="574"/>
      <c r="AG80" s="574"/>
      <c r="AH80" s="475" t="e">
        <f t="shared" si="44"/>
        <v>#N/A</v>
      </c>
      <c r="AI80" s="669"/>
      <c r="AJ80" s="573"/>
      <c r="AK80" s="574"/>
      <c r="AL80" s="574"/>
      <c r="AM80" s="475" t="e">
        <f t="shared" si="46"/>
        <v>#N/A</v>
      </c>
      <c r="AN80" s="669"/>
      <c r="AO80" s="573"/>
      <c r="AP80" s="574"/>
      <c r="AQ80" s="574"/>
      <c r="AR80" s="475" t="e">
        <f t="shared" si="48"/>
        <v>#N/A</v>
      </c>
      <c r="AS80" s="669"/>
      <c r="AT80" s="573"/>
      <c r="AU80" s="574"/>
      <c r="AV80" s="574"/>
      <c r="AW80" s="475" t="e">
        <f t="shared" si="50"/>
        <v>#N/A</v>
      </c>
      <c r="AX80" s="681"/>
    </row>
    <row r="81" spans="2:50">
      <c r="B81" s="667"/>
      <c r="C81" s="309">
        <v>15</v>
      </c>
      <c r="D81" s="227"/>
      <c r="E81" s="182"/>
      <c r="F81" s="569"/>
      <c r="G81" s="570"/>
      <c r="H81" s="710"/>
      <c r="I81" s="199"/>
      <c r="J81" s="199"/>
      <c r="K81" s="200"/>
      <c r="L81" s="642"/>
      <c r="M81" s="201" t="e">
        <f>RANK(K81, K$67:$K$81)</f>
        <v>#DIV/0!</v>
      </c>
      <c r="N81" s="659"/>
      <c r="O81" s="659"/>
      <c r="P81" s="573"/>
      <c r="Q81" s="574"/>
      <c r="R81" s="574"/>
      <c r="S81" s="339" t="e">
        <f t="shared" si="52"/>
        <v>#N/A</v>
      </c>
      <c r="T81" s="670"/>
      <c r="U81" s="573"/>
      <c r="V81" s="574"/>
      <c r="W81" s="574"/>
      <c r="X81" s="475" t="e">
        <f t="shared" si="40"/>
        <v>#N/A</v>
      </c>
      <c r="Y81" s="670"/>
      <c r="Z81" s="573"/>
      <c r="AA81" s="574"/>
      <c r="AB81" s="574"/>
      <c r="AC81" s="475" t="e">
        <f t="shared" si="42"/>
        <v>#N/A</v>
      </c>
      <c r="AD81" s="670"/>
      <c r="AE81" s="573"/>
      <c r="AF81" s="574"/>
      <c r="AG81" s="574"/>
      <c r="AH81" s="475" t="e">
        <f t="shared" si="44"/>
        <v>#N/A</v>
      </c>
      <c r="AI81" s="670"/>
      <c r="AJ81" s="573"/>
      <c r="AK81" s="574"/>
      <c r="AL81" s="574"/>
      <c r="AM81" s="475" t="e">
        <f t="shared" si="46"/>
        <v>#N/A</v>
      </c>
      <c r="AN81" s="670"/>
      <c r="AO81" s="573"/>
      <c r="AP81" s="574"/>
      <c r="AQ81" s="574"/>
      <c r="AR81" s="475" t="e">
        <f t="shared" si="48"/>
        <v>#N/A</v>
      </c>
      <c r="AS81" s="670"/>
      <c r="AT81" s="573"/>
      <c r="AU81" s="574"/>
      <c r="AV81" s="574"/>
      <c r="AW81" s="475" t="e">
        <f t="shared" si="50"/>
        <v>#N/A</v>
      </c>
      <c r="AX81" s="681"/>
    </row>
    <row r="82" spans="2:50" ht="15.75">
      <c r="B82" s="671" t="s">
        <v>163</v>
      </c>
      <c r="C82" s="672"/>
      <c r="D82" s="672"/>
      <c r="E82" s="672"/>
      <c r="F82" s="672"/>
      <c r="G82" s="672"/>
      <c r="H82" s="673"/>
      <c r="I82" s="208"/>
      <c r="J82" s="208"/>
      <c r="K82" s="208"/>
      <c r="L82" s="208"/>
      <c r="M82" s="207"/>
      <c r="N82" s="660" t="s">
        <v>156</v>
      </c>
      <c r="O82" s="660" t="s">
        <v>105</v>
      </c>
      <c r="P82" s="666">
        <f>P62+7</f>
        <v>46112</v>
      </c>
      <c r="Q82" s="667"/>
      <c r="R82" s="667"/>
      <c r="S82" s="667"/>
      <c r="T82" s="667"/>
      <c r="U82" s="663">
        <f>P82+1</f>
        <v>46113</v>
      </c>
      <c r="V82" s="664"/>
      <c r="W82" s="664"/>
      <c r="X82" s="664"/>
      <c r="Y82" s="665"/>
      <c r="Z82" s="663">
        <f>U82+1</f>
        <v>46114</v>
      </c>
      <c r="AA82" s="664"/>
      <c r="AB82" s="664"/>
      <c r="AC82" s="664"/>
      <c r="AD82" s="665"/>
      <c r="AE82" s="663">
        <f>Z82+1</f>
        <v>46115</v>
      </c>
      <c r="AF82" s="664"/>
      <c r="AG82" s="664"/>
      <c r="AH82" s="664"/>
      <c r="AI82" s="665"/>
      <c r="AJ82" s="663">
        <f>AE82+1</f>
        <v>46116</v>
      </c>
      <c r="AK82" s="664"/>
      <c r="AL82" s="664"/>
      <c r="AM82" s="664"/>
      <c r="AN82" s="665"/>
      <c r="AO82" s="663">
        <f>AJ82+1</f>
        <v>46117</v>
      </c>
      <c r="AP82" s="664"/>
      <c r="AQ82" s="664"/>
      <c r="AR82" s="664"/>
      <c r="AS82" s="665"/>
      <c r="AT82" s="663">
        <f>AO82+1</f>
        <v>46118</v>
      </c>
      <c r="AU82" s="664"/>
      <c r="AV82" s="664"/>
      <c r="AW82" s="664"/>
      <c r="AX82" s="665"/>
    </row>
    <row r="83" spans="2:50" ht="15.75">
      <c r="B83" s="674"/>
      <c r="C83" s="674"/>
      <c r="D83" s="674"/>
      <c r="E83" s="674"/>
      <c r="F83" s="674"/>
      <c r="G83" s="674"/>
      <c r="H83" s="674"/>
      <c r="I83" s="205"/>
      <c r="J83" s="205"/>
      <c r="K83" s="205"/>
      <c r="L83" s="205"/>
      <c r="M83" s="206"/>
      <c r="N83" s="662"/>
      <c r="O83" s="662"/>
      <c r="P83" s="666" t="s">
        <v>336</v>
      </c>
      <c r="Q83" s="667"/>
      <c r="R83" s="667"/>
      <c r="S83" s="667"/>
      <c r="T83" s="667"/>
      <c r="U83" s="666" t="s">
        <v>337</v>
      </c>
      <c r="V83" s="667"/>
      <c r="W83" s="667"/>
      <c r="X83" s="667"/>
      <c r="Y83" s="667"/>
      <c r="Z83" s="666" t="s">
        <v>338</v>
      </c>
      <c r="AA83" s="667"/>
      <c r="AB83" s="667"/>
      <c r="AC83" s="667"/>
      <c r="AD83" s="667"/>
      <c r="AE83" s="666" t="s">
        <v>339</v>
      </c>
      <c r="AF83" s="667"/>
      <c r="AG83" s="667"/>
      <c r="AH83" s="667"/>
      <c r="AI83" s="667"/>
      <c r="AJ83" s="666" t="s">
        <v>340</v>
      </c>
      <c r="AK83" s="667"/>
      <c r="AL83" s="667"/>
      <c r="AM83" s="667"/>
      <c r="AN83" s="667"/>
      <c r="AO83" s="666" t="s">
        <v>341</v>
      </c>
      <c r="AP83" s="667"/>
      <c r="AQ83" s="667"/>
      <c r="AR83" s="667"/>
      <c r="AS83" s="667"/>
      <c r="AT83" s="666" t="s">
        <v>342</v>
      </c>
      <c r="AU83" s="667"/>
      <c r="AV83" s="667"/>
      <c r="AW83" s="667"/>
      <c r="AX83" s="667"/>
    </row>
    <row r="84" spans="2:50">
      <c r="B84" s="659" t="s">
        <v>478</v>
      </c>
      <c r="C84" s="659" t="s">
        <v>479</v>
      </c>
      <c r="D84" s="659"/>
      <c r="E84" s="659" t="s">
        <v>480</v>
      </c>
      <c r="F84" s="659"/>
      <c r="G84" s="659"/>
      <c r="H84" s="675" t="s">
        <v>481</v>
      </c>
      <c r="I84" s="643" t="s">
        <v>482</v>
      </c>
      <c r="J84" s="643"/>
      <c r="K84" s="643"/>
      <c r="L84" s="644" t="s">
        <v>481</v>
      </c>
      <c r="M84" s="650" t="s">
        <v>483</v>
      </c>
      <c r="N84" s="659"/>
      <c r="O84" s="659" t="s">
        <v>484</v>
      </c>
      <c r="P84" s="656" t="s">
        <v>485</v>
      </c>
      <c r="Q84" s="657"/>
      <c r="R84" s="657"/>
      <c r="S84" s="658"/>
      <c r="T84" s="659" t="s">
        <v>481</v>
      </c>
      <c r="U84" s="656" t="s">
        <v>485</v>
      </c>
      <c r="V84" s="657"/>
      <c r="W84" s="657"/>
      <c r="X84" s="658"/>
      <c r="Y84" s="659" t="s">
        <v>481</v>
      </c>
      <c r="Z84" s="656" t="s">
        <v>485</v>
      </c>
      <c r="AA84" s="657"/>
      <c r="AB84" s="657"/>
      <c r="AC84" s="658"/>
      <c r="AD84" s="659" t="s">
        <v>481</v>
      </c>
      <c r="AE84" s="656" t="s">
        <v>485</v>
      </c>
      <c r="AF84" s="657"/>
      <c r="AG84" s="657"/>
      <c r="AH84" s="658"/>
      <c r="AI84" s="659" t="s">
        <v>481</v>
      </c>
      <c r="AJ84" s="656" t="s">
        <v>485</v>
      </c>
      <c r="AK84" s="657"/>
      <c r="AL84" s="657"/>
      <c r="AM84" s="658"/>
      <c r="AN84" s="659" t="s">
        <v>481</v>
      </c>
      <c r="AO84" s="656" t="s">
        <v>485</v>
      </c>
      <c r="AP84" s="657"/>
      <c r="AQ84" s="657"/>
      <c r="AR84" s="658"/>
      <c r="AS84" s="659" t="s">
        <v>481</v>
      </c>
      <c r="AT84" s="656" t="s">
        <v>485</v>
      </c>
      <c r="AU84" s="657"/>
      <c r="AV84" s="657"/>
      <c r="AW84" s="658"/>
      <c r="AX84" s="659" t="s">
        <v>481</v>
      </c>
    </row>
    <row r="85" spans="2:50">
      <c r="B85" s="659"/>
      <c r="C85" s="659"/>
      <c r="D85" s="659"/>
      <c r="E85" s="659" t="s">
        <v>486</v>
      </c>
      <c r="F85" s="659"/>
      <c r="G85" s="659"/>
      <c r="H85" s="676"/>
      <c r="I85" s="643" t="s">
        <v>486</v>
      </c>
      <c r="J85" s="643"/>
      <c r="K85" s="643"/>
      <c r="L85" s="645"/>
      <c r="M85" s="651"/>
      <c r="N85" s="659"/>
      <c r="O85" s="659"/>
      <c r="P85" s="656" t="s">
        <v>487</v>
      </c>
      <c r="Q85" s="657"/>
      <c r="R85" s="657"/>
      <c r="S85" s="658"/>
      <c r="T85" s="659"/>
      <c r="U85" s="656" t="s">
        <v>487</v>
      </c>
      <c r="V85" s="657"/>
      <c r="W85" s="657"/>
      <c r="X85" s="658"/>
      <c r="Y85" s="659"/>
      <c r="Z85" s="656" t="s">
        <v>487</v>
      </c>
      <c r="AA85" s="657"/>
      <c r="AB85" s="657"/>
      <c r="AC85" s="658"/>
      <c r="AD85" s="659"/>
      <c r="AE85" s="656" t="s">
        <v>487</v>
      </c>
      <c r="AF85" s="657"/>
      <c r="AG85" s="657"/>
      <c r="AH85" s="658"/>
      <c r="AI85" s="659"/>
      <c r="AJ85" s="656" t="s">
        <v>487</v>
      </c>
      <c r="AK85" s="657"/>
      <c r="AL85" s="657"/>
      <c r="AM85" s="658"/>
      <c r="AN85" s="659"/>
      <c r="AO85" s="656" t="s">
        <v>487</v>
      </c>
      <c r="AP85" s="657"/>
      <c r="AQ85" s="657"/>
      <c r="AR85" s="658"/>
      <c r="AS85" s="659"/>
      <c r="AT85" s="656" t="s">
        <v>487</v>
      </c>
      <c r="AU85" s="657"/>
      <c r="AV85" s="657"/>
      <c r="AW85" s="658"/>
      <c r="AX85" s="659"/>
    </row>
    <row r="86" spans="2:50">
      <c r="B86" s="659"/>
      <c r="C86" s="659"/>
      <c r="D86" s="659"/>
      <c r="E86" s="305" t="s">
        <v>488</v>
      </c>
      <c r="F86" s="305" t="s">
        <v>489</v>
      </c>
      <c r="G86" s="305" t="s">
        <v>490</v>
      </c>
      <c r="H86" s="677"/>
      <c r="I86" s="306" t="s">
        <v>488</v>
      </c>
      <c r="J86" s="306" t="s">
        <v>489</v>
      </c>
      <c r="K86" s="306" t="s">
        <v>490</v>
      </c>
      <c r="L86" s="646"/>
      <c r="M86" s="652"/>
      <c r="N86" s="659"/>
      <c r="O86" s="659"/>
      <c r="P86" s="305" t="s">
        <v>488</v>
      </c>
      <c r="Q86" s="305" t="s">
        <v>489</v>
      </c>
      <c r="R86" s="305" t="s">
        <v>490</v>
      </c>
      <c r="S86" s="305" t="s">
        <v>483</v>
      </c>
      <c r="T86" s="659"/>
      <c r="U86" s="305" t="s">
        <v>488</v>
      </c>
      <c r="V86" s="305" t="s">
        <v>489</v>
      </c>
      <c r="W86" s="305" t="s">
        <v>490</v>
      </c>
      <c r="X86" s="305" t="s">
        <v>483</v>
      </c>
      <c r="Y86" s="659"/>
      <c r="Z86" s="305" t="s">
        <v>488</v>
      </c>
      <c r="AA86" s="305" t="s">
        <v>489</v>
      </c>
      <c r="AB86" s="305" t="s">
        <v>490</v>
      </c>
      <c r="AC86" s="305" t="s">
        <v>483</v>
      </c>
      <c r="AD86" s="659"/>
      <c r="AE86" s="305" t="s">
        <v>488</v>
      </c>
      <c r="AF86" s="305" t="s">
        <v>489</v>
      </c>
      <c r="AG86" s="305" t="s">
        <v>490</v>
      </c>
      <c r="AH86" s="305" t="s">
        <v>483</v>
      </c>
      <c r="AI86" s="659"/>
      <c r="AJ86" s="305" t="s">
        <v>488</v>
      </c>
      <c r="AK86" s="305" t="s">
        <v>489</v>
      </c>
      <c r="AL86" s="305" t="s">
        <v>490</v>
      </c>
      <c r="AM86" s="305" t="s">
        <v>483</v>
      </c>
      <c r="AN86" s="659"/>
      <c r="AO86" s="305" t="s">
        <v>488</v>
      </c>
      <c r="AP86" s="305" t="s">
        <v>489</v>
      </c>
      <c r="AQ86" s="305" t="s">
        <v>490</v>
      </c>
      <c r="AR86" s="305" t="s">
        <v>483</v>
      </c>
      <c r="AS86" s="659"/>
      <c r="AT86" s="305" t="s">
        <v>488</v>
      </c>
      <c r="AU86" s="305" t="s">
        <v>489</v>
      </c>
      <c r="AV86" s="305" t="s">
        <v>490</v>
      </c>
      <c r="AW86" s="305" t="s">
        <v>483</v>
      </c>
      <c r="AX86" s="659"/>
    </row>
    <row r="87" spans="2:50">
      <c r="B87" s="659" t="s">
        <v>492</v>
      </c>
      <c r="C87" s="304">
        <v>1</v>
      </c>
      <c r="D87" s="227"/>
      <c r="E87" s="182"/>
      <c r="F87" s="545"/>
      <c r="G87" s="546"/>
      <c r="H87" s="708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0" t="str">
        <f>IFERROR(AVERAGE(K87:K101),"-")</f>
        <v>-</v>
      </c>
      <c r="M87" s="201" t="e">
        <f>RANK(K87, K$87:$K$101)</f>
        <v>#DIV/0!</v>
      </c>
      <c r="N87" s="659"/>
      <c r="O87" s="659"/>
      <c r="P87" s="573"/>
      <c r="Q87" s="574"/>
      <c r="R87" s="574"/>
      <c r="S87" s="304" t="e">
        <f>RANK(R87, R$87:R$101)</f>
        <v>#N/A</v>
      </c>
      <c r="T87" s="668" t="e">
        <f>AVERAGE(R87:R101)</f>
        <v>#DIV/0!</v>
      </c>
      <c r="U87" s="573"/>
      <c r="V87" s="574"/>
      <c r="W87" s="574"/>
      <c r="X87" s="475" t="e">
        <f t="shared" ref="X87:X101" si="56">RANK(W87, W$87:W$101)</f>
        <v>#N/A</v>
      </c>
      <c r="Y87" s="668" t="e">
        <f t="shared" ref="Y87" si="57">AVERAGE(W87:W101)</f>
        <v>#DIV/0!</v>
      </c>
      <c r="Z87" s="573"/>
      <c r="AA87" s="574"/>
      <c r="AB87" s="574"/>
      <c r="AC87" s="475" t="e">
        <f t="shared" ref="AC87:AC101" si="58">RANK(AB87, AB$87:AB$101)</f>
        <v>#N/A</v>
      </c>
      <c r="AD87" s="668" t="e">
        <f t="shared" ref="AD87" si="59">AVERAGE(AB87:AB101)</f>
        <v>#DIV/0!</v>
      </c>
      <c r="AE87" s="573"/>
      <c r="AF87" s="574"/>
      <c r="AG87" s="574"/>
      <c r="AH87" s="475" t="e">
        <f t="shared" ref="AH87:AH101" si="60">RANK(AG87, AG$87:AG$101)</f>
        <v>#N/A</v>
      </c>
      <c r="AI87" s="668" t="e">
        <f t="shared" ref="AI87" si="61">AVERAGE(AG87:AG101)</f>
        <v>#DIV/0!</v>
      </c>
      <c r="AJ87" s="573"/>
      <c r="AK87" s="574"/>
      <c r="AL87" s="574"/>
      <c r="AM87" s="475" t="e">
        <f t="shared" ref="AM87:AM101" si="62">RANK(AL87, AL$87:AL$101)</f>
        <v>#N/A</v>
      </c>
      <c r="AN87" s="668" t="e">
        <f t="shared" ref="AN87" si="63">AVERAGE(AL87:AL101)</f>
        <v>#DIV/0!</v>
      </c>
      <c r="AO87" s="573"/>
      <c r="AP87" s="574"/>
      <c r="AQ87" s="574"/>
      <c r="AR87" s="475" t="e">
        <f t="shared" ref="AR87:AR101" si="64">RANK(AQ87, AQ$87:AQ$101)</f>
        <v>#N/A</v>
      </c>
      <c r="AS87" s="668" t="e">
        <f t="shared" ref="AS87" si="65">AVERAGE(AQ87:AQ101)</f>
        <v>#DIV/0!</v>
      </c>
      <c r="AT87" s="573"/>
      <c r="AU87" s="574"/>
      <c r="AV87" s="574"/>
      <c r="AW87" s="475" t="e">
        <f t="shared" ref="AW87:AW101" si="66">RANK(AV87, AV$87:AV$101)</f>
        <v>#N/A</v>
      </c>
      <c r="AX87" s="681" t="e">
        <f t="shared" ref="AX87" si="67">AVERAGE(AV87:AV101)</f>
        <v>#DIV/0!</v>
      </c>
    </row>
    <row r="88" spans="2:50">
      <c r="B88" s="667"/>
      <c r="C88" s="304">
        <v>2</v>
      </c>
      <c r="D88" s="227"/>
      <c r="E88" s="182"/>
      <c r="F88" s="545"/>
      <c r="G88" s="546"/>
      <c r="H88" s="709"/>
      <c r="I88" s="199" t="e">
        <f t="shared" ref="I88:K92" si="68">AVERAGE(P88,U88,Z88,AE88,AJ88,AO88,AT88)</f>
        <v>#DIV/0!</v>
      </c>
      <c r="J88" s="199" t="e">
        <f t="shared" si="68"/>
        <v>#DIV/0!</v>
      </c>
      <c r="K88" s="200" t="e">
        <f t="shared" si="68"/>
        <v>#DIV/0!</v>
      </c>
      <c r="L88" s="641"/>
      <c r="M88" s="201" t="e">
        <f>RANK(K88, K$87:$K$101)</f>
        <v>#DIV/0!</v>
      </c>
      <c r="N88" s="659"/>
      <c r="O88" s="659"/>
      <c r="P88" s="573"/>
      <c r="Q88" s="574"/>
      <c r="R88" s="574"/>
      <c r="S88" s="304" t="e">
        <f t="shared" ref="S88:S101" si="69">RANK(R88, R$87:R$101)</f>
        <v>#N/A</v>
      </c>
      <c r="T88" s="669"/>
      <c r="U88" s="573"/>
      <c r="V88" s="574"/>
      <c r="W88" s="574"/>
      <c r="X88" s="475" t="e">
        <f t="shared" si="56"/>
        <v>#N/A</v>
      </c>
      <c r="Y88" s="669"/>
      <c r="Z88" s="573"/>
      <c r="AA88" s="574"/>
      <c r="AB88" s="574"/>
      <c r="AC88" s="475" t="e">
        <f t="shared" si="58"/>
        <v>#N/A</v>
      </c>
      <c r="AD88" s="669"/>
      <c r="AE88" s="573"/>
      <c r="AF88" s="574"/>
      <c r="AG88" s="574"/>
      <c r="AH88" s="475" t="e">
        <f t="shared" si="60"/>
        <v>#N/A</v>
      </c>
      <c r="AI88" s="669"/>
      <c r="AJ88" s="573"/>
      <c r="AK88" s="574"/>
      <c r="AL88" s="574"/>
      <c r="AM88" s="475" t="e">
        <f t="shared" si="62"/>
        <v>#N/A</v>
      </c>
      <c r="AN88" s="669"/>
      <c r="AO88" s="573"/>
      <c r="AP88" s="574"/>
      <c r="AQ88" s="574"/>
      <c r="AR88" s="475" t="e">
        <f t="shared" si="64"/>
        <v>#N/A</v>
      </c>
      <c r="AS88" s="669"/>
      <c r="AT88" s="573"/>
      <c r="AU88" s="574"/>
      <c r="AV88" s="574"/>
      <c r="AW88" s="475" t="e">
        <f t="shared" si="66"/>
        <v>#N/A</v>
      </c>
      <c r="AX88" s="681"/>
    </row>
    <row r="89" spans="2:50">
      <c r="B89" s="667"/>
      <c r="C89" s="304">
        <v>3</v>
      </c>
      <c r="D89" s="227"/>
      <c r="E89" s="182"/>
      <c r="F89" s="545"/>
      <c r="G89" s="546"/>
      <c r="H89" s="709"/>
      <c r="I89" s="199" t="e">
        <f t="shared" si="68"/>
        <v>#DIV/0!</v>
      </c>
      <c r="J89" s="199" t="e">
        <f t="shared" si="68"/>
        <v>#DIV/0!</v>
      </c>
      <c r="K89" s="200" t="e">
        <f t="shared" si="68"/>
        <v>#DIV/0!</v>
      </c>
      <c r="L89" s="641"/>
      <c r="M89" s="201" t="e">
        <f>RANK(K89, K$87:$K$101)</f>
        <v>#DIV/0!</v>
      </c>
      <c r="N89" s="659"/>
      <c r="O89" s="659"/>
      <c r="P89" s="573"/>
      <c r="Q89" s="574"/>
      <c r="R89" s="574"/>
      <c r="S89" s="304" t="e">
        <f t="shared" si="69"/>
        <v>#N/A</v>
      </c>
      <c r="T89" s="669"/>
      <c r="U89" s="573"/>
      <c r="V89" s="574"/>
      <c r="W89" s="574"/>
      <c r="X89" s="475" t="e">
        <f t="shared" si="56"/>
        <v>#N/A</v>
      </c>
      <c r="Y89" s="669"/>
      <c r="Z89" s="573"/>
      <c r="AA89" s="574"/>
      <c r="AB89" s="574"/>
      <c r="AC89" s="475" t="e">
        <f t="shared" si="58"/>
        <v>#N/A</v>
      </c>
      <c r="AD89" s="669"/>
      <c r="AE89" s="573"/>
      <c r="AF89" s="574"/>
      <c r="AG89" s="574"/>
      <c r="AH89" s="475" t="e">
        <f t="shared" si="60"/>
        <v>#N/A</v>
      </c>
      <c r="AI89" s="669"/>
      <c r="AJ89" s="573"/>
      <c r="AK89" s="574"/>
      <c r="AL89" s="574"/>
      <c r="AM89" s="475" t="e">
        <f t="shared" si="62"/>
        <v>#N/A</v>
      </c>
      <c r="AN89" s="669"/>
      <c r="AO89" s="573"/>
      <c r="AP89" s="574"/>
      <c r="AQ89" s="574"/>
      <c r="AR89" s="475" t="e">
        <f t="shared" si="64"/>
        <v>#N/A</v>
      </c>
      <c r="AS89" s="669"/>
      <c r="AT89" s="573"/>
      <c r="AU89" s="574"/>
      <c r="AV89" s="574"/>
      <c r="AW89" s="475" t="e">
        <f t="shared" si="66"/>
        <v>#N/A</v>
      </c>
      <c r="AX89" s="681"/>
    </row>
    <row r="90" spans="2:50">
      <c r="B90" s="667"/>
      <c r="C90" s="304">
        <v>4</v>
      </c>
      <c r="D90" s="227"/>
      <c r="E90" s="182"/>
      <c r="F90" s="545"/>
      <c r="G90" s="546"/>
      <c r="H90" s="709"/>
      <c r="I90" s="199" t="e">
        <f t="shared" si="68"/>
        <v>#DIV/0!</v>
      </c>
      <c r="J90" s="199" t="e">
        <f t="shared" si="68"/>
        <v>#DIV/0!</v>
      </c>
      <c r="K90" s="200" t="e">
        <f t="shared" si="68"/>
        <v>#DIV/0!</v>
      </c>
      <c r="L90" s="641"/>
      <c r="M90" s="201" t="e">
        <f>RANK(K90, K$87:$K$101)</f>
        <v>#DIV/0!</v>
      </c>
      <c r="N90" s="659"/>
      <c r="O90" s="659"/>
      <c r="P90" s="573"/>
      <c r="Q90" s="574"/>
      <c r="R90" s="574"/>
      <c r="S90" s="304" t="e">
        <f t="shared" si="69"/>
        <v>#N/A</v>
      </c>
      <c r="T90" s="669"/>
      <c r="U90" s="573"/>
      <c r="V90" s="574"/>
      <c r="W90" s="574"/>
      <c r="X90" s="475" t="e">
        <f t="shared" si="56"/>
        <v>#N/A</v>
      </c>
      <c r="Y90" s="669"/>
      <c r="Z90" s="573"/>
      <c r="AA90" s="574"/>
      <c r="AB90" s="574"/>
      <c r="AC90" s="475" t="e">
        <f t="shared" si="58"/>
        <v>#N/A</v>
      </c>
      <c r="AD90" s="669"/>
      <c r="AE90" s="573"/>
      <c r="AF90" s="574"/>
      <c r="AG90" s="574"/>
      <c r="AH90" s="475" t="e">
        <f t="shared" si="60"/>
        <v>#N/A</v>
      </c>
      <c r="AI90" s="669"/>
      <c r="AJ90" s="573"/>
      <c r="AK90" s="574"/>
      <c r="AL90" s="574"/>
      <c r="AM90" s="475" t="e">
        <f t="shared" si="62"/>
        <v>#N/A</v>
      </c>
      <c r="AN90" s="669"/>
      <c r="AO90" s="573"/>
      <c r="AP90" s="574"/>
      <c r="AQ90" s="574"/>
      <c r="AR90" s="475" t="e">
        <f t="shared" si="64"/>
        <v>#N/A</v>
      </c>
      <c r="AS90" s="669"/>
      <c r="AT90" s="573"/>
      <c r="AU90" s="574"/>
      <c r="AV90" s="574"/>
      <c r="AW90" s="475" t="e">
        <f t="shared" si="66"/>
        <v>#N/A</v>
      </c>
      <c r="AX90" s="681"/>
    </row>
    <row r="91" spans="2:50">
      <c r="B91" s="667"/>
      <c r="C91" s="304">
        <v>5</v>
      </c>
      <c r="D91" s="227"/>
      <c r="E91" s="182"/>
      <c r="F91" s="545"/>
      <c r="G91" s="546"/>
      <c r="H91" s="709"/>
      <c r="I91" s="199" t="e">
        <f t="shared" si="68"/>
        <v>#DIV/0!</v>
      </c>
      <c r="J91" s="199" t="e">
        <f t="shared" si="68"/>
        <v>#DIV/0!</v>
      </c>
      <c r="K91" s="200" t="e">
        <f t="shared" si="68"/>
        <v>#DIV/0!</v>
      </c>
      <c r="L91" s="641"/>
      <c r="M91" s="201" t="e">
        <f>RANK(K91, K$87:$K$101)</f>
        <v>#DIV/0!</v>
      </c>
      <c r="N91" s="659"/>
      <c r="O91" s="659"/>
      <c r="P91" s="573"/>
      <c r="Q91" s="574"/>
      <c r="R91" s="574"/>
      <c r="S91" s="304" t="e">
        <f t="shared" si="69"/>
        <v>#N/A</v>
      </c>
      <c r="T91" s="669"/>
      <c r="U91" s="573"/>
      <c r="V91" s="574"/>
      <c r="W91" s="574"/>
      <c r="X91" s="475" t="e">
        <f t="shared" si="56"/>
        <v>#N/A</v>
      </c>
      <c r="Y91" s="669"/>
      <c r="Z91" s="573"/>
      <c r="AA91" s="574"/>
      <c r="AB91" s="574"/>
      <c r="AC91" s="475" t="e">
        <f t="shared" si="58"/>
        <v>#N/A</v>
      </c>
      <c r="AD91" s="669"/>
      <c r="AE91" s="573"/>
      <c r="AF91" s="574"/>
      <c r="AG91" s="574"/>
      <c r="AH91" s="475" t="e">
        <f t="shared" si="60"/>
        <v>#N/A</v>
      </c>
      <c r="AI91" s="669"/>
      <c r="AJ91" s="573"/>
      <c r="AK91" s="574"/>
      <c r="AL91" s="574"/>
      <c r="AM91" s="475" t="e">
        <f t="shared" si="62"/>
        <v>#N/A</v>
      </c>
      <c r="AN91" s="669"/>
      <c r="AO91" s="573"/>
      <c r="AP91" s="574"/>
      <c r="AQ91" s="574"/>
      <c r="AR91" s="475" t="e">
        <f t="shared" si="64"/>
        <v>#N/A</v>
      </c>
      <c r="AS91" s="669"/>
      <c r="AT91" s="573"/>
      <c r="AU91" s="574"/>
      <c r="AV91" s="574"/>
      <c r="AW91" s="475" t="e">
        <f t="shared" si="66"/>
        <v>#N/A</v>
      </c>
      <c r="AX91" s="681"/>
    </row>
    <row r="92" spans="2:50">
      <c r="B92" s="667"/>
      <c r="C92" s="304">
        <v>6</v>
      </c>
      <c r="D92" s="227"/>
      <c r="E92" s="182"/>
      <c r="F92" s="545"/>
      <c r="G92" s="546"/>
      <c r="H92" s="709"/>
      <c r="I92" s="199" t="e">
        <f t="shared" si="68"/>
        <v>#DIV/0!</v>
      </c>
      <c r="J92" s="199" t="e">
        <f t="shared" si="68"/>
        <v>#DIV/0!</v>
      </c>
      <c r="K92" s="200" t="e">
        <f t="shared" si="68"/>
        <v>#DIV/0!</v>
      </c>
      <c r="L92" s="641"/>
      <c r="M92" s="201" t="e">
        <f>RANK(K92, K$87:$K$101)</f>
        <v>#DIV/0!</v>
      </c>
      <c r="N92" s="659"/>
      <c r="O92" s="659"/>
      <c r="P92" s="573"/>
      <c r="Q92" s="574"/>
      <c r="R92" s="574"/>
      <c r="S92" s="304" t="e">
        <f t="shared" si="69"/>
        <v>#N/A</v>
      </c>
      <c r="T92" s="669"/>
      <c r="U92" s="573"/>
      <c r="V92" s="574"/>
      <c r="W92" s="574"/>
      <c r="X92" s="475" t="e">
        <f t="shared" si="56"/>
        <v>#N/A</v>
      </c>
      <c r="Y92" s="669"/>
      <c r="Z92" s="573"/>
      <c r="AA92" s="574"/>
      <c r="AB92" s="574"/>
      <c r="AC92" s="475" t="e">
        <f t="shared" si="58"/>
        <v>#N/A</v>
      </c>
      <c r="AD92" s="669"/>
      <c r="AE92" s="573"/>
      <c r="AF92" s="574"/>
      <c r="AG92" s="574"/>
      <c r="AH92" s="475" t="e">
        <f t="shared" si="60"/>
        <v>#N/A</v>
      </c>
      <c r="AI92" s="669"/>
      <c r="AJ92" s="573"/>
      <c r="AK92" s="574"/>
      <c r="AL92" s="574"/>
      <c r="AM92" s="475" t="e">
        <f t="shared" si="62"/>
        <v>#N/A</v>
      </c>
      <c r="AN92" s="669"/>
      <c r="AO92" s="573"/>
      <c r="AP92" s="574"/>
      <c r="AQ92" s="574"/>
      <c r="AR92" s="475" t="e">
        <f t="shared" si="64"/>
        <v>#N/A</v>
      </c>
      <c r="AS92" s="669"/>
      <c r="AT92" s="573"/>
      <c r="AU92" s="574"/>
      <c r="AV92" s="574"/>
      <c r="AW92" s="475" t="e">
        <f t="shared" si="66"/>
        <v>#N/A</v>
      </c>
      <c r="AX92" s="681"/>
    </row>
    <row r="93" spans="2:50">
      <c r="B93" s="667"/>
      <c r="C93" s="304">
        <v>7</v>
      </c>
      <c r="D93" s="227"/>
      <c r="E93" s="182"/>
      <c r="F93" s="545"/>
      <c r="G93" s="546"/>
      <c r="H93" s="709"/>
      <c r="I93" s="446" t="e">
        <f t="shared" ref="I93" si="70">AVERAGE(P93,U93,Z93,AE93,AJ93,AO93,AT93)</f>
        <v>#DIV/0!</v>
      </c>
      <c r="J93" s="446" t="e">
        <f t="shared" ref="J93" si="71">AVERAGE(Q93,V93,AA93,AF93,AK93,AP93,AU93)</f>
        <v>#DIV/0!</v>
      </c>
      <c r="K93" s="200" t="e">
        <f t="shared" ref="K93" si="72">AVERAGE(R93,W93,AB93,AG93,AL93,AQ93,AV93)</f>
        <v>#DIV/0!</v>
      </c>
      <c r="L93" s="641"/>
      <c r="M93" s="201" t="e">
        <f>RANK(K93, K$87:$K$101)</f>
        <v>#DIV/0!</v>
      </c>
      <c r="N93" s="659"/>
      <c r="O93" s="659"/>
      <c r="P93" s="573"/>
      <c r="Q93" s="574"/>
      <c r="R93" s="574"/>
      <c r="S93" s="304" t="e">
        <f t="shared" si="69"/>
        <v>#N/A</v>
      </c>
      <c r="T93" s="669"/>
      <c r="U93" s="573"/>
      <c r="V93" s="574"/>
      <c r="W93" s="574"/>
      <c r="X93" s="475" t="e">
        <f t="shared" si="56"/>
        <v>#N/A</v>
      </c>
      <c r="Y93" s="669"/>
      <c r="Z93" s="573"/>
      <c r="AA93" s="574"/>
      <c r="AB93" s="574"/>
      <c r="AC93" s="475" t="e">
        <f t="shared" si="58"/>
        <v>#N/A</v>
      </c>
      <c r="AD93" s="669"/>
      <c r="AE93" s="573"/>
      <c r="AF93" s="574"/>
      <c r="AG93" s="574"/>
      <c r="AH93" s="475" t="e">
        <f t="shared" si="60"/>
        <v>#N/A</v>
      </c>
      <c r="AI93" s="669"/>
      <c r="AJ93" s="573"/>
      <c r="AK93" s="574"/>
      <c r="AL93" s="574"/>
      <c r="AM93" s="475" t="e">
        <f t="shared" si="62"/>
        <v>#N/A</v>
      </c>
      <c r="AN93" s="669"/>
      <c r="AO93" s="573"/>
      <c r="AP93" s="574"/>
      <c r="AQ93" s="574"/>
      <c r="AR93" s="475" t="e">
        <f t="shared" si="64"/>
        <v>#N/A</v>
      </c>
      <c r="AS93" s="669"/>
      <c r="AT93" s="573"/>
      <c r="AU93" s="574"/>
      <c r="AV93" s="574"/>
      <c r="AW93" s="475" t="e">
        <f t="shared" si="66"/>
        <v>#N/A</v>
      </c>
      <c r="AX93" s="681"/>
    </row>
    <row r="94" spans="2:50">
      <c r="B94" s="667"/>
      <c r="C94" s="304">
        <v>8</v>
      </c>
      <c r="D94" s="227"/>
      <c r="E94" s="182"/>
      <c r="F94" s="545"/>
      <c r="G94" s="546"/>
      <c r="H94" s="709"/>
      <c r="I94" s="446"/>
      <c r="J94" s="446"/>
      <c r="K94" s="200"/>
      <c r="L94" s="641"/>
      <c r="M94" s="201" t="e">
        <f>RANK(K94, K$87:$K$101)</f>
        <v>#DIV/0!</v>
      </c>
      <c r="N94" s="659"/>
      <c r="O94" s="659"/>
      <c r="P94" s="573"/>
      <c r="Q94" s="574"/>
      <c r="R94" s="574"/>
      <c r="S94" s="304" t="e">
        <f t="shared" si="69"/>
        <v>#N/A</v>
      </c>
      <c r="T94" s="669"/>
      <c r="U94" s="573"/>
      <c r="V94" s="574"/>
      <c r="W94" s="574"/>
      <c r="X94" s="475" t="e">
        <f t="shared" si="56"/>
        <v>#N/A</v>
      </c>
      <c r="Y94" s="669"/>
      <c r="Z94" s="573"/>
      <c r="AA94" s="574"/>
      <c r="AB94" s="574"/>
      <c r="AC94" s="475" t="e">
        <f t="shared" si="58"/>
        <v>#N/A</v>
      </c>
      <c r="AD94" s="669"/>
      <c r="AE94" s="573"/>
      <c r="AF94" s="574"/>
      <c r="AG94" s="574"/>
      <c r="AH94" s="475" t="e">
        <f t="shared" si="60"/>
        <v>#N/A</v>
      </c>
      <c r="AI94" s="669"/>
      <c r="AJ94" s="573"/>
      <c r="AK94" s="574"/>
      <c r="AL94" s="574"/>
      <c r="AM94" s="475" t="e">
        <f t="shared" si="62"/>
        <v>#N/A</v>
      </c>
      <c r="AN94" s="669"/>
      <c r="AO94" s="573"/>
      <c r="AP94" s="574"/>
      <c r="AQ94" s="574"/>
      <c r="AR94" s="475" t="e">
        <f t="shared" si="64"/>
        <v>#N/A</v>
      </c>
      <c r="AS94" s="669"/>
      <c r="AT94" s="573"/>
      <c r="AU94" s="574"/>
      <c r="AV94" s="574"/>
      <c r="AW94" s="475" t="e">
        <f t="shared" si="66"/>
        <v>#N/A</v>
      </c>
      <c r="AX94" s="681"/>
    </row>
    <row r="95" spans="2:50">
      <c r="B95" s="667"/>
      <c r="C95" s="304">
        <v>9</v>
      </c>
      <c r="D95" s="227"/>
      <c r="E95" s="182"/>
      <c r="F95" s="545"/>
      <c r="G95" s="546"/>
      <c r="H95" s="709"/>
      <c r="I95" s="199"/>
      <c r="J95" s="199"/>
      <c r="K95" s="200"/>
      <c r="L95" s="641"/>
      <c r="M95" s="201" t="e">
        <f>RANK(K95, K$87:$K$101)</f>
        <v>#DIV/0!</v>
      </c>
      <c r="N95" s="659"/>
      <c r="O95" s="659"/>
      <c r="P95" s="573"/>
      <c r="Q95" s="574"/>
      <c r="R95" s="574"/>
      <c r="S95" s="304" t="e">
        <f t="shared" si="69"/>
        <v>#N/A</v>
      </c>
      <c r="T95" s="669"/>
      <c r="U95" s="573"/>
      <c r="V95" s="574"/>
      <c r="W95" s="574"/>
      <c r="X95" s="475" t="e">
        <f t="shared" si="56"/>
        <v>#N/A</v>
      </c>
      <c r="Y95" s="669"/>
      <c r="Z95" s="573"/>
      <c r="AA95" s="574"/>
      <c r="AB95" s="574"/>
      <c r="AC95" s="475" t="e">
        <f t="shared" si="58"/>
        <v>#N/A</v>
      </c>
      <c r="AD95" s="669"/>
      <c r="AE95" s="573"/>
      <c r="AF95" s="574"/>
      <c r="AG95" s="574"/>
      <c r="AH95" s="475" t="e">
        <f t="shared" si="60"/>
        <v>#N/A</v>
      </c>
      <c r="AI95" s="669"/>
      <c r="AJ95" s="573"/>
      <c r="AK95" s="574"/>
      <c r="AL95" s="574"/>
      <c r="AM95" s="475" t="e">
        <f t="shared" si="62"/>
        <v>#N/A</v>
      </c>
      <c r="AN95" s="669"/>
      <c r="AO95" s="573"/>
      <c r="AP95" s="574"/>
      <c r="AQ95" s="574"/>
      <c r="AR95" s="475" t="e">
        <f t="shared" si="64"/>
        <v>#N/A</v>
      </c>
      <c r="AS95" s="669"/>
      <c r="AT95" s="573"/>
      <c r="AU95" s="574"/>
      <c r="AV95" s="574"/>
      <c r="AW95" s="475" t="e">
        <f t="shared" si="66"/>
        <v>#N/A</v>
      </c>
      <c r="AX95" s="681"/>
    </row>
    <row r="96" spans="2:50">
      <c r="B96" s="667"/>
      <c r="C96" s="304">
        <v>10</v>
      </c>
      <c r="D96" s="227"/>
      <c r="E96" s="182"/>
      <c r="F96" s="545"/>
      <c r="G96" s="546"/>
      <c r="H96" s="709"/>
      <c r="I96" s="199"/>
      <c r="J96" s="199"/>
      <c r="K96" s="200"/>
      <c r="L96" s="641"/>
      <c r="M96" s="201" t="e">
        <f>RANK(K96, K$87:$K$101)</f>
        <v>#DIV/0!</v>
      </c>
      <c r="N96" s="659"/>
      <c r="O96" s="659"/>
      <c r="P96" s="573"/>
      <c r="Q96" s="574"/>
      <c r="R96" s="574"/>
      <c r="S96" s="304" t="e">
        <f t="shared" si="69"/>
        <v>#N/A</v>
      </c>
      <c r="T96" s="669"/>
      <c r="U96" s="573"/>
      <c r="V96" s="574"/>
      <c r="W96" s="574"/>
      <c r="X96" s="475" t="e">
        <f t="shared" si="56"/>
        <v>#N/A</v>
      </c>
      <c r="Y96" s="669"/>
      <c r="Z96" s="573"/>
      <c r="AA96" s="574"/>
      <c r="AB96" s="574"/>
      <c r="AC96" s="475" t="e">
        <f t="shared" si="58"/>
        <v>#N/A</v>
      </c>
      <c r="AD96" s="669"/>
      <c r="AE96" s="573"/>
      <c r="AF96" s="574"/>
      <c r="AG96" s="574"/>
      <c r="AH96" s="475" t="e">
        <f t="shared" si="60"/>
        <v>#N/A</v>
      </c>
      <c r="AI96" s="669"/>
      <c r="AJ96" s="573"/>
      <c r="AK96" s="574"/>
      <c r="AL96" s="574"/>
      <c r="AM96" s="475" t="e">
        <f t="shared" si="62"/>
        <v>#N/A</v>
      </c>
      <c r="AN96" s="669"/>
      <c r="AO96" s="573"/>
      <c r="AP96" s="574"/>
      <c r="AQ96" s="574"/>
      <c r="AR96" s="475" t="e">
        <f t="shared" si="64"/>
        <v>#N/A</v>
      </c>
      <c r="AS96" s="669"/>
      <c r="AT96" s="573"/>
      <c r="AU96" s="574"/>
      <c r="AV96" s="574"/>
      <c r="AW96" s="475" t="e">
        <f t="shared" si="66"/>
        <v>#N/A</v>
      </c>
      <c r="AX96" s="681"/>
    </row>
    <row r="97" spans="2:50">
      <c r="B97" s="667"/>
      <c r="C97" s="304">
        <v>11</v>
      </c>
      <c r="D97" s="227"/>
      <c r="E97" s="182"/>
      <c r="F97" s="545"/>
      <c r="G97" s="546"/>
      <c r="H97" s="709"/>
      <c r="I97" s="199"/>
      <c r="J97" s="199"/>
      <c r="K97" s="200"/>
      <c r="L97" s="641"/>
      <c r="M97" s="201" t="e">
        <f>RANK(K97, K$87:$K$101)</f>
        <v>#DIV/0!</v>
      </c>
      <c r="N97" s="659"/>
      <c r="O97" s="659"/>
      <c r="P97" s="573"/>
      <c r="Q97" s="574"/>
      <c r="R97" s="574"/>
      <c r="S97" s="304" t="e">
        <f t="shared" si="69"/>
        <v>#N/A</v>
      </c>
      <c r="T97" s="669"/>
      <c r="U97" s="573"/>
      <c r="V97" s="574"/>
      <c r="W97" s="574"/>
      <c r="X97" s="475" t="e">
        <f t="shared" si="56"/>
        <v>#N/A</v>
      </c>
      <c r="Y97" s="669"/>
      <c r="Z97" s="573"/>
      <c r="AA97" s="574"/>
      <c r="AB97" s="574"/>
      <c r="AC97" s="475" t="e">
        <f t="shared" si="58"/>
        <v>#N/A</v>
      </c>
      <c r="AD97" s="669"/>
      <c r="AE97" s="573"/>
      <c r="AF97" s="574"/>
      <c r="AG97" s="574"/>
      <c r="AH97" s="475" t="e">
        <f t="shared" si="60"/>
        <v>#N/A</v>
      </c>
      <c r="AI97" s="669"/>
      <c r="AJ97" s="573"/>
      <c r="AK97" s="574"/>
      <c r="AL97" s="574"/>
      <c r="AM97" s="475" t="e">
        <f t="shared" si="62"/>
        <v>#N/A</v>
      </c>
      <c r="AN97" s="669"/>
      <c r="AO97" s="573"/>
      <c r="AP97" s="574"/>
      <c r="AQ97" s="574"/>
      <c r="AR97" s="475" t="e">
        <f t="shared" si="64"/>
        <v>#N/A</v>
      </c>
      <c r="AS97" s="669"/>
      <c r="AT97" s="573"/>
      <c r="AU97" s="574"/>
      <c r="AV97" s="574"/>
      <c r="AW97" s="475" t="e">
        <f t="shared" si="66"/>
        <v>#N/A</v>
      </c>
      <c r="AX97" s="681"/>
    </row>
    <row r="98" spans="2:50">
      <c r="B98" s="667"/>
      <c r="C98" s="304">
        <v>12</v>
      </c>
      <c r="D98" s="227"/>
      <c r="E98" s="182"/>
      <c r="F98" s="545"/>
      <c r="G98" s="546"/>
      <c r="H98" s="709"/>
      <c r="I98" s="199"/>
      <c r="J98" s="199"/>
      <c r="K98" s="200"/>
      <c r="L98" s="641"/>
      <c r="M98" s="201" t="e">
        <f>RANK(K98, K$87:$K$101)</f>
        <v>#DIV/0!</v>
      </c>
      <c r="N98" s="659"/>
      <c r="O98" s="659"/>
      <c r="P98" s="573"/>
      <c r="Q98" s="574"/>
      <c r="R98" s="574"/>
      <c r="S98" s="304" t="e">
        <f t="shared" si="69"/>
        <v>#N/A</v>
      </c>
      <c r="T98" s="669"/>
      <c r="U98" s="573"/>
      <c r="V98" s="574"/>
      <c r="W98" s="574"/>
      <c r="X98" s="475" t="e">
        <f t="shared" si="56"/>
        <v>#N/A</v>
      </c>
      <c r="Y98" s="669"/>
      <c r="Z98" s="573"/>
      <c r="AA98" s="574"/>
      <c r="AB98" s="574"/>
      <c r="AC98" s="475" t="e">
        <f t="shared" si="58"/>
        <v>#N/A</v>
      </c>
      <c r="AD98" s="669"/>
      <c r="AE98" s="573"/>
      <c r="AF98" s="574"/>
      <c r="AG98" s="574"/>
      <c r="AH98" s="475" t="e">
        <f t="shared" si="60"/>
        <v>#N/A</v>
      </c>
      <c r="AI98" s="669"/>
      <c r="AJ98" s="573"/>
      <c r="AK98" s="574"/>
      <c r="AL98" s="574"/>
      <c r="AM98" s="475" t="e">
        <f t="shared" si="62"/>
        <v>#N/A</v>
      </c>
      <c r="AN98" s="669"/>
      <c r="AO98" s="573"/>
      <c r="AP98" s="574"/>
      <c r="AQ98" s="574"/>
      <c r="AR98" s="475" t="e">
        <f t="shared" si="64"/>
        <v>#N/A</v>
      </c>
      <c r="AS98" s="669"/>
      <c r="AT98" s="573"/>
      <c r="AU98" s="574"/>
      <c r="AV98" s="574"/>
      <c r="AW98" s="475" t="e">
        <f t="shared" si="66"/>
        <v>#N/A</v>
      </c>
      <c r="AX98" s="681"/>
    </row>
    <row r="99" spans="2:50">
      <c r="B99" s="667"/>
      <c r="C99" s="304">
        <v>13</v>
      </c>
      <c r="D99" s="227"/>
      <c r="E99" s="182"/>
      <c r="F99" s="545"/>
      <c r="G99" s="546"/>
      <c r="H99" s="709"/>
      <c r="I99" s="199"/>
      <c r="J99" s="199"/>
      <c r="K99" s="200"/>
      <c r="L99" s="641"/>
      <c r="M99" s="201" t="e">
        <f>RANK(K99, K$87:$K$101)</f>
        <v>#DIV/0!</v>
      </c>
      <c r="N99" s="659"/>
      <c r="O99" s="659"/>
      <c r="P99" s="573"/>
      <c r="Q99" s="574"/>
      <c r="R99" s="574"/>
      <c r="S99" s="304" t="e">
        <f t="shared" si="69"/>
        <v>#N/A</v>
      </c>
      <c r="T99" s="669"/>
      <c r="U99" s="573"/>
      <c r="V99" s="574"/>
      <c r="W99" s="574"/>
      <c r="X99" s="475" t="e">
        <f t="shared" si="56"/>
        <v>#N/A</v>
      </c>
      <c r="Y99" s="669"/>
      <c r="Z99" s="573"/>
      <c r="AA99" s="574"/>
      <c r="AB99" s="574"/>
      <c r="AC99" s="475" t="e">
        <f t="shared" si="58"/>
        <v>#N/A</v>
      </c>
      <c r="AD99" s="669"/>
      <c r="AE99" s="573"/>
      <c r="AF99" s="574"/>
      <c r="AG99" s="574"/>
      <c r="AH99" s="475" t="e">
        <f t="shared" si="60"/>
        <v>#N/A</v>
      </c>
      <c r="AI99" s="669"/>
      <c r="AJ99" s="573"/>
      <c r="AK99" s="574"/>
      <c r="AL99" s="574"/>
      <c r="AM99" s="475" t="e">
        <f t="shared" si="62"/>
        <v>#N/A</v>
      </c>
      <c r="AN99" s="669"/>
      <c r="AO99" s="573"/>
      <c r="AP99" s="574"/>
      <c r="AQ99" s="574"/>
      <c r="AR99" s="475" t="e">
        <f t="shared" si="64"/>
        <v>#N/A</v>
      </c>
      <c r="AS99" s="669"/>
      <c r="AT99" s="573"/>
      <c r="AU99" s="574"/>
      <c r="AV99" s="574"/>
      <c r="AW99" s="475" t="e">
        <f t="shared" si="66"/>
        <v>#N/A</v>
      </c>
      <c r="AX99" s="681"/>
    </row>
    <row r="100" spans="2:50">
      <c r="B100" s="667"/>
      <c r="C100" s="304">
        <v>14</v>
      </c>
      <c r="D100" s="227"/>
      <c r="E100" s="182"/>
      <c r="F100" s="545"/>
      <c r="G100" s="546"/>
      <c r="H100" s="709"/>
      <c r="I100" s="199"/>
      <c r="J100" s="199"/>
      <c r="K100" s="200"/>
      <c r="L100" s="641"/>
      <c r="M100" s="201" t="e">
        <f>RANK(K100, K$87:$K$101)</f>
        <v>#DIV/0!</v>
      </c>
      <c r="N100" s="659"/>
      <c r="O100" s="659"/>
      <c r="P100" s="573"/>
      <c r="Q100" s="574"/>
      <c r="R100" s="574"/>
      <c r="S100" s="304" t="e">
        <f t="shared" si="69"/>
        <v>#N/A</v>
      </c>
      <c r="T100" s="669"/>
      <c r="U100" s="573"/>
      <c r="V100" s="574"/>
      <c r="W100" s="574"/>
      <c r="X100" s="475" t="e">
        <f t="shared" si="56"/>
        <v>#N/A</v>
      </c>
      <c r="Y100" s="669"/>
      <c r="Z100" s="573"/>
      <c r="AA100" s="574"/>
      <c r="AB100" s="574"/>
      <c r="AC100" s="475" t="e">
        <f t="shared" si="58"/>
        <v>#N/A</v>
      </c>
      <c r="AD100" s="669"/>
      <c r="AE100" s="573"/>
      <c r="AF100" s="574"/>
      <c r="AG100" s="574"/>
      <c r="AH100" s="475" t="e">
        <f t="shared" si="60"/>
        <v>#N/A</v>
      </c>
      <c r="AI100" s="669"/>
      <c r="AJ100" s="573"/>
      <c r="AK100" s="574"/>
      <c r="AL100" s="574"/>
      <c r="AM100" s="475" t="e">
        <f t="shared" si="62"/>
        <v>#N/A</v>
      </c>
      <c r="AN100" s="669"/>
      <c r="AO100" s="573"/>
      <c r="AP100" s="574"/>
      <c r="AQ100" s="574"/>
      <c r="AR100" s="475" t="e">
        <f t="shared" si="64"/>
        <v>#N/A</v>
      </c>
      <c r="AS100" s="669"/>
      <c r="AT100" s="573"/>
      <c r="AU100" s="574"/>
      <c r="AV100" s="574"/>
      <c r="AW100" s="475" t="e">
        <f t="shared" si="66"/>
        <v>#N/A</v>
      </c>
      <c r="AX100" s="681"/>
    </row>
    <row r="101" spans="2:50">
      <c r="B101" s="667"/>
      <c r="C101" s="304">
        <v>15</v>
      </c>
      <c r="D101" s="227"/>
      <c r="E101" s="182"/>
      <c r="F101" s="545"/>
      <c r="G101" s="546"/>
      <c r="H101" s="710"/>
      <c r="I101" s="199"/>
      <c r="J101" s="199"/>
      <c r="K101" s="200"/>
      <c r="L101" s="642"/>
      <c r="M101" s="199" t="e">
        <f>RANK(K101, K$87:$K$101)</f>
        <v>#DIV/0!</v>
      </c>
      <c r="N101" s="659"/>
      <c r="O101" s="659"/>
      <c r="P101" s="573"/>
      <c r="Q101" s="574"/>
      <c r="R101" s="574"/>
      <c r="S101" s="304" t="e">
        <f t="shared" si="69"/>
        <v>#N/A</v>
      </c>
      <c r="T101" s="670"/>
      <c r="U101" s="573"/>
      <c r="V101" s="574"/>
      <c r="W101" s="574"/>
      <c r="X101" s="475" t="e">
        <f t="shared" si="56"/>
        <v>#N/A</v>
      </c>
      <c r="Y101" s="670"/>
      <c r="Z101" s="573"/>
      <c r="AA101" s="574"/>
      <c r="AB101" s="574"/>
      <c r="AC101" s="475" t="e">
        <f t="shared" si="58"/>
        <v>#N/A</v>
      </c>
      <c r="AD101" s="670"/>
      <c r="AE101" s="573"/>
      <c r="AF101" s="574"/>
      <c r="AG101" s="574"/>
      <c r="AH101" s="475" t="e">
        <f t="shared" si="60"/>
        <v>#N/A</v>
      </c>
      <c r="AI101" s="670"/>
      <c r="AJ101" s="573"/>
      <c r="AK101" s="574"/>
      <c r="AL101" s="574"/>
      <c r="AM101" s="475" t="e">
        <f t="shared" si="62"/>
        <v>#N/A</v>
      </c>
      <c r="AN101" s="670"/>
      <c r="AO101" s="573"/>
      <c r="AP101" s="574"/>
      <c r="AQ101" s="574"/>
      <c r="AR101" s="475" t="e">
        <f t="shared" si="64"/>
        <v>#N/A</v>
      </c>
      <c r="AS101" s="670"/>
      <c r="AT101" s="573"/>
      <c r="AU101" s="574"/>
      <c r="AV101" s="574"/>
      <c r="AW101" s="475" t="e">
        <f t="shared" si="66"/>
        <v>#N/A</v>
      </c>
      <c r="AX101" s="681"/>
    </row>
    <row r="102" spans="2:50" ht="15.75">
      <c r="B102" s="671" t="s">
        <v>163</v>
      </c>
      <c r="C102" s="672"/>
      <c r="D102" s="672"/>
      <c r="E102" s="672"/>
      <c r="F102" s="672"/>
      <c r="G102" s="672"/>
      <c r="H102" s="673"/>
      <c r="I102" s="208"/>
      <c r="J102" s="208"/>
      <c r="K102" s="208"/>
      <c r="L102" s="208"/>
      <c r="M102" s="207"/>
      <c r="N102" s="660" t="s">
        <v>156</v>
      </c>
      <c r="O102" s="660" t="s">
        <v>105</v>
      </c>
      <c r="P102" s="666">
        <f>P82+7</f>
        <v>46119</v>
      </c>
      <c r="Q102" s="667"/>
      <c r="R102" s="667"/>
      <c r="S102" s="667"/>
      <c r="T102" s="667"/>
      <c r="U102" s="663">
        <f>P102+1</f>
        <v>46120</v>
      </c>
      <c r="V102" s="664"/>
      <c r="W102" s="664"/>
      <c r="X102" s="664"/>
      <c r="Y102" s="665"/>
      <c r="Z102" s="663">
        <f>U102+1</f>
        <v>46121</v>
      </c>
      <c r="AA102" s="664"/>
      <c r="AB102" s="664"/>
      <c r="AC102" s="664"/>
      <c r="AD102" s="665"/>
      <c r="AE102" s="663">
        <f>Z102+1</f>
        <v>46122</v>
      </c>
      <c r="AF102" s="664"/>
      <c r="AG102" s="664"/>
      <c r="AH102" s="664"/>
      <c r="AI102" s="665"/>
      <c r="AJ102" s="663">
        <f>AE102+1</f>
        <v>46123</v>
      </c>
      <c r="AK102" s="664"/>
      <c r="AL102" s="664"/>
      <c r="AM102" s="664"/>
      <c r="AN102" s="665"/>
      <c r="AO102" s="663">
        <f>AJ102+1</f>
        <v>46124</v>
      </c>
      <c r="AP102" s="664"/>
      <c r="AQ102" s="664"/>
      <c r="AR102" s="664"/>
      <c r="AS102" s="665"/>
      <c r="AT102" s="663">
        <f>AO102+1</f>
        <v>46125</v>
      </c>
      <c r="AU102" s="664"/>
      <c r="AV102" s="664"/>
      <c r="AW102" s="664"/>
      <c r="AX102" s="665"/>
    </row>
    <row r="103" spans="2:50" ht="15.75">
      <c r="B103" s="674"/>
      <c r="C103" s="674"/>
      <c r="D103" s="674"/>
      <c r="E103" s="674"/>
      <c r="F103" s="674"/>
      <c r="G103" s="674"/>
      <c r="H103" s="674"/>
      <c r="I103" s="205"/>
      <c r="J103" s="205"/>
      <c r="K103" s="205"/>
      <c r="L103" s="205"/>
      <c r="M103" s="206"/>
      <c r="N103" s="662"/>
      <c r="O103" s="662"/>
      <c r="P103" s="666" t="s">
        <v>158</v>
      </c>
      <c r="Q103" s="667"/>
      <c r="R103" s="667"/>
      <c r="S103" s="667"/>
      <c r="T103" s="667"/>
      <c r="U103" s="666" t="s">
        <v>114</v>
      </c>
      <c r="V103" s="667"/>
      <c r="W103" s="667"/>
      <c r="X103" s="667"/>
      <c r="Y103" s="667"/>
      <c r="Z103" s="666" t="s">
        <v>159</v>
      </c>
      <c r="AA103" s="667"/>
      <c r="AB103" s="667"/>
      <c r="AC103" s="667"/>
      <c r="AD103" s="667"/>
      <c r="AE103" s="666" t="s">
        <v>157</v>
      </c>
      <c r="AF103" s="667"/>
      <c r="AG103" s="667"/>
      <c r="AH103" s="667"/>
      <c r="AI103" s="667"/>
      <c r="AJ103" s="666" t="s">
        <v>160</v>
      </c>
      <c r="AK103" s="667"/>
      <c r="AL103" s="667"/>
      <c r="AM103" s="667"/>
      <c r="AN103" s="667"/>
      <c r="AO103" s="666" t="s">
        <v>115</v>
      </c>
      <c r="AP103" s="667"/>
      <c r="AQ103" s="667"/>
      <c r="AR103" s="667"/>
      <c r="AS103" s="667"/>
      <c r="AT103" s="666" t="s">
        <v>162</v>
      </c>
      <c r="AU103" s="667"/>
      <c r="AV103" s="667"/>
      <c r="AW103" s="667"/>
      <c r="AX103" s="667"/>
    </row>
    <row r="104" spans="2:50">
      <c r="B104" s="659" t="s">
        <v>827</v>
      </c>
      <c r="C104" s="659" t="s">
        <v>828</v>
      </c>
      <c r="D104" s="659"/>
      <c r="E104" s="659" t="s">
        <v>829</v>
      </c>
      <c r="F104" s="659"/>
      <c r="G104" s="659"/>
      <c r="H104" s="675" t="s">
        <v>830</v>
      </c>
      <c r="I104" s="659" t="s">
        <v>831</v>
      </c>
      <c r="J104" s="659"/>
      <c r="K104" s="659"/>
      <c r="L104" s="675" t="s">
        <v>830</v>
      </c>
      <c r="M104" s="660" t="s">
        <v>832</v>
      </c>
      <c r="N104" s="659"/>
      <c r="O104" s="659" t="s">
        <v>818</v>
      </c>
      <c r="P104" s="656" t="s">
        <v>819</v>
      </c>
      <c r="Q104" s="657"/>
      <c r="R104" s="657"/>
      <c r="S104" s="658"/>
      <c r="T104" s="659" t="s">
        <v>815</v>
      </c>
      <c r="U104" s="656" t="s">
        <v>819</v>
      </c>
      <c r="V104" s="657"/>
      <c r="W104" s="657"/>
      <c r="X104" s="658"/>
      <c r="Y104" s="659" t="s">
        <v>815</v>
      </c>
      <c r="Z104" s="656" t="s">
        <v>819</v>
      </c>
      <c r="AA104" s="657"/>
      <c r="AB104" s="657"/>
      <c r="AC104" s="658"/>
      <c r="AD104" s="659" t="s">
        <v>815</v>
      </c>
      <c r="AE104" s="656" t="s">
        <v>819</v>
      </c>
      <c r="AF104" s="657"/>
      <c r="AG104" s="657"/>
      <c r="AH104" s="658"/>
      <c r="AI104" s="659" t="s">
        <v>815</v>
      </c>
      <c r="AJ104" s="656" t="s">
        <v>819</v>
      </c>
      <c r="AK104" s="657"/>
      <c r="AL104" s="657"/>
      <c r="AM104" s="658"/>
      <c r="AN104" s="659" t="s">
        <v>815</v>
      </c>
      <c r="AO104" s="656" t="s">
        <v>819</v>
      </c>
      <c r="AP104" s="657"/>
      <c r="AQ104" s="657"/>
      <c r="AR104" s="658"/>
      <c r="AS104" s="659" t="s">
        <v>815</v>
      </c>
      <c r="AT104" s="656" t="s">
        <v>819</v>
      </c>
      <c r="AU104" s="657"/>
      <c r="AV104" s="657"/>
      <c r="AW104" s="658"/>
      <c r="AX104" s="659" t="s">
        <v>815</v>
      </c>
    </row>
    <row r="105" spans="2:50">
      <c r="B105" s="659"/>
      <c r="C105" s="659"/>
      <c r="D105" s="659"/>
      <c r="E105" s="659" t="s">
        <v>834</v>
      </c>
      <c r="F105" s="659"/>
      <c r="G105" s="659"/>
      <c r="H105" s="676"/>
      <c r="I105" s="659" t="s">
        <v>834</v>
      </c>
      <c r="J105" s="659"/>
      <c r="K105" s="659"/>
      <c r="L105" s="676"/>
      <c r="M105" s="661"/>
      <c r="N105" s="659"/>
      <c r="O105" s="659"/>
      <c r="P105" s="656" t="s">
        <v>821</v>
      </c>
      <c r="Q105" s="657"/>
      <c r="R105" s="657"/>
      <c r="S105" s="658"/>
      <c r="T105" s="659"/>
      <c r="U105" s="656" t="s">
        <v>821</v>
      </c>
      <c r="V105" s="657"/>
      <c r="W105" s="657"/>
      <c r="X105" s="658"/>
      <c r="Y105" s="659"/>
      <c r="Z105" s="656" t="s">
        <v>821</v>
      </c>
      <c r="AA105" s="657"/>
      <c r="AB105" s="657"/>
      <c r="AC105" s="658"/>
      <c r="AD105" s="659"/>
      <c r="AE105" s="656" t="s">
        <v>821</v>
      </c>
      <c r="AF105" s="657"/>
      <c r="AG105" s="657"/>
      <c r="AH105" s="658"/>
      <c r="AI105" s="659"/>
      <c r="AJ105" s="656" t="s">
        <v>821</v>
      </c>
      <c r="AK105" s="657"/>
      <c r="AL105" s="657"/>
      <c r="AM105" s="658"/>
      <c r="AN105" s="659"/>
      <c r="AO105" s="656" t="s">
        <v>821</v>
      </c>
      <c r="AP105" s="657"/>
      <c r="AQ105" s="657"/>
      <c r="AR105" s="658"/>
      <c r="AS105" s="659"/>
      <c r="AT105" s="656" t="s">
        <v>821</v>
      </c>
      <c r="AU105" s="657"/>
      <c r="AV105" s="657"/>
      <c r="AW105" s="658"/>
      <c r="AX105" s="659"/>
    </row>
    <row r="106" spans="2:50">
      <c r="B106" s="659"/>
      <c r="C106" s="659"/>
      <c r="D106" s="659"/>
      <c r="E106" s="488" t="s">
        <v>835</v>
      </c>
      <c r="F106" s="488" t="s">
        <v>836</v>
      </c>
      <c r="G106" s="488" t="s">
        <v>837</v>
      </c>
      <c r="H106" s="677"/>
      <c r="I106" s="488" t="s">
        <v>835</v>
      </c>
      <c r="J106" s="488" t="s">
        <v>836</v>
      </c>
      <c r="K106" s="488" t="s">
        <v>837</v>
      </c>
      <c r="L106" s="677"/>
      <c r="M106" s="662"/>
      <c r="N106" s="659"/>
      <c r="O106" s="659"/>
      <c r="P106" s="488" t="s">
        <v>822</v>
      </c>
      <c r="Q106" s="488" t="s">
        <v>823</v>
      </c>
      <c r="R106" s="488" t="s">
        <v>824</v>
      </c>
      <c r="S106" s="488" t="s">
        <v>817</v>
      </c>
      <c r="T106" s="659"/>
      <c r="U106" s="488" t="s">
        <v>822</v>
      </c>
      <c r="V106" s="488" t="s">
        <v>823</v>
      </c>
      <c r="W106" s="488" t="s">
        <v>824</v>
      </c>
      <c r="X106" s="488" t="s">
        <v>817</v>
      </c>
      <c r="Y106" s="659"/>
      <c r="Z106" s="488" t="s">
        <v>822</v>
      </c>
      <c r="AA106" s="488" t="s">
        <v>823</v>
      </c>
      <c r="AB106" s="488" t="s">
        <v>824</v>
      </c>
      <c r="AC106" s="488" t="s">
        <v>817</v>
      </c>
      <c r="AD106" s="659"/>
      <c r="AE106" s="488" t="s">
        <v>822</v>
      </c>
      <c r="AF106" s="488" t="s">
        <v>823</v>
      </c>
      <c r="AG106" s="488" t="s">
        <v>824</v>
      </c>
      <c r="AH106" s="488" t="s">
        <v>817</v>
      </c>
      <c r="AI106" s="659"/>
      <c r="AJ106" s="488" t="s">
        <v>822</v>
      </c>
      <c r="AK106" s="488" t="s">
        <v>823</v>
      </c>
      <c r="AL106" s="488" t="s">
        <v>824</v>
      </c>
      <c r="AM106" s="488" t="s">
        <v>817</v>
      </c>
      <c r="AN106" s="659"/>
      <c r="AO106" s="488" t="s">
        <v>822</v>
      </c>
      <c r="AP106" s="488" t="s">
        <v>823</v>
      </c>
      <c r="AQ106" s="488" t="s">
        <v>824</v>
      </c>
      <c r="AR106" s="488" t="s">
        <v>817</v>
      </c>
      <c r="AS106" s="659"/>
      <c r="AT106" s="488" t="s">
        <v>822</v>
      </c>
      <c r="AU106" s="488" t="s">
        <v>823</v>
      </c>
      <c r="AV106" s="488" t="s">
        <v>824</v>
      </c>
      <c r="AW106" s="488" t="s">
        <v>817</v>
      </c>
      <c r="AX106" s="659"/>
    </row>
    <row r="107" spans="2:50">
      <c r="B107" s="659" t="s">
        <v>136</v>
      </c>
      <c r="C107" s="493">
        <v>1</v>
      </c>
      <c r="D107" s="227"/>
      <c r="E107" s="182"/>
      <c r="F107" s="510"/>
      <c r="G107" s="511"/>
      <c r="H107" s="703" t="e">
        <f>AVERAGE(G107:G121)</f>
        <v>#DIV/0!</v>
      </c>
      <c r="I107" s="494" t="e">
        <f>AVERAGE(P107,U107,Z107,AE107,AJ107,AO107,AT107)</f>
        <v>#DIV/0!</v>
      </c>
      <c r="J107" s="494" t="e">
        <f>AVERAGE(Q107,V107,AA107,AF107,AK107,AP107,AU107)</f>
        <v>#DIV/0!</v>
      </c>
      <c r="K107" s="495" t="e">
        <f>AVERAGE(R107,W107,AB107,AG107,AL107,AQ107,AV107)</f>
        <v>#DIV/0!</v>
      </c>
      <c r="L107" s="640" t="str">
        <f>IFERROR(AVERAGE(K107:K121),"-")</f>
        <v>-</v>
      </c>
      <c r="M107" s="494" t="e">
        <f>RANK(K107, K$67:$K$81)</f>
        <v>#DIV/0!</v>
      </c>
      <c r="N107" s="659"/>
      <c r="O107" s="659"/>
      <c r="P107" s="493"/>
      <c r="Q107" s="494"/>
      <c r="R107" s="494"/>
      <c r="S107" s="493" t="e">
        <f>RANK(R107, R$67:R$81)</f>
        <v>#N/A</v>
      </c>
      <c r="T107" s="706" t="e">
        <f>AVERAGE(R107:R121)</f>
        <v>#DIV/0!</v>
      </c>
      <c r="U107" s="515"/>
      <c r="V107" s="518"/>
      <c r="W107" s="518"/>
      <c r="X107" s="493" t="e">
        <f>RANK(W107, W$67:W$81)</f>
        <v>#N/A</v>
      </c>
      <c r="Y107" s="706" t="e">
        <f>AVERAGE(W107:W121)</f>
        <v>#DIV/0!</v>
      </c>
      <c r="Z107" s="515"/>
      <c r="AA107" s="518"/>
      <c r="AB107" s="518"/>
      <c r="AC107" s="493" t="e">
        <f>RANK(AB107, AB$67:AB$81)</f>
        <v>#N/A</v>
      </c>
      <c r="AD107" s="706" t="e">
        <f>AVERAGE(AB107:AB121)</f>
        <v>#DIV/0!</v>
      </c>
      <c r="AE107" s="515"/>
      <c r="AF107" s="518"/>
      <c r="AG107" s="518"/>
      <c r="AH107" s="493" t="e">
        <f>RANK(AG107, AG$67:AG$81)</f>
        <v>#N/A</v>
      </c>
      <c r="AI107" s="706" t="e">
        <f>AVERAGE(AG107:AG121)</f>
        <v>#DIV/0!</v>
      </c>
      <c r="AJ107" s="515"/>
      <c r="AK107" s="518"/>
      <c r="AL107" s="518"/>
      <c r="AM107" s="493" t="e">
        <f>RANK(AL107, AL$67:AL$81)</f>
        <v>#N/A</v>
      </c>
      <c r="AN107" s="706" t="e">
        <f>AVERAGE(AL107:AL121)</f>
        <v>#DIV/0!</v>
      </c>
      <c r="AO107" s="515"/>
      <c r="AP107" s="518"/>
      <c r="AQ107" s="518"/>
      <c r="AR107" s="493" t="e">
        <f>RANK(AQ107, AQ$67:AQ$81)</f>
        <v>#N/A</v>
      </c>
      <c r="AS107" s="706" t="e">
        <f>AVERAGE(AQ107:AQ121)</f>
        <v>#DIV/0!</v>
      </c>
      <c r="AT107" s="182"/>
      <c r="AU107" s="182"/>
      <c r="AV107" s="511"/>
      <c r="AW107" s="493" t="e">
        <f>RANK(AV107, AV$67:AV$81)</f>
        <v>#N/A</v>
      </c>
      <c r="AX107" s="706" t="e">
        <f>AVERAGE(AV107:AV121)</f>
        <v>#DIV/0!</v>
      </c>
    </row>
    <row r="108" spans="2:50">
      <c r="B108" s="692"/>
      <c r="C108" s="493">
        <v>2</v>
      </c>
      <c r="D108" s="227"/>
      <c r="E108" s="182"/>
      <c r="F108" s="510"/>
      <c r="G108" s="511"/>
      <c r="H108" s="704"/>
      <c r="I108" s="494" t="e">
        <f t="shared" ref="I108:K114" si="73">AVERAGE(P108,U108,Z108,AE108,AJ108,AO108,AT108)</f>
        <v>#DIV/0!</v>
      </c>
      <c r="J108" s="494" t="e">
        <f t="shared" si="73"/>
        <v>#DIV/0!</v>
      </c>
      <c r="K108" s="495" t="e">
        <f t="shared" si="73"/>
        <v>#DIV/0!</v>
      </c>
      <c r="L108" s="641"/>
      <c r="M108" s="494" t="e">
        <f>RANK(K108, K$67:$K$81)</f>
        <v>#DIV/0!</v>
      </c>
      <c r="N108" s="659"/>
      <c r="O108" s="659"/>
      <c r="P108" s="493"/>
      <c r="Q108" s="494"/>
      <c r="R108" s="494"/>
      <c r="S108" s="493" t="e">
        <f t="shared" ref="S108:S121" si="74">RANK(R108, R$67:R$81)</f>
        <v>#N/A</v>
      </c>
      <c r="T108" s="706"/>
      <c r="U108" s="515"/>
      <c r="V108" s="518"/>
      <c r="W108" s="518"/>
      <c r="X108" s="493" t="e">
        <f t="shared" ref="X108:X121" si="75">RANK(W108, W$67:W$81)</f>
        <v>#N/A</v>
      </c>
      <c r="Y108" s="706"/>
      <c r="Z108" s="515"/>
      <c r="AA108" s="518"/>
      <c r="AB108" s="518"/>
      <c r="AC108" s="493" t="e">
        <f t="shared" ref="AC108:AC121" si="76">RANK(AB108, AB$67:AB$81)</f>
        <v>#N/A</v>
      </c>
      <c r="AD108" s="706"/>
      <c r="AE108" s="515"/>
      <c r="AF108" s="518"/>
      <c r="AG108" s="518"/>
      <c r="AH108" s="493" t="e">
        <f t="shared" ref="AH108:AH121" si="77">RANK(AG108, AG$67:AG$81)</f>
        <v>#N/A</v>
      </c>
      <c r="AI108" s="706"/>
      <c r="AJ108" s="515"/>
      <c r="AK108" s="518"/>
      <c r="AL108" s="518"/>
      <c r="AM108" s="493" t="e">
        <f t="shared" ref="AM108:AM121" si="78">RANK(AL108, AL$67:AL$81)</f>
        <v>#N/A</v>
      </c>
      <c r="AN108" s="706"/>
      <c r="AO108" s="515"/>
      <c r="AP108" s="518"/>
      <c r="AQ108" s="518"/>
      <c r="AR108" s="493" t="e">
        <f t="shared" ref="AR108:AR121" si="79">RANK(AQ108, AQ$67:AQ$81)</f>
        <v>#N/A</v>
      </c>
      <c r="AS108" s="706"/>
      <c r="AT108" s="510"/>
      <c r="AU108" s="182"/>
      <c r="AV108" s="511"/>
      <c r="AW108" s="493" t="e">
        <f t="shared" ref="AW108:AW121" si="80">RANK(AV108, AV$67:AV$81)</f>
        <v>#N/A</v>
      </c>
      <c r="AX108" s="706"/>
    </row>
    <row r="109" spans="2:50">
      <c r="B109" s="692"/>
      <c r="C109" s="493">
        <v>3</v>
      </c>
      <c r="D109" s="227"/>
      <c r="E109" s="182"/>
      <c r="F109" s="510"/>
      <c r="G109" s="511"/>
      <c r="H109" s="704"/>
      <c r="I109" s="494" t="e">
        <f t="shared" si="73"/>
        <v>#DIV/0!</v>
      </c>
      <c r="J109" s="494" t="e">
        <f t="shared" si="73"/>
        <v>#DIV/0!</v>
      </c>
      <c r="K109" s="495" t="e">
        <f t="shared" si="73"/>
        <v>#DIV/0!</v>
      </c>
      <c r="L109" s="641"/>
      <c r="M109" s="494" t="e">
        <f>RANK(K109, K$67:$K$81)</f>
        <v>#DIV/0!</v>
      </c>
      <c r="N109" s="659"/>
      <c r="O109" s="659"/>
      <c r="P109" s="493"/>
      <c r="Q109" s="494"/>
      <c r="R109" s="494"/>
      <c r="S109" s="493" t="e">
        <f t="shared" si="74"/>
        <v>#N/A</v>
      </c>
      <c r="T109" s="706"/>
      <c r="U109" s="515"/>
      <c r="V109" s="518"/>
      <c r="W109" s="518"/>
      <c r="X109" s="493" t="e">
        <f t="shared" si="75"/>
        <v>#N/A</v>
      </c>
      <c r="Y109" s="706"/>
      <c r="Z109" s="515"/>
      <c r="AA109" s="518"/>
      <c r="AB109" s="518"/>
      <c r="AC109" s="493" t="e">
        <f t="shared" si="76"/>
        <v>#N/A</v>
      </c>
      <c r="AD109" s="706"/>
      <c r="AE109" s="515"/>
      <c r="AF109" s="518"/>
      <c r="AG109" s="518"/>
      <c r="AH109" s="493" t="e">
        <f t="shared" si="77"/>
        <v>#N/A</v>
      </c>
      <c r="AI109" s="706"/>
      <c r="AJ109" s="515"/>
      <c r="AK109" s="518"/>
      <c r="AL109" s="518"/>
      <c r="AM109" s="493" t="e">
        <f t="shared" si="78"/>
        <v>#N/A</v>
      </c>
      <c r="AN109" s="706"/>
      <c r="AO109" s="515"/>
      <c r="AP109" s="518"/>
      <c r="AQ109" s="518"/>
      <c r="AR109" s="493" t="e">
        <f t="shared" si="79"/>
        <v>#N/A</v>
      </c>
      <c r="AS109" s="706"/>
      <c r="AT109" s="510"/>
      <c r="AU109" s="182"/>
      <c r="AV109" s="511"/>
      <c r="AW109" s="493" t="e">
        <f t="shared" si="80"/>
        <v>#N/A</v>
      </c>
      <c r="AX109" s="706"/>
    </row>
    <row r="110" spans="2:50">
      <c r="B110" s="692"/>
      <c r="C110" s="493">
        <v>4</v>
      </c>
      <c r="D110" s="227"/>
      <c r="E110" s="182"/>
      <c r="F110" s="510"/>
      <c r="G110" s="511"/>
      <c r="H110" s="704"/>
      <c r="I110" s="494" t="e">
        <f t="shared" si="73"/>
        <v>#DIV/0!</v>
      </c>
      <c r="J110" s="494" t="e">
        <f t="shared" si="73"/>
        <v>#DIV/0!</v>
      </c>
      <c r="K110" s="495" t="e">
        <f t="shared" si="73"/>
        <v>#DIV/0!</v>
      </c>
      <c r="L110" s="641"/>
      <c r="M110" s="494" t="e">
        <f>RANK(K110, K$67:$K$81)</f>
        <v>#DIV/0!</v>
      </c>
      <c r="N110" s="659"/>
      <c r="O110" s="659"/>
      <c r="P110" s="493"/>
      <c r="Q110" s="494"/>
      <c r="R110" s="494"/>
      <c r="S110" s="493" t="e">
        <f t="shared" si="74"/>
        <v>#N/A</v>
      </c>
      <c r="T110" s="706"/>
      <c r="U110" s="515"/>
      <c r="V110" s="518"/>
      <c r="W110" s="518"/>
      <c r="X110" s="493" t="e">
        <f t="shared" si="75"/>
        <v>#N/A</v>
      </c>
      <c r="Y110" s="706"/>
      <c r="Z110" s="515"/>
      <c r="AA110" s="518"/>
      <c r="AB110" s="518"/>
      <c r="AC110" s="493" t="e">
        <f t="shared" si="76"/>
        <v>#N/A</v>
      </c>
      <c r="AD110" s="706"/>
      <c r="AE110" s="515"/>
      <c r="AF110" s="518"/>
      <c r="AG110" s="518"/>
      <c r="AH110" s="493" t="e">
        <f t="shared" si="77"/>
        <v>#N/A</v>
      </c>
      <c r="AI110" s="706"/>
      <c r="AJ110" s="515"/>
      <c r="AK110" s="518"/>
      <c r="AL110" s="518"/>
      <c r="AM110" s="493" t="e">
        <f t="shared" si="78"/>
        <v>#N/A</v>
      </c>
      <c r="AN110" s="706"/>
      <c r="AO110" s="515"/>
      <c r="AP110" s="518"/>
      <c r="AQ110" s="518"/>
      <c r="AR110" s="493" t="e">
        <f t="shared" si="79"/>
        <v>#N/A</v>
      </c>
      <c r="AS110" s="706"/>
      <c r="AT110" s="510"/>
      <c r="AU110" s="182"/>
      <c r="AV110" s="511"/>
      <c r="AW110" s="493" t="e">
        <f t="shared" si="80"/>
        <v>#N/A</v>
      </c>
      <c r="AX110" s="706"/>
    </row>
    <row r="111" spans="2:50">
      <c r="B111" s="692"/>
      <c r="C111" s="493">
        <v>5</v>
      </c>
      <c r="D111" s="227"/>
      <c r="E111" s="182"/>
      <c r="F111" s="510"/>
      <c r="G111" s="511"/>
      <c r="H111" s="704"/>
      <c r="I111" s="494" t="e">
        <f t="shared" si="73"/>
        <v>#DIV/0!</v>
      </c>
      <c r="J111" s="494" t="e">
        <f t="shared" si="73"/>
        <v>#DIV/0!</v>
      </c>
      <c r="K111" s="495" t="e">
        <f t="shared" si="73"/>
        <v>#DIV/0!</v>
      </c>
      <c r="L111" s="641"/>
      <c r="M111" s="494" t="e">
        <f>RANK(K111, K$67:$K$81)</f>
        <v>#DIV/0!</v>
      </c>
      <c r="N111" s="659"/>
      <c r="O111" s="659"/>
      <c r="P111" s="493"/>
      <c r="Q111" s="494"/>
      <c r="R111" s="494"/>
      <c r="S111" s="493" t="e">
        <f t="shared" si="74"/>
        <v>#N/A</v>
      </c>
      <c r="T111" s="706"/>
      <c r="U111" s="515"/>
      <c r="V111" s="518"/>
      <c r="W111" s="518"/>
      <c r="X111" s="493" t="e">
        <f t="shared" si="75"/>
        <v>#N/A</v>
      </c>
      <c r="Y111" s="706"/>
      <c r="Z111" s="515"/>
      <c r="AA111" s="518"/>
      <c r="AB111" s="518"/>
      <c r="AC111" s="493" t="e">
        <f t="shared" si="76"/>
        <v>#N/A</v>
      </c>
      <c r="AD111" s="706"/>
      <c r="AE111" s="515"/>
      <c r="AF111" s="518"/>
      <c r="AG111" s="518"/>
      <c r="AH111" s="493" t="e">
        <f t="shared" si="77"/>
        <v>#N/A</v>
      </c>
      <c r="AI111" s="706"/>
      <c r="AJ111" s="515"/>
      <c r="AK111" s="518"/>
      <c r="AL111" s="518"/>
      <c r="AM111" s="493" t="e">
        <f t="shared" si="78"/>
        <v>#N/A</v>
      </c>
      <c r="AN111" s="706"/>
      <c r="AO111" s="515"/>
      <c r="AP111" s="518"/>
      <c r="AQ111" s="518"/>
      <c r="AR111" s="493" t="e">
        <f t="shared" si="79"/>
        <v>#N/A</v>
      </c>
      <c r="AS111" s="706"/>
      <c r="AT111" s="510"/>
      <c r="AU111" s="182"/>
      <c r="AV111" s="511"/>
      <c r="AW111" s="493" t="e">
        <f t="shared" si="80"/>
        <v>#N/A</v>
      </c>
      <c r="AX111" s="706"/>
    </row>
    <row r="112" spans="2:50">
      <c r="B112" s="692"/>
      <c r="C112" s="493">
        <v>6</v>
      </c>
      <c r="D112" s="227"/>
      <c r="E112" s="182"/>
      <c r="F112" s="510"/>
      <c r="G112" s="511"/>
      <c r="H112" s="704"/>
      <c r="I112" s="494" t="e">
        <f t="shared" si="73"/>
        <v>#DIV/0!</v>
      </c>
      <c r="J112" s="494" t="e">
        <f t="shared" si="73"/>
        <v>#DIV/0!</v>
      </c>
      <c r="K112" s="495" t="e">
        <f t="shared" si="73"/>
        <v>#DIV/0!</v>
      </c>
      <c r="L112" s="641"/>
      <c r="M112" s="494" t="e">
        <f>RANK(K112, K$67:$K$81)</f>
        <v>#DIV/0!</v>
      </c>
      <c r="N112" s="659"/>
      <c r="O112" s="659"/>
      <c r="P112" s="493"/>
      <c r="Q112" s="494"/>
      <c r="R112" s="494"/>
      <c r="S112" s="493" t="e">
        <f t="shared" si="74"/>
        <v>#N/A</v>
      </c>
      <c r="T112" s="706"/>
      <c r="U112" s="515"/>
      <c r="V112" s="518"/>
      <c r="W112" s="518"/>
      <c r="X112" s="493" t="e">
        <f t="shared" si="75"/>
        <v>#N/A</v>
      </c>
      <c r="Y112" s="706"/>
      <c r="Z112" s="515"/>
      <c r="AA112" s="518"/>
      <c r="AB112" s="518"/>
      <c r="AC112" s="493" t="e">
        <f t="shared" si="76"/>
        <v>#N/A</v>
      </c>
      <c r="AD112" s="706"/>
      <c r="AE112" s="515"/>
      <c r="AF112" s="518"/>
      <c r="AG112" s="518"/>
      <c r="AH112" s="493" t="e">
        <f t="shared" si="77"/>
        <v>#N/A</v>
      </c>
      <c r="AI112" s="706"/>
      <c r="AJ112" s="515"/>
      <c r="AK112" s="518"/>
      <c r="AL112" s="518"/>
      <c r="AM112" s="493" t="e">
        <f t="shared" si="78"/>
        <v>#N/A</v>
      </c>
      <c r="AN112" s="706"/>
      <c r="AO112" s="515"/>
      <c r="AP112" s="518"/>
      <c r="AQ112" s="518"/>
      <c r="AR112" s="493" t="e">
        <f t="shared" si="79"/>
        <v>#N/A</v>
      </c>
      <c r="AS112" s="706"/>
      <c r="AT112" s="510"/>
      <c r="AU112" s="182"/>
      <c r="AV112" s="511"/>
      <c r="AW112" s="493" t="e">
        <f t="shared" si="80"/>
        <v>#N/A</v>
      </c>
      <c r="AX112" s="706"/>
    </row>
    <row r="113" spans="2:50">
      <c r="B113" s="692"/>
      <c r="C113" s="493">
        <v>7</v>
      </c>
      <c r="D113" s="227"/>
      <c r="E113" s="182"/>
      <c r="F113" s="510"/>
      <c r="G113" s="511"/>
      <c r="H113" s="704"/>
      <c r="I113" s="494" t="e">
        <f t="shared" si="73"/>
        <v>#DIV/0!</v>
      </c>
      <c r="J113" s="494" t="e">
        <f t="shared" si="73"/>
        <v>#DIV/0!</v>
      </c>
      <c r="K113" s="495" t="e">
        <f t="shared" si="73"/>
        <v>#DIV/0!</v>
      </c>
      <c r="L113" s="641"/>
      <c r="M113" s="494" t="e">
        <f>RANK(K113, K$67:$K$81)</f>
        <v>#DIV/0!</v>
      </c>
      <c r="N113" s="659"/>
      <c r="O113" s="659"/>
      <c r="P113" s="493"/>
      <c r="Q113" s="494"/>
      <c r="R113" s="494"/>
      <c r="S113" s="493" t="e">
        <f t="shared" si="74"/>
        <v>#N/A</v>
      </c>
      <c r="T113" s="706"/>
      <c r="U113" s="515"/>
      <c r="V113" s="518"/>
      <c r="W113" s="518"/>
      <c r="X113" s="493" t="e">
        <f t="shared" si="75"/>
        <v>#N/A</v>
      </c>
      <c r="Y113" s="706"/>
      <c r="Z113" s="515"/>
      <c r="AA113" s="518"/>
      <c r="AB113" s="518"/>
      <c r="AC113" s="493" t="e">
        <f t="shared" si="76"/>
        <v>#N/A</v>
      </c>
      <c r="AD113" s="706"/>
      <c r="AE113" s="515"/>
      <c r="AF113" s="518"/>
      <c r="AG113" s="518"/>
      <c r="AH113" s="493" t="e">
        <f t="shared" si="77"/>
        <v>#N/A</v>
      </c>
      <c r="AI113" s="706"/>
      <c r="AJ113" s="515"/>
      <c r="AK113" s="518"/>
      <c r="AL113" s="518"/>
      <c r="AM113" s="493" t="e">
        <f t="shared" si="78"/>
        <v>#N/A</v>
      </c>
      <c r="AN113" s="706"/>
      <c r="AO113" s="515"/>
      <c r="AP113" s="518"/>
      <c r="AQ113" s="518"/>
      <c r="AR113" s="493" t="e">
        <f t="shared" si="79"/>
        <v>#N/A</v>
      </c>
      <c r="AS113" s="706"/>
      <c r="AT113" s="510"/>
      <c r="AU113" s="182"/>
      <c r="AV113" s="511"/>
      <c r="AW113" s="493" t="e">
        <f t="shared" si="80"/>
        <v>#N/A</v>
      </c>
      <c r="AX113" s="706"/>
    </row>
    <row r="114" spans="2:50">
      <c r="B114" s="692"/>
      <c r="C114" s="493">
        <v>8</v>
      </c>
      <c r="D114" s="227"/>
      <c r="E114" s="182"/>
      <c r="F114" s="510"/>
      <c r="G114" s="511"/>
      <c r="H114" s="704"/>
      <c r="I114" s="494" t="e">
        <f t="shared" si="73"/>
        <v>#DIV/0!</v>
      </c>
      <c r="J114" s="494" t="e">
        <f t="shared" si="73"/>
        <v>#DIV/0!</v>
      </c>
      <c r="K114" s="495" t="e">
        <f t="shared" si="73"/>
        <v>#DIV/0!</v>
      </c>
      <c r="L114" s="641"/>
      <c r="M114" s="494" t="e">
        <f>RANK(K114, K$67:$K$81)</f>
        <v>#DIV/0!</v>
      </c>
      <c r="N114" s="659"/>
      <c r="O114" s="659"/>
      <c r="P114" s="493"/>
      <c r="Q114" s="494"/>
      <c r="R114" s="494"/>
      <c r="S114" s="493" t="e">
        <f t="shared" si="74"/>
        <v>#N/A</v>
      </c>
      <c r="T114" s="706"/>
      <c r="U114" s="515"/>
      <c r="V114" s="518"/>
      <c r="W114" s="518"/>
      <c r="X114" s="493" t="e">
        <f t="shared" si="75"/>
        <v>#N/A</v>
      </c>
      <c r="Y114" s="706"/>
      <c r="Z114" s="515"/>
      <c r="AA114" s="518"/>
      <c r="AB114" s="518"/>
      <c r="AC114" s="493" t="e">
        <f t="shared" si="76"/>
        <v>#N/A</v>
      </c>
      <c r="AD114" s="706"/>
      <c r="AE114" s="515"/>
      <c r="AF114" s="518"/>
      <c r="AG114" s="518"/>
      <c r="AH114" s="493" t="e">
        <f t="shared" si="77"/>
        <v>#N/A</v>
      </c>
      <c r="AI114" s="706"/>
      <c r="AJ114" s="515"/>
      <c r="AK114" s="518"/>
      <c r="AL114" s="518"/>
      <c r="AM114" s="493" t="e">
        <f t="shared" si="78"/>
        <v>#N/A</v>
      </c>
      <c r="AN114" s="706"/>
      <c r="AO114" s="515"/>
      <c r="AP114" s="518"/>
      <c r="AQ114" s="518"/>
      <c r="AR114" s="493" t="e">
        <f t="shared" si="79"/>
        <v>#N/A</v>
      </c>
      <c r="AS114" s="706"/>
      <c r="AT114" s="510"/>
      <c r="AU114" s="182"/>
      <c r="AV114" s="511"/>
      <c r="AW114" s="493" t="e">
        <f t="shared" si="80"/>
        <v>#N/A</v>
      </c>
      <c r="AX114" s="706"/>
    </row>
    <row r="115" spans="2:50">
      <c r="B115" s="692"/>
      <c r="C115" s="493">
        <v>9</v>
      </c>
      <c r="D115" s="227"/>
      <c r="E115" s="182"/>
      <c r="F115" s="510"/>
      <c r="G115" s="511"/>
      <c r="H115" s="704"/>
      <c r="I115" s="494"/>
      <c r="J115" s="494"/>
      <c r="K115" s="495"/>
      <c r="L115" s="641"/>
      <c r="M115" s="494" t="e">
        <f>RANK(K115, K$67:$K$81)</f>
        <v>#DIV/0!</v>
      </c>
      <c r="N115" s="659"/>
      <c r="O115" s="659"/>
      <c r="P115" s="493"/>
      <c r="Q115" s="494"/>
      <c r="R115" s="494"/>
      <c r="S115" s="493" t="e">
        <f t="shared" si="74"/>
        <v>#N/A</v>
      </c>
      <c r="T115" s="706"/>
      <c r="U115" s="515"/>
      <c r="V115" s="518"/>
      <c r="W115" s="518"/>
      <c r="X115" s="493" t="e">
        <f t="shared" si="75"/>
        <v>#N/A</v>
      </c>
      <c r="Y115" s="706"/>
      <c r="Z115" s="515"/>
      <c r="AA115" s="518"/>
      <c r="AB115" s="518"/>
      <c r="AC115" s="493" t="e">
        <f t="shared" si="76"/>
        <v>#N/A</v>
      </c>
      <c r="AD115" s="706"/>
      <c r="AE115" s="515"/>
      <c r="AF115" s="518"/>
      <c r="AG115" s="518"/>
      <c r="AH115" s="493" t="e">
        <f t="shared" si="77"/>
        <v>#N/A</v>
      </c>
      <c r="AI115" s="706"/>
      <c r="AJ115" s="515"/>
      <c r="AK115" s="518"/>
      <c r="AL115" s="518"/>
      <c r="AM115" s="493" t="e">
        <f t="shared" si="78"/>
        <v>#N/A</v>
      </c>
      <c r="AN115" s="706"/>
      <c r="AO115" s="515"/>
      <c r="AP115" s="518"/>
      <c r="AQ115" s="518"/>
      <c r="AR115" s="493" t="e">
        <f t="shared" si="79"/>
        <v>#N/A</v>
      </c>
      <c r="AS115" s="706"/>
      <c r="AT115" s="510"/>
      <c r="AU115" s="182"/>
      <c r="AV115" s="511"/>
      <c r="AW115" s="493" t="e">
        <f t="shared" si="80"/>
        <v>#N/A</v>
      </c>
      <c r="AX115" s="706"/>
    </row>
    <row r="116" spans="2:50">
      <c r="B116" s="692"/>
      <c r="C116" s="493">
        <v>10</v>
      </c>
      <c r="D116" s="227"/>
      <c r="E116" s="182"/>
      <c r="F116" s="510"/>
      <c r="G116" s="511"/>
      <c r="H116" s="704"/>
      <c r="I116" s="494"/>
      <c r="J116" s="494"/>
      <c r="K116" s="495"/>
      <c r="L116" s="641"/>
      <c r="M116" s="494" t="e">
        <f>RANK(K116, K$67:$K$81)</f>
        <v>#DIV/0!</v>
      </c>
      <c r="N116" s="659"/>
      <c r="O116" s="659"/>
      <c r="P116" s="493"/>
      <c r="Q116" s="494"/>
      <c r="R116" s="494"/>
      <c r="S116" s="493" t="e">
        <f t="shared" si="74"/>
        <v>#N/A</v>
      </c>
      <c r="T116" s="706"/>
      <c r="U116" s="515"/>
      <c r="V116" s="518"/>
      <c r="W116" s="518"/>
      <c r="X116" s="493" t="e">
        <f t="shared" si="75"/>
        <v>#N/A</v>
      </c>
      <c r="Y116" s="706"/>
      <c r="Z116" s="515"/>
      <c r="AA116" s="518"/>
      <c r="AB116" s="518"/>
      <c r="AC116" s="493" t="e">
        <f t="shared" si="76"/>
        <v>#N/A</v>
      </c>
      <c r="AD116" s="706"/>
      <c r="AE116" s="515"/>
      <c r="AF116" s="518"/>
      <c r="AG116" s="518"/>
      <c r="AH116" s="493" t="e">
        <f t="shared" si="77"/>
        <v>#N/A</v>
      </c>
      <c r="AI116" s="706"/>
      <c r="AJ116" s="515"/>
      <c r="AK116" s="518"/>
      <c r="AL116" s="518"/>
      <c r="AM116" s="493" t="e">
        <f t="shared" si="78"/>
        <v>#N/A</v>
      </c>
      <c r="AN116" s="706"/>
      <c r="AO116" s="515"/>
      <c r="AP116" s="518"/>
      <c r="AQ116" s="518"/>
      <c r="AR116" s="493" t="e">
        <f t="shared" si="79"/>
        <v>#N/A</v>
      </c>
      <c r="AS116" s="706"/>
      <c r="AT116" s="510"/>
      <c r="AU116" s="182"/>
      <c r="AV116" s="511"/>
      <c r="AW116" s="493" t="e">
        <f t="shared" si="80"/>
        <v>#N/A</v>
      </c>
      <c r="AX116" s="706"/>
    </row>
    <row r="117" spans="2:50">
      <c r="B117" s="692"/>
      <c r="C117" s="493">
        <v>11</v>
      </c>
      <c r="D117" s="227"/>
      <c r="E117" s="182"/>
      <c r="F117" s="510"/>
      <c r="G117" s="511"/>
      <c r="H117" s="704"/>
      <c r="I117" s="493"/>
      <c r="J117" s="493"/>
      <c r="K117" s="493"/>
      <c r="L117" s="641"/>
      <c r="M117" s="494" t="e">
        <f>RANK(K117, K$67:$K$81)</f>
        <v>#DIV/0!</v>
      </c>
      <c r="N117" s="659"/>
      <c r="O117" s="659"/>
      <c r="P117" s="493"/>
      <c r="Q117" s="494"/>
      <c r="R117" s="494"/>
      <c r="S117" s="493" t="e">
        <f t="shared" si="74"/>
        <v>#N/A</v>
      </c>
      <c r="T117" s="706"/>
      <c r="U117" s="515"/>
      <c r="V117" s="518"/>
      <c r="W117" s="518"/>
      <c r="X117" s="493" t="e">
        <f t="shared" si="75"/>
        <v>#N/A</v>
      </c>
      <c r="Y117" s="706"/>
      <c r="Z117" s="515"/>
      <c r="AA117" s="518"/>
      <c r="AB117" s="518"/>
      <c r="AC117" s="493" t="e">
        <f t="shared" si="76"/>
        <v>#N/A</v>
      </c>
      <c r="AD117" s="706"/>
      <c r="AE117" s="515"/>
      <c r="AF117" s="518"/>
      <c r="AG117" s="518"/>
      <c r="AH117" s="493" t="e">
        <f t="shared" si="77"/>
        <v>#N/A</v>
      </c>
      <c r="AI117" s="706"/>
      <c r="AJ117" s="515"/>
      <c r="AK117" s="518"/>
      <c r="AL117" s="518"/>
      <c r="AM117" s="493" t="e">
        <f t="shared" si="78"/>
        <v>#N/A</v>
      </c>
      <c r="AN117" s="706"/>
      <c r="AO117" s="515"/>
      <c r="AP117" s="518"/>
      <c r="AQ117" s="518"/>
      <c r="AR117" s="493" t="e">
        <f t="shared" si="79"/>
        <v>#N/A</v>
      </c>
      <c r="AS117" s="706"/>
      <c r="AT117" s="510"/>
      <c r="AU117" s="182"/>
      <c r="AV117" s="511"/>
      <c r="AW117" s="493" t="e">
        <f t="shared" si="80"/>
        <v>#N/A</v>
      </c>
      <c r="AX117" s="706"/>
    </row>
    <row r="118" spans="2:50">
      <c r="B118" s="692"/>
      <c r="C118" s="493">
        <v>12</v>
      </c>
      <c r="D118" s="227"/>
      <c r="E118" s="182"/>
      <c r="F118" s="510"/>
      <c r="G118" s="511"/>
      <c r="H118" s="704"/>
      <c r="I118" s="493"/>
      <c r="J118" s="493"/>
      <c r="K118" s="493"/>
      <c r="L118" s="641"/>
      <c r="M118" s="494" t="e">
        <f>RANK(K118, K$67:$K$81)</f>
        <v>#DIV/0!</v>
      </c>
      <c r="N118" s="659"/>
      <c r="O118" s="659"/>
      <c r="P118" s="493"/>
      <c r="Q118" s="494"/>
      <c r="R118" s="494"/>
      <c r="S118" s="493" t="e">
        <f t="shared" si="74"/>
        <v>#N/A</v>
      </c>
      <c r="T118" s="706"/>
      <c r="U118" s="515"/>
      <c r="V118" s="518"/>
      <c r="W118" s="518"/>
      <c r="X118" s="493" t="e">
        <f t="shared" si="75"/>
        <v>#N/A</v>
      </c>
      <c r="Y118" s="706"/>
      <c r="Z118" s="515"/>
      <c r="AA118" s="518"/>
      <c r="AB118" s="518"/>
      <c r="AC118" s="493" t="e">
        <f t="shared" si="76"/>
        <v>#N/A</v>
      </c>
      <c r="AD118" s="706"/>
      <c r="AE118" s="515"/>
      <c r="AF118" s="518"/>
      <c r="AG118" s="518"/>
      <c r="AH118" s="493" t="e">
        <f t="shared" si="77"/>
        <v>#N/A</v>
      </c>
      <c r="AI118" s="706"/>
      <c r="AJ118" s="515"/>
      <c r="AK118" s="518"/>
      <c r="AL118" s="518"/>
      <c r="AM118" s="493" t="e">
        <f t="shared" si="78"/>
        <v>#N/A</v>
      </c>
      <c r="AN118" s="706"/>
      <c r="AO118" s="515"/>
      <c r="AP118" s="518"/>
      <c r="AQ118" s="518"/>
      <c r="AR118" s="493" t="e">
        <f t="shared" si="79"/>
        <v>#N/A</v>
      </c>
      <c r="AS118" s="706"/>
      <c r="AT118" s="510"/>
      <c r="AU118" s="182"/>
      <c r="AV118" s="511"/>
      <c r="AW118" s="493" t="e">
        <f t="shared" si="80"/>
        <v>#N/A</v>
      </c>
      <c r="AX118" s="706"/>
    </row>
    <row r="119" spans="2:50">
      <c r="B119" s="692"/>
      <c r="C119" s="493">
        <v>13</v>
      </c>
      <c r="D119" s="227"/>
      <c r="E119" s="182"/>
      <c r="F119" s="510"/>
      <c r="G119" s="511"/>
      <c r="H119" s="704"/>
      <c r="I119" s="493"/>
      <c r="J119" s="493"/>
      <c r="K119" s="493"/>
      <c r="L119" s="641"/>
      <c r="M119" s="494" t="e">
        <f>RANK(K119, K$67:$K$81)</f>
        <v>#DIV/0!</v>
      </c>
      <c r="N119" s="659"/>
      <c r="O119" s="659"/>
      <c r="P119" s="493"/>
      <c r="Q119" s="494"/>
      <c r="R119" s="494"/>
      <c r="S119" s="493" t="e">
        <f t="shared" si="74"/>
        <v>#N/A</v>
      </c>
      <c r="T119" s="706"/>
      <c r="U119" s="515"/>
      <c r="V119" s="518"/>
      <c r="W119" s="518"/>
      <c r="X119" s="493" t="e">
        <f t="shared" si="75"/>
        <v>#N/A</v>
      </c>
      <c r="Y119" s="706"/>
      <c r="Z119" s="515"/>
      <c r="AA119" s="518"/>
      <c r="AB119" s="518"/>
      <c r="AC119" s="493" t="e">
        <f t="shared" si="76"/>
        <v>#N/A</v>
      </c>
      <c r="AD119" s="706"/>
      <c r="AE119" s="515"/>
      <c r="AF119" s="518"/>
      <c r="AG119" s="518"/>
      <c r="AH119" s="493" t="e">
        <f t="shared" si="77"/>
        <v>#N/A</v>
      </c>
      <c r="AI119" s="706"/>
      <c r="AJ119" s="515"/>
      <c r="AK119" s="518"/>
      <c r="AL119" s="518"/>
      <c r="AM119" s="493" t="e">
        <f t="shared" si="78"/>
        <v>#N/A</v>
      </c>
      <c r="AN119" s="706"/>
      <c r="AO119" s="515"/>
      <c r="AP119" s="518"/>
      <c r="AQ119" s="518"/>
      <c r="AR119" s="493" t="e">
        <f t="shared" si="79"/>
        <v>#N/A</v>
      </c>
      <c r="AS119" s="706"/>
      <c r="AT119" s="510"/>
      <c r="AU119" s="182"/>
      <c r="AV119" s="511"/>
      <c r="AW119" s="493" t="e">
        <f t="shared" si="80"/>
        <v>#N/A</v>
      </c>
      <c r="AX119" s="706"/>
    </row>
    <row r="120" spans="2:50">
      <c r="B120" s="692"/>
      <c r="C120" s="493">
        <v>14</v>
      </c>
      <c r="D120" s="227"/>
      <c r="E120" s="182"/>
      <c r="F120" s="510"/>
      <c r="G120" s="511"/>
      <c r="H120" s="704"/>
      <c r="I120" s="493"/>
      <c r="J120" s="493"/>
      <c r="K120" s="493"/>
      <c r="L120" s="641"/>
      <c r="M120" s="494" t="e">
        <f>RANK(K120, K$67:$K$81)</f>
        <v>#DIV/0!</v>
      </c>
      <c r="N120" s="659"/>
      <c r="O120" s="659"/>
      <c r="P120" s="493"/>
      <c r="Q120" s="494"/>
      <c r="R120" s="494"/>
      <c r="S120" s="493" t="e">
        <f t="shared" si="74"/>
        <v>#N/A</v>
      </c>
      <c r="T120" s="706"/>
      <c r="U120" s="515"/>
      <c r="V120" s="518"/>
      <c r="W120" s="518"/>
      <c r="X120" s="493" t="e">
        <f t="shared" si="75"/>
        <v>#N/A</v>
      </c>
      <c r="Y120" s="706"/>
      <c r="Z120" s="515"/>
      <c r="AA120" s="518"/>
      <c r="AB120" s="518"/>
      <c r="AC120" s="493" t="e">
        <f t="shared" si="76"/>
        <v>#N/A</v>
      </c>
      <c r="AD120" s="706"/>
      <c r="AE120" s="515"/>
      <c r="AF120" s="518"/>
      <c r="AG120" s="518"/>
      <c r="AH120" s="493" t="e">
        <f t="shared" si="77"/>
        <v>#N/A</v>
      </c>
      <c r="AI120" s="706"/>
      <c r="AJ120" s="515"/>
      <c r="AK120" s="518"/>
      <c r="AL120" s="518"/>
      <c r="AM120" s="493" t="e">
        <f t="shared" si="78"/>
        <v>#N/A</v>
      </c>
      <c r="AN120" s="706"/>
      <c r="AO120" s="515"/>
      <c r="AP120" s="518"/>
      <c r="AQ120" s="518"/>
      <c r="AR120" s="493" t="e">
        <f t="shared" si="79"/>
        <v>#N/A</v>
      </c>
      <c r="AS120" s="706"/>
      <c r="AT120" s="510"/>
      <c r="AU120" s="182"/>
      <c r="AV120" s="511"/>
      <c r="AW120" s="493" t="e">
        <f t="shared" si="80"/>
        <v>#N/A</v>
      </c>
      <c r="AX120" s="706"/>
    </row>
    <row r="121" spans="2:50">
      <c r="B121" s="692"/>
      <c r="C121" s="493">
        <v>15</v>
      </c>
      <c r="D121" s="227"/>
      <c r="E121" s="182"/>
      <c r="F121" s="510"/>
      <c r="G121" s="511"/>
      <c r="H121" s="714"/>
      <c r="I121" s="493"/>
      <c r="J121" s="493"/>
      <c r="K121" s="493"/>
      <c r="L121" s="642"/>
      <c r="M121" s="494" t="e">
        <f>RANK(K121, K$47:$K$61)</f>
        <v>#DIV/0!</v>
      </c>
      <c r="N121" s="659"/>
      <c r="O121" s="659"/>
      <c r="P121" s="493"/>
      <c r="Q121" s="494"/>
      <c r="R121" s="494"/>
      <c r="S121" s="493" t="e">
        <f t="shared" si="74"/>
        <v>#N/A</v>
      </c>
      <c r="T121" s="706"/>
      <c r="U121" s="515"/>
      <c r="V121" s="518"/>
      <c r="W121" s="518"/>
      <c r="X121" s="493" t="e">
        <f t="shared" si="75"/>
        <v>#N/A</v>
      </c>
      <c r="Y121" s="706"/>
      <c r="Z121" s="515"/>
      <c r="AA121" s="518"/>
      <c r="AB121" s="518"/>
      <c r="AC121" s="493" t="e">
        <f t="shared" si="76"/>
        <v>#N/A</v>
      </c>
      <c r="AD121" s="706"/>
      <c r="AE121" s="515"/>
      <c r="AF121" s="518"/>
      <c r="AG121" s="518"/>
      <c r="AH121" s="493" t="e">
        <f t="shared" si="77"/>
        <v>#N/A</v>
      </c>
      <c r="AI121" s="706"/>
      <c r="AJ121" s="515"/>
      <c r="AK121" s="518"/>
      <c r="AL121" s="518"/>
      <c r="AM121" s="493" t="e">
        <f t="shared" si="78"/>
        <v>#N/A</v>
      </c>
      <c r="AN121" s="706"/>
      <c r="AO121" s="515"/>
      <c r="AP121" s="518"/>
      <c r="AQ121" s="518"/>
      <c r="AR121" s="493" t="e">
        <f t="shared" si="79"/>
        <v>#N/A</v>
      </c>
      <c r="AS121" s="706"/>
      <c r="AT121" s="510"/>
      <c r="AU121" s="182"/>
      <c r="AV121" s="511"/>
      <c r="AW121" s="493" t="e">
        <f t="shared" si="80"/>
        <v>#N/A</v>
      </c>
      <c r="AX121" s="706"/>
    </row>
    <row r="123" spans="2:50" ht="15.75">
      <c r="B123" s="698" t="s">
        <v>661</v>
      </c>
      <c r="C123" s="699"/>
      <c r="D123" s="699"/>
      <c r="E123" s="699"/>
      <c r="F123" s="699"/>
      <c r="G123" s="699"/>
      <c r="H123" s="700"/>
      <c r="I123" s="347"/>
      <c r="J123" s="347"/>
      <c r="K123" s="347"/>
      <c r="L123" s="347"/>
      <c r="M123" s="348"/>
    </row>
    <row r="124" spans="2:50" ht="15.75">
      <c r="B124" s="701"/>
      <c r="C124" s="701"/>
      <c r="D124" s="701"/>
      <c r="E124" s="701"/>
      <c r="F124" s="701"/>
      <c r="G124" s="701"/>
      <c r="H124" s="701"/>
      <c r="I124" s="349"/>
      <c r="J124" s="349"/>
      <c r="K124" s="349"/>
      <c r="L124" s="349"/>
      <c r="M124" s="350"/>
    </row>
    <row r="125" spans="2:50">
      <c r="B125" s="659" t="s">
        <v>662</v>
      </c>
      <c r="C125" s="659" t="s">
        <v>663</v>
      </c>
      <c r="D125" s="659"/>
      <c r="E125" s="659" t="s">
        <v>664</v>
      </c>
      <c r="F125" s="659"/>
      <c r="G125" s="659"/>
      <c r="H125" s="675" t="s">
        <v>665</v>
      </c>
      <c r="I125" s="702" t="s">
        <v>666</v>
      </c>
      <c r="J125" s="702"/>
      <c r="K125" s="702"/>
      <c r="L125" s="718" t="s">
        <v>665</v>
      </c>
      <c r="M125" s="721" t="s">
        <v>667</v>
      </c>
    </row>
    <row r="126" spans="2:50">
      <c r="B126" s="659"/>
      <c r="C126" s="659"/>
      <c r="D126" s="659"/>
      <c r="E126" s="659" t="s">
        <v>668</v>
      </c>
      <c r="F126" s="659"/>
      <c r="G126" s="659"/>
      <c r="H126" s="676"/>
      <c r="I126" s="702" t="s">
        <v>668</v>
      </c>
      <c r="J126" s="702"/>
      <c r="K126" s="702"/>
      <c r="L126" s="719"/>
      <c r="M126" s="722"/>
    </row>
    <row r="127" spans="2:50">
      <c r="B127" s="659"/>
      <c r="C127" s="659"/>
      <c r="D127" s="659"/>
      <c r="E127" s="344" t="s">
        <v>669</v>
      </c>
      <c r="F127" s="344" t="s">
        <v>670</v>
      </c>
      <c r="G127" s="344" t="s">
        <v>671</v>
      </c>
      <c r="H127" s="677"/>
      <c r="I127" s="351" t="s">
        <v>669</v>
      </c>
      <c r="J127" s="351" t="s">
        <v>670</v>
      </c>
      <c r="K127" s="351" t="s">
        <v>671</v>
      </c>
      <c r="L127" s="720"/>
      <c r="M127" s="723"/>
    </row>
    <row r="128" spans="2:50">
      <c r="B128" s="659" t="s">
        <v>679</v>
      </c>
      <c r="C128" s="343">
        <v>1</v>
      </c>
      <c r="D128" s="227"/>
      <c r="E128" s="182"/>
      <c r="F128" s="343"/>
      <c r="G128" s="346"/>
      <c r="H128" s="708" t="e">
        <f>AVERAGE(G128:G142)</f>
        <v>#DIV/0!</v>
      </c>
      <c r="I128" s="199" t="e">
        <f t="shared" ref="I128:J133" si="81">AVERAGEIF($D$7:$D$121,$D128,I$7:I$121)</f>
        <v>#DIV/0!</v>
      </c>
      <c r="J128" s="199" t="e">
        <f t="shared" si="81"/>
        <v>#DIV/0!</v>
      </c>
      <c r="K128" s="199" t="e">
        <f t="shared" ref="K128:K133" si="82">AVERAGEIF($D$7:$D$121,$D128,K$7:K$121)</f>
        <v>#DIV/0!</v>
      </c>
      <c r="L128" s="715" t="e">
        <f>AVERAGE(K128:K142)</f>
        <v>#DIV/0!</v>
      </c>
      <c r="M128" s="199" t="e">
        <f>RANK(K128, K$128:$K$142)</f>
        <v>#DIV/0!</v>
      </c>
    </row>
    <row r="129" spans="2:13">
      <c r="B129" s="667"/>
      <c r="C129" s="343">
        <v>2</v>
      </c>
      <c r="D129" s="227"/>
      <c r="E129" s="182"/>
      <c r="F129" s="343"/>
      <c r="G129" s="346"/>
      <c r="H129" s="709"/>
      <c r="I129" s="199" t="e">
        <f t="shared" si="81"/>
        <v>#DIV/0!</v>
      </c>
      <c r="J129" s="199" t="e">
        <f t="shared" si="81"/>
        <v>#DIV/0!</v>
      </c>
      <c r="K129" s="199" t="e">
        <f t="shared" si="82"/>
        <v>#DIV/0!</v>
      </c>
      <c r="L129" s="716"/>
      <c r="M129" s="199" t="e">
        <f>RANK(K129, K$128:$K$142)</f>
        <v>#DIV/0!</v>
      </c>
    </row>
    <row r="130" spans="2:13">
      <c r="B130" s="667"/>
      <c r="C130" s="343">
        <v>3</v>
      </c>
      <c r="D130" s="227"/>
      <c r="E130" s="182"/>
      <c r="F130" s="343"/>
      <c r="G130" s="346"/>
      <c r="H130" s="709"/>
      <c r="I130" s="199" t="e">
        <f t="shared" si="81"/>
        <v>#DIV/0!</v>
      </c>
      <c r="J130" s="199" t="e">
        <f t="shared" si="81"/>
        <v>#DIV/0!</v>
      </c>
      <c r="K130" s="199" t="e">
        <f t="shared" si="82"/>
        <v>#DIV/0!</v>
      </c>
      <c r="L130" s="716"/>
      <c r="M130" s="199" t="e">
        <f>RANK(K130, K$128:$K$142)</f>
        <v>#DIV/0!</v>
      </c>
    </row>
    <row r="131" spans="2:13">
      <c r="B131" s="667"/>
      <c r="C131" s="343">
        <v>4</v>
      </c>
      <c r="D131" s="227"/>
      <c r="E131" s="182"/>
      <c r="F131" s="343"/>
      <c r="G131" s="346"/>
      <c r="H131" s="709"/>
      <c r="I131" s="199" t="e">
        <f t="shared" si="81"/>
        <v>#DIV/0!</v>
      </c>
      <c r="J131" s="199" t="e">
        <f t="shared" si="81"/>
        <v>#DIV/0!</v>
      </c>
      <c r="K131" s="199" t="e">
        <f t="shared" si="82"/>
        <v>#DIV/0!</v>
      </c>
      <c r="L131" s="716"/>
      <c r="M131" s="199" t="e">
        <f>RANK(K131, K$128:$K$142)</f>
        <v>#DIV/0!</v>
      </c>
    </row>
    <row r="132" spans="2:13">
      <c r="B132" s="667"/>
      <c r="C132" s="343">
        <v>5</v>
      </c>
      <c r="D132" s="227"/>
      <c r="E132" s="182"/>
      <c r="F132" s="343"/>
      <c r="G132" s="346"/>
      <c r="H132" s="709"/>
      <c r="I132" s="199" t="e">
        <f t="shared" si="81"/>
        <v>#DIV/0!</v>
      </c>
      <c r="J132" s="199" t="e">
        <f t="shared" si="81"/>
        <v>#DIV/0!</v>
      </c>
      <c r="K132" s="199" t="e">
        <f t="shared" si="82"/>
        <v>#DIV/0!</v>
      </c>
      <c r="L132" s="716"/>
      <c r="M132" s="199" t="e">
        <f>RANK(K132, K$128:$K$142)</f>
        <v>#DIV/0!</v>
      </c>
    </row>
    <row r="133" spans="2:13">
      <c r="B133" s="667"/>
      <c r="C133" s="343">
        <v>6</v>
      </c>
      <c r="D133" s="352"/>
      <c r="E133" s="182"/>
      <c r="F133" s="343"/>
      <c r="G133" s="346"/>
      <c r="H133" s="709"/>
      <c r="I133" s="199" t="e">
        <f t="shared" si="81"/>
        <v>#DIV/0!</v>
      </c>
      <c r="J133" s="199" t="e">
        <f t="shared" si="81"/>
        <v>#DIV/0!</v>
      </c>
      <c r="K133" s="199" t="e">
        <f t="shared" si="82"/>
        <v>#DIV/0!</v>
      </c>
      <c r="L133" s="716"/>
      <c r="M133" s="199" t="e">
        <f>RANK(K133, K$128:$K$142)</f>
        <v>#DIV/0!</v>
      </c>
    </row>
    <row r="134" spans="2:13">
      <c r="B134" s="667"/>
      <c r="C134" s="343">
        <v>7</v>
      </c>
      <c r="D134" s="227"/>
      <c r="E134" s="182"/>
      <c r="F134" s="343"/>
      <c r="G134" s="346"/>
      <c r="H134" s="709"/>
      <c r="I134" s="199"/>
      <c r="J134" s="199"/>
      <c r="K134" s="199"/>
      <c r="L134" s="716"/>
      <c r="M134" s="199" t="e">
        <f>RANK(K134, K$128:$K$142)</f>
        <v>#DIV/0!</v>
      </c>
    </row>
    <row r="135" spans="2:13">
      <c r="B135" s="667"/>
      <c r="C135" s="343">
        <v>8</v>
      </c>
      <c r="D135" s="227"/>
      <c r="E135" s="182"/>
      <c r="F135" s="343"/>
      <c r="G135" s="346"/>
      <c r="H135" s="709"/>
      <c r="I135" s="199"/>
      <c r="J135" s="199"/>
      <c r="K135" s="199"/>
      <c r="L135" s="716"/>
      <c r="M135" s="199" t="e">
        <f>RANK(K135, K$128:$K$142)</f>
        <v>#DIV/0!</v>
      </c>
    </row>
    <row r="136" spans="2:13">
      <c r="B136" s="667"/>
      <c r="C136" s="343">
        <v>9</v>
      </c>
      <c r="D136" s="227"/>
      <c r="E136" s="343"/>
      <c r="F136" s="343"/>
      <c r="G136" s="343"/>
      <c r="H136" s="709"/>
      <c r="I136" s="199"/>
      <c r="J136" s="199"/>
      <c r="K136" s="199"/>
      <c r="L136" s="716"/>
      <c r="M136" s="199" t="e">
        <f>RANK(K136, K$128:$K$142)</f>
        <v>#DIV/0!</v>
      </c>
    </row>
    <row r="137" spans="2:13">
      <c r="B137" s="667"/>
      <c r="C137" s="343">
        <v>10</v>
      </c>
      <c r="D137" s="227"/>
      <c r="E137" s="343"/>
      <c r="F137" s="343"/>
      <c r="G137" s="343"/>
      <c r="H137" s="709"/>
      <c r="I137" s="199"/>
      <c r="J137" s="199"/>
      <c r="K137" s="199"/>
      <c r="L137" s="716"/>
      <c r="M137" s="199" t="e">
        <f>RANK(K137, K$128:$K$142)</f>
        <v>#DIV/0!</v>
      </c>
    </row>
    <row r="138" spans="2:13">
      <c r="B138" s="667"/>
      <c r="C138" s="343">
        <v>11</v>
      </c>
      <c r="D138" s="227"/>
      <c r="E138" s="343"/>
      <c r="F138" s="343"/>
      <c r="G138" s="343"/>
      <c r="H138" s="709"/>
      <c r="I138" s="199"/>
      <c r="J138" s="199"/>
      <c r="K138" s="199"/>
      <c r="L138" s="716"/>
      <c r="M138" s="199" t="e">
        <f>RANK(K138, K$128:$K$142)</f>
        <v>#DIV/0!</v>
      </c>
    </row>
    <row r="139" spans="2:13">
      <c r="B139" s="667"/>
      <c r="C139" s="343">
        <v>12</v>
      </c>
      <c r="D139" s="227"/>
      <c r="E139" s="343"/>
      <c r="F139" s="343"/>
      <c r="G139" s="343"/>
      <c r="H139" s="709"/>
      <c r="I139" s="199"/>
      <c r="J139" s="199"/>
      <c r="K139" s="199"/>
      <c r="L139" s="716"/>
      <c r="M139" s="199" t="e">
        <f>RANK(K139, K$128:$K$142)</f>
        <v>#DIV/0!</v>
      </c>
    </row>
    <row r="140" spans="2:13">
      <c r="B140" s="667"/>
      <c r="C140" s="343">
        <v>13</v>
      </c>
      <c r="D140" s="227"/>
      <c r="E140" s="343"/>
      <c r="F140" s="343"/>
      <c r="G140" s="343"/>
      <c r="H140" s="709"/>
      <c r="I140" s="199"/>
      <c r="J140" s="199"/>
      <c r="K140" s="199"/>
      <c r="L140" s="716"/>
      <c r="M140" s="199" t="e">
        <f>RANK(K140, K$128:$K$142)</f>
        <v>#DIV/0!</v>
      </c>
    </row>
    <row r="141" spans="2:13">
      <c r="B141" s="667"/>
      <c r="C141" s="343">
        <v>14</v>
      </c>
      <c r="D141" s="227"/>
      <c r="E141" s="343"/>
      <c r="F141" s="343"/>
      <c r="G141" s="343"/>
      <c r="H141" s="709"/>
      <c r="I141" s="199"/>
      <c r="J141" s="199"/>
      <c r="K141" s="199"/>
      <c r="L141" s="716"/>
      <c r="M141" s="199" t="e">
        <f>RANK(K141, K$128:$K$142)</f>
        <v>#DIV/0!</v>
      </c>
    </row>
    <row r="142" spans="2:13">
      <c r="B142" s="667"/>
      <c r="C142" s="343">
        <v>15</v>
      </c>
      <c r="D142" s="227"/>
      <c r="E142" s="343"/>
      <c r="F142" s="343"/>
      <c r="G142" s="343"/>
      <c r="H142" s="710"/>
      <c r="I142" s="199"/>
      <c r="J142" s="199"/>
      <c r="K142" s="199"/>
      <c r="L142" s="717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I32" sqref="I32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12" t="s">
        <v>204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120"/>
    </row>
    <row r="2" spans="1:13" s="121" customFormat="1" ht="15.75" customHeight="1">
      <c r="A2" s="612"/>
      <c r="B2" s="612"/>
      <c r="C2" s="612"/>
      <c r="D2" s="612"/>
      <c r="E2" s="612"/>
      <c r="F2" s="612"/>
      <c r="G2" s="612"/>
      <c r="H2" s="612"/>
      <c r="I2" s="612"/>
      <c r="J2" s="612"/>
      <c r="K2" s="612"/>
      <c r="L2" s="612"/>
    </row>
    <row r="3" spans="1:13" ht="15.75" customHeight="1">
      <c r="A3" s="748" t="s">
        <v>205</v>
      </c>
      <c r="B3" s="749"/>
      <c r="C3" s="749"/>
      <c r="D3" s="749"/>
      <c r="E3" s="749"/>
      <c r="F3" s="749"/>
      <c r="G3" s="749"/>
      <c r="H3" s="749"/>
      <c r="I3" s="749"/>
      <c r="J3" s="749"/>
      <c r="K3" s="749"/>
      <c r="L3" s="749"/>
      <c r="M3" s="152"/>
    </row>
    <row r="4" spans="1:13" s="121" customFormat="1" ht="15.75" customHeight="1">
      <c r="A4" s="749"/>
      <c r="B4" s="749"/>
      <c r="C4" s="749"/>
      <c r="D4" s="749"/>
      <c r="E4" s="749"/>
      <c r="F4" s="749"/>
      <c r="G4" s="749"/>
      <c r="H4" s="749"/>
      <c r="I4" s="749"/>
      <c r="J4" s="749"/>
      <c r="K4" s="749"/>
      <c r="L4" s="749"/>
      <c r="M4" s="131"/>
    </row>
    <row r="5" spans="1:13" s="154" customFormat="1" ht="16.350000000000001" customHeight="1">
      <c r="A5" s="737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37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38" t="s">
        <v>187</v>
      </c>
      <c r="B7" s="738"/>
      <c r="C7" s="489" t="s">
        <v>437</v>
      </c>
      <c r="D7" s="738" t="s">
        <v>12</v>
      </c>
      <c r="E7" s="734"/>
      <c r="F7" s="734"/>
      <c r="G7" s="489" t="s">
        <v>46</v>
      </c>
      <c r="H7" s="489" t="s">
        <v>753</v>
      </c>
      <c r="I7" s="489" t="s">
        <v>434</v>
      </c>
      <c r="J7" s="223" t="s">
        <v>435</v>
      </c>
      <c r="K7" s="738" t="s">
        <v>436</v>
      </c>
      <c r="L7" s="734"/>
      <c r="M7" s="153"/>
    </row>
    <row r="8" spans="1:13" ht="15.75" customHeight="1">
      <c r="A8" s="737">
        <v>1</v>
      </c>
      <c r="B8" s="738" t="s">
        <v>150</v>
      </c>
      <c r="C8" s="490">
        <v>1</v>
      </c>
      <c r="D8" s="525" t="s">
        <v>358</v>
      </c>
      <c r="E8" s="482"/>
      <c r="F8" s="483"/>
      <c r="G8" s="526">
        <v>3</v>
      </c>
      <c r="H8" s="526">
        <v>3203.6026471194555</v>
      </c>
      <c r="I8" s="526">
        <v>1067.8675490398184</v>
      </c>
      <c r="J8" s="242" t="s">
        <v>969</v>
      </c>
      <c r="K8" s="729" t="s">
        <v>970</v>
      </c>
      <c r="L8" s="730"/>
      <c r="M8" s="131"/>
    </row>
    <row r="9" spans="1:13" ht="15.75" customHeight="1">
      <c r="A9" s="737"/>
      <c r="B9" s="738"/>
      <c r="C9" s="490">
        <v>2</v>
      </c>
      <c r="D9" s="525" t="s">
        <v>360</v>
      </c>
      <c r="E9" s="482"/>
      <c r="F9" s="483"/>
      <c r="G9" s="526">
        <v>3</v>
      </c>
      <c r="H9" s="526">
        <v>3191.2332396285883</v>
      </c>
      <c r="I9" s="526">
        <v>1063.7444132095293</v>
      </c>
      <c r="J9" s="243" t="s">
        <v>971</v>
      </c>
      <c r="K9" s="731"/>
      <c r="L9" s="732"/>
      <c r="M9" s="131"/>
    </row>
    <row r="10" spans="1:13" ht="15.75" customHeight="1">
      <c r="A10" s="737"/>
      <c r="B10" s="738"/>
      <c r="C10" s="490">
        <v>3</v>
      </c>
      <c r="D10" s="525" t="s">
        <v>359</v>
      </c>
      <c r="E10" s="482"/>
      <c r="F10" s="483"/>
      <c r="G10" s="526">
        <v>3</v>
      </c>
      <c r="H10" s="526">
        <v>3176.7735940530079</v>
      </c>
      <c r="I10" s="526">
        <v>1058.9245313510025</v>
      </c>
      <c r="J10" s="242" t="s">
        <v>969</v>
      </c>
      <c r="K10" s="731"/>
      <c r="L10" s="732"/>
      <c r="M10" s="131"/>
    </row>
    <row r="11" spans="1:13" ht="15.75" customHeight="1">
      <c r="A11" s="737"/>
      <c r="B11" s="738"/>
      <c r="C11" s="490">
        <v>4</v>
      </c>
      <c r="D11" s="525" t="s">
        <v>362</v>
      </c>
      <c r="E11" s="482"/>
      <c r="F11" s="483"/>
      <c r="G11" s="526">
        <v>3</v>
      </c>
      <c r="H11" s="526">
        <v>3137.5740259740219</v>
      </c>
      <c r="I11" s="526">
        <v>1045.8580086580073</v>
      </c>
      <c r="J11" s="243" t="s">
        <v>971</v>
      </c>
      <c r="K11" s="731"/>
      <c r="L11" s="732"/>
      <c r="M11" s="131"/>
    </row>
    <row r="12" spans="1:13" ht="15.75" customHeight="1">
      <c r="A12" s="737"/>
      <c r="B12" s="738"/>
      <c r="C12" s="490">
        <v>5</v>
      </c>
      <c r="D12" s="544" t="s">
        <v>972</v>
      </c>
      <c r="E12" s="482"/>
      <c r="F12" s="483"/>
      <c r="G12" s="526">
        <v>3</v>
      </c>
      <c r="H12" s="526">
        <v>3068.4724700691099</v>
      </c>
      <c r="I12" s="526">
        <v>1022.8241566897033</v>
      </c>
      <c r="J12" s="242" t="s">
        <v>969</v>
      </c>
      <c r="K12" s="733" t="s">
        <v>973</v>
      </c>
      <c r="L12" s="734"/>
      <c r="M12" s="131"/>
    </row>
    <row r="13" spans="1:13" ht="15.75" customHeight="1">
      <c r="A13" s="737"/>
      <c r="B13" s="738"/>
      <c r="C13" s="165" t="s">
        <v>438</v>
      </c>
      <c r="D13" s="525" t="s">
        <v>760</v>
      </c>
      <c r="E13" s="482"/>
      <c r="F13" s="483"/>
      <c r="G13" s="526">
        <v>10</v>
      </c>
      <c r="H13" s="526">
        <v>1481.628371628372</v>
      </c>
      <c r="I13" s="526">
        <v>148.16283716283718</v>
      </c>
      <c r="J13" s="241" t="s">
        <v>974</v>
      </c>
      <c r="K13" s="733"/>
      <c r="L13" s="734"/>
      <c r="M13" s="131"/>
    </row>
    <row r="14" spans="1:13" ht="15.75" customHeight="1">
      <c r="A14" s="737"/>
      <c r="B14" s="738"/>
      <c r="C14" s="165" t="s">
        <v>439</v>
      </c>
      <c r="D14" s="525" t="s">
        <v>809</v>
      </c>
      <c r="E14" s="482"/>
      <c r="F14" s="483"/>
      <c r="G14" s="526">
        <v>4</v>
      </c>
      <c r="H14" s="526">
        <v>2232.1142857142918</v>
      </c>
      <c r="I14" s="526">
        <v>558.02857142857295</v>
      </c>
      <c r="J14" s="241" t="s">
        <v>974</v>
      </c>
      <c r="K14" s="733"/>
      <c r="L14" s="734"/>
      <c r="M14" s="131"/>
    </row>
    <row r="15" spans="1:13" ht="15.75" customHeight="1">
      <c r="A15" s="737"/>
      <c r="B15" s="738"/>
      <c r="C15" s="165" t="s">
        <v>493</v>
      </c>
      <c r="D15" s="525" t="s">
        <v>945</v>
      </c>
      <c r="E15" s="482"/>
      <c r="F15" s="483"/>
      <c r="G15" s="526">
        <v>4</v>
      </c>
      <c r="H15" s="526">
        <v>2250.161730374889</v>
      </c>
      <c r="I15" s="526">
        <v>562.54043259372224</v>
      </c>
      <c r="J15" s="241" t="s">
        <v>974</v>
      </c>
      <c r="K15" s="733" t="s">
        <v>975</v>
      </c>
      <c r="L15" s="734"/>
      <c r="M15" s="131"/>
    </row>
    <row r="16" spans="1:13" ht="15.75" customHeight="1">
      <c r="A16" s="737"/>
      <c r="B16" s="738"/>
      <c r="C16" s="165" t="s">
        <v>441</v>
      </c>
      <c r="D16" s="525" t="s">
        <v>365</v>
      </c>
      <c r="E16" s="482"/>
      <c r="F16" s="483"/>
      <c r="G16" s="526">
        <v>4</v>
      </c>
      <c r="H16" s="526">
        <v>2605.7142857142949</v>
      </c>
      <c r="I16" s="526">
        <v>651.42857142857372</v>
      </c>
      <c r="J16" s="241" t="s">
        <v>974</v>
      </c>
      <c r="K16" s="733"/>
      <c r="L16" s="734"/>
      <c r="M16" s="152"/>
    </row>
    <row r="17" spans="1:13" ht="15.75" customHeight="1">
      <c r="A17" s="737"/>
      <c r="B17" s="738"/>
      <c r="C17" s="165" t="s">
        <v>494</v>
      </c>
      <c r="D17" s="544" t="s">
        <v>908</v>
      </c>
      <c r="E17" s="482"/>
      <c r="F17" s="483"/>
      <c r="G17" s="526">
        <v>4</v>
      </c>
      <c r="H17" s="526">
        <v>2770.8983309923156</v>
      </c>
      <c r="I17" s="526">
        <v>692.72458274807889</v>
      </c>
      <c r="J17" s="241" t="s">
        <v>974</v>
      </c>
      <c r="K17" s="733"/>
      <c r="L17" s="734"/>
      <c r="M17" s="152"/>
    </row>
    <row r="18" spans="1:13" s="162" customFormat="1" ht="15.75" customHeight="1">
      <c r="A18" s="735" t="s">
        <v>187</v>
      </c>
      <c r="B18" s="735"/>
      <c r="C18" s="491" t="s">
        <v>437</v>
      </c>
      <c r="D18" s="735" t="s">
        <v>12</v>
      </c>
      <c r="E18" s="736"/>
      <c r="F18" s="736"/>
      <c r="G18" s="577" t="s">
        <v>964</v>
      </c>
      <c r="H18" s="577" t="s">
        <v>965</v>
      </c>
      <c r="I18" s="577" t="s">
        <v>966</v>
      </c>
      <c r="J18" s="223" t="s">
        <v>967</v>
      </c>
      <c r="K18" s="735" t="s">
        <v>968</v>
      </c>
      <c r="L18" s="736"/>
      <c r="M18" s="155"/>
    </row>
    <row r="19" spans="1:13" ht="15.75" customHeight="1">
      <c r="A19" s="737">
        <v>2</v>
      </c>
      <c r="B19" s="738" t="s">
        <v>151</v>
      </c>
      <c r="C19" s="490">
        <v>1</v>
      </c>
      <c r="D19" s="481" t="s">
        <v>694</v>
      </c>
      <c r="E19" s="482"/>
      <c r="F19" s="483"/>
      <c r="G19" s="526">
        <v>5</v>
      </c>
      <c r="H19" s="526">
        <v>1506.1838327638757</v>
      </c>
      <c r="I19" s="526">
        <v>301.23676655277507</v>
      </c>
      <c r="J19" s="241" t="s">
        <v>974</v>
      </c>
      <c r="K19" s="741"/>
      <c r="L19" s="740"/>
      <c r="M19" s="152"/>
    </row>
    <row r="20" spans="1:13" ht="15.75" customHeight="1">
      <c r="A20" s="737"/>
      <c r="B20" s="738"/>
      <c r="C20" s="490">
        <v>2</v>
      </c>
      <c r="D20" s="481" t="s">
        <v>755</v>
      </c>
      <c r="E20" s="482"/>
      <c r="F20" s="483"/>
      <c r="G20" s="526">
        <v>6</v>
      </c>
      <c r="H20" s="526">
        <v>1535.1632653061235</v>
      </c>
      <c r="I20" s="526">
        <v>255.86054421768722</v>
      </c>
      <c r="J20" s="241" t="s">
        <v>974</v>
      </c>
      <c r="K20" s="739"/>
      <c r="L20" s="740"/>
      <c r="M20" s="152"/>
    </row>
    <row r="21" spans="1:13" ht="15.75" customHeight="1">
      <c r="A21" s="737"/>
      <c r="B21" s="738"/>
      <c r="C21" s="490">
        <v>3</v>
      </c>
      <c r="D21" s="527" t="s">
        <v>366</v>
      </c>
      <c r="E21" s="482"/>
      <c r="F21" s="483"/>
      <c r="G21" s="526">
        <v>12.142857142857142</v>
      </c>
      <c r="H21" s="526">
        <v>1834.9877551020413</v>
      </c>
      <c r="I21" s="526">
        <v>151.21723356009073</v>
      </c>
      <c r="J21" s="242" t="s">
        <v>969</v>
      </c>
      <c r="K21" s="742" t="s">
        <v>976</v>
      </c>
      <c r="L21" s="743"/>
      <c r="M21" s="152"/>
    </row>
    <row r="22" spans="1:13" ht="15.75" customHeight="1">
      <c r="A22" s="737"/>
      <c r="B22" s="738"/>
      <c r="C22" s="490">
        <v>4</v>
      </c>
      <c r="D22" s="481" t="s">
        <v>948</v>
      </c>
      <c r="E22" s="482"/>
      <c r="F22" s="483"/>
      <c r="G22" s="526">
        <v>12.142857142857142</v>
      </c>
      <c r="H22" s="526">
        <v>1791.8040816326527</v>
      </c>
      <c r="I22" s="526">
        <v>147.68452817024243</v>
      </c>
      <c r="J22" s="242" t="s">
        <v>969</v>
      </c>
      <c r="K22" s="744"/>
      <c r="L22" s="745"/>
      <c r="M22" s="152"/>
    </row>
    <row r="23" spans="1:13" ht="15.75" customHeight="1">
      <c r="A23" s="737"/>
      <c r="B23" s="738"/>
      <c r="C23" s="490">
        <v>5</v>
      </c>
      <c r="D23" s="527" t="s">
        <v>947</v>
      </c>
      <c r="E23" s="482"/>
      <c r="F23" s="483"/>
      <c r="G23" s="526">
        <v>11.142857142857142</v>
      </c>
      <c r="H23" s="526">
        <v>1518.1428571428548</v>
      </c>
      <c r="I23" s="526">
        <v>137.52380952380932</v>
      </c>
      <c r="J23" s="243" t="s">
        <v>971</v>
      </c>
      <c r="K23" s="746"/>
      <c r="L23" s="747"/>
      <c r="M23" s="152"/>
    </row>
    <row r="24" spans="1:13" ht="15.75" customHeight="1">
      <c r="A24" s="737"/>
      <c r="B24" s="738"/>
      <c r="C24" s="165" t="s">
        <v>438</v>
      </c>
      <c r="D24" s="481" t="s">
        <v>949</v>
      </c>
      <c r="E24" s="482"/>
      <c r="F24" s="483"/>
      <c r="G24" s="526">
        <v>12</v>
      </c>
      <c r="H24" s="526">
        <v>1225.3034424222392</v>
      </c>
      <c r="I24" s="526">
        <v>102.10862020185327</v>
      </c>
      <c r="J24" s="243" t="s">
        <v>971</v>
      </c>
      <c r="K24" s="739" t="s">
        <v>977</v>
      </c>
      <c r="L24" s="740"/>
      <c r="M24" s="152"/>
    </row>
    <row r="25" spans="1:13" ht="15.75" customHeight="1">
      <c r="A25" s="737"/>
      <c r="B25" s="738"/>
      <c r="C25" s="165" t="s">
        <v>439</v>
      </c>
      <c r="D25" s="481"/>
      <c r="E25" s="482"/>
      <c r="F25" s="483"/>
      <c r="G25" s="526"/>
      <c r="H25" s="526"/>
      <c r="I25" s="526"/>
      <c r="J25" s="241"/>
      <c r="K25" s="739"/>
      <c r="L25" s="740"/>
      <c r="M25" s="152"/>
    </row>
    <row r="26" spans="1:13" ht="15.75" customHeight="1">
      <c r="A26" s="737"/>
      <c r="B26" s="738"/>
      <c r="C26" s="165" t="s">
        <v>493</v>
      </c>
      <c r="E26" s="482"/>
      <c r="F26" s="483"/>
      <c r="G26" s="578"/>
      <c r="H26" s="578"/>
      <c r="I26" s="578"/>
      <c r="J26" s="578"/>
      <c r="K26" s="739"/>
      <c r="L26" s="740"/>
      <c r="M26" s="152"/>
    </row>
    <row r="27" spans="1:13" ht="15.75" customHeight="1">
      <c r="A27" s="737"/>
      <c r="B27" s="738"/>
      <c r="C27" s="165" t="s">
        <v>441</v>
      </c>
      <c r="D27" s="481"/>
      <c r="E27" s="482"/>
      <c r="F27" s="483"/>
      <c r="G27" s="578"/>
      <c r="H27" s="578"/>
      <c r="I27" s="578"/>
      <c r="J27" s="578"/>
      <c r="K27" s="739"/>
      <c r="L27" s="740"/>
      <c r="M27" s="152"/>
    </row>
    <row r="28" spans="1:13" ht="15.75" customHeight="1">
      <c r="A28" s="737"/>
      <c r="B28" s="738"/>
      <c r="C28" s="165" t="s">
        <v>494</v>
      </c>
      <c r="D28" s="481"/>
      <c r="E28" s="482"/>
      <c r="F28" s="483"/>
      <c r="G28" s="578"/>
      <c r="H28" s="578"/>
      <c r="I28" s="578"/>
      <c r="J28" s="578"/>
      <c r="K28" s="739"/>
      <c r="L28" s="740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8">
    <mergeCell ref="A1:L2"/>
    <mergeCell ref="A5:A6"/>
    <mergeCell ref="A7:B7"/>
    <mergeCell ref="D7:F7"/>
    <mergeCell ref="K7:L7"/>
    <mergeCell ref="A3:L4"/>
    <mergeCell ref="A19:A28"/>
    <mergeCell ref="K28:L28"/>
    <mergeCell ref="B19:B28"/>
    <mergeCell ref="K27:L27"/>
    <mergeCell ref="K26:L26"/>
    <mergeCell ref="K24:L24"/>
    <mergeCell ref="K25:L25"/>
    <mergeCell ref="K19:L19"/>
    <mergeCell ref="K20:L20"/>
    <mergeCell ref="K21:L23"/>
    <mergeCell ref="K8:L11"/>
    <mergeCell ref="K12:L12"/>
    <mergeCell ref="A18:B18"/>
    <mergeCell ref="D18:F18"/>
    <mergeCell ref="K18:L18"/>
    <mergeCell ref="K13:L13"/>
    <mergeCell ref="A8:A17"/>
    <mergeCell ref="B8:B17"/>
    <mergeCell ref="K14:L14"/>
    <mergeCell ref="K15:L15"/>
    <mergeCell ref="K16:L16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32" sqref="D32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12" t="s">
        <v>204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120"/>
    </row>
    <row r="2" spans="1:13" s="121" customFormat="1" ht="15.75" customHeight="1">
      <c r="A2" s="612"/>
      <c r="B2" s="612"/>
      <c r="C2" s="612"/>
      <c r="D2" s="612"/>
      <c r="E2" s="612"/>
      <c r="F2" s="612"/>
      <c r="G2" s="612"/>
      <c r="H2" s="612"/>
      <c r="I2" s="612"/>
      <c r="J2" s="612"/>
      <c r="K2" s="612"/>
      <c r="L2" s="612"/>
    </row>
    <row r="3" spans="1:13" ht="15.75" customHeight="1">
      <c r="A3" s="748" t="s">
        <v>205</v>
      </c>
      <c r="B3" s="749"/>
      <c r="C3" s="749"/>
      <c r="D3" s="749"/>
      <c r="E3" s="749"/>
      <c r="F3" s="749"/>
      <c r="G3" s="749"/>
      <c r="H3" s="749"/>
      <c r="I3" s="749"/>
      <c r="J3" s="749"/>
      <c r="K3" s="749"/>
      <c r="L3" s="749"/>
      <c r="M3" s="152"/>
    </row>
    <row r="4" spans="1:13" s="121" customFormat="1" ht="15.75" customHeight="1">
      <c r="A4" s="749"/>
      <c r="B4" s="749"/>
      <c r="C4" s="749"/>
      <c r="D4" s="749"/>
      <c r="E4" s="749"/>
      <c r="F4" s="749"/>
      <c r="G4" s="749"/>
      <c r="H4" s="749"/>
      <c r="I4" s="749"/>
      <c r="J4" s="749"/>
      <c r="K4" s="749"/>
      <c r="L4" s="749"/>
      <c r="M4" s="131"/>
    </row>
    <row r="5" spans="1:13" s="154" customFormat="1" ht="16.350000000000001" customHeight="1">
      <c r="A5" s="737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37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38" t="s">
        <v>187</v>
      </c>
      <c r="B7" s="738"/>
      <c r="C7" s="489" t="s">
        <v>437</v>
      </c>
      <c r="D7" s="738" t="s">
        <v>12</v>
      </c>
      <c r="E7" s="734"/>
      <c r="F7" s="734"/>
      <c r="G7" s="537" t="s">
        <v>892</v>
      </c>
      <c r="H7" s="537" t="s">
        <v>893</v>
      </c>
      <c r="I7" s="537" t="s">
        <v>894</v>
      </c>
      <c r="J7" s="223" t="s">
        <v>895</v>
      </c>
      <c r="K7" s="738" t="s">
        <v>896</v>
      </c>
      <c r="L7" s="734"/>
      <c r="M7" s="153"/>
    </row>
    <row r="8" spans="1:13" ht="15.75" customHeight="1">
      <c r="A8" s="737">
        <v>3</v>
      </c>
      <c r="B8" s="738" t="s">
        <v>152</v>
      </c>
      <c r="C8" s="490">
        <v>1</v>
      </c>
      <c r="D8" s="481" t="s">
        <v>387</v>
      </c>
      <c r="E8" s="482"/>
      <c r="F8" s="483"/>
      <c r="G8" s="526">
        <v>5</v>
      </c>
      <c r="H8" s="526">
        <v>2132.2916662794237</v>
      </c>
      <c r="I8" s="526">
        <v>426.45833325588472</v>
      </c>
      <c r="J8" s="242" t="s">
        <v>969</v>
      </c>
      <c r="K8" s="753" t="s">
        <v>978</v>
      </c>
      <c r="L8" s="754"/>
      <c r="M8" s="131"/>
    </row>
    <row r="9" spans="1:13" ht="15.75" customHeight="1">
      <c r="A9" s="737"/>
      <c r="B9" s="738"/>
      <c r="C9" s="490">
        <v>2</v>
      </c>
      <c r="D9" s="481" t="s">
        <v>924</v>
      </c>
      <c r="E9" s="482"/>
      <c r="F9" s="483"/>
      <c r="G9" s="526">
        <v>5</v>
      </c>
      <c r="H9" s="526">
        <v>2130.9720936957756</v>
      </c>
      <c r="I9" s="526">
        <v>426.19441873915508</v>
      </c>
      <c r="J9" s="243" t="s">
        <v>971</v>
      </c>
      <c r="K9" s="755"/>
      <c r="L9" s="756"/>
      <c r="M9" s="131"/>
    </row>
    <row r="10" spans="1:13" ht="15.75" customHeight="1">
      <c r="A10" s="737"/>
      <c r="B10" s="738"/>
      <c r="C10" s="490">
        <v>3</v>
      </c>
      <c r="D10" s="481" t="s">
        <v>501</v>
      </c>
      <c r="E10" s="482"/>
      <c r="F10" s="483"/>
      <c r="G10" s="526">
        <v>5</v>
      </c>
      <c r="H10" s="526">
        <v>2137.0082918295107</v>
      </c>
      <c r="I10" s="526">
        <v>427.40165836590211</v>
      </c>
      <c r="J10" s="243" t="s">
        <v>971</v>
      </c>
      <c r="K10" s="755"/>
      <c r="L10" s="756"/>
      <c r="M10" s="131"/>
    </row>
    <row r="11" spans="1:13" ht="15.75" customHeight="1">
      <c r="A11" s="737"/>
      <c r="B11" s="738"/>
      <c r="C11" s="490">
        <v>4</v>
      </c>
      <c r="D11" s="481" t="s">
        <v>875</v>
      </c>
      <c r="E11" s="482"/>
      <c r="F11" s="483"/>
      <c r="G11" s="526">
        <v>5</v>
      </c>
      <c r="H11" s="526">
        <v>1963.0140266632966</v>
      </c>
      <c r="I11" s="526">
        <v>392.60280533265939</v>
      </c>
      <c r="J11" s="241" t="s">
        <v>974</v>
      </c>
      <c r="K11" s="757"/>
      <c r="L11" s="758"/>
      <c r="M11" s="131"/>
    </row>
    <row r="12" spans="1:13" ht="15.75" customHeight="1">
      <c r="A12" s="737"/>
      <c r="B12" s="738"/>
      <c r="C12" s="490">
        <v>5</v>
      </c>
      <c r="D12" s="481" t="s">
        <v>391</v>
      </c>
      <c r="E12" s="482"/>
      <c r="F12" s="483"/>
      <c r="G12" s="526">
        <v>10</v>
      </c>
      <c r="H12" s="526">
        <v>2278.751427876025</v>
      </c>
      <c r="I12" s="526">
        <v>227.87514278760244</v>
      </c>
      <c r="J12" s="241" t="s">
        <v>974</v>
      </c>
      <c r="K12" s="752"/>
      <c r="L12" s="736"/>
      <c r="M12" s="131"/>
    </row>
    <row r="13" spans="1:13" ht="15.75" customHeight="1">
      <c r="A13" s="737"/>
      <c r="B13" s="738"/>
      <c r="C13" s="165" t="s">
        <v>438</v>
      </c>
      <c r="D13" s="481" t="s">
        <v>386</v>
      </c>
      <c r="E13" s="482"/>
      <c r="F13" s="483"/>
      <c r="G13" s="526">
        <v>13</v>
      </c>
      <c r="H13" s="526">
        <v>1253.6971988795524</v>
      </c>
      <c r="I13" s="526">
        <v>96.438246067657857</v>
      </c>
      <c r="J13" s="241" t="s">
        <v>974</v>
      </c>
      <c r="K13" s="752"/>
      <c r="L13" s="736"/>
      <c r="M13" s="131"/>
    </row>
    <row r="14" spans="1:13" ht="15.75" customHeight="1">
      <c r="A14" s="737"/>
      <c r="B14" s="738"/>
      <c r="C14" s="165" t="s">
        <v>439</v>
      </c>
      <c r="D14" s="481" t="s">
        <v>388</v>
      </c>
      <c r="E14" s="482"/>
      <c r="F14" s="483"/>
      <c r="G14" s="526">
        <v>13</v>
      </c>
      <c r="H14" s="526">
        <v>2085.8897100499171</v>
      </c>
      <c r="I14" s="526">
        <v>160.45305461922439</v>
      </c>
      <c r="J14" s="243" t="s">
        <v>971</v>
      </c>
      <c r="K14" s="729" t="s">
        <v>970</v>
      </c>
      <c r="L14" s="730"/>
      <c r="M14" s="131"/>
    </row>
    <row r="15" spans="1:13" ht="15.75" customHeight="1">
      <c r="A15" s="737"/>
      <c r="B15" s="738"/>
      <c r="C15" s="165" t="s">
        <v>493</v>
      </c>
      <c r="D15" s="481" t="s">
        <v>950</v>
      </c>
      <c r="E15" s="482"/>
      <c r="F15" s="483"/>
      <c r="G15" s="526">
        <v>13</v>
      </c>
      <c r="H15" s="526">
        <v>2176.4748805618028</v>
      </c>
      <c r="I15" s="526">
        <v>167.42114465860021</v>
      </c>
      <c r="J15" s="243" t="s">
        <v>971</v>
      </c>
      <c r="K15" s="731"/>
      <c r="L15" s="732"/>
      <c r="M15" s="131"/>
    </row>
    <row r="16" spans="1:13" ht="15.75" customHeight="1">
      <c r="A16" s="737"/>
      <c r="B16" s="738"/>
      <c r="C16" s="165" t="s">
        <v>441</v>
      </c>
      <c r="D16" s="481" t="s">
        <v>390</v>
      </c>
      <c r="E16" s="482"/>
      <c r="F16" s="483"/>
      <c r="G16" s="526">
        <v>13</v>
      </c>
      <c r="H16" s="526">
        <v>2180.228807973212</v>
      </c>
      <c r="I16" s="526">
        <v>167.70990830563164</v>
      </c>
      <c r="J16" s="242" t="s">
        <v>969</v>
      </c>
      <c r="K16" s="731"/>
      <c r="L16" s="732"/>
      <c r="M16" s="152"/>
    </row>
    <row r="17" spans="1:13" ht="15.75" customHeight="1">
      <c r="A17" s="737"/>
      <c r="B17" s="738"/>
      <c r="C17" s="165" t="s">
        <v>494</v>
      </c>
      <c r="D17" s="481" t="s">
        <v>389</v>
      </c>
      <c r="E17" s="482"/>
      <c r="F17" s="483"/>
      <c r="G17" s="526">
        <v>12</v>
      </c>
      <c r="H17" s="526">
        <v>2031.2045867120009</v>
      </c>
      <c r="I17" s="526">
        <v>169.26704889266674</v>
      </c>
      <c r="J17" s="242" t="s">
        <v>969</v>
      </c>
      <c r="K17" s="750"/>
      <c r="L17" s="751"/>
      <c r="M17" s="152"/>
    </row>
    <row r="18" spans="1:13" s="162" customFormat="1" ht="15.75" customHeight="1">
      <c r="A18" s="735" t="s">
        <v>187</v>
      </c>
      <c r="B18" s="735"/>
      <c r="C18" s="491" t="s">
        <v>437</v>
      </c>
      <c r="D18" s="735" t="s">
        <v>12</v>
      </c>
      <c r="E18" s="736"/>
      <c r="F18" s="736"/>
      <c r="G18" s="577" t="s">
        <v>964</v>
      </c>
      <c r="H18" s="577" t="s">
        <v>965</v>
      </c>
      <c r="I18" s="577" t="s">
        <v>966</v>
      </c>
      <c r="J18" s="223" t="s">
        <v>967</v>
      </c>
      <c r="K18" s="735" t="s">
        <v>968</v>
      </c>
      <c r="L18" s="736"/>
      <c r="M18" s="155"/>
    </row>
    <row r="19" spans="1:13" ht="15.75" customHeight="1">
      <c r="A19" s="737">
        <v>4</v>
      </c>
      <c r="B19" s="738" t="s">
        <v>153</v>
      </c>
      <c r="C19" s="490">
        <v>1</v>
      </c>
      <c r="D19" s="527" t="s">
        <v>979</v>
      </c>
      <c r="E19" s="482"/>
      <c r="F19" s="483"/>
      <c r="G19" s="526">
        <v>10.857142857142858</v>
      </c>
      <c r="H19" s="526">
        <v>1520.6239495798325</v>
      </c>
      <c r="I19" s="526">
        <v>142.31404330963161</v>
      </c>
      <c r="J19" s="241" t="s">
        <v>974</v>
      </c>
      <c r="K19" s="741"/>
      <c r="L19" s="740"/>
      <c r="M19" s="152"/>
    </row>
    <row r="20" spans="1:13" ht="15.75" customHeight="1">
      <c r="A20" s="737"/>
      <c r="B20" s="738"/>
      <c r="C20" s="490">
        <v>2</v>
      </c>
      <c r="D20" s="527" t="s">
        <v>876</v>
      </c>
      <c r="E20" s="482"/>
      <c r="F20" s="483"/>
      <c r="G20" s="526">
        <v>13</v>
      </c>
      <c r="H20" s="526">
        <v>1426.2285714285699</v>
      </c>
      <c r="I20" s="526">
        <v>109.70989010988998</v>
      </c>
      <c r="J20" s="241" t="s">
        <v>974</v>
      </c>
      <c r="K20" s="739"/>
      <c r="L20" s="740"/>
      <c r="M20" s="152"/>
    </row>
    <row r="21" spans="1:13" ht="15.75" customHeight="1">
      <c r="A21" s="737"/>
      <c r="B21" s="738"/>
      <c r="C21" s="490">
        <v>3</v>
      </c>
      <c r="D21" s="481"/>
      <c r="E21" s="482"/>
      <c r="F21" s="483"/>
      <c r="G21" s="578"/>
      <c r="H21" s="578"/>
      <c r="I21" s="578"/>
      <c r="J21" s="578"/>
      <c r="K21" s="739"/>
      <c r="L21" s="740"/>
      <c r="M21" s="152"/>
    </row>
    <row r="22" spans="1:13" ht="15.75" customHeight="1">
      <c r="A22" s="737"/>
      <c r="B22" s="738"/>
      <c r="C22" s="490">
        <v>4</v>
      </c>
      <c r="D22" s="481"/>
      <c r="E22" s="482"/>
      <c r="F22" s="483"/>
      <c r="G22" s="568"/>
      <c r="H22" s="568"/>
      <c r="I22" s="568"/>
      <c r="J22" s="568"/>
      <c r="K22" s="739"/>
      <c r="L22" s="740"/>
      <c r="M22" s="152"/>
    </row>
    <row r="23" spans="1:13" ht="15.75" customHeight="1">
      <c r="A23" s="737"/>
      <c r="B23" s="738"/>
      <c r="C23" s="490">
        <v>5</v>
      </c>
      <c r="D23" s="481"/>
      <c r="E23" s="482"/>
      <c r="F23" s="483"/>
      <c r="G23" s="568"/>
      <c r="H23" s="568"/>
      <c r="I23" s="568"/>
      <c r="J23" s="568"/>
      <c r="K23" s="739"/>
      <c r="L23" s="740"/>
      <c r="M23" s="152"/>
    </row>
    <row r="24" spans="1:13" ht="15.75" customHeight="1">
      <c r="A24" s="737"/>
      <c r="B24" s="738"/>
      <c r="C24" s="165" t="s">
        <v>438</v>
      </c>
      <c r="D24" s="527"/>
      <c r="E24" s="482"/>
      <c r="F24" s="483"/>
      <c r="G24" s="568"/>
      <c r="H24" s="568"/>
      <c r="I24" s="568"/>
      <c r="J24" s="568"/>
      <c r="K24" s="741"/>
      <c r="L24" s="740"/>
      <c r="M24" s="152"/>
    </row>
    <row r="25" spans="1:13" ht="15.75" customHeight="1">
      <c r="A25" s="737"/>
      <c r="B25" s="738"/>
      <c r="C25" s="165" t="s">
        <v>439</v>
      </c>
      <c r="D25" s="481"/>
      <c r="E25" s="482"/>
      <c r="F25" s="483"/>
      <c r="G25" s="568"/>
      <c r="H25" s="568"/>
      <c r="I25" s="568"/>
      <c r="J25" s="568"/>
      <c r="K25" s="739"/>
      <c r="L25" s="740"/>
      <c r="M25" s="152"/>
    </row>
    <row r="26" spans="1:13" ht="15.75" customHeight="1">
      <c r="A26" s="737"/>
      <c r="B26" s="738"/>
      <c r="C26" s="165" t="s">
        <v>493</v>
      </c>
      <c r="D26" s="481"/>
      <c r="E26" s="482"/>
      <c r="F26" s="483"/>
      <c r="G26" s="568"/>
      <c r="H26" s="568"/>
      <c r="I26" s="568"/>
      <c r="J26" s="568"/>
      <c r="K26" s="739"/>
      <c r="L26" s="740"/>
      <c r="M26" s="152"/>
    </row>
    <row r="27" spans="1:13" ht="15.75" customHeight="1">
      <c r="A27" s="737"/>
      <c r="B27" s="738"/>
      <c r="C27" s="165" t="s">
        <v>441</v>
      </c>
      <c r="D27" s="481"/>
      <c r="E27" s="482"/>
      <c r="F27" s="483"/>
      <c r="G27" s="568"/>
      <c r="H27" s="568"/>
      <c r="I27" s="568"/>
      <c r="J27" s="568"/>
      <c r="K27" s="739"/>
      <c r="L27" s="740"/>
      <c r="M27" s="152"/>
    </row>
    <row r="28" spans="1:13" ht="15.75" customHeight="1">
      <c r="A28" s="737"/>
      <c r="B28" s="738"/>
      <c r="C28" s="165" t="s">
        <v>494</v>
      </c>
      <c r="D28" s="481"/>
      <c r="E28" s="482"/>
      <c r="F28" s="483"/>
      <c r="G28" s="568"/>
      <c r="H28" s="568"/>
      <c r="I28" s="568"/>
      <c r="J28" s="568"/>
      <c r="K28" s="739"/>
      <c r="L28" s="740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7">
    <mergeCell ref="A1:L2"/>
    <mergeCell ref="K24:L24"/>
    <mergeCell ref="K12:L12"/>
    <mergeCell ref="A3:L4"/>
    <mergeCell ref="A19:A28"/>
    <mergeCell ref="A5:A6"/>
    <mergeCell ref="A7:B7"/>
    <mergeCell ref="K25:L25"/>
    <mergeCell ref="D7:F7"/>
    <mergeCell ref="K7:L7"/>
    <mergeCell ref="A8:A17"/>
    <mergeCell ref="K19:L19"/>
    <mergeCell ref="K20:L20"/>
    <mergeCell ref="D18:F18"/>
    <mergeCell ref="K18:L18"/>
    <mergeCell ref="K8:L11"/>
    <mergeCell ref="K14:L17"/>
    <mergeCell ref="B8:B17"/>
    <mergeCell ref="A18:B18"/>
    <mergeCell ref="K26:L26"/>
    <mergeCell ref="B19:B28"/>
    <mergeCell ref="K13:L13"/>
    <mergeCell ref="K28:L28"/>
    <mergeCell ref="K21:L21"/>
    <mergeCell ref="K22:L22"/>
    <mergeCell ref="K23:L23"/>
    <mergeCell ref="K27:L2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Normal="100" zoomScaleSheetLayoutView="100" workbookViewId="0">
      <selection activeCell="J36" sqref="J36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612" t="s">
        <v>204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120"/>
    </row>
    <row r="2" spans="1:18" s="121" customFormat="1" ht="15.75" customHeight="1">
      <c r="A2" s="612"/>
      <c r="B2" s="612"/>
      <c r="C2" s="612"/>
      <c r="D2" s="612"/>
      <c r="E2" s="612"/>
      <c r="F2" s="612"/>
      <c r="G2" s="612"/>
      <c r="H2" s="612"/>
      <c r="I2" s="612"/>
      <c r="J2" s="612"/>
      <c r="K2" s="612"/>
      <c r="L2" s="612"/>
    </row>
    <row r="3" spans="1:18" ht="15.75" customHeight="1">
      <c r="A3" s="748" t="s">
        <v>205</v>
      </c>
      <c r="B3" s="749"/>
      <c r="C3" s="749"/>
      <c r="D3" s="749"/>
      <c r="E3" s="749"/>
      <c r="F3" s="749"/>
      <c r="G3" s="749"/>
      <c r="H3" s="749"/>
      <c r="I3" s="749"/>
      <c r="J3" s="749"/>
      <c r="K3" s="749"/>
      <c r="L3" s="749"/>
      <c r="M3" s="152"/>
    </row>
    <row r="4" spans="1:18" s="121" customFormat="1" ht="15.75" customHeight="1">
      <c r="A4" s="749"/>
      <c r="B4" s="749"/>
      <c r="C4" s="749"/>
      <c r="D4" s="749"/>
      <c r="E4" s="749"/>
      <c r="F4" s="749"/>
      <c r="G4" s="749"/>
      <c r="H4" s="749"/>
      <c r="I4" s="749"/>
      <c r="J4" s="749"/>
      <c r="K4" s="749"/>
      <c r="L4" s="749"/>
      <c r="M4" s="131"/>
    </row>
    <row r="5" spans="1:18" s="154" customFormat="1" ht="16.350000000000001" customHeight="1">
      <c r="A5" s="737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737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738" t="s">
        <v>838</v>
      </c>
      <c r="B7" s="738"/>
      <c r="C7" s="489" t="s">
        <v>839</v>
      </c>
      <c r="D7" s="738" t="s">
        <v>12</v>
      </c>
      <c r="E7" s="734"/>
      <c r="F7" s="734"/>
      <c r="G7" s="537" t="s">
        <v>892</v>
      </c>
      <c r="H7" s="537" t="s">
        <v>893</v>
      </c>
      <c r="I7" s="537" t="s">
        <v>894</v>
      </c>
      <c r="J7" s="223" t="s">
        <v>895</v>
      </c>
      <c r="K7" s="738" t="s">
        <v>896</v>
      </c>
      <c r="L7" s="734"/>
      <c r="M7" s="153"/>
    </row>
    <row r="8" spans="1:18" ht="15.75" customHeight="1">
      <c r="A8" s="737">
        <v>5</v>
      </c>
      <c r="B8" s="738" t="s">
        <v>133</v>
      </c>
      <c r="C8" s="490">
        <v>1</v>
      </c>
      <c r="D8" s="481" t="s">
        <v>367</v>
      </c>
      <c r="E8" s="482"/>
      <c r="F8" s="483"/>
      <c r="G8" s="526">
        <v>6</v>
      </c>
      <c r="H8" s="526">
        <v>1450.1697223730735</v>
      </c>
      <c r="I8" s="526">
        <v>241.69495372884555</v>
      </c>
      <c r="J8" s="241" t="s">
        <v>974</v>
      </c>
      <c r="K8" s="733"/>
      <c r="L8" s="734"/>
      <c r="M8" s="131"/>
      <c r="P8" s="253"/>
      <c r="Q8" s="253"/>
      <c r="R8" s="253"/>
    </row>
    <row r="9" spans="1:18" ht="15.75" customHeight="1">
      <c r="A9" s="737"/>
      <c r="B9" s="738"/>
      <c r="C9" s="490">
        <v>2</v>
      </c>
      <c r="D9" s="481" t="s">
        <v>382</v>
      </c>
      <c r="E9" s="482"/>
      <c r="F9" s="483"/>
      <c r="G9" s="526">
        <v>7</v>
      </c>
      <c r="H9" s="526">
        <v>1463.4435287914241</v>
      </c>
      <c r="I9" s="526">
        <v>209.06336125591775</v>
      </c>
      <c r="J9" s="241" t="s">
        <v>974</v>
      </c>
      <c r="K9" s="759"/>
      <c r="L9" s="734"/>
      <c r="M9" s="131"/>
      <c r="P9" s="253"/>
      <c r="Q9" s="253"/>
      <c r="R9" s="253"/>
    </row>
    <row r="10" spans="1:18" ht="15.75" customHeight="1">
      <c r="A10" s="737"/>
      <c r="B10" s="738"/>
      <c r="C10" s="490">
        <v>3</v>
      </c>
      <c r="D10" s="481" t="s">
        <v>961</v>
      </c>
      <c r="E10" s="482"/>
      <c r="F10" s="483"/>
      <c r="G10" s="526">
        <v>15</v>
      </c>
      <c r="H10" s="526">
        <v>1338.4567701158737</v>
      </c>
      <c r="I10" s="526">
        <v>89.230451341058242</v>
      </c>
      <c r="J10" s="242" t="s">
        <v>969</v>
      </c>
      <c r="K10" s="760" t="s">
        <v>980</v>
      </c>
      <c r="L10" s="734"/>
      <c r="M10" s="131"/>
      <c r="P10" s="253"/>
      <c r="Q10" s="253"/>
      <c r="R10" s="253"/>
    </row>
    <row r="11" spans="1:18" ht="15.75" customHeight="1">
      <c r="A11" s="737"/>
      <c r="B11" s="738"/>
      <c r="C11" s="490">
        <v>4</v>
      </c>
      <c r="D11" s="481" t="s">
        <v>371</v>
      </c>
      <c r="E11" s="482"/>
      <c r="F11" s="483"/>
      <c r="G11" s="526">
        <v>15</v>
      </c>
      <c r="H11" s="526">
        <v>1318.5709757191637</v>
      </c>
      <c r="I11" s="526">
        <v>87.904731714610918</v>
      </c>
      <c r="J11" s="242" t="s">
        <v>969</v>
      </c>
      <c r="K11" s="762" t="s">
        <v>970</v>
      </c>
      <c r="L11" s="763"/>
      <c r="M11" s="131"/>
      <c r="P11" s="253"/>
      <c r="Q11" s="253"/>
      <c r="R11" s="253"/>
    </row>
    <row r="12" spans="1:18" ht="15.75" customHeight="1">
      <c r="A12" s="737"/>
      <c r="B12" s="738"/>
      <c r="C12" s="490">
        <v>5</v>
      </c>
      <c r="D12" s="481" t="s">
        <v>353</v>
      </c>
      <c r="E12" s="482"/>
      <c r="F12" s="483"/>
      <c r="G12" s="526">
        <v>16</v>
      </c>
      <c r="H12" s="526">
        <v>1381.1379655422206</v>
      </c>
      <c r="I12" s="526">
        <v>86.321122846388789</v>
      </c>
      <c r="J12" s="243" t="s">
        <v>971</v>
      </c>
      <c r="K12" s="764"/>
      <c r="L12" s="765"/>
      <c r="M12" s="131"/>
      <c r="P12" s="253"/>
      <c r="Q12" s="253"/>
      <c r="R12" s="253"/>
    </row>
    <row r="13" spans="1:18" ht="15.75" customHeight="1">
      <c r="A13" s="737"/>
      <c r="B13" s="738"/>
      <c r="C13" s="165" t="s">
        <v>840</v>
      </c>
      <c r="D13" s="481" t="s">
        <v>804</v>
      </c>
      <c r="E13" s="482"/>
      <c r="F13" s="483"/>
      <c r="G13" s="526">
        <v>19.714285714285715</v>
      </c>
      <c r="H13" s="526">
        <v>1136.8515227948574</v>
      </c>
      <c r="I13" s="526">
        <v>57.68947341539954</v>
      </c>
      <c r="J13" s="243" t="s">
        <v>971</v>
      </c>
      <c r="K13" s="764"/>
      <c r="L13" s="765"/>
      <c r="M13" s="131"/>
      <c r="P13" s="253"/>
      <c r="Q13" s="253"/>
      <c r="R13" s="253"/>
    </row>
    <row r="14" spans="1:18" ht="15.75" customHeight="1">
      <c r="A14" s="737"/>
      <c r="B14" s="738"/>
      <c r="C14" s="165" t="s">
        <v>841</v>
      </c>
      <c r="D14" s="481" t="s">
        <v>790</v>
      </c>
      <c r="E14" s="482"/>
      <c r="F14" s="483"/>
      <c r="G14" s="526">
        <v>20</v>
      </c>
      <c r="H14" s="526">
        <v>1181.322446498328</v>
      </c>
      <c r="I14" s="526">
        <v>59.066122324916385</v>
      </c>
      <c r="J14" s="242" t="s">
        <v>969</v>
      </c>
      <c r="K14" s="766"/>
      <c r="L14" s="767"/>
      <c r="M14" s="131"/>
      <c r="P14" s="253"/>
      <c r="Q14" s="253"/>
      <c r="R14" s="253"/>
    </row>
    <row r="15" spans="1:18" ht="15.75" customHeight="1">
      <c r="A15" s="737"/>
      <c r="B15" s="738"/>
      <c r="C15" s="165" t="s">
        <v>842</v>
      </c>
      <c r="D15" s="481" t="s">
        <v>878</v>
      </c>
      <c r="E15" s="482"/>
      <c r="F15" s="483"/>
      <c r="G15" s="526">
        <v>21</v>
      </c>
      <c r="H15" s="526">
        <v>1301.4458945272288</v>
      </c>
      <c r="I15" s="526">
        <v>61.97361402510613</v>
      </c>
      <c r="J15" s="241" t="s">
        <v>974</v>
      </c>
      <c r="K15" s="733"/>
      <c r="L15" s="734"/>
      <c r="M15" s="131"/>
      <c r="P15" s="253"/>
      <c r="Q15" s="253"/>
      <c r="R15" s="253"/>
    </row>
    <row r="16" spans="1:18" ht="15.75" customHeight="1">
      <c r="A16" s="737"/>
      <c r="B16" s="738"/>
      <c r="C16" s="165" t="s">
        <v>843</v>
      </c>
      <c r="D16" s="481" t="s">
        <v>805</v>
      </c>
      <c r="E16" s="482"/>
      <c r="F16" s="483"/>
      <c r="G16" s="526">
        <v>18</v>
      </c>
      <c r="H16" s="526">
        <v>1135.5700680272082</v>
      </c>
      <c r="I16" s="526">
        <v>63.08722600151156</v>
      </c>
      <c r="J16" s="241" t="s">
        <v>974</v>
      </c>
      <c r="K16" s="733"/>
      <c r="L16" s="734"/>
      <c r="M16" s="152"/>
      <c r="P16" s="253"/>
      <c r="Q16" s="253"/>
      <c r="R16" s="253"/>
    </row>
    <row r="17" spans="1:18" ht="15.75" customHeight="1">
      <c r="A17" s="737"/>
      <c r="B17" s="738"/>
      <c r="C17" s="165" t="s">
        <v>844</v>
      </c>
      <c r="D17" s="527" t="s">
        <v>981</v>
      </c>
      <c r="E17" s="482"/>
      <c r="F17" s="483"/>
      <c r="G17" s="526">
        <v>19</v>
      </c>
      <c r="H17" s="526">
        <v>1249.4578968074093</v>
      </c>
      <c r="I17" s="526">
        <v>65.760941937232076</v>
      </c>
      <c r="J17" s="241" t="s">
        <v>974</v>
      </c>
      <c r="K17" s="761" t="s">
        <v>982</v>
      </c>
      <c r="L17" s="734"/>
      <c r="M17" s="152"/>
      <c r="P17" s="253"/>
      <c r="Q17" s="253"/>
      <c r="R17" s="253"/>
    </row>
    <row r="18" spans="1:18" s="162" customFormat="1" ht="15.75" customHeight="1">
      <c r="A18" s="735" t="s">
        <v>838</v>
      </c>
      <c r="B18" s="735"/>
      <c r="C18" s="491" t="s">
        <v>839</v>
      </c>
      <c r="D18" s="735" t="s">
        <v>12</v>
      </c>
      <c r="E18" s="736"/>
      <c r="F18" s="736"/>
      <c r="G18" s="577" t="s">
        <v>964</v>
      </c>
      <c r="H18" s="577" t="s">
        <v>965</v>
      </c>
      <c r="I18" s="577" t="s">
        <v>966</v>
      </c>
      <c r="J18" s="223" t="s">
        <v>967</v>
      </c>
      <c r="K18" s="735" t="s">
        <v>968</v>
      </c>
      <c r="L18" s="736"/>
      <c r="M18" s="155"/>
    </row>
    <row r="19" spans="1:18" ht="15.75" customHeight="1">
      <c r="A19" s="737">
        <v>6</v>
      </c>
      <c r="B19" s="738" t="s">
        <v>131</v>
      </c>
      <c r="C19" s="490">
        <v>1</v>
      </c>
      <c r="D19" s="481" t="s">
        <v>763</v>
      </c>
      <c r="E19" s="482"/>
      <c r="F19" s="483"/>
      <c r="G19" s="526">
        <v>16</v>
      </c>
      <c r="H19" s="526">
        <v>1330.734776802519</v>
      </c>
      <c r="I19" s="526">
        <v>83.17092355015744</v>
      </c>
      <c r="J19" s="241" t="s">
        <v>974</v>
      </c>
      <c r="K19" s="759"/>
      <c r="L19" s="734"/>
      <c r="M19" s="152"/>
      <c r="P19" s="253"/>
      <c r="Q19" s="253"/>
      <c r="R19" s="253"/>
    </row>
    <row r="20" spans="1:18" ht="15.75" customHeight="1">
      <c r="A20" s="737"/>
      <c r="B20" s="738"/>
      <c r="C20" s="490">
        <v>2</v>
      </c>
      <c r="D20" s="481" t="s">
        <v>374</v>
      </c>
      <c r="E20" s="482"/>
      <c r="F20" s="483"/>
      <c r="G20" s="526">
        <v>17</v>
      </c>
      <c r="H20" s="526">
        <v>1337.2777997068911</v>
      </c>
      <c r="I20" s="526">
        <v>78.663399982758293</v>
      </c>
      <c r="J20" s="241" t="s">
        <v>974</v>
      </c>
      <c r="K20" s="759"/>
      <c r="L20" s="734"/>
      <c r="M20" s="152"/>
      <c r="P20" s="253"/>
      <c r="Q20" s="253"/>
      <c r="R20" s="253"/>
    </row>
    <row r="21" spans="1:18" ht="15.75" customHeight="1">
      <c r="A21" s="737"/>
      <c r="B21" s="738"/>
      <c r="C21" s="490">
        <v>3</v>
      </c>
      <c r="D21" s="481" t="s">
        <v>372</v>
      </c>
      <c r="E21" s="482"/>
      <c r="F21" s="483"/>
      <c r="G21" s="526">
        <v>18</v>
      </c>
      <c r="H21" s="526">
        <v>1329.4722579569279</v>
      </c>
      <c r="I21" s="526">
        <v>73.859569886496004</v>
      </c>
      <c r="J21" s="242" t="s">
        <v>969</v>
      </c>
      <c r="K21" s="759" t="s">
        <v>970</v>
      </c>
      <c r="L21" s="734"/>
      <c r="M21" s="152"/>
      <c r="P21" s="253"/>
      <c r="Q21" s="253"/>
      <c r="R21" s="253"/>
    </row>
    <row r="22" spans="1:18" ht="15.75" customHeight="1">
      <c r="A22" s="737"/>
      <c r="B22" s="738"/>
      <c r="C22" s="490">
        <v>4</v>
      </c>
      <c r="D22" s="481" t="s">
        <v>373</v>
      </c>
      <c r="E22" s="482"/>
      <c r="F22" s="483"/>
      <c r="G22" s="526">
        <v>18</v>
      </c>
      <c r="H22" s="526">
        <v>1294.6219387223214</v>
      </c>
      <c r="I22" s="526">
        <v>71.923441040128964</v>
      </c>
      <c r="J22" s="242" t="s">
        <v>969</v>
      </c>
      <c r="K22" s="729" t="s">
        <v>983</v>
      </c>
      <c r="L22" s="730"/>
      <c r="M22" s="152"/>
      <c r="P22" s="253"/>
      <c r="Q22" s="253"/>
      <c r="R22" s="253"/>
    </row>
    <row r="23" spans="1:18" ht="15.75" customHeight="1">
      <c r="A23" s="737"/>
      <c r="B23" s="738"/>
      <c r="C23" s="490">
        <v>5</v>
      </c>
      <c r="D23" s="481" t="s">
        <v>696</v>
      </c>
      <c r="E23" s="482"/>
      <c r="F23" s="483"/>
      <c r="G23" s="526">
        <v>18</v>
      </c>
      <c r="H23" s="526">
        <v>1279.3484885328064</v>
      </c>
      <c r="I23" s="526">
        <v>71.074916029600359</v>
      </c>
      <c r="J23" s="242" t="s">
        <v>969</v>
      </c>
      <c r="K23" s="750"/>
      <c r="L23" s="751"/>
      <c r="M23" s="152"/>
      <c r="P23" s="253"/>
      <c r="Q23" s="253"/>
      <c r="R23" s="253"/>
    </row>
    <row r="24" spans="1:18" ht="15.75" customHeight="1">
      <c r="A24" s="737"/>
      <c r="B24" s="738"/>
      <c r="C24" s="165" t="s">
        <v>840</v>
      </c>
      <c r="D24" s="527" t="s">
        <v>376</v>
      </c>
      <c r="E24" s="482"/>
      <c r="F24" s="483"/>
      <c r="G24" s="526">
        <v>20.857142857142858</v>
      </c>
      <c r="H24" s="526">
        <v>1287.2190245099193</v>
      </c>
      <c r="I24" s="526">
        <v>61.732035772285428</v>
      </c>
      <c r="J24" s="241" t="s">
        <v>974</v>
      </c>
      <c r="K24" s="759"/>
      <c r="L24" s="734"/>
      <c r="M24" s="152"/>
      <c r="P24" s="253"/>
      <c r="Q24" s="253"/>
      <c r="R24" s="253"/>
    </row>
    <row r="25" spans="1:18" ht="15.75" customHeight="1">
      <c r="A25" s="737"/>
      <c r="B25" s="738"/>
      <c r="C25" s="165" t="s">
        <v>841</v>
      </c>
      <c r="D25" s="481" t="s">
        <v>914</v>
      </c>
      <c r="E25" s="482"/>
      <c r="F25" s="483"/>
      <c r="G25" s="526">
        <v>19</v>
      </c>
      <c r="H25" s="526">
        <v>1241.1131420467518</v>
      </c>
      <c r="I25" s="526">
        <v>65.321744318250083</v>
      </c>
      <c r="J25" s="243" t="s">
        <v>971</v>
      </c>
      <c r="K25" s="759" t="s">
        <v>970</v>
      </c>
      <c r="L25" s="734"/>
      <c r="M25" s="152"/>
      <c r="P25" s="253"/>
      <c r="Q25" s="253"/>
      <c r="R25" s="253"/>
    </row>
    <row r="26" spans="1:18" ht="15.75" customHeight="1">
      <c r="A26" s="737"/>
      <c r="B26" s="738"/>
      <c r="C26" s="165" t="s">
        <v>842</v>
      </c>
      <c r="D26" s="481" t="s">
        <v>375</v>
      </c>
      <c r="E26" s="482"/>
      <c r="F26" s="483"/>
      <c r="G26" s="526">
        <v>17</v>
      </c>
      <c r="H26" s="526">
        <v>1166.4828876320794</v>
      </c>
      <c r="I26" s="526">
        <v>68.616640448945844</v>
      </c>
      <c r="J26" s="241" t="s">
        <v>974</v>
      </c>
      <c r="K26" s="759"/>
      <c r="L26" s="734"/>
      <c r="M26" s="152"/>
      <c r="P26" s="253"/>
      <c r="Q26" s="253"/>
      <c r="R26" s="253"/>
    </row>
    <row r="27" spans="1:18" ht="15.75" customHeight="1">
      <c r="A27" s="737"/>
      <c r="B27" s="738"/>
      <c r="C27" s="165" t="s">
        <v>843</v>
      </c>
      <c r="D27" s="481" t="s">
        <v>377</v>
      </c>
      <c r="E27" s="482"/>
      <c r="F27" s="483"/>
      <c r="G27" s="526">
        <v>19</v>
      </c>
      <c r="H27" s="526">
        <v>1331.1494141031849</v>
      </c>
      <c r="I27" s="526">
        <v>70.060495479114991</v>
      </c>
      <c r="J27" s="241" t="s">
        <v>974</v>
      </c>
      <c r="K27" s="759"/>
      <c r="L27" s="734"/>
      <c r="M27" s="152"/>
      <c r="P27" s="253"/>
      <c r="Q27" s="253"/>
      <c r="R27" s="253"/>
    </row>
    <row r="28" spans="1:18" ht="15.75" customHeight="1">
      <c r="A28" s="737"/>
      <c r="B28" s="738"/>
      <c r="C28" s="165" t="s">
        <v>844</v>
      </c>
      <c r="D28" s="481" t="s">
        <v>693</v>
      </c>
      <c r="E28" s="482"/>
      <c r="F28" s="483"/>
      <c r="G28" s="526">
        <v>18</v>
      </c>
      <c r="H28" s="526">
        <v>1279.0932581000332</v>
      </c>
      <c r="I28" s="526">
        <v>71.060736561112961</v>
      </c>
      <c r="J28" s="241" t="s">
        <v>974</v>
      </c>
      <c r="K28" s="759"/>
      <c r="L28" s="734"/>
      <c r="M28" s="152"/>
      <c r="P28" s="253"/>
      <c r="Q28" s="253"/>
      <c r="R28" s="253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9">
    <mergeCell ref="K19:L19"/>
    <mergeCell ref="K20:L20"/>
    <mergeCell ref="A19:A28"/>
    <mergeCell ref="B19:B28"/>
    <mergeCell ref="K21:L21"/>
    <mergeCell ref="K22:L23"/>
    <mergeCell ref="K24:L24"/>
    <mergeCell ref="K25:L25"/>
    <mergeCell ref="K26:L26"/>
    <mergeCell ref="K27:L27"/>
    <mergeCell ref="K28:L28"/>
    <mergeCell ref="A8:A17"/>
    <mergeCell ref="B8:B17"/>
    <mergeCell ref="A18:B18"/>
    <mergeCell ref="D18:F18"/>
    <mergeCell ref="K8:L8"/>
    <mergeCell ref="K9:L9"/>
    <mergeCell ref="K18:L18"/>
    <mergeCell ref="K10:L10"/>
    <mergeCell ref="K16:L16"/>
    <mergeCell ref="K17:L17"/>
    <mergeCell ref="K11:L14"/>
    <mergeCell ref="K15:L15"/>
    <mergeCell ref="A1:L2"/>
    <mergeCell ref="A3:L4"/>
    <mergeCell ref="A5:A6"/>
    <mergeCell ref="A7:B7"/>
    <mergeCell ref="D7:F7"/>
    <mergeCell ref="K7:L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L36" sqref="L36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12" t="s">
        <v>204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120"/>
    </row>
    <row r="2" spans="1:13" s="121" customFormat="1" ht="15.75" customHeight="1">
      <c r="A2" s="612"/>
      <c r="B2" s="612"/>
      <c r="C2" s="612"/>
      <c r="D2" s="612"/>
      <c r="E2" s="612"/>
      <c r="F2" s="612"/>
      <c r="G2" s="612"/>
      <c r="H2" s="612"/>
      <c r="I2" s="612"/>
      <c r="J2" s="612"/>
      <c r="K2" s="612"/>
      <c r="L2" s="612"/>
    </row>
    <row r="3" spans="1:13" ht="15.75" customHeight="1">
      <c r="A3" s="748" t="s">
        <v>205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152"/>
    </row>
    <row r="4" spans="1:13" s="121" customFormat="1" ht="15.75" customHeight="1">
      <c r="A4" s="748"/>
      <c r="B4" s="748"/>
      <c r="C4" s="748"/>
      <c r="D4" s="748"/>
      <c r="E4" s="748"/>
      <c r="F4" s="748"/>
      <c r="G4" s="748"/>
      <c r="H4" s="748"/>
      <c r="I4" s="748"/>
      <c r="J4" s="748"/>
      <c r="K4" s="748"/>
      <c r="L4" s="748"/>
      <c r="M4" s="131"/>
    </row>
    <row r="5" spans="1:13" s="154" customFormat="1" ht="16.350000000000001" customHeight="1">
      <c r="A5" s="772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773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74" t="s">
        <v>838</v>
      </c>
      <c r="B7" s="775"/>
      <c r="C7" s="489" t="s">
        <v>839</v>
      </c>
      <c r="D7" s="774" t="s">
        <v>12</v>
      </c>
      <c r="E7" s="776"/>
      <c r="F7" s="775"/>
      <c r="G7" s="537" t="s">
        <v>46</v>
      </c>
      <c r="H7" s="537" t="s">
        <v>897</v>
      </c>
      <c r="I7" s="537" t="s">
        <v>898</v>
      </c>
      <c r="J7" s="223" t="s">
        <v>899</v>
      </c>
      <c r="K7" s="774" t="s">
        <v>51</v>
      </c>
      <c r="L7" s="775"/>
      <c r="M7" s="153"/>
    </row>
    <row r="8" spans="1:13" ht="15.75" customHeight="1">
      <c r="A8" s="772">
        <v>7</v>
      </c>
      <c r="B8" s="778" t="s">
        <v>135</v>
      </c>
      <c r="C8" s="490">
        <v>1</v>
      </c>
      <c r="D8" s="481" t="s">
        <v>757</v>
      </c>
      <c r="E8" s="482"/>
      <c r="F8" s="483"/>
      <c r="G8" s="526">
        <v>13.714285714285714</v>
      </c>
      <c r="H8" s="526">
        <v>1234.146770653341</v>
      </c>
      <c r="I8" s="526">
        <v>90.07514527223114</v>
      </c>
      <c r="J8" s="241" t="s">
        <v>974</v>
      </c>
      <c r="K8" s="768"/>
      <c r="L8" s="769"/>
      <c r="M8" s="131"/>
    </row>
    <row r="9" spans="1:13" ht="15.75" customHeight="1">
      <c r="A9" s="777"/>
      <c r="B9" s="779"/>
      <c r="C9" s="490">
        <v>2</v>
      </c>
      <c r="D9" s="527" t="s">
        <v>801</v>
      </c>
      <c r="E9" s="482"/>
      <c r="F9" s="483"/>
      <c r="G9" s="526">
        <v>17</v>
      </c>
      <c r="H9" s="526">
        <v>1425.0097611143108</v>
      </c>
      <c r="I9" s="526">
        <v>83.824103594959482</v>
      </c>
      <c r="J9" s="241" t="s">
        <v>974</v>
      </c>
      <c r="K9" s="770"/>
      <c r="L9" s="771"/>
      <c r="M9" s="131"/>
    </row>
    <row r="10" spans="1:13" ht="15.75" customHeight="1">
      <c r="A10" s="777"/>
      <c r="B10" s="779"/>
      <c r="C10" s="490">
        <v>3</v>
      </c>
      <c r="D10" s="481" t="s">
        <v>984</v>
      </c>
      <c r="E10" s="482"/>
      <c r="F10" s="483"/>
      <c r="G10" s="526">
        <v>16.857142857142858</v>
      </c>
      <c r="H10" s="526">
        <v>1309.7467993767582</v>
      </c>
      <c r="I10" s="526">
        <v>77.734428601109613</v>
      </c>
      <c r="J10" s="241" t="s">
        <v>974</v>
      </c>
      <c r="K10" s="770"/>
      <c r="L10" s="771"/>
      <c r="M10" s="131"/>
    </row>
    <row r="11" spans="1:13" ht="15.75" customHeight="1">
      <c r="A11" s="777"/>
      <c r="B11" s="779"/>
      <c r="C11" s="490">
        <v>4</v>
      </c>
      <c r="D11" s="481"/>
      <c r="E11" s="482"/>
      <c r="F11" s="483"/>
      <c r="G11" s="526"/>
      <c r="H11" s="526"/>
      <c r="I11" s="526"/>
      <c r="J11" s="241"/>
      <c r="K11" s="770"/>
      <c r="L11" s="771"/>
      <c r="M11" s="131"/>
    </row>
    <row r="12" spans="1:13" ht="15.75" customHeight="1">
      <c r="A12" s="777"/>
      <c r="B12" s="779"/>
      <c r="C12" s="490">
        <v>5</v>
      </c>
      <c r="D12" s="481"/>
      <c r="E12" s="482"/>
      <c r="F12" s="483"/>
      <c r="G12" s="526"/>
      <c r="H12" s="526"/>
      <c r="I12" s="526"/>
      <c r="J12" s="241"/>
      <c r="K12" s="770"/>
      <c r="L12" s="771"/>
      <c r="M12" s="131"/>
    </row>
    <row r="13" spans="1:13" ht="15.75" customHeight="1">
      <c r="A13" s="777"/>
      <c r="B13" s="779"/>
      <c r="C13" s="165" t="s">
        <v>840</v>
      </c>
      <c r="D13" s="527"/>
      <c r="E13" s="482"/>
      <c r="F13" s="483"/>
      <c r="G13" s="526"/>
      <c r="H13" s="526"/>
      <c r="I13" s="526"/>
      <c r="J13" s="241"/>
      <c r="K13" s="770"/>
      <c r="L13" s="771"/>
      <c r="M13" s="131"/>
    </row>
    <row r="14" spans="1:13" ht="15.75" customHeight="1">
      <c r="A14" s="777"/>
      <c r="B14" s="779"/>
      <c r="C14" s="165" t="s">
        <v>841</v>
      </c>
      <c r="D14" s="481"/>
      <c r="E14" s="482"/>
      <c r="F14" s="483"/>
      <c r="G14" s="526"/>
      <c r="H14" s="526"/>
      <c r="I14" s="526"/>
      <c r="J14" s="241"/>
      <c r="K14" s="781"/>
      <c r="L14" s="771"/>
      <c r="M14" s="131"/>
    </row>
    <row r="15" spans="1:13" ht="15.75" customHeight="1">
      <c r="A15" s="777"/>
      <c r="B15" s="779"/>
      <c r="C15" s="165" t="s">
        <v>842</v>
      </c>
      <c r="D15" s="481"/>
      <c r="E15" s="482"/>
      <c r="F15" s="483"/>
      <c r="G15" s="526"/>
      <c r="H15" s="526"/>
      <c r="I15" s="526"/>
      <c r="J15" s="241"/>
      <c r="K15" s="781"/>
      <c r="L15" s="771"/>
      <c r="M15" s="131"/>
    </row>
    <row r="16" spans="1:13" ht="15.75" customHeight="1">
      <c r="A16" s="777"/>
      <c r="B16" s="779"/>
      <c r="C16" s="165" t="s">
        <v>843</v>
      </c>
      <c r="D16" s="481"/>
      <c r="E16" s="482"/>
      <c r="F16" s="483"/>
      <c r="G16" s="526"/>
      <c r="H16" s="526"/>
      <c r="I16" s="526"/>
      <c r="J16" s="241"/>
      <c r="K16" s="781"/>
      <c r="L16" s="771"/>
      <c r="M16" s="152"/>
    </row>
    <row r="17" spans="1:13" ht="15.75" customHeight="1">
      <c r="A17" s="773"/>
      <c r="B17" s="780"/>
      <c r="C17" s="165" t="s">
        <v>844</v>
      </c>
      <c r="D17" s="481"/>
      <c r="E17" s="482"/>
      <c r="F17" s="483"/>
      <c r="G17" s="578"/>
      <c r="H17" s="578"/>
      <c r="I17" s="578"/>
      <c r="J17" s="578"/>
      <c r="K17" s="781"/>
      <c r="L17" s="771"/>
      <c r="M17" s="152"/>
    </row>
    <row r="18" spans="1:13" s="162" customFormat="1" ht="15.75" customHeight="1">
      <c r="A18" s="782" t="s">
        <v>838</v>
      </c>
      <c r="B18" s="783"/>
      <c r="C18" s="491" t="s">
        <v>839</v>
      </c>
      <c r="D18" s="782" t="s">
        <v>12</v>
      </c>
      <c r="E18" s="784"/>
      <c r="F18" s="783"/>
      <c r="G18" s="577" t="s">
        <v>964</v>
      </c>
      <c r="H18" s="577" t="s">
        <v>965</v>
      </c>
      <c r="I18" s="577" t="s">
        <v>966</v>
      </c>
      <c r="J18" s="223" t="s">
        <v>967</v>
      </c>
      <c r="K18" s="782" t="s">
        <v>968</v>
      </c>
      <c r="L18" s="783"/>
      <c r="M18" s="155"/>
    </row>
    <row r="19" spans="1:13" ht="15.75" customHeight="1">
      <c r="A19" s="772">
        <v>8</v>
      </c>
      <c r="B19" s="778" t="s">
        <v>136</v>
      </c>
      <c r="C19" s="490">
        <v>1</v>
      </c>
      <c r="D19" s="481" t="s">
        <v>380</v>
      </c>
      <c r="E19" s="482"/>
      <c r="F19" s="483"/>
      <c r="G19" s="526">
        <v>19</v>
      </c>
      <c r="H19" s="526">
        <v>2584.330397772012</v>
      </c>
      <c r="I19" s="526">
        <v>136.01738935642169</v>
      </c>
      <c r="J19" s="241" t="s">
        <v>974</v>
      </c>
      <c r="K19" s="787"/>
      <c r="L19" s="788"/>
      <c r="M19" s="152"/>
    </row>
    <row r="20" spans="1:13" ht="15.75" customHeight="1">
      <c r="A20" s="777"/>
      <c r="B20" s="779"/>
      <c r="C20" s="490">
        <v>2</v>
      </c>
      <c r="D20" s="481" t="s">
        <v>379</v>
      </c>
      <c r="E20" s="482"/>
      <c r="F20" s="483"/>
      <c r="G20" s="526">
        <v>19</v>
      </c>
      <c r="H20" s="526">
        <v>2560.7147872854252</v>
      </c>
      <c r="I20" s="526">
        <v>134.7744624887066</v>
      </c>
      <c r="J20" s="241" t="s">
        <v>974</v>
      </c>
      <c r="K20" s="787"/>
      <c r="L20" s="788"/>
      <c r="M20" s="152"/>
    </row>
    <row r="21" spans="1:13" ht="15.75" customHeight="1">
      <c r="A21" s="777"/>
      <c r="B21" s="779"/>
      <c r="C21" s="490">
        <v>3</v>
      </c>
      <c r="D21" s="527" t="s">
        <v>381</v>
      </c>
      <c r="E21" s="482"/>
      <c r="F21" s="483"/>
      <c r="G21" s="526">
        <v>20</v>
      </c>
      <c r="H21" s="526">
        <v>2605.4207932557147</v>
      </c>
      <c r="I21" s="526">
        <v>130.27103966278574</v>
      </c>
      <c r="J21" s="241" t="s">
        <v>974</v>
      </c>
      <c r="K21" s="787"/>
      <c r="L21" s="788"/>
      <c r="M21" s="152"/>
    </row>
    <row r="22" spans="1:13" ht="15.75" customHeight="1">
      <c r="A22" s="777"/>
      <c r="B22" s="779"/>
      <c r="C22" s="490">
        <v>4</v>
      </c>
      <c r="D22" s="481" t="s">
        <v>764</v>
      </c>
      <c r="E22" s="482"/>
      <c r="F22" s="483"/>
      <c r="G22" s="526">
        <v>18</v>
      </c>
      <c r="H22" s="526">
        <v>2165.8125289992395</v>
      </c>
      <c r="I22" s="526">
        <v>120.32291827773554</v>
      </c>
      <c r="J22" s="241" t="s">
        <v>974</v>
      </c>
      <c r="K22" s="787"/>
      <c r="L22" s="788"/>
      <c r="M22" s="152"/>
    </row>
    <row r="23" spans="1:13" ht="15.75" customHeight="1">
      <c r="A23" s="777"/>
      <c r="B23" s="779"/>
      <c r="C23" s="490">
        <v>5</v>
      </c>
      <c r="D23" s="481" t="s">
        <v>378</v>
      </c>
      <c r="E23" s="482"/>
      <c r="F23" s="483"/>
      <c r="G23" s="526">
        <v>20</v>
      </c>
      <c r="H23" s="526">
        <v>2238.0155638081569</v>
      </c>
      <c r="I23" s="526">
        <v>111.90077819040782</v>
      </c>
      <c r="J23" s="241" t="s">
        <v>974</v>
      </c>
      <c r="K23" s="787"/>
      <c r="L23" s="788"/>
      <c r="M23" s="152"/>
    </row>
    <row r="24" spans="1:13" ht="15.75" customHeight="1">
      <c r="A24" s="777"/>
      <c r="B24" s="779"/>
      <c r="C24" s="165" t="s">
        <v>840</v>
      </c>
      <c r="D24" s="481"/>
      <c r="E24" s="482"/>
      <c r="F24" s="483"/>
      <c r="G24" s="578"/>
      <c r="H24" s="578"/>
      <c r="I24" s="578"/>
      <c r="J24" s="578"/>
      <c r="K24" s="787"/>
      <c r="L24" s="788"/>
      <c r="M24" s="152"/>
    </row>
    <row r="25" spans="1:13" ht="15.75" customHeight="1">
      <c r="A25" s="777"/>
      <c r="B25" s="779"/>
      <c r="C25" s="165" t="s">
        <v>841</v>
      </c>
      <c r="D25" s="481"/>
      <c r="E25" s="482"/>
      <c r="F25" s="483"/>
      <c r="G25" s="578"/>
      <c r="H25" s="578"/>
      <c r="I25" s="578"/>
      <c r="J25" s="578"/>
      <c r="K25" s="785"/>
      <c r="L25" s="786"/>
      <c r="M25" s="152"/>
    </row>
    <row r="26" spans="1:13" ht="15.75" customHeight="1">
      <c r="A26" s="777"/>
      <c r="B26" s="779"/>
      <c r="C26" s="165" t="s">
        <v>842</v>
      </c>
      <c r="D26" s="481"/>
      <c r="E26" s="482"/>
      <c r="F26" s="483"/>
      <c r="G26" s="578"/>
      <c r="H26" s="578"/>
      <c r="I26" s="578"/>
      <c r="J26" s="578"/>
      <c r="K26" s="785"/>
      <c r="L26" s="786"/>
      <c r="M26" s="152"/>
    </row>
    <row r="27" spans="1:13" ht="15.75" customHeight="1">
      <c r="A27" s="777"/>
      <c r="B27" s="779"/>
      <c r="C27" s="165" t="s">
        <v>843</v>
      </c>
      <c r="D27" s="481"/>
      <c r="E27" s="482"/>
      <c r="F27" s="483"/>
      <c r="G27" s="578"/>
      <c r="H27" s="578"/>
      <c r="I27" s="578"/>
      <c r="J27" s="578"/>
      <c r="K27" s="785"/>
      <c r="L27" s="786"/>
      <c r="M27" s="152"/>
    </row>
    <row r="28" spans="1:13" ht="15.75" customHeight="1">
      <c r="A28" s="773"/>
      <c r="B28" s="780"/>
      <c r="C28" s="165" t="s">
        <v>844</v>
      </c>
      <c r="D28" s="481"/>
      <c r="E28" s="482"/>
      <c r="F28" s="483"/>
      <c r="G28" s="578"/>
      <c r="H28" s="578"/>
      <c r="I28" s="578"/>
      <c r="J28" s="578"/>
      <c r="K28" s="785"/>
      <c r="L28" s="786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3">
    <mergeCell ref="A19:A28"/>
    <mergeCell ref="B19:B28"/>
    <mergeCell ref="K28:L28"/>
    <mergeCell ref="K24:L24"/>
    <mergeCell ref="K25:L25"/>
    <mergeCell ref="K27:L27"/>
    <mergeCell ref="K26:L26"/>
    <mergeCell ref="K22:L22"/>
    <mergeCell ref="K23:L23"/>
    <mergeCell ref="K19:L19"/>
    <mergeCell ref="K20:L20"/>
    <mergeCell ref="K21:L21"/>
    <mergeCell ref="K11:L11"/>
    <mergeCell ref="K12:L12"/>
    <mergeCell ref="A18:B18"/>
    <mergeCell ref="D18:F18"/>
    <mergeCell ref="K18:L18"/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4:L14"/>
    <mergeCell ref="K15:L15"/>
    <mergeCell ref="K10:L1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M37" sqref="M37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12" t="s">
        <v>204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120"/>
    </row>
    <row r="2" spans="1:13" s="121" customFormat="1" ht="15.75" customHeight="1">
      <c r="A2" s="612"/>
      <c r="B2" s="612"/>
      <c r="C2" s="612"/>
      <c r="D2" s="612"/>
      <c r="E2" s="612"/>
      <c r="F2" s="612"/>
      <c r="G2" s="612"/>
      <c r="H2" s="612"/>
      <c r="I2" s="612"/>
      <c r="J2" s="612"/>
      <c r="K2" s="612"/>
      <c r="L2" s="612"/>
    </row>
    <row r="3" spans="1:13" ht="15.75" customHeight="1">
      <c r="A3" s="748" t="s">
        <v>205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152"/>
    </row>
    <row r="4" spans="1:13" s="121" customFormat="1" ht="15.75" customHeight="1">
      <c r="A4" s="748"/>
      <c r="B4" s="748"/>
      <c r="C4" s="748"/>
      <c r="D4" s="748"/>
      <c r="E4" s="748"/>
      <c r="F4" s="748"/>
      <c r="G4" s="748"/>
      <c r="H4" s="748"/>
      <c r="I4" s="748"/>
      <c r="J4" s="748"/>
      <c r="K4" s="748"/>
      <c r="L4" s="748"/>
      <c r="M4" s="131"/>
    </row>
    <row r="5" spans="1:13" s="154" customFormat="1" ht="16.350000000000001" customHeight="1">
      <c r="A5" s="772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773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74" t="s">
        <v>838</v>
      </c>
      <c r="B7" s="775"/>
      <c r="C7" s="489" t="s">
        <v>839</v>
      </c>
      <c r="D7" s="774" t="s">
        <v>12</v>
      </c>
      <c r="E7" s="776"/>
      <c r="F7" s="775"/>
      <c r="G7" s="537" t="s">
        <v>892</v>
      </c>
      <c r="H7" s="537" t="s">
        <v>893</v>
      </c>
      <c r="I7" s="537" t="s">
        <v>894</v>
      </c>
      <c r="J7" s="223" t="s">
        <v>895</v>
      </c>
      <c r="K7" s="774" t="s">
        <v>896</v>
      </c>
      <c r="L7" s="775"/>
      <c r="M7" s="153"/>
    </row>
    <row r="8" spans="1:13" ht="15.75" customHeight="1">
      <c r="A8" s="772">
        <v>9</v>
      </c>
      <c r="B8" s="778" t="s">
        <v>137</v>
      </c>
      <c r="C8" s="490">
        <v>1</v>
      </c>
      <c r="D8" s="481" t="s">
        <v>910</v>
      </c>
      <c r="E8" s="482"/>
      <c r="F8" s="483"/>
      <c r="G8" s="526">
        <v>6</v>
      </c>
      <c r="H8" s="526">
        <v>1346.8072755417941</v>
      </c>
      <c r="I8" s="526">
        <v>224.46787925696566</v>
      </c>
      <c r="J8" s="242" t="s">
        <v>969</v>
      </c>
      <c r="K8" s="789" t="s">
        <v>985</v>
      </c>
      <c r="L8" s="769"/>
      <c r="M8" s="131"/>
    </row>
    <row r="9" spans="1:13" ht="15.75" customHeight="1">
      <c r="A9" s="777"/>
      <c r="B9" s="779"/>
      <c r="C9" s="490">
        <v>2</v>
      </c>
      <c r="D9" s="481" t="s">
        <v>915</v>
      </c>
      <c r="E9" s="482"/>
      <c r="F9" s="483"/>
      <c r="G9" s="526">
        <v>7</v>
      </c>
      <c r="H9" s="526">
        <v>1463.7061021489062</v>
      </c>
      <c r="I9" s="526">
        <v>209.10087173555803</v>
      </c>
      <c r="J9" s="242" t="s">
        <v>969</v>
      </c>
      <c r="K9" s="790" t="s">
        <v>970</v>
      </c>
      <c r="L9" s="791"/>
      <c r="M9" s="131"/>
    </row>
    <row r="10" spans="1:13" ht="15.75" customHeight="1">
      <c r="A10" s="777"/>
      <c r="B10" s="779"/>
      <c r="C10" s="490">
        <v>3</v>
      </c>
      <c r="D10" s="481" t="s">
        <v>384</v>
      </c>
      <c r="E10" s="482"/>
      <c r="F10" s="483"/>
      <c r="G10" s="526">
        <v>7</v>
      </c>
      <c r="H10" s="526">
        <v>1463.3848501766622</v>
      </c>
      <c r="I10" s="526">
        <v>209.05497859666599</v>
      </c>
      <c r="J10" s="243" t="s">
        <v>971</v>
      </c>
      <c r="K10" s="790"/>
      <c r="L10" s="791"/>
      <c r="M10" s="131"/>
    </row>
    <row r="11" spans="1:13" ht="15.75" customHeight="1">
      <c r="A11" s="777"/>
      <c r="B11" s="779"/>
      <c r="C11" s="490">
        <v>4</v>
      </c>
      <c r="D11" s="527" t="s">
        <v>458</v>
      </c>
      <c r="E11" s="482"/>
      <c r="F11" s="483"/>
      <c r="G11" s="526">
        <v>7</v>
      </c>
      <c r="H11" s="526">
        <v>1460.7200413856517</v>
      </c>
      <c r="I11" s="526">
        <v>208.67429162652164</v>
      </c>
      <c r="J11" s="243" t="s">
        <v>971</v>
      </c>
      <c r="K11" s="792"/>
      <c r="L11" s="793"/>
      <c r="M11" s="131"/>
    </row>
    <row r="12" spans="1:13" ht="15.75" customHeight="1">
      <c r="A12" s="777"/>
      <c r="B12" s="779"/>
      <c r="C12" s="490">
        <v>5</v>
      </c>
      <c r="D12" s="481" t="s">
        <v>383</v>
      </c>
      <c r="E12" s="482"/>
      <c r="F12" s="483"/>
      <c r="G12" s="578">
        <v>7</v>
      </c>
      <c r="H12" s="526">
        <v>1456.3739369680773</v>
      </c>
      <c r="I12" s="526">
        <v>208.05341956686817</v>
      </c>
      <c r="J12" s="241" t="s">
        <v>974</v>
      </c>
      <c r="K12" s="768"/>
      <c r="L12" s="769"/>
      <c r="M12" s="131"/>
    </row>
    <row r="13" spans="1:13" ht="15.75" customHeight="1">
      <c r="A13" s="777"/>
      <c r="B13" s="779"/>
      <c r="C13" s="165" t="s">
        <v>840</v>
      </c>
      <c r="D13" s="481" t="s">
        <v>349</v>
      </c>
      <c r="E13" s="482"/>
      <c r="F13" s="483"/>
      <c r="G13" s="526">
        <v>20</v>
      </c>
      <c r="H13" s="526">
        <v>1335.419049434357</v>
      </c>
      <c r="I13" s="526">
        <v>66.770952471717848</v>
      </c>
      <c r="J13" s="241" t="s">
        <v>974</v>
      </c>
      <c r="K13" s="768"/>
      <c r="L13" s="769"/>
      <c r="M13" s="131"/>
    </row>
    <row r="14" spans="1:13" ht="15.75" customHeight="1">
      <c r="A14" s="777"/>
      <c r="B14" s="779"/>
      <c r="C14" s="165" t="s">
        <v>841</v>
      </c>
      <c r="D14" s="481" t="s">
        <v>385</v>
      </c>
      <c r="E14" s="482"/>
      <c r="F14" s="483"/>
      <c r="G14" s="526">
        <v>16</v>
      </c>
      <c r="H14" s="526">
        <v>1395.8191101694076</v>
      </c>
      <c r="I14" s="526">
        <v>87.238694385587976</v>
      </c>
      <c r="J14" s="241" t="s">
        <v>974</v>
      </c>
      <c r="K14" s="781"/>
      <c r="L14" s="771"/>
      <c r="M14" s="131"/>
    </row>
    <row r="15" spans="1:13" ht="15.75" customHeight="1">
      <c r="A15" s="777"/>
      <c r="B15" s="779"/>
      <c r="C15" s="165" t="s">
        <v>842</v>
      </c>
      <c r="D15" s="481"/>
      <c r="E15" s="482"/>
      <c r="F15" s="483"/>
      <c r="G15" s="526"/>
      <c r="H15" s="526"/>
      <c r="I15" s="526"/>
      <c r="J15" s="241"/>
      <c r="K15" s="781"/>
      <c r="L15" s="771"/>
      <c r="M15" s="131"/>
    </row>
    <row r="16" spans="1:13" ht="15.75" customHeight="1">
      <c r="A16" s="777"/>
      <c r="B16" s="779"/>
      <c r="C16" s="165" t="s">
        <v>843</v>
      </c>
      <c r="D16" s="481"/>
      <c r="E16" s="482"/>
      <c r="F16" s="483"/>
      <c r="G16" s="526"/>
      <c r="H16" s="526"/>
      <c r="I16" s="526"/>
      <c r="J16" s="242"/>
      <c r="K16" s="781"/>
      <c r="L16" s="771"/>
      <c r="M16" s="152"/>
    </row>
    <row r="17" spans="1:13" ht="15.75" customHeight="1">
      <c r="A17" s="773"/>
      <c r="B17" s="780"/>
      <c r="C17" s="165" t="s">
        <v>844</v>
      </c>
      <c r="D17" s="481"/>
      <c r="E17" s="482"/>
      <c r="F17" s="483"/>
      <c r="G17" s="578"/>
      <c r="H17" s="578"/>
      <c r="I17" s="578"/>
      <c r="J17" s="578"/>
      <c r="K17" s="781"/>
      <c r="L17" s="771"/>
      <c r="M17" s="152"/>
    </row>
    <row r="18" spans="1:13" s="162" customFormat="1" ht="15.75" customHeight="1">
      <c r="A18" s="782" t="s">
        <v>187</v>
      </c>
      <c r="B18" s="783"/>
      <c r="C18" s="287" t="s">
        <v>437</v>
      </c>
      <c r="D18" s="782" t="s">
        <v>12</v>
      </c>
      <c r="E18" s="784"/>
      <c r="F18" s="783"/>
      <c r="G18" s="287" t="s">
        <v>432</v>
      </c>
      <c r="H18" s="287" t="s">
        <v>433</v>
      </c>
      <c r="I18" s="287" t="s">
        <v>434</v>
      </c>
      <c r="J18" s="223" t="s">
        <v>435</v>
      </c>
      <c r="K18" s="782" t="s">
        <v>436</v>
      </c>
      <c r="L18" s="783"/>
      <c r="M18" s="155"/>
    </row>
    <row r="19" spans="1:13" ht="15.75" customHeight="1">
      <c r="A19" s="772"/>
      <c r="B19" s="778"/>
      <c r="C19" s="286">
        <v>1</v>
      </c>
      <c r="D19" s="794"/>
      <c r="E19" s="795"/>
      <c r="F19" s="796"/>
      <c r="G19" s="285"/>
      <c r="H19" s="285"/>
      <c r="I19" s="285"/>
      <c r="J19" s="285"/>
      <c r="K19" s="794"/>
      <c r="L19" s="796"/>
      <c r="M19" s="152"/>
    </row>
    <row r="20" spans="1:13" ht="15.75" customHeight="1">
      <c r="A20" s="777"/>
      <c r="B20" s="779"/>
      <c r="C20" s="286">
        <v>2</v>
      </c>
      <c r="D20" s="797"/>
      <c r="E20" s="798"/>
      <c r="F20" s="799"/>
      <c r="G20" s="285"/>
      <c r="H20" s="285"/>
      <c r="I20" s="285"/>
      <c r="J20" s="285"/>
      <c r="K20" s="797"/>
      <c r="L20" s="799"/>
      <c r="M20" s="152"/>
    </row>
    <row r="21" spans="1:13" ht="15.75" customHeight="1">
      <c r="A21" s="777"/>
      <c r="B21" s="779"/>
      <c r="C21" s="286">
        <v>3</v>
      </c>
      <c r="D21" s="797"/>
      <c r="E21" s="798"/>
      <c r="F21" s="799"/>
      <c r="G21" s="285"/>
      <c r="H21" s="285"/>
      <c r="I21" s="285"/>
      <c r="J21" s="285"/>
      <c r="K21" s="797"/>
      <c r="L21" s="799"/>
      <c r="M21" s="152"/>
    </row>
    <row r="22" spans="1:13" ht="15.75" customHeight="1">
      <c r="A22" s="777"/>
      <c r="B22" s="779"/>
      <c r="C22" s="286">
        <v>4</v>
      </c>
      <c r="D22" s="797"/>
      <c r="E22" s="798"/>
      <c r="F22" s="799"/>
      <c r="G22" s="285"/>
      <c r="H22" s="285"/>
      <c r="I22" s="285"/>
      <c r="J22" s="285"/>
      <c r="K22" s="797"/>
      <c r="L22" s="799"/>
      <c r="M22" s="152"/>
    </row>
    <row r="23" spans="1:13" ht="15.75" customHeight="1">
      <c r="A23" s="777"/>
      <c r="B23" s="779"/>
      <c r="C23" s="286">
        <v>5</v>
      </c>
      <c r="D23" s="797"/>
      <c r="E23" s="798"/>
      <c r="F23" s="799"/>
      <c r="G23" s="285"/>
      <c r="H23" s="285"/>
      <c r="I23" s="285"/>
      <c r="J23" s="285"/>
      <c r="K23" s="797"/>
      <c r="L23" s="799"/>
      <c r="M23" s="152"/>
    </row>
    <row r="24" spans="1:13" ht="15.75" customHeight="1">
      <c r="A24" s="777"/>
      <c r="B24" s="779"/>
      <c r="C24" s="165" t="s">
        <v>438</v>
      </c>
      <c r="D24" s="794"/>
      <c r="E24" s="795"/>
      <c r="F24" s="796"/>
      <c r="G24" s="285"/>
      <c r="H24" s="285"/>
      <c r="I24" s="285"/>
      <c r="J24" s="285"/>
      <c r="K24" s="794"/>
      <c r="L24" s="796"/>
      <c r="M24" s="152"/>
    </row>
    <row r="25" spans="1:13" ht="15.75" customHeight="1">
      <c r="A25" s="777"/>
      <c r="B25" s="779"/>
      <c r="C25" s="165" t="s">
        <v>439</v>
      </c>
      <c r="D25" s="797"/>
      <c r="E25" s="798"/>
      <c r="F25" s="799"/>
      <c r="G25" s="285"/>
      <c r="H25" s="285"/>
      <c r="I25" s="285"/>
      <c r="J25" s="285"/>
      <c r="K25" s="797"/>
      <c r="L25" s="799"/>
      <c r="M25" s="152"/>
    </row>
    <row r="26" spans="1:13" ht="15.75" customHeight="1">
      <c r="A26" s="777"/>
      <c r="B26" s="779"/>
      <c r="C26" s="165" t="s">
        <v>440</v>
      </c>
      <c r="D26" s="797"/>
      <c r="E26" s="798"/>
      <c r="F26" s="799"/>
      <c r="G26" s="285"/>
      <c r="H26" s="285"/>
      <c r="I26" s="285"/>
      <c r="J26" s="285"/>
      <c r="K26" s="797"/>
      <c r="L26" s="799"/>
      <c r="M26" s="152"/>
    </row>
    <row r="27" spans="1:13" ht="15.75" customHeight="1">
      <c r="A27" s="777"/>
      <c r="B27" s="779"/>
      <c r="C27" s="165" t="s">
        <v>441</v>
      </c>
      <c r="D27" s="797"/>
      <c r="E27" s="798"/>
      <c r="F27" s="799"/>
      <c r="G27" s="285"/>
      <c r="H27" s="285"/>
      <c r="I27" s="285"/>
      <c r="J27" s="285"/>
      <c r="K27" s="797"/>
      <c r="L27" s="799"/>
      <c r="M27" s="152"/>
    </row>
    <row r="28" spans="1:13" ht="15.75" customHeight="1">
      <c r="A28" s="773"/>
      <c r="B28" s="780"/>
      <c r="C28" s="165" t="s">
        <v>442</v>
      </c>
      <c r="D28" s="797"/>
      <c r="E28" s="798"/>
      <c r="F28" s="799"/>
      <c r="G28" s="285"/>
      <c r="H28" s="285"/>
      <c r="I28" s="285"/>
      <c r="J28" s="285"/>
      <c r="K28" s="797"/>
      <c r="L28" s="799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1">
    <mergeCell ref="D27:F27"/>
    <mergeCell ref="K27:L27"/>
    <mergeCell ref="K17:L17"/>
    <mergeCell ref="D22:F22"/>
    <mergeCell ref="K22:L22"/>
    <mergeCell ref="D23:F23"/>
    <mergeCell ref="K24:L24"/>
    <mergeCell ref="K23:L23"/>
    <mergeCell ref="D24:F24"/>
    <mergeCell ref="K25:L2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D25:F25"/>
    <mergeCell ref="D26:F26"/>
    <mergeCell ref="K26:L26"/>
    <mergeCell ref="K21:L21"/>
    <mergeCell ref="K8:L8"/>
    <mergeCell ref="K9:L11"/>
    <mergeCell ref="K12:L12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802" t="s">
        <v>236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</row>
    <row r="2" spans="1:14" s="184" customFormat="1" ht="15.75" customHeigh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</row>
    <row r="3" spans="1:14" ht="15.75" customHeight="1">
      <c r="A3" s="803" t="s">
        <v>237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185"/>
    </row>
    <row r="4" spans="1:14" s="184" customFormat="1" ht="15.75" customHeight="1">
      <c r="A4" s="803"/>
      <c r="B4" s="803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804" t="s">
        <v>239</v>
      </c>
      <c r="B6" s="805" t="s">
        <v>10</v>
      </c>
      <c r="C6" s="805"/>
      <c r="D6" s="806"/>
      <c r="E6" s="804" t="s">
        <v>239</v>
      </c>
      <c r="F6" s="808">
        <v>1</v>
      </c>
      <c r="G6" s="808"/>
      <c r="H6" s="808">
        <v>2</v>
      </c>
      <c r="I6" s="808"/>
      <c r="J6" s="808">
        <v>3</v>
      </c>
      <c r="K6" s="808"/>
      <c r="L6" s="808">
        <v>4</v>
      </c>
      <c r="M6" s="808"/>
    </row>
    <row r="7" spans="1:14" ht="31.35" customHeight="1">
      <c r="A7" s="804"/>
      <c r="B7" s="805"/>
      <c r="C7" s="805"/>
      <c r="D7" s="807"/>
      <c r="E7" s="804"/>
      <c r="F7" s="800" t="s">
        <v>250</v>
      </c>
      <c r="G7" s="800"/>
      <c r="H7" s="800" t="s">
        <v>240</v>
      </c>
      <c r="I7" s="800"/>
      <c r="J7" s="800" t="s">
        <v>241</v>
      </c>
      <c r="K7" s="800"/>
      <c r="L7" s="800" t="s">
        <v>242</v>
      </c>
      <c r="M7" s="800"/>
    </row>
    <row r="8" spans="1:14" ht="15.75" customHeight="1">
      <c r="A8" s="804"/>
      <c r="B8" s="216" t="s">
        <v>11</v>
      </c>
      <c r="C8" s="216" t="s">
        <v>243</v>
      </c>
      <c r="D8" s="807"/>
      <c r="E8" s="804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50000000000001" customHeight="1">
      <c r="A9" s="189" t="s">
        <v>244</v>
      </c>
      <c r="B9" s="190">
        <v>47927.00699999994</v>
      </c>
      <c r="C9" s="191">
        <f>B9/$B$5</f>
        <v>2.256703824793883E-4</v>
      </c>
      <c r="D9" s="807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245</v>
      </c>
      <c r="B10" s="196">
        <v>69974.579191980054</v>
      </c>
      <c r="C10" s="191">
        <f>B10/$B$5</f>
        <v>3.2948416849999424E-4</v>
      </c>
      <c r="D10" s="807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807"/>
      <c r="E11" s="804" t="s">
        <v>239</v>
      </c>
      <c r="F11" s="808">
        <v>5</v>
      </c>
      <c r="G11" s="808"/>
      <c r="H11" s="808">
        <v>6</v>
      </c>
      <c r="I11" s="808"/>
      <c r="J11" s="808">
        <v>7</v>
      </c>
      <c r="K11" s="808"/>
      <c r="L11" s="809">
        <v>8</v>
      </c>
      <c r="M11" s="809"/>
    </row>
    <row r="12" spans="1:14" ht="31.35" customHeight="1">
      <c r="D12" s="807"/>
      <c r="E12" s="804"/>
      <c r="F12" s="800" t="s">
        <v>246</v>
      </c>
      <c r="G12" s="800"/>
      <c r="H12" s="800" t="s">
        <v>247</v>
      </c>
      <c r="I12" s="800"/>
      <c r="J12" s="800" t="s">
        <v>248</v>
      </c>
      <c r="K12" s="800"/>
      <c r="L12" s="801" t="s">
        <v>249</v>
      </c>
      <c r="M12" s="801"/>
    </row>
    <row r="13" spans="1:14" ht="15.75" customHeight="1">
      <c r="D13" s="807"/>
      <c r="E13" s="804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50000000000001" customHeight="1">
      <c r="D14" s="807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807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392"/>
  <sheetViews>
    <sheetView topLeftCell="A380" zoomScale="110" zoomScaleNormal="110" zoomScaleSheetLayoutView="115" workbookViewId="0">
      <selection activeCell="J391" sqref="J391:J392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802" t="s">
        <v>236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</row>
    <row r="2" spans="1:14" s="184" customFormat="1" ht="15.75" customHeigh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</row>
    <row r="3" spans="1:14" ht="15.75" customHeight="1">
      <c r="A3" s="803" t="s">
        <v>399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185"/>
    </row>
    <row r="4" spans="1:14" s="184" customFormat="1" ht="15.75" customHeight="1">
      <c r="A4" s="803"/>
      <c r="B4" s="803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186"/>
    </row>
    <row r="5" spans="1:14" ht="15.75" customHeight="1">
      <c r="A5" s="187" t="s">
        <v>238</v>
      </c>
      <c r="B5" s="188">
        <v>75872986</v>
      </c>
    </row>
    <row r="6" spans="1:14" ht="15.75" customHeight="1">
      <c r="A6" s="804" t="s">
        <v>239</v>
      </c>
      <c r="B6" s="805" t="s">
        <v>10</v>
      </c>
      <c r="C6" s="805"/>
      <c r="D6" s="806"/>
      <c r="E6" s="804" t="s">
        <v>239</v>
      </c>
      <c r="F6" s="808">
        <v>1</v>
      </c>
      <c r="G6" s="808"/>
      <c r="H6" s="808">
        <v>2</v>
      </c>
      <c r="I6" s="808"/>
      <c r="J6" s="808">
        <v>3</v>
      </c>
      <c r="K6" s="808"/>
      <c r="L6" s="808">
        <v>4</v>
      </c>
      <c r="M6" s="808"/>
    </row>
    <row r="7" spans="1:14" ht="31.35" customHeight="1">
      <c r="A7" s="804"/>
      <c r="B7" s="805"/>
      <c r="C7" s="805"/>
      <c r="D7" s="807"/>
      <c r="E7" s="804"/>
      <c r="F7" s="800" t="s">
        <v>250</v>
      </c>
      <c r="G7" s="800"/>
      <c r="H7" s="800" t="s">
        <v>240</v>
      </c>
      <c r="I7" s="800"/>
      <c r="J7" s="800" t="s">
        <v>241</v>
      </c>
      <c r="K7" s="800"/>
      <c r="L7" s="800" t="s">
        <v>695</v>
      </c>
      <c r="M7" s="800"/>
    </row>
    <row r="8" spans="1:14" ht="15.75" customHeight="1">
      <c r="A8" s="804"/>
      <c r="B8" s="217" t="s">
        <v>11</v>
      </c>
      <c r="C8" s="217" t="s">
        <v>243</v>
      </c>
      <c r="D8" s="807"/>
      <c r="E8" s="804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4" customFormat="1" ht="19.350000000000001" customHeight="1">
      <c r="A9" s="189" t="s">
        <v>244</v>
      </c>
      <c r="B9" s="190">
        <v>18257.814999999991</v>
      </c>
      <c r="C9" s="191">
        <f>B9/$B$5</f>
        <v>2.4063656859372835E-4</v>
      </c>
      <c r="D9" s="807"/>
      <c r="E9" s="189" t="s">
        <v>244</v>
      </c>
      <c r="F9" s="192">
        <v>552.57299999999998</v>
      </c>
      <c r="G9" s="193">
        <f>IFERROR(F9/$B$9,"")</f>
        <v>3.0265012543943523E-2</v>
      </c>
      <c r="H9" s="192">
        <v>1893.9470000000001</v>
      </c>
      <c r="I9" s="193">
        <f>IFERROR(H9/$B$9,"")</f>
        <v>0.10373349713533635</v>
      </c>
      <c r="J9" s="192">
        <v>2015.6379999999999</v>
      </c>
      <c r="K9" s="193">
        <f>IFERROR(J9/$B$9,"")</f>
        <v>0.11039864299205578</v>
      </c>
      <c r="L9" s="192">
        <v>6004.951</v>
      </c>
      <c r="M9" s="193">
        <f>IFERROR(L9/$B$9,"")</f>
        <v>0.32889757071150094</v>
      </c>
    </row>
    <row r="10" spans="1:14" s="194" customFormat="1" ht="19.350000000000001" customHeight="1">
      <c r="A10" s="195" t="s">
        <v>245</v>
      </c>
      <c r="B10" s="196">
        <v>22782.319846732516</v>
      </c>
      <c r="C10" s="191">
        <f>B10/$B$5</f>
        <v>3.0026918733279477E-4</v>
      </c>
      <c r="D10" s="807"/>
      <c r="E10" s="195" t="s">
        <v>245</v>
      </c>
      <c r="F10" s="192">
        <v>733.22632000000021</v>
      </c>
      <c r="G10" s="193">
        <f>IFERROR(F10/$B$10,"")</f>
        <v>3.2184006059644575E-2</v>
      </c>
      <c r="H10" s="192">
        <v>2126.0029800000007</v>
      </c>
      <c r="I10" s="193">
        <f>IFERROR(H10/$B$10,"")</f>
        <v>9.3318107826710892E-2</v>
      </c>
      <c r="J10" s="192">
        <v>833.94599999999934</v>
      </c>
      <c r="K10" s="193">
        <f>IFERROR(J10/$B$10,"")</f>
        <v>3.6604964095419169E-2</v>
      </c>
      <c r="L10" s="192">
        <v>7270.6642214520316</v>
      </c>
      <c r="M10" s="193">
        <f>IFERROR(L10/$B$10,"")</f>
        <v>0.31913625435711734</v>
      </c>
    </row>
    <row r="11" spans="1:14" ht="15.75" customHeight="1">
      <c r="D11" s="807"/>
      <c r="E11" s="804" t="s">
        <v>239</v>
      </c>
      <c r="F11" s="808">
        <v>5</v>
      </c>
      <c r="G11" s="808"/>
      <c r="H11" s="808">
        <v>6</v>
      </c>
      <c r="I11" s="808"/>
      <c r="J11" s="808">
        <v>7</v>
      </c>
      <c r="K11" s="808"/>
      <c r="L11" s="809">
        <v>8</v>
      </c>
      <c r="M11" s="809"/>
    </row>
    <row r="12" spans="1:14" ht="31.35" customHeight="1">
      <c r="D12" s="807"/>
      <c r="E12" s="804"/>
      <c r="F12" s="800" t="s">
        <v>246</v>
      </c>
      <c r="G12" s="800"/>
      <c r="H12" s="800" t="s">
        <v>247</v>
      </c>
      <c r="I12" s="800"/>
      <c r="J12" s="800" t="s">
        <v>189</v>
      </c>
      <c r="K12" s="800"/>
      <c r="L12" s="801" t="s">
        <v>249</v>
      </c>
      <c r="M12" s="801"/>
    </row>
    <row r="13" spans="1:14" ht="15.75" customHeight="1">
      <c r="D13" s="807"/>
      <c r="E13" s="804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4" customFormat="1" ht="19.350000000000001" customHeight="1">
      <c r="D14" s="807"/>
      <c r="E14" s="189" t="s">
        <v>244</v>
      </c>
      <c r="F14" s="192">
        <v>6580.9920000000002</v>
      </c>
      <c r="G14" s="193">
        <f>IFERROR(F14/$B$9,"")</f>
        <v>0.3604479506446967</v>
      </c>
      <c r="H14" s="192">
        <v>0</v>
      </c>
      <c r="I14" s="193">
        <f>IFERROR(H14/$B$9,"")</f>
        <v>0</v>
      </c>
      <c r="J14" s="192">
        <v>1209.7139999999999</v>
      </c>
      <c r="K14" s="193">
        <f>IFERROR(J14/$B$9,"")</f>
        <v>6.6257325972467154E-2</v>
      </c>
      <c r="L14" s="192">
        <v>0</v>
      </c>
      <c r="M14" s="193">
        <f>IFERROR(L14/$B$9,"")</f>
        <v>0</v>
      </c>
    </row>
    <row r="15" spans="1:14" s="194" customFormat="1" ht="19.350000000000001" customHeight="1" thickBot="1">
      <c r="D15" s="807"/>
      <c r="E15" s="195" t="s">
        <v>245</v>
      </c>
      <c r="F15" s="192">
        <v>9515.0165852805003</v>
      </c>
      <c r="G15" s="193">
        <f>IFERROR(F15/$B$10,"")</f>
        <v>0.41764915290859467</v>
      </c>
      <c r="H15" s="192">
        <v>415.10627999999923</v>
      </c>
      <c r="I15" s="193">
        <f>IFERROR(H15/$B$10,"")</f>
        <v>1.8220544825663772E-2</v>
      </c>
      <c r="J15" s="192">
        <v>1888.3574600000009</v>
      </c>
      <c r="K15" s="193">
        <f>IFERROR(J15/$B$10,"")</f>
        <v>8.2886969926850212E-2</v>
      </c>
      <c r="L15" s="192">
        <v>0</v>
      </c>
      <c r="M15" s="193">
        <f>IFERROR(L15/$B$10,"")</f>
        <v>0</v>
      </c>
    </row>
    <row r="16" spans="1:14" ht="15.75" customHeight="1">
      <c r="A16" s="810" t="s">
        <v>400</v>
      </c>
      <c r="B16" s="811"/>
      <c r="C16" s="811"/>
      <c r="D16" s="811"/>
      <c r="E16" s="811"/>
      <c r="F16" s="811"/>
      <c r="G16" s="811"/>
      <c r="H16" s="811"/>
      <c r="I16" s="811"/>
      <c r="J16" s="811"/>
      <c r="K16" s="811"/>
      <c r="L16" s="811"/>
      <c r="M16" s="812"/>
    </row>
    <row r="17" spans="1:13" ht="15.75" customHeight="1">
      <c r="A17" s="813"/>
      <c r="B17" s="803"/>
      <c r="C17" s="803"/>
      <c r="D17" s="803"/>
      <c r="E17" s="803"/>
      <c r="F17" s="803"/>
      <c r="G17" s="803"/>
      <c r="H17" s="803"/>
      <c r="I17" s="803"/>
      <c r="J17" s="803"/>
      <c r="K17" s="803"/>
      <c r="L17" s="803"/>
      <c r="M17" s="814"/>
    </row>
    <row r="18" spans="1:13" ht="15.75" customHeight="1">
      <c r="A18" s="266" t="s">
        <v>401</v>
      </c>
      <c r="B18" s="284">
        <v>48523585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267"/>
    </row>
    <row r="19" spans="1:13" ht="15.75" customHeight="1">
      <c r="A19" s="815" t="s">
        <v>402</v>
      </c>
      <c r="B19" s="805" t="s">
        <v>10</v>
      </c>
      <c r="C19" s="805"/>
      <c r="D19" s="806"/>
      <c r="E19" s="804" t="s">
        <v>402</v>
      </c>
      <c r="F19" s="808">
        <v>1</v>
      </c>
      <c r="G19" s="808"/>
      <c r="H19" s="808">
        <v>2</v>
      </c>
      <c r="I19" s="808"/>
      <c r="J19" s="808">
        <v>3</v>
      </c>
      <c r="K19" s="808"/>
      <c r="L19" s="808">
        <v>4</v>
      </c>
      <c r="M19" s="817"/>
    </row>
    <row r="20" spans="1:13" ht="15.75" customHeight="1">
      <c r="A20" s="815"/>
      <c r="B20" s="805"/>
      <c r="C20" s="805"/>
      <c r="D20" s="807"/>
      <c r="E20" s="804"/>
      <c r="F20" s="800" t="s">
        <v>403</v>
      </c>
      <c r="G20" s="800"/>
      <c r="H20" s="800" t="s">
        <v>404</v>
      </c>
      <c r="I20" s="800"/>
      <c r="J20" s="800" t="s">
        <v>405</v>
      </c>
      <c r="K20" s="800"/>
      <c r="L20" s="800" t="s">
        <v>695</v>
      </c>
      <c r="M20" s="818"/>
    </row>
    <row r="21" spans="1:13" ht="15.75" customHeight="1">
      <c r="A21" s="815"/>
      <c r="B21" s="265" t="s">
        <v>11</v>
      </c>
      <c r="C21" s="265" t="s">
        <v>406</v>
      </c>
      <c r="D21" s="807"/>
      <c r="E21" s="804"/>
      <c r="F21" s="265" t="s">
        <v>11</v>
      </c>
      <c r="G21" s="265" t="s">
        <v>406</v>
      </c>
      <c r="H21" s="265" t="s">
        <v>11</v>
      </c>
      <c r="I21" s="265" t="s">
        <v>406</v>
      </c>
      <c r="J21" s="265" t="s">
        <v>11</v>
      </c>
      <c r="K21" s="265" t="s">
        <v>406</v>
      </c>
      <c r="L21" s="265" t="s">
        <v>11</v>
      </c>
      <c r="M21" s="268" t="s">
        <v>406</v>
      </c>
    </row>
    <row r="22" spans="1:13" ht="15.75" customHeight="1">
      <c r="A22" s="269" t="s">
        <v>407</v>
      </c>
      <c r="B22" s="270">
        <v>11676.691000000003</v>
      </c>
      <c r="C22" s="191">
        <f>B22/$B$18</f>
        <v>2.4063949520630024E-4</v>
      </c>
      <c r="D22" s="807"/>
      <c r="E22" s="189" t="s">
        <v>408</v>
      </c>
      <c r="F22" s="271">
        <v>165.98000000000002</v>
      </c>
      <c r="G22" s="193">
        <f>IFERROR(F22/$B$9,"")</f>
        <v>9.0909016221272978E-3</v>
      </c>
      <c r="H22" s="271">
        <v>1611.5420000000004</v>
      </c>
      <c r="I22" s="193">
        <f>IFERROR(H22/$B$9,"")</f>
        <v>8.8265874092820037E-2</v>
      </c>
      <c r="J22" s="271">
        <v>1228.9280000000001</v>
      </c>
      <c r="K22" s="193">
        <f>IFERROR(J22/$B$9,"")</f>
        <v>6.7309697244714153E-2</v>
      </c>
      <c r="L22" s="271">
        <v>3775.8909999999996</v>
      </c>
      <c r="M22" s="272">
        <f>IFERROR(L22/$B$9,"")</f>
        <v>0.20680957715915083</v>
      </c>
    </row>
    <row r="23" spans="1:13" ht="15.75" customHeight="1">
      <c r="A23" s="273" t="s">
        <v>409</v>
      </c>
      <c r="B23" s="274">
        <v>18680.446015247508</v>
      </c>
      <c r="C23" s="191">
        <f>B23/$B$18</f>
        <v>3.8497662559861369E-4</v>
      </c>
      <c r="D23" s="807"/>
      <c r="E23" s="195" t="s">
        <v>409</v>
      </c>
      <c r="F23" s="271">
        <v>0</v>
      </c>
      <c r="G23" s="193">
        <f>IFERROR(F23/$B$10,"")</f>
        <v>0</v>
      </c>
      <c r="H23" s="271">
        <v>644.21809999999959</v>
      </c>
      <c r="I23" s="193">
        <f>IFERROR(H23/$B$10,"")</f>
        <v>2.8277107174947972E-2</v>
      </c>
      <c r="J23" s="271">
        <v>874.41625999999883</v>
      </c>
      <c r="K23" s="193">
        <f>IFERROR(J23/$B$10,"")</f>
        <v>3.8381352991381575E-2</v>
      </c>
      <c r="L23" s="271">
        <v>3059.7451552474977</v>
      </c>
      <c r="M23" s="272">
        <f>IFERROR(L23/$B$10,"")</f>
        <v>0.13430349393002364</v>
      </c>
    </row>
    <row r="24" spans="1:13" ht="15.75" customHeight="1">
      <c r="A24" s="275"/>
      <c r="B24" s="185"/>
      <c r="C24" s="185"/>
      <c r="D24" s="807"/>
      <c r="E24" s="804" t="s">
        <v>410</v>
      </c>
      <c r="F24" s="808">
        <v>5</v>
      </c>
      <c r="G24" s="808"/>
      <c r="H24" s="808">
        <v>6</v>
      </c>
      <c r="I24" s="808"/>
      <c r="J24" s="808">
        <v>7</v>
      </c>
      <c r="K24" s="808"/>
      <c r="L24" s="809">
        <v>8</v>
      </c>
      <c r="M24" s="827"/>
    </row>
    <row r="25" spans="1:13" ht="15.75" customHeight="1">
      <c r="A25" s="275"/>
      <c r="B25" s="185"/>
      <c r="C25" s="185"/>
      <c r="D25" s="807"/>
      <c r="E25" s="804"/>
      <c r="F25" s="800" t="s">
        <v>411</v>
      </c>
      <c r="G25" s="800"/>
      <c r="H25" s="800" t="s">
        <v>412</v>
      </c>
      <c r="I25" s="800"/>
      <c r="J25" s="800" t="s">
        <v>413</v>
      </c>
      <c r="K25" s="800"/>
      <c r="L25" s="801" t="s">
        <v>414</v>
      </c>
      <c r="M25" s="828"/>
    </row>
    <row r="26" spans="1:13" ht="15.75" customHeight="1">
      <c r="A26" s="275"/>
      <c r="B26" s="185"/>
      <c r="C26" s="185"/>
      <c r="D26" s="807"/>
      <c r="E26" s="804"/>
      <c r="F26" s="265" t="s">
        <v>11</v>
      </c>
      <c r="G26" s="265" t="s">
        <v>415</v>
      </c>
      <c r="H26" s="265" t="s">
        <v>11</v>
      </c>
      <c r="I26" s="265" t="s">
        <v>415</v>
      </c>
      <c r="J26" s="265" t="s">
        <v>11</v>
      </c>
      <c r="K26" s="265" t="s">
        <v>415</v>
      </c>
      <c r="L26" s="265" t="s">
        <v>11</v>
      </c>
      <c r="M26" s="268" t="s">
        <v>415</v>
      </c>
    </row>
    <row r="27" spans="1:13" ht="15.75" customHeight="1">
      <c r="A27" s="276"/>
      <c r="B27" s="277"/>
      <c r="C27" s="277"/>
      <c r="D27" s="807"/>
      <c r="E27" s="189" t="s">
        <v>408</v>
      </c>
      <c r="F27" s="271">
        <v>3919.5130000000004</v>
      </c>
      <c r="G27" s="193">
        <f>IFERROR(F27/$B$9,"")</f>
        <v>0.21467590727587074</v>
      </c>
      <c r="H27" s="271">
        <v>0</v>
      </c>
      <c r="I27" s="193">
        <f>IFERROR(H27/$B$9,"")</f>
        <v>0</v>
      </c>
      <c r="J27" s="271">
        <v>974.8370000000001</v>
      </c>
      <c r="K27" s="193">
        <f>IFERROR(J27/$B$9,"")</f>
        <v>5.3392862179839184E-2</v>
      </c>
      <c r="L27" s="271">
        <v>0</v>
      </c>
      <c r="M27" s="272">
        <f>IFERROR(L27/$B$9,"")</f>
        <v>0</v>
      </c>
    </row>
    <row r="28" spans="1:13" ht="15.75" customHeight="1" thickBot="1">
      <c r="A28" s="278"/>
      <c r="B28" s="279"/>
      <c r="C28" s="279"/>
      <c r="D28" s="816"/>
      <c r="E28" s="280" t="s">
        <v>409</v>
      </c>
      <c r="F28" s="281">
        <v>10050.147089999993</v>
      </c>
      <c r="G28" s="282">
        <f>IFERROR(F28/$B$10,"")</f>
        <v>0.44113800339965836</v>
      </c>
      <c r="H28" s="281">
        <v>2190.4281100000026</v>
      </c>
      <c r="I28" s="282">
        <f>IFERROR(H28/$B$10,"")</f>
        <v>9.6145964271244222E-2</v>
      </c>
      <c r="J28" s="281">
        <v>1689.3357000000103</v>
      </c>
      <c r="K28" s="282">
        <f>IFERROR(J28/$B$10,"")</f>
        <v>7.4151171231243082E-2</v>
      </c>
      <c r="L28" s="281">
        <v>0</v>
      </c>
      <c r="M28" s="283">
        <f>IFERROR(L28/$B$10,"")</f>
        <v>0</v>
      </c>
    </row>
    <row r="29" spans="1:13" ht="15.75" customHeight="1">
      <c r="A29" s="810" t="s">
        <v>443</v>
      </c>
      <c r="B29" s="811"/>
      <c r="C29" s="811"/>
      <c r="D29" s="811"/>
      <c r="E29" s="811"/>
      <c r="F29" s="811"/>
      <c r="G29" s="811"/>
      <c r="H29" s="811"/>
      <c r="I29" s="811"/>
      <c r="J29" s="811"/>
      <c r="K29" s="811"/>
      <c r="L29" s="811"/>
      <c r="M29" s="812"/>
    </row>
    <row r="30" spans="1:13" ht="15.75" customHeight="1">
      <c r="A30" s="813"/>
      <c r="B30" s="803"/>
      <c r="C30" s="803"/>
      <c r="D30" s="803"/>
      <c r="E30" s="803"/>
      <c r="F30" s="803"/>
      <c r="G30" s="803"/>
      <c r="H30" s="803"/>
      <c r="I30" s="803"/>
      <c r="J30" s="803"/>
      <c r="K30" s="803"/>
      <c r="L30" s="803"/>
      <c r="M30" s="814"/>
    </row>
    <row r="31" spans="1:13" ht="15.75" customHeight="1">
      <c r="A31" s="266" t="s">
        <v>444</v>
      </c>
      <c r="B31" s="284">
        <v>48655452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267"/>
    </row>
    <row r="32" spans="1:13" ht="15.75" customHeight="1">
      <c r="A32" s="815" t="s">
        <v>445</v>
      </c>
      <c r="B32" s="805" t="s">
        <v>10</v>
      </c>
      <c r="C32" s="805"/>
      <c r="D32" s="806"/>
      <c r="E32" s="804" t="s">
        <v>445</v>
      </c>
      <c r="F32" s="808">
        <v>1</v>
      </c>
      <c r="G32" s="808"/>
      <c r="H32" s="808">
        <v>2</v>
      </c>
      <c r="I32" s="808"/>
      <c r="J32" s="808">
        <v>3</v>
      </c>
      <c r="K32" s="808"/>
      <c r="L32" s="808">
        <v>4</v>
      </c>
      <c r="M32" s="817"/>
    </row>
    <row r="33" spans="1:13" ht="15.75" customHeight="1">
      <c r="A33" s="815"/>
      <c r="B33" s="805"/>
      <c r="C33" s="805"/>
      <c r="D33" s="807"/>
      <c r="E33" s="804"/>
      <c r="F33" s="800" t="s">
        <v>446</v>
      </c>
      <c r="G33" s="800"/>
      <c r="H33" s="800" t="s">
        <v>447</v>
      </c>
      <c r="I33" s="800"/>
      <c r="J33" s="800" t="s">
        <v>448</v>
      </c>
      <c r="K33" s="800"/>
      <c r="L33" s="800" t="s">
        <v>695</v>
      </c>
      <c r="M33" s="818"/>
    </row>
    <row r="34" spans="1:13" ht="15.75" customHeight="1">
      <c r="A34" s="815"/>
      <c r="B34" s="300" t="s">
        <v>11</v>
      </c>
      <c r="C34" s="300" t="s">
        <v>449</v>
      </c>
      <c r="D34" s="807"/>
      <c r="E34" s="804"/>
      <c r="F34" s="300" t="s">
        <v>11</v>
      </c>
      <c r="G34" s="300" t="s">
        <v>449</v>
      </c>
      <c r="H34" s="300" t="s">
        <v>11</v>
      </c>
      <c r="I34" s="300" t="s">
        <v>449</v>
      </c>
      <c r="J34" s="300" t="s">
        <v>11</v>
      </c>
      <c r="K34" s="300" t="s">
        <v>449</v>
      </c>
      <c r="L34" s="300" t="s">
        <v>11</v>
      </c>
      <c r="M34" s="268" t="s">
        <v>449</v>
      </c>
    </row>
    <row r="35" spans="1:13" ht="15.75" customHeight="1">
      <c r="A35" s="269" t="s">
        <v>450</v>
      </c>
      <c r="B35" s="270">
        <v>9800.9250000000029</v>
      </c>
      <c r="C35" s="191">
        <f>B35/$B$5</f>
        <v>1.2917542219835663E-4</v>
      </c>
      <c r="D35" s="807"/>
      <c r="E35" s="189" t="s">
        <v>450</v>
      </c>
      <c r="F35" s="271">
        <v>705.35199999999998</v>
      </c>
      <c r="G35" s="193">
        <f>IFERROR(F35/$B$9,"")</f>
        <v>3.8632881316849818E-2</v>
      </c>
      <c r="H35" s="271">
        <v>1195.5910000000001</v>
      </c>
      <c r="I35" s="193">
        <f>IFERROR(H35/$B$9,"")</f>
        <v>6.5483794199908407E-2</v>
      </c>
      <c r="J35" s="271">
        <v>1614.134</v>
      </c>
      <c r="K35" s="193">
        <f>IFERROR(J35/$B$9,"")</f>
        <v>8.8407840697257628E-2</v>
      </c>
      <c r="L35" s="271">
        <v>4035.8779999999997</v>
      </c>
      <c r="M35" s="272">
        <f>IFERROR(L35/$B$9,"")</f>
        <v>0.22104934243226812</v>
      </c>
    </row>
    <row r="36" spans="1:13" ht="15.75" customHeight="1" thickBot="1">
      <c r="A36" s="273" t="s">
        <v>451</v>
      </c>
      <c r="B36" s="274">
        <v>15896.425820000022</v>
      </c>
      <c r="C36" s="191">
        <f>B36/$B$5</f>
        <v>2.0951364455328042E-4</v>
      </c>
      <c r="D36" s="807"/>
      <c r="E36" s="195" t="s">
        <v>451</v>
      </c>
      <c r="F36" s="281">
        <v>446.58150000000035</v>
      </c>
      <c r="G36" s="193">
        <f>IFERROR(F36/$B$10,"")</f>
        <v>1.9602108257823003E-2</v>
      </c>
      <c r="H36" s="271">
        <v>793.69283000000019</v>
      </c>
      <c r="I36" s="193">
        <f>IFERROR(H36/$B$10,"")</f>
        <v>3.4838104079810514E-2</v>
      </c>
      <c r="J36" s="271">
        <v>666.6480400000014</v>
      </c>
      <c r="K36" s="193">
        <f>IFERROR(J36/$B$10,"")</f>
        <v>2.9261639924505464E-2</v>
      </c>
      <c r="L36" s="271">
        <v>1637.1258600000046</v>
      </c>
      <c r="M36" s="272">
        <f>IFERROR(L36/$B$10,"")</f>
        <v>7.1859488893744258E-2</v>
      </c>
    </row>
    <row r="37" spans="1:13" ht="15.75" customHeight="1">
      <c r="A37" s="275"/>
      <c r="B37" s="185"/>
      <c r="C37" s="185"/>
      <c r="D37" s="807"/>
      <c r="E37" s="804" t="s">
        <v>445</v>
      </c>
      <c r="F37" s="808">
        <v>5</v>
      </c>
      <c r="G37" s="808"/>
      <c r="H37" s="808">
        <v>6</v>
      </c>
      <c r="I37" s="808"/>
      <c r="J37" s="808">
        <v>7</v>
      </c>
      <c r="K37" s="808"/>
      <c r="L37" s="809">
        <v>8</v>
      </c>
      <c r="M37" s="827"/>
    </row>
    <row r="38" spans="1:13" ht="15.75" customHeight="1">
      <c r="A38" s="275"/>
      <c r="B38" s="185"/>
      <c r="C38" s="185"/>
      <c r="D38" s="807"/>
      <c r="E38" s="804"/>
      <c r="F38" s="800" t="s">
        <v>452</v>
      </c>
      <c r="G38" s="800"/>
      <c r="H38" s="800" t="s">
        <v>453</v>
      </c>
      <c r="I38" s="800"/>
      <c r="J38" s="800" t="s">
        <v>454</v>
      </c>
      <c r="K38" s="800"/>
      <c r="L38" s="801" t="s">
        <v>455</v>
      </c>
      <c r="M38" s="828"/>
    </row>
    <row r="39" spans="1:13" ht="15.75" customHeight="1">
      <c r="A39" s="275"/>
      <c r="B39" s="185"/>
      <c r="C39" s="185"/>
      <c r="D39" s="807"/>
      <c r="E39" s="804"/>
      <c r="F39" s="300" t="s">
        <v>11</v>
      </c>
      <c r="G39" s="300" t="s">
        <v>449</v>
      </c>
      <c r="H39" s="300" t="s">
        <v>11</v>
      </c>
      <c r="I39" s="300" t="s">
        <v>449</v>
      </c>
      <c r="J39" s="300" t="s">
        <v>11</v>
      </c>
      <c r="K39" s="300" t="s">
        <v>449</v>
      </c>
      <c r="L39" s="300" t="s">
        <v>11</v>
      </c>
      <c r="M39" s="268" t="s">
        <v>449</v>
      </c>
    </row>
    <row r="40" spans="1:13" ht="15.75" customHeight="1">
      <c r="A40" s="276"/>
      <c r="B40" s="277"/>
      <c r="C40" s="277"/>
      <c r="D40" s="807"/>
      <c r="E40" s="189" t="s">
        <v>450</v>
      </c>
      <c r="F40" s="271">
        <v>1269.0300000000002</v>
      </c>
      <c r="G40" s="193">
        <f>IFERROR(F40/$B$9,"")</f>
        <v>6.9506126554574069E-2</v>
      </c>
      <c r="H40" s="271">
        <v>361.74299999999999</v>
      </c>
      <c r="I40" s="193">
        <f>IFERROR(H40/$B$9,"")</f>
        <v>1.9813049918623898E-2</v>
      </c>
      <c r="J40" s="271">
        <v>619.197</v>
      </c>
      <c r="K40" s="193">
        <f>IFERROR(J40/$B$9,"")</f>
        <v>3.3914080080228677E-2</v>
      </c>
      <c r="L40" s="271">
        <v>0</v>
      </c>
      <c r="M40" s="272">
        <f>IFERROR(L40/$B$9,"")</f>
        <v>0</v>
      </c>
    </row>
    <row r="41" spans="1:13" ht="15.75" customHeight="1" thickBot="1">
      <c r="A41" s="278"/>
      <c r="B41" s="279"/>
      <c r="C41" s="279"/>
      <c r="D41" s="816"/>
      <c r="E41" s="280" t="s">
        <v>451</v>
      </c>
      <c r="F41" s="281">
        <v>6394.8248599999997</v>
      </c>
      <c r="G41" s="282">
        <f>IFERROR(F41/$B$10,"")</f>
        <v>0.28069243619706086</v>
      </c>
      <c r="H41" s="281">
        <v>5540.5327300000126</v>
      </c>
      <c r="I41" s="282">
        <f>IFERROR(H41/$B$10,"")</f>
        <v>0.24319440545448431</v>
      </c>
      <c r="J41" s="281">
        <v>417.01999999999981</v>
      </c>
      <c r="K41" s="282">
        <f>IFERROR(J41/$B$10,"")</f>
        <v>1.8304545050964578E-2</v>
      </c>
      <c r="L41" s="281">
        <v>0</v>
      </c>
      <c r="M41" s="283">
        <f>IFERROR(L41/$B$10,"")</f>
        <v>0</v>
      </c>
    </row>
    <row r="42" spans="1:13" ht="15.75" customHeight="1">
      <c r="A42" s="810" t="s">
        <v>557</v>
      </c>
      <c r="B42" s="811"/>
      <c r="C42" s="811"/>
      <c r="D42" s="811"/>
      <c r="E42" s="811"/>
      <c r="F42" s="811"/>
      <c r="G42" s="811"/>
      <c r="H42" s="811"/>
      <c r="I42" s="811"/>
      <c r="J42" s="811"/>
      <c r="K42" s="811"/>
      <c r="L42" s="811"/>
      <c r="M42" s="812"/>
    </row>
    <row r="43" spans="1:13" ht="15.75" customHeight="1">
      <c r="A43" s="813"/>
      <c r="B43" s="803"/>
      <c r="C43" s="803"/>
      <c r="D43" s="803"/>
      <c r="E43" s="803"/>
      <c r="F43" s="803"/>
      <c r="G43" s="803"/>
      <c r="H43" s="803"/>
      <c r="I43" s="803"/>
      <c r="J43" s="803"/>
      <c r="K43" s="803"/>
      <c r="L43" s="803"/>
      <c r="M43" s="814"/>
    </row>
    <row r="44" spans="1:13" ht="15.75" customHeight="1">
      <c r="A44" s="266" t="s">
        <v>558</v>
      </c>
      <c r="B44" s="284">
        <v>46287577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267"/>
    </row>
    <row r="45" spans="1:13" ht="15.75" customHeight="1">
      <c r="A45" s="815" t="s">
        <v>559</v>
      </c>
      <c r="B45" s="805" t="s">
        <v>10</v>
      </c>
      <c r="C45" s="805"/>
      <c r="D45" s="806"/>
      <c r="E45" s="804" t="s">
        <v>559</v>
      </c>
      <c r="F45" s="808">
        <v>1</v>
      </c>
      <c r="G45" s="808"/>
      <c r="H45" s="808">
        <v>2</v>
      </c>
      <c r="I45" s="808"/>
      <c r="J45" s="808">
        <v>3</v>
      </c>
      <c r="K45" s="808"/>
      <c r="L45" s="808">
        <v>4</v>
      </c>
      <c r="M45" s="817"/>
    </row>
    <row r="46" spans="1:13" ht="15.75" customHeight="1">
      <c r="A46" s="815"/>
      <c r="B46" s="805"/>
      <c r="C46" s="805"/>
      <c r="D46" s="807"/>
      <c r="E46" s="804"/>
      <c r="F46" s="800" t="s">
        <v>560</v>
      </c>
      <c r="G46" s="800"/>
      <c r="H46" s="800" t="s">
        <v>561</v>
      </c>
      <c r="I46" s="800"/>
      <c r="J46" s="800" t="s">
        <v>562</v>
      </c>
      <c r="K46" s="800"/>
      <c r="L46" s="800" t="s">
        <v>695</v>
      </c>
      <c r="M46" s="818"/>
    </row>
    <row r="47" spans="1:13" ht="15.75" customHeight="1">
      <c r="A47" s="815"/>
      <c r="B47" s="323" t="s">
        <v>11</v>
      </c>
      <c r="C47" s="323" t="s">
        <v>563</v>
      </c>
      <c r="D47" s="807"/>
      <c r="E47" s="804"/>
      <c r="F47" s="323" t="s">
        <v>11</v>
      </c>
      <c r="G47" s="323" t="s">
        <v>563</v>
      </c>
      <c r="H47" s="323" t="s">
        <v>11</v>
      </c>
      <c r="I47" s="323" t="s">
        <v>563</v>
      </c>
      <c r="J47" s="323" t="s">
        <v>11</v>
      </c>
      <c r="K47" s="323" t="s">
        <v>563</v>
      </c>
      <c r="L47" s="323" t="s">
        <v>11</v>
      </c>
      <c r="M47" s="268" t="s">
        <v>563</v>
      </c>
    </row>
    <row r="48" spans="1:13" ht="15.75" customHeight="1">
      <c r="A48" s="269" t="s">
        <v>564</v>
      </c>
      <c r="B48" s="270">
        <v>9587.904999999997</v>
      </c>
      <c r="C48" s="191">
        <v>2.07137759662814E-4</v>
      </c>
      <c r="D48" s="807"/>
      <c r="E48" s="189" t="s">
        <v>564</v>
      </c>
      <c r="F48" s="271">
        <v>0</v>
      </c>
      <c r="G48" s="193">
        <v>0</v>
      </c>
      <c r="H48" s="271">
        <v>834.86200000000008</v>
      </c>
      <c r="I48" s="193">
        <v>4.5726282142742734E-2</v>
      </c>
      <c r="J48" s="271">
        <v>2231.3200000000002</v>
      </c>
      <c r="K48" s="193">
        <v>0.12221177616270081</v>
      </c>
      <c r="L48" s="271">
        <v>4146.4030000000002</v>
      </c>
      <c r="M48" s="272">
        <v>0.22710291456014875</v>
      </c>
    </row>
    <row r="49" spans="1:13" ht="15.75" customHeight="1">
      <c r="A49" s="273" t="s">
        <v>565</v>
      </c>
      <c r="B49" s="274">
        <v>14733.35162000003</v>
      </c>
      <c r="C49" s="191">
        <v>3.1830034265997612E-4</v>
      </c>
      <c r="D49" s="807"/>
      <c r="E49" s="195" t="s">
        <v>565</v>
      </c>
      <c r="F49" s="271">
        <v>0</v>
      </c>
      <c r="G49" s="193">
        <v>0</v>
      </c>
      <c r="H49" s="271">
        <v>0</v>
      </c>
      <c r="I49" s="193">
        <v>0</v>
      </c>
      <c r="J49" s="271">
        <v>1459.6556299999991</v>
      </c>
      <c r="K49" s="193">
        <v>6.4069666294731861E-2</v>
      </c>
      <c r="L49" s="271">
        <v>2414.4136500000041</v>
      </c>
      <c r="M49" s="272">
        <v>0.10597751529444373</v>
      </c>
    </row>
    <row r="50" spans="1:13" ht="15.75" customHeight="1">
      <c r="A50" s="275"/>
      <c r="B50" s="185"/>
      <c r="C50" s="185"/>
      <c r="D50" s="807"/>
      <c r="E50" s="804" t="s">
        <v>559</v>
      </c>
      <c r="F50" s="808">
        <v>5</v>
      </c>
      <c r="G50" s="808"/>
      <c r="H50" s="808">
        <v>6</v>
      </c>
      <c r="I50" s="808"/>
      <c r="J50" s="808">
        <v>7</v>
      </c>
      <c r="K50" s="808"/>
      <c r="L50" s="809">
        <v>8</v>
      </c>
      <c r="M50" s="827"/>
    </row>
    <row r="51" spans="1:13" ht="15.75" customHeight="1">
      <c r="A51" s="275"/>
      <c r="B51" s="185"/>
      <c r="C51" s="185"/>
      <c r="D51" s="807"/>
      <c r="E51" s="804"/>
      <c r="F51" s="800" t="s">
        <v>566</v>
      </c>
      <c r="G51" s="800"/>
      <c r="H51" s="800" t="s">
        <v>567</v>
      </c>
      <c r="I51" s="800"/>
      <c r="J51" s="800" t="s">
        <v>568</v>
      </c>
      <c r="K51" s="800"/>
      <c r="L51" s="801" t="s">
        <v>569</v>
      </c>
      <c r="M51" s="828"/>
    </row>
    <row r="52" spans="1:13" ht="15.75" customHeight="1">
      <c r="A52" s="275"/>
      <c r="B52" s="185"/>
      <c r="C52" s="185"/>
      <c r="D52" s="807"/>
      <c r="E52" s="804"/>
      <c r="F52" s="323" t="s">
        <v>11</v>
      </c>
      <c r="G52" s="323" t="s">
        <v>563</v>
      </c>
      <c r="H52" s="323" t="s">
        <v>11</v>
      </c>
      <c r="I52" s="323" t="s">
        <v>563</v>
      </c>
      <c r="J52" s="323" t="s">
        <v>11</v>
      </c>
      <c r="K52" s="323" t="s">
        <v>563</v>
      </c>
      <c r="L52" s="323" t="s">
        <v>11</v>
      </c>
      <c r="M52" s="268" t="s">
        <v>563</v>
      </c>
    </row>
    <row r="53" spans="1:13" ht="15.75" customHeight="1">
      <c r="A53" s="276"/>
      <c r="B53" s="277"/>
      <c r="C53" s="277"/>
      <c r="D53" s="807"/>
      <c r="E53" s="189" t="s">
        <v>564</v>
      </c>
      <c r="F53" s="271">
        <v>825.84</v>
      </c>
      <c r="G53" s="193">
        <v>4.523213758053745E-2</v>
      </c>
      <c r="H53" s="271">
        <v>1291.5520000000001</v>
      </c>
      <c r="I53" s="193">
        <v>7.0739680514891878E-2</v>
      </c>
      <c r="J53" s="271">
        <v>257.928</v>
      </c>
      <c r="K53" s="193">
        <v>1.4126991647138506E-2</v>
      </c>
      <c r="L53" s="271">
        <v>0</v>
      </c>
      <c r="M53" s="272">
        <v>0</v>
      </c>
    </row>
    <row r="54" spans="1:13" ht="15.75" customHeight="1" thickBot="1">
      <c r="A54" s="278"/>
      <c r="B54" s="279"/>
      <c r="C54" s="279"/>
      <c r="D54" s="816"/>
      <c r="E54" s="280" t="s">
        <v>565</v>
      </c>
      <c r="F54" s="281">
        <v>5870.1435299999976</v>
      </c>
      <c r="G54" s="282">
        <v>0.25766223850298126</v>
      </c>
      <c r="H54" s="281">
        <v>4989.1388100000286</v>
      </c>
      <c r="I54" s="282">
        <v>0.21899169371531671</v>
      </c>
      <c r="J54" s="281">
        <v>0</v>
      </c>
      <c r="K54" s="282">
        <v>0</v>
      </c>
      <c r="L54" s="281">
        <v>0</v>
      </c>
      <c r="M54" s="283">
        <v>0</v>
      </c>
    </row>
    <row r="55" spans="1:13" ht="15.75" customHeight="1">
      <c r="A55" s="810" t="s">
        <v>570</v>
      </c>
      <c r="B55" s="811"/>
      <c r="C55" s="811"/>
      <c r="D55" s="811"/>
      <c r="E55" s="811"/>
      <c r="F55" s="811"/>
      <c r="G55" s="811"/>
      <c r="H55" s="811"/>
      <c r="I55" s="811"/>
      <c r="J55" s="811"/>
      <c r="K55" s="811"/>
      <c r="L55" s="811"/>
      <c r="M55" s="812"/>
    </row>
    <row r="56" spans="1:13" ht="15.75" customHeight="1">
      <c r="A56" s="813"/>
      <c r="B56" s="803"/>
      <c r="C56" s="803"/>
      <c r="D56" s="803"/>
      <c r="E56" s="803"/>
      <c r="F56" s="803"/>
      <c r="G56" s="803"/>
      <c r="H56" s="803"/>
      <c r="I56" s="803"/>
      <c r="J56" s="803"/>
      <c r="K56" s="803"/>
      <c r="L56" s="803"/>
      <c r="M56" s="814"/>
    </row>
    <row r="57" spans="1:13" ht="15.75" customHeight="1">
      <c r="A57" s="266" t="s">
        <v>558</v>
      </c>
      <c r="B57" s="284">
        <v>48362935</v>
      </c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267"/>
    </row>
    <row r="58" spans="1:13" ht="15.75" customHeight="1">
      <c r="A58" s="815" t="s">
        <v>559</v>
      </c>
      <c r="B58" s="805" t="s">
        <v>10</v>
      </c>
      <c r="C58" s="805"/>
      <c r="D58" s="806"/>
      <c r="E58" s="804" t="s">
        <v>572</v>
      </c>
      <c r="F58" s="808">
        <v>1</v>
      </c>
      <c r="G58" s="808"/>
      <c r="H58" s="808">
        <v>2</v>
      </c>
      <c r="I58" s="808"/>
      <c r="J58" s="808">
        <v>3</v>
      </c>
      <c r="K58" s="808"/>
      <c r="L58" s="808">
        <v>4</v>
      </c>
      <c r="M58" s="817"/>
    </row>
    <row r="59" spans="1:13" ht="15.75" customHeight="1">
      <c r="A59" s="815"/>
      <c r="B59" s="805"/>
      <c r="C59" s="805"/>
      <c r="D59" s="807"/>
      <c r="E59" s="804"/>
      <c r="F59" s="800" t="s">
        <v>573</v>
      </c>
      <c r="G59" s="800"/>
      <c r="H59" s="800" t="s">
        <v>574</v>
      </c>
      <c r="I59" s="800"/>
      <c r="J59" s="800" t="s">
        <v>575</v>
      </c>
      <c r="K59" s="800"/>
      <c r="L59" s="800" t="s">
        <v>695</v>
      </c>
      <c r="M59" s="818"/>
    </row>
    <row r="60" spans="1:13" ht="15.75" customHeight="1">
      <c r="A60" s="815"/>
      <c r="B60" s="323" t="s">
        <v>11</v>
      </c>
      <c r="C60" s="323" t="s">
        <v>563</v>
      </c>
      <c r="D60" s="807"/>
      <c r="E60" s="804"/>
      <c r="F60" s="324" t="s">
        <v>11</v>
      </c>
      <c r="G60" s="324" t="s">
        <v>576</v>
      </c>
      <c r="H60" s="324" t="s">
        <v>11</v>
      </c>
      <c r="I60" s="324" t="s">
        <v>576</v>
      </c>
      <c r="J60" s="324" t="s">
        <v>11</v>
      </c>
      <c r="K60" s="324" t="s">
        <v>576</v>
      </c>
      <c r="L60" s="324" t="s">
        <v>11</v>
      </c>
      <c r="M60" s="268" t="s">
        <v>576</v>
      </c>
    </row>
    <row r="61" spans="1:13" ht="15.75" customHeight="1">
      <c r="A61" s="269" t="s">
        <v>564</v>
      </c>
      <c r="B61" s="270">
        <v>10199.575000000004</v>
      </c>
      <c r="C61" s="191">
        <f>B61/$B$57</f>
        <v>2.1089652644116832E-4</v>
      </c>
      <c r="D61" s="807"/>
      <c r="E61" s="189" t="s">
        <v>577</v>
      </c>
      <c r="F61" s="271">
        <v>0</v>
      </c>
      <c r="G61" s="193">
        <f>IFERROR(F61/$B$9,"")</f>
        <v>0</v>
      </c>
      <c r="H61" s="271">
        <v>277.08100000000002</v>
      </c>
      <c r="I61" s="193">
        <f>IFERROR(H61/$B$9,"")</f>
        <v>1.5176021884327349E-2</v>
      </c>
      <c r="J61" s="271">
        <v>1993.0930000000003</v>
      </c>
      <c r="K61" s="193">
        <f>IFERROR(J61/$B$9,"")</f>
        <v>0.10916382929720786</v>
      </c>
      <c r="L61" s="271">
        <v>5007.6209999999992</v>
      </c>
      <c r="M61" s="272">
        <f>IFERROR(L61/$B$9,"")</f>
        <v>0.27427274293227322</v>
      </c>
    </row>
    <row r="62" spans="1:13" ht="15.75" customHeight="1">
      <c r="A62" s="273" t="s">
        <v>565</v>
      </c>
      <c r="B62" s="274">
        <v>38331.075293114794</v>
      </c>
      <c r="C62" s="191">
        <f>B62/$B$57</f>
        <v>7.9257132126316966E-4</v>
      </c>
      <c r="D62" s="807"/>
      <c r="E62" s="195" t="s">
        <v>578</v>
      </c>
      <c r="F62" s="271">
        <v>0</v>
      </c>
      <c r="G62" s="193">
        <f>IFERROR(F62/$B$62,"")</f>
        <v>0</v>
      </c>
      <c r="H62" s="271">
        <v>1230.5148299999994</v>
      </c>
      <c r="I62" s="193">
        <f>IFERROR(H62/$B$62,"")</f>
        <v>3.210227786698773E-2</v>
      </c>
      <c r="J62" s="271">
        <v>1139.0088600000024</v>
      </c>
      <c r="K62" s="193">
        <f>IFERROR(J62/$B$62,"")</f>
        <v>2.9715024984039426E-2</v>
      </c>
      <c r="L62" s="271">
        <v>2998.8652431147748</v>
      </c>
      <c r="M62" s="272">
        <f>IFERROR(L62/$B$62,"")</f>
        <v>7.8235875727009532E-2</v>
      </c>
    </row>
    <row r="63" spans="1:13" ht="15.75" customHeight="1">
      <c r="A63" s="275"/>
      <c r="B63" s="185"/>
      <c r="C63" s="185"/>
      <c r="D63" s="807"/>
      <c r="E63" s="804" t="s">
        <v>572</v>
      </c>
      <c r="F63" s="819">
        <v>5</v>
      </c>
      <c r="G63" s="820"/>
      <c r="H63" s="819">
        <v>6</v>
      </c>
      <c r="I63" s="820"/>
      <c r="J63" s="819">
        <v>7</v>
      </c>
      <c r="K63" s="820"/>
      <c r="L63" s="821">
        <v>8</v>
      </c>
      <c r="M63" s="822"/>
    </row>
    <row r="64" spans="1:13" ht="15.75" customHeight="1">
      <c r="A64" s="275"/>
      <c r="B64" s="185"/>
      <c r="C64" s="185"/>
      <c r="D64" s="807"/>
      <c r="E64" s="804"/>
      <c r="F64" s="823" t="s">
        <v>579</v>
      </c>
      <c r="G64" s="824"/>
      <c r="H64" s="823" t="s">
        <v>580</v>
      </c>
      <c r="I64" s="824"/>
      <c r="J64" s="823" t="s">
        <v>581</v>
      </c>
      <c r="K64" s="824"/>
      <c r="L64" s="825" t="s">
        <v>582</v>
      </c>
      <c r="M64" s="826"/>
    </row>
    <row r="65" spans="1:13" ht="15.75" customHeight="1">
      <c r="A65" s="275"/>
      <c r="B65" s="185"/>
      <c r="C65" s="185"/>
      <c r="D65" s="807"/>
      <c r="E65" s="804"/>
      <c r="F65" s="324" t="s">
        <v>11</v>
      </c>
      <c r="G65" s="324" t="s">
        <v>576</v>
      </c>
      <c r="H65" s="324" t="s">
        <v>11</v>
      </c>
      <c r="I65" s="324" t="s">
        <v>576</v>
      </c>
      <c r="J65" s="324" t="s">
        <v>11</v>
      </c>
      <c r="K65" s="324" t="s">
        <v>576</v>
      </c>
      <c r="L65" s="324" t="s">
        <v>11</v>
      </c>
      <c r="M65" s="268" t="s">
        <v>576</v>
      </c>
    </row>
    <row r="66" spans="1:13" ht="15.75" customHeight="1">
      <c r="A66" s="276"/>
      <c r="B66" s="277"/>
      <c r="C66" s="277"/>
      <c r="D66" s="807"/>
      <c r="E66" s="189" t="s">
        <v>577</v>
      </c>
      <c r="F66" s="271">
        <v>1790.1419999999998</v>
      </c>
      <c r="G66" s="193">
        <f>IFERROR(F66/$B$9,"")</f>
        <v>9.8047986574516216E-2</v>
      </c>
      <c r="H66" s="271">
        <v>1131.6379999999999</v>
      </c>
      <c r="I66" s="193">
        <f>IFERROR(H66/$B$9,"")</f>
        <v>6.1981020182316472E-2</v>
      </c>
      <c r="J66" s="271">
        <v>0</v>
      </c>
      <c r="K66" s="193">
        <f>IFERROR(J66/$B$9,"")</f>
        <v>0</v>
      </c>
      <c r="L66" s="271">
        <v>0</v>
      </c>
      <c r="M66" s="272">
        <f>IFERROR(L66/$B$9,"")</f>
        <v>0</v>
      </c>
    </row>
    <row r="67" spans="1:13" ht="15.75" customHeight="1" thickBot="1">
      <c r="A67" s="278"/>
      <c r="B67" s="279"/>
      <c r="C67" s="279"/>
      <c r="D67" s="816"/>
      <c r="E67" s="280" t="s">
        <v>578</v>
      </c>
      <c r="F67" s="281">
        <v>27345.851710000003</v>
      </c>
      <c r="G67" s="282">
        <f>IFERROR(F67/$B$62,"")</f>
        <v>0.71341206842981497</v>
      </c>
      <c r="H67" s="281">
        <v>5616.8346500000025</v>
      </c>
      <c r="I67" s="282">
        <f>IFERROR(H67/$B$62,"")</f>
        <v>0.14653475299214797</v>
      </c>
      <c r="J67" s="281">
        <v>0</v>
      </c>
      <c r="K67" s="282">
        <f>IFERROR(J67/$B$62,"")</f>
        <v>0</v>
      </c>
      <c r="L67" s="281">
        <v>0</v>
      </c>
      <c r="M67" s="283">
        <f>IFERROR(L67/$B$62,"")</f>
        <v>0</v>
      </c>
    </row>
    <row r="68" spans="1:13" ht="15.75" customHeight="1">
      <c r="A68" s="810" t="s">
        <v>592</v>
      </c>
      <c r="B68" s="811"/>
      <c r="C68" s="811"/>
      <c r="D68" s="811"/>
      <c r="E68" s="811"/>
      <c r="F68" s="811"/>
      <c r="G68" s="811"/>
      <c r="H68" s="811"/>
      <c r="I68" s="811"/>
      <c r="J68" s="811"/>
      <c r="K68" s="811"/>
      <c r="L68" s="811"/>
      <c r="M68" s="812"/>
    </row>
    <row r="69" spans="1:13" ht="15.75" customHeight="1">
      <c r="A69" s="813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14"/>
    </row>
    <row r="70" spans="1:13" ht="15.75" customHeight="1">
      <c r="A70" s="266" t="s">
        <v>593</v>
      </c>
      <c r="B70" s="284">
        <v>50470102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267"/>
    </row>
    <row r="71" spans="1:13" ht="15.75" customHeight="1">
      <c r="A71" s="815" t="s">
        <v>594</v>
      </c>
      <c r="B71" s="805" t="s">
        <v>10</v>
      </c>
      <c r="C71" s="805"/>
      <c r="D71" s="806"/>
      <c r="E71" s="804" t="s">
        <v>594</v>
      </c>
      <c r="F71" s="808">
        <v>1</v>
      </c>
      <c r="G71" s="808"/>
      <c r="H71" s="808">
        <v>2</v>
      </c>
      <c r="I71" s="808"/>
      <c r="J71" s="808">
        <v>3</v>
      </c>
      <c r="K71" s="808"/>
      <c r="L71" s="808">
        <v>4</v>
      </c>
      <c r="M71" s="817"/>
    </row>
    <row r="72" spans="1:13" ht="15.75" customHeight="1">
      <c r="A72" s="815"/>
      <c r="B72" s="805"/>
      <c r="C72" s="805"/>
      <c r="D72" s="807"/>
      <c r="E72" s="804"/>
      <c r="F72" s="800" t="s">
        <v>595</v>
      </c>
      <c r="G72" s="800"/>
      <c r="H72" s="800" t="s">
        <v>596</v>
      </c>
      <c r="I72" s="800"/>
      <c r="J72" s="800" t="s">
        <v>597</v>
      </c>
      <c r="K72" s="800"/>
      <c r="L72" s="800" t="s">
        <v>695</v>
      </c>
      <c r="M72" s="818"/>
    </row>
    <row r="73" spans="1:13" ht="15.75" customHeight="1">
      <c r="A73" s="815"/>
      <c r="B73" s="328" t="s">
        <v>11</v>
      </c>
      <c r="C73" s="328" t="s">
        <v>598</v>
      </c>
      <c r="D73" s="807"/>
      <c r="E73" s="804"/>
      <c r="F73" s="328" t="s">
        <v>11</v>
      </c>
      <c r="G73" s="328" t="s">
        <v>598</v>
      </c>
      <c r="H73" s="328" t="s">
        <v>11</v>
      </c>
      <c r="I73" s="328" t="s">
        <v>598</v>
      </c>
      <c r="J73" s="328" t="s">
        <v>11</v>
      </c>
      <c r="K73" s="328" t="s">
        <v>598</v>
      </c>
      <c r="L73" s="328" t="s">
        <v>11</v>
      </c>
      <c r="M73" s="268" t="s">
        <v>598</v>
      </c>
    </row>
    <row r="74" spans="1:13" ht="15.75" customHeight="1">
      <c r="A74" s="269" t="s">
        <v>599</v>
      </c>
      <c r="B74" s="270">
        <v>11260.655999999997</v>
      </c>
      <c r="C74" s="191">
        <f>B74/$B$70</f>
        <v>2.2311538027008538E-4</v>
      </c>
      <c r="D74" s="807"/>
      <c r="E74" s="189" t="s">
        <v>599</v>
      </c>
      <c r="F74" s="271">
        <v>0</v>
      </c>
      <c r="G74" s="193">
        <f>IFERROR(F74/$B$74,"")</f>
        <v>0</v>
      </c>
      <c r="H74" s="271">
        <v>766.85</v>
      </c>
      <c r="I74" s="193">
        <f>IFERROR(H74/$B$74,"")</f>
        <v>6.809994018110492E-2</v>
      </c>
      <c r="J74" s="271">
        <v>2647.3230000000008</v>
      </c>
      <c r="K74" s="193">
        <f>IFERROR(J74/$B$74,"")</f>
        <v>0.23509491809358188</v>
      </c>
      <c r="L74" s="271">
        <v>4766.7250000000004</v>
      </c>
      <c r="M74" s="272">
        <f>IFERROR(L74/$B$74,"")</f>
        <v>0.42330793161606228</v>
      </c>
    </row>
    <row r="75" spans="1:13" ht="15.75" customHeight="1">
      <c r="A75" s="273" t="s">
        <v>600</v>
      </c>
      <c r="B75" s="274">
        <v>30667.696349999991</v>
      </c>
      <c r="C75" s="191">
        <f>B75/$B$70</f>
        <v>6.0764086329764084E-4</v>
      </c>
      <c r="D75" s="807"/>
      <c r="E75" s="195" t="s">
        <v>600</v>
      </c>
      <c r="F75" s="271">
        <v>0</v>
      </c>
      <c r="G75" s="193">
        <f>IFERROR(F75/$B$75,"")</f>
        <v>0</v>
      </c>
      <c r="H75" s="271">
        <v>264.93571999999978</v>
      </c>
      <c r="I75" s="193">
        <f>IFERROR(H75/$B$75,"")</f>
        <v>8.6389181951059667E-3</v>
      </c>
      <c r="J75" s="271">
        <v>1098.7587799999997</v>
      </c>
      <c r="K75" s="193">
        <f>IFERROR(J75/$B$75,"")</f>
        <v>3.5827887672430274E-2</v>
      </c>
      <c r="L75" s="271">
        <v>2446.1784400000056</v>
      </c>
      <c r="M75" s="272">
        <f>IFERROR(L75/$B$75,"")</f>
        <v>7.9764010054182183E-2</v>
      </c>
    </row>
    <row r="76" spans="1:13" ht="15.75" customHeight="1">
      <c r="A76" s="275"/>
      <c r="B76" s="185"/>
      <c r="C76" s="185"/>
      <c r="D76" s="807"/>
      <c r="E76" s="804" t="s">
        <v>594</v>
      </c>
      <c r="F76" s="819">
        <v>5</v>
      </c>
      <c r="G76" s="820"/>
      <c r="H76" s="819">
        <v>6</v>
      </c>
      <c r="I76" s="820"/>
      <c r="J76" s="819">
        <v>7</v>
      </c>
      <c r="K76" s="820"/>
      <c r="L76" s="821">
        <v>8</v>
      </c>
      <c r="M76" s="822"/>
    </row>
    <row r="77" spans="1:13" ht="15.75" customHeight="1">
      <c r="A77" s="275"/>
      <c r="B77" s="185"/>
      <c r="C77" s="185"/>
      <c r="D77" s="807"/>
      <c r="E77" s="804"/>
      <c r="F77" s="823" t="s">
        <v>601</v>
      </c>
      <c r="G77" s="824"/>
      <c r="H77" s="823" t="s">
        <v>602</v>
      </c>
      <c r="I77" s="824"/>
      <c r="J77" s="823" t="s">
        <v>603</v>
      </c>
      <c r="K77" s="824"/>
      <c r="L77" s="825" t="s">
        <v>604</v>
      </c>
      <c r="M77" s="826"/>
    </row>
    <row r="78" spans="1:13" ht="15.75" customHeight="1">
      <c r="A78" s="275"/>
      <c r="B78" s="185"/>
      <c r="C78" s="185"/>
      <c r="D78" s="807"/>
      <c r="E78" s="804"/>
      <c r="F78" s="328" t="s">
        <v>11</v>
      </c>
      <c r="G78" s="328" t="s">
        <v>598</v>
      </c>
      <c r="H78" s="328" t="s">
        <v>11</v>
      </c>
      <c r="I78" s="328" t="s">
        <v>598</v>
      </c>
      <c r="J78" s="328" t="s">
        <v>11</v>
      </c>
      <c r="K78" s="328" t="s">
        <v>598</v>
      </c>
      <c r="L78" s="328" t="s">
        <v>11</v>
      </c>
      <c r="M78" s="268" t="s">
        <v>598</v>
      </c>
    </row>
    <row r="79" spans="1:13" ht="15.75" customHeight="1">
      <c r="A79" s="276"/>
      <c r="B79" s="277"/>
      <c r="C79" s="277"/>
      <c r="D79" s="807"/>
      <c r="E79" s="189" t="s">
        <v>599</v>
      </c>
      <c r="F79" s="271">
        <v>2196.7870000000003</v>
      </c>
      <c r="G79" s="193">
        <f>IFERROR(F79/$B$74,"")</f>
        <v>0.1950851708816965</v>
      </c>
      <c r="H79" s="271">
        <v>882.97099999999989</v>
      </c>
      <c r="I79" s="193">
        <f>IFERROR(H79/$B$74,"")</f>
        <v>7.8412039227554783E-2</v>
      </c>
      <c r="J79" s="271">
        <v>0</v>
      </c>
      <c r="K79" s="193">
        <f>IFERROR(J79/$B$74,"")</f>
        <v>0</v>
      </c>
      <c r="L79" s="271">
        <v>0</v>
      </c>
      <c r="M79" s="272">
        <f>IFERROR(L79/$B$74,"")</f>
        <v>0</v>
      </c>
    </row>
    <row r="80" spans="1:13" ht="15.75" customHeight="1" thickBot="1">
      <c r="A80" s="278"/>
      <c r="B80" s="279"/>
      <c r="C80" s="279"/>
      <c r="D80" s="816"/>
      <c r="E80" s="280" t="s">
        <v>600</v>
      </c>
      <c r="F80" s="281">
        <v>21773.092659999995</v>
      </c>
      <c r="G80" s="282">
        <f>IFERROR(F80/$B$75,"")</f>
        <v>0.70996831361283519</v>
      </c>
      <c r="H80" s="281">
        <v>5084.7307499999924</v>
      </c>
      <c r="I80" s="282">
        <f>IFERROR(H80/$B$75,"")</f>
        <v>0.16580087046544642</v>
      </c>
      <c r="J80" s="281">
        <v>0</v>
      </c>
      <c r="K80" s="282">
        <f>IFERROR(J80/$B$75,"")</f>
        <v>0</v>
      </c>
      <c r="L80" s="281">
        <v>0</v>
      </c>
      <c r="M80" s="283">
        <f>IFERROR(L80/$B$75,"")</f>
        <v>0</v>
      </c>
    </row>
    <row r="81" spans="1:13" ht="15.75" customHeight="1">
      <c r="A81" s="810" t="s">
        <v>634</v>
      </c>
      <c r="B81" s="811"/>
      <c r="C81" s="811"/>
      <c r="D81" s="811"/>
      <c r="E81" s="811"/>
      <c r="F81" s="811"/>
      <c r="G81" s="811"/>
      <c r="H81" s="811"/>
      <c r="I81" s="811"/>
      <c r="J81" s="811"/>
      <c r="K81" s="811"/>
      <c r="L81" s="811"/>
      <c r="M81" s="812"/>
    </row>
    <row r="82" spans="1:13" ht="15.75" customHeight="1">
      <c r="A82" s="813"/>
      <c r="B82" s="803"/>
      <c r="C82" s="803"/>
      <c r="D82" s="803"/>
      <c r="E82" s="803"/>
      <c r="F82" s="803"/>
      <c r="G82" s="803"/>
      <c r="H82" s="803"/>
      <c r="I82" s="803"/>
      <c r="J82" s="803"/>
      <c r="K82" s="803"/>
      <c r="L82" s="803"/>
      <c r="M82" s="814"/>
    </row>
    <row r="83" spans="1:13" ht="15.75" customHeight="1">
      <c r="A83" s="266" t="s">
        <v>635</v>
      </c>
      <c r="B83" s="284">
        <v>52767858</v>
      </c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267"/>
    </row>
    <row r="84" spans="1:13" ht="15.75" customHeight="1">
      <c r="A84" s="815" t="s">
        <v>636</v>
      </c>
      <c r="B84" s="805" t="s">
        <v>10</v>
      </c>
      <c r="C84" s="805"/>
      <c r="D84" s="806"/>
      <c r="E84" s="804" t="s">
        <v>636</v>
      </c>
      <c r="F84" s="808">
        <v>1</v>
      </c>
      <c r="G84" s="808"/>
      <c r="H84" s="808">
        <v>2</v>
      </c>
      <c r="I84" s="808"/>
      <c r="J84" s="808">
        <v>3</v>
      </c>
      <c r="K84" s="808"/>
      <c r="L84" s="808">
        <v>4</v>
      </c>
      <c r="M84" s="817"/>
    </row>
    <row r="85" spans="1:13" ht="15.75" customHeight="1">
      <c r="A85" s="815"/>
      <c r="B85" s="805"/>
      <c r="C85" s="805"/>
      <c r="D85" s="807"/>
      <c r="E85" s="804"/>
      <c r="F85" s="800" t="s">
        <v>637</v>
      </c>
      <c r="G85" s="800"/>
      <c r="H85" s="800" t="s">
        <v>638</v>
      </c>
      <c r="I85" s="800"/>
      <c r="J85" s="800" t="s">
        <v>639</v>
      </c>
      <c r="K85" s="800"/>
      <c r="L85" s="800" t="s">
        <v>695</v>
      </c>
      <c r="M85" s="818"/>
    </row>
    <row r="86" spans="1:13" ht="15.75" customHeight="1">
      <c r="A86" s="815"/>
      <c r="B86" s="337" t="s">
        <v>11</v>
      </c>
      <c r="C86" s="337" t="s">
        <v>640</v>
      </c>
      <c r="D86" s="807"/>
      <c r="E86" s="804"/>
      <c r="F86" s="337" t="s">
        <v>11</v>
      </c>
      <c r="G86" s="337" t="s">
        <v>640</v>
      </c>
      <c r="H86" s="337" t="s">
        <v>11</v>
      </c>
      <c r="I86" s="337" t="s">
        <v>640</v>
      </c>
      <c r="J86" s="337" t="s">
        <v>11</v>
      </c>
      <c r="K86" s="337" t="s">
        <v>640</v>
      </c>
      <c r="L86" s="337" t="s">
        <v>11</v>
      </c>
      <c r="M86" s="268" t="s">
        <v>640</v>
      </c>
    </row>
    <row r="87" spans="1:13" ht="15.75" customHeight="1">
      <c r="A87" s="269" t="s">
        <v>641</v>
      </c>
      <c r="B87" s="270">
        <v>11250.800999999999</v>
      </c>
      <c r="C87" s="191">
        <f>B87/$B$83</f>
        <v>2.1321314577521793E-4</v>
      </c>
      <c r="D87" s="807"/>
      <c r="E87" s="189" t="s">
        <v>641</v>
      </c>
      <c r="F87" s="271">
        <v>0</v>
      </c>
      <c r="G87" s="193">
        <f>IFERROR(F87/$B$87,"")</f>
        <v>0</v>
      </c>
      <c r="H87" s="271">
        <v>318.62400000000002</v>
      </c>
      <c r="I87" s="193">
        <f>IFERROR(H87/$B$87,"")</f>
        <v>2.8320116941007136E-2</v>
      </c>
      <c r="J87" s="271">
        <v>3141.2160000000003</v>
      </c>
      <c r="K87" s="193">
        <f>IFERROR(J87/$B$87,"")</f>
        <v>0.27919932100834427</v>
      </c>
      <c r="L87" s="271">
        <v>5274.1350000000002</v>
      </c>
      <c r="M87" s="272">
        <f>IFERROR(L87/$B$87,"")</f>
        <v>0.46877862296204514</v>
      </c>
    </row>
    <row r="88" spans="1:13" ht="15.75" customHeight="1">
      <c r="A88" s="273" t="s">
        <v>642</v>
      </c>
      <c r="B88" s="274">
        <v>29022.845779999985</v>
      </c>
      <c r="C88" s="191">
        <f>B88/$B$83</f>
        <v>5.5000992801337487E-4</v>
      </c>
      <c r="D88" s="807"/>
      <c r="E88" s="195" t="s">
        <v>642</v>
      </c>
      <c r="F88" s="271">
        <v>0</v>
      </c>
      <c r="G88" s="193">
        <f>IFERROR(F88/$B$88,"")</f>
        <v>0</v>
      </c>
      <c r="H88" s="271">
        <v>952.74906999999962</v>
      </c>
      <c r="I88" s="193">
        <f>IFERROR(H88/$B$88,"")</f>
        <v>3.2827555134395239E-2</v>
      </c>
      <c r="J88" s="271">
        <v>1550.483820000004</v>
      </c>
      <c r="K88" s="193">
        <f>IFERROR(J88/$B$88,"")</f>
        <v>5.3422873544277397E-2</v>
      </c>
      <c r="L88" s="271">
        <v>2058.8515699999925</v>
      </c>
      <c r="M88" s="272">
        <f>IFERROR(L88/$B$88,"")</f>
        <v>7.0938997009685853E-2</v>
      </c>
    </row>
    <row r="89" spans="1:13" ht="15.75" customHeight="1">
      <c r="A89" s="275"/>
      <c r="B89" s="185"/>
      <c r="C89" s="185"/>
      <c r="D89" s="807"/>
      <c r="E89" s="804" t="s">
        <v>636</v>
      </c>
      <c r="F89" s="819">
        <v>5</v>
      </c>
      <c r="G89" s="820"/>
      <c r="H89" s="819">
        <v>6</v>
      </c>
      <c r="I89" s="820"/>
      <c r="J89" s="819">
        <v>7</v>
      </c>
      <c r="K89" s="820"/>
      <c r="L89" s="821">
        <v>8</v>
      </c>
      <c r="M89" s="822"/>
    </row>
    <row r="90" spans="1:13" ht="15.75" customHeight="1">
      <c r="A90" s="275"/>
      <c r="B90" s="185"/>
      <c r="C90" s="185"/>
      <c r="D90" s="807"/>
      <c r="E90" s="804"/>
      <c r="F90" s="823" t="s">
        <v>643</v>
      </c>
      <c r="G90" s="824"/>
      <c r="H90" s="823" t="s">
        <v>644</v>
      </c>
      <c r="I90" s="824"/>
      <c r="J90" s="823" t="s">
        <v>645</v>
      </c>
      <c r="K90" s="824"/>
      <c r="L90" s="825" t="s">
        <v>646</v>
      </c>
      <c r="M90" s="826"/>
    </row>
    <row r="91" spans="1:13" ht="15.75" customHeight="1">
      <c r="A91" s="275"/>
      <c r="B91" s="185"/>
      <c r="C91" s="185"/>
      <c r="D91" s="807"/>
      <c r="E91" s="804"/>
      <c r="F91" s="337" t="s">
        <v>11</v>
      </c>
      <c r="G91" s="337" t="s">
        <v>640</v>
      </c>
      <c r="H91" s="337" t="s">
        <v>11</v>
      </c>
      <c r="I91" s="337" t="s">
        <v>640</v>
      </c>
      <c r="J91" s="337" t="s">
        <v>11</v>
      </c>
      <c r="K91" s="337" t="s">
        <v>640</v>
      </c>
      <c r="L91" s="337" t="s">
        <v>11</v>
      </c>
      <c r="M91" s="268" t="s">
        <v>640</v>
      </c>
    </row>
    <row r="92" spans="1:13" ht="15.75" customHeight="1">
      <c r="A92" s="276"/>
      <c r="B92" s="277"/>
      <c r="C92" s="277"/>
      <c r="D92" s="807"/>
      <c r="E92" s="189" t="s">
        <v>641</v>
      </c>
      <c r="F92" s="271">
        <v>2015.4880000000001</v>
      </c>
      <c r="G92" s="193">
        <f>IFERROR(F92/$B$87,"")</f>
        <v>0.17914173399742828</v>
      </c>
      <c r="H92" s="271">
        <v>501.33799999999997</v>
      </c>
      <c r="I92" s="193">
        <f>IFERROR(H92/$B$87,"")</f>
        <v>4.4560205091175288E-2</v>
      </c>
      <c r="J92" s="271">
        <v>0</v>
      </c>
      <c r="K92" s="193">
        <f>IFERROR(J92/$B$87,"")</f>
        <v>0</v>
      </c>
      <c r="L92" s="271">
        <v>0</v>
      </c>
      <c r="M92" s="272">
        <f>IFERROR(L92/$B$87,"")</f>
        <v>0</v>
      </c>
    </row>
    <row r="93" spans="1:13" ht="15.75" customHeight="1" thickBot="1">
      <c r="A93" s="278"/>
      <c r="B93" s="279"/>
      <c r="C93" s="279"/>
      <c r="D93" s="816"/>
      <c r="E93" s="280" t="s">
        <v>642</v>
      </c>
      <c r="F93" s="281">
        <v>18726.078090000003</v>
      </c>
      <c r="G93" s="282">
        <f>IFERROR(F93/$B$88,"")</f>
        <v>0.64521853687085307</v>
      </c>
      <c r="H93" s="281">
        <v>5734.6832299999887</v>
      </c>
      <c r="I93" s="282">
        <f>IFERROR(H93/$B$88,"")</f>
        <v>0.19759203744078854</v>
      </c>
      <c r="J93" s="281">
        <v>0</v>
      </c>
      <c r="K93" s="282">
        <f>IFERROR(J93/$B$88,"")</f>
        <v>0</v>
      </c>
      <c r="L93" s="281">
        <v>0</v>
      </c>
      <c r="M93" s="283">
        <f>IFERROR(L93/$B$88,"")</f>
        <v>0</v>
      </c>
    </row>
    <row r="94" spans="1:13" ht="15.75" customHeight="1">
      <c r="A94" s="810" t="s">
        <v>648</v>
      </c>
      <c r="B94" s="811"/>
      <c r="C94" s="811"/>
      <c r="D94" s="811"/>
      <c r="E94" s="811"/>
      <c r="F94" s="811"/>
      <c r="G94" s="811"/>
      <c r="H94" s="811"/>
      <c r="I94" s="811"/>
      <c r="J94" s="811"/>
      <c r="K94" s="811"/>
      <c r="L94" s="811"/>
      <c r="M94" s="812"/>
    </row>
    <row r="95" spans="1:13" ht="15.75" customHeight="1">
      <c r="A95" s="813"/>
      <c r="B95" s="803"/>
      <c r="C95" s="803"/>
      <c r="D95" s="803"/>
      <c r="E95" s="803"/>
      <c r="F95" s="803"/>
      <c r="G95" s="803"/>
      <c r="H95" s="803"/>
      <c r="I95" s="803"/>
      <c r="J95" s="803"/>
      <c r="K95" s="803"/>
      <c r="L95" s="803"/>
      <c r="M95" s="814"/>
    </row>
    <row r="96" spans="1:13" ht="15.75" customHeight="1">
      <c r="A96" s="266" t="s">
        <v>649</v>
      </c>
      <c r="B96" s="284">
        <v>47691357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267"/>
    </row>
    <row r="97" spans="1:13" ht="15.75" customHeight="1">
      <c r="A97" s="815" t="s">
        <v>650</v>
      </c>
      <c r="B97" s="805" t="s">
        <v>10</v>
      </c>
      <c r="C97" s="805"/>
      <c r="D97" s="806"/>
      <c r="E97" s="804" t="s">
        <v>650</v>
      </c>
      <c r="F97" s="808">
        <v>1</v>
      </c>
      <c r="G97" s="808"/>
      <c r="H97" s="808">
        <v>2</v>
      </c>
      <c r="I97" s="808"/>
      <c r="J97" s="808">
        <v>3</v>
      </c>
      <c r="K97" s="808"/>
      <c r="L97" s="808">
        <v>4</v>
      </c>
      <c r="M97" s="817"/>
    </row>
    <row r="98" spans="1:13" ht="15.75" customHeight="1">
      <c r="A98" s="815"/>
      <c r="B98" s="805"/>
      <c r="C98" s="805"/>
      <c r="D98" s="807"/>
      <c r="E98" s="804"/>
      <c r="F98" s="800" t="s">
        <v>651</v>
      </c>
      <c r="G98" s="800"/>
      <c r="H98" s="800" t="s">
        <v>652</v>
      </c>
      <c r="I98" s="800"/>
      <c r="J98" s="800" t="s">
        <v>653</v>
      </c>
      <c r="K98" s="800"/>
      <c r="L98" s="800" t="s">
        <v>695</v>
      </c>
      <c r="M98" s="818"/>
    </row>
    <row r="99" spans="1:13" ht="15.75" customHeight="1">
      <c r="A99" s="815"/>
      <c r="B99" s="341" t="s">
        <v>11</v>
      </c>
      <c r="C99" s="341" t="s">
        <v>654</v>
      </c>
      <c r="D99" s="807"/>
      <c r="E99" s="804"/>
      <c r="F99" s="341" t="s">
        <v>11</v>
      </c>
      <c r="G99" s="341" t="s">
        <v>654</v>
      </c>
      <c r="H99" s="341" t="s">
        <v>11</v>
      </c>
      <c r="I99" s="341" t="s">
        <v>654</v>
      </c>
      <c r="J99" s="341" t="s">
        <v>11</v>
      </c>
      <c r="K99" s="341" t="s">
        <v>654</v>
      </c>
      <c r="L99" s="341" t="s">
        <v>11</v>
      </c>
      <c r="M99" s="268" t="s">
        <v>654</v>
      </c>
    </row>
    <row r="100" spans="1:13" ht="15.75" customHeight="1">
      <c r="A100" s="269" t="s">
        <v>655</v>
      </c>
      <c r="B100" s="270">
        <v>10039.797000000002</v>
      </c>
      <c r="C100" s="191">
        <f>B100/B96</f>
        <v>2.1051606898080092E-4</v>
      </c>
      <c r="D100" s="807"/>
      <c r="E100" s="189" t="s">
        <v>655</v>
      </c>
      <c r="F100" s="271">
        <v>0</v>
      </c>
      <c r="G100" s="193">
        <f>IFERROR(F100/B100,"")</f>
        <v>0</v>
      </c>
      <c r="H100" s="271">
        <v>271.83799999999997</v>
      </c>
      <c r="I100" s="193">
        <f>IFERROR(H100/B100,"")</f>
        <v>2.7076045461875364E-2</v>
      </c>
      <c r="J100" s="271">
        <v>4273.6259999999993</v>
      </c>
      <c r="K100" s="193">
        <f>IFERROR(J100/B100,"")</f>
        <v>0.42566856680468723</v>
      </c>
      <c r="L100" s="271">
        <v>2693.489</v>
      </c>
      <c r="M100" s="272">
        <f>IFERROR(L100/B100,"")</f>
        <v>0.26828122122389519</v>
      </c>
    </row>
    <row r="101" spans="1:13" ht="15.75" customHeight="1">
      <c r="A101" s="273" t="s">
        <v>656</v>
      </c>
      <c r="B101" s="274">
        <v>24074.689549999996</v>
      </c>
      <c r="C101" s="191">
        <f>B101/B96</f>
        <v>5.0480194031803278E-4</v>
      </c>
      <c r="D101" s="807"/>
      <c r="E101" s="195" t="s">
        <v>656</v>
      </c>
      <c r="F101" s="271">
        <v>0</v>
      </c>
      <c r="G101" s="193">
        <f>IFERROR(F101/B101,"")</f>
        <v>0</v>
      </c>
      <c r="H101" s="271">
        <v>286.94316000000009</v>
      </c>
      <c r="I101" s="193">
        <f>IFERROR(H101/B101,"")</f>
        <v>1.191887269840205E-2</v>
      </c>
      <c r="J101" s="271">
        <v>1513.2548000000006</v>
      </c>
      <c r="K101" s="193">
        <f>IFERROR(J101/B101,"")</f>
        <v>6.2856669318919672E-2</v>
      </c>
      <c r="L101" s="271">
        <v>697.97637999999438</v>
      </c>
      <c r="M101" s="272">
        <f>IFERROR(L101/B101,"")</f>
        <v>2.8992123804977354E-2</v>
      </c>
    </row>
    <row r="102" spans="1:13" ht="15.75" customHeight="1">
      <c r="A102" s="275"/>
      <c r="B102" s="185"/>
      <c r="C102" s="185"/>
      <c r="D102" s="807"/>
      <c r="E102" s="804" t="s">
        <v>650</v>
      </c>
      <c r="F102" s="819">
        <v>5</v>
      </c>
      <c r="G102" s="820"/>
      <c r="H102" s="819">
        <v>6</v>
      </c>
      <c r="I102" s="820"/>
      <c r="J102" s="819">
        <v>7</v>
      </c>
      <c r="K102" s="820"/>
      <c r="L102" s="821">
        <v>8</v>
      </c>
      <c r="M102" s="822"/>
    </row>
    <row r="103" spans="1:13" ht="15.75" customHeight="1">
      <c r="A103" s="275"/>
      <c r="B103" s="185"/>
      <c r="C103" s="185"/>
      <c r="D103" s="807"/>
      <c r="E103" s="804"/>
      <c r="F103" s="823" t="s">
        <v>657</v>
      </c>
      <c r="G103" s="824"/>
      <c r="H103" s="823" t="s">
        <v>658</v>
      </c>
      <c r="I103" s="824"/>
      <c r="J103" s="823" t="s">
        <v>659</v>
      </c>
      <c r="K103" s="824"/>
      <c r="L103" s="825" t="s">
        <v>660</v>
      </c>
      <c r="M103" s="826"/>
    </row>
    <row r="104" spans="1:13" ht="15.75" customHeight="1">
      <c r="A104" s="275"/>
      <c r="B104" s="185"/>
      <c r="C104" s="185"/>
      <c r="D104" s="807"/>
      <c r="E104" s="804"/>
      <c r="F104" s="341" t="s">
        <v>11</v>
      </c>
      <c r="G104" s="341" t="s">
        <v>654</v>
      </c>
      <c r="H104" s="341" t="s">
        <v>11</v>
      </c>
      <c r="I104" s="341" t="s">
        <v>654</v>
      </c>
      <c r="J104" s="341" t="s">
        <v>11</v>
      </c>
      <c r="K104" s="341" t="s">
        <v>654</v>
      </c>
      <c r="L104" s="341" t="s">
        <v>11</v>
      </c>
      <c r="M104" s="268" t="s">
        <v>654</v>
      </c>
    </row>
    <row r="105" spans="1:13" ht="15.75" customHeight="1">
      <c r="A105" s="276"/>
      <c r="B105" s="277"/>
      <c r="C105" s="277"/>
      <c r="D105" s="807"/>
      <c r="E105" s="189" t="s">
        <v>655</v>
      </c>
      <c r="F105" s="271">
        <v>2055.0280000000002</v>
      </c>
      <c r="G105" s="193">
        <f>IFERROR(F105/B100,"")</f>
        <v>0.20468820236106366</v>
      </c>
      <c r="H105" s="271">
        <v>745.81600000000014</v>
      </c>
      <c r="I105" s="193">
        <f>IFERROR(H105/B100,"")</f>
        <v>7.4285964148478295E-2</v>
      </c>
      <c r="J105" s="271">
        <v>0</v>
      </c>
      <c r="K105" s="193">
        <f>IFERROR(J105/B100,"")</f>
        <v>0</v>
      </c>
      <c r="L105" s="271">
        <v>0</v>
      </c>
      <c r="M105" s="272">
        <f>IFERROR(L105/B100,"")</f>
        <v>0</v>
      </c>
    </row>
    <row r="106" spans="1:13" ht="15.75" customHeight="1" thickBot="1">
      <c r="A106" s="278"/>
      <c r="B106" s="279"/>
      <c r="C106" s="279"/>
      <c r="D106" s="816"/>
      <c r="E106" s="280" t="s">
        <v>656</v>
      </c>
      <c r="F106" s="281">
        <v>16573.329590000001</v>
      </c>
      <c r="G106" s="282">
        <f>IFERROR(F106/B101,"")</f>
        <v>0.68841301382430509</v>
      </c>
      <c r="H106" s="281">
        <v>5003.1856200000038</v>
      </c>
      <c r="I106" s="282">
        <f>IFERROR(H106/B101,"")</f>
        <v>0.20781932035339598</v>
      </c>
      <c r="J106" s="281">
        <v>0</v>
      </c>
      <c r="K106" s="282">
        <f>IFERROR(J106/B101,"")</f>
        <v>0</v>
      </c>
      <c r="L106" s="281">
        <v>0</v>
      </c>
      <c r="M106" s="283">
        <f>IFERROR(L106/B101,"")</f>
        <v>0</v>
      </c>
    </row>
    <row r="107" spans="1:13" ht="15.75" customHeight="1">
      <c r="A107" s="810" t="s">
        <v>680</v>
      </c>
      <c r="B107" s="811"/>
      <c r="C107" s="811"/>
      <c r="D107" s="811"/>
      <c r="E107" s="811"/>
      <c r="F107" s="811"/>
      <c r="G107" s="811"/>
      <c r="H107" s="811"/>
      <c r="I107" s="811"/>
      <c r="J107" s="811"/>
      <c r="K107" s="811"/>
      <c r="L107" s="811"/>
      <c r="M107" s="812"/>
    </row>
    <row r="108" spans="1:13" ht="15.75" customHeight="1">
      <c r="A108" s="813"/>
      <c r="B108" s="803"/>
      <c r="C108" s="803"/>
      <c r="D108" s="803"/>
      <c r="E108" s="803"/>
      <c r="F108" s="803"/>
      <c r="G108" s="803"/>
      <c r="H108" s="803"/>
      <c r="I108" s="803"/>
      <c r="J108" s="803"/>
      <c r="K108" s="803"/>
      <c r="L108" s="803"/>
      <c r="M108" s="814"/>
    </row>
    <row r="109" spans="1:13" ht="15.75" customHeight="1">
      <c r="A109" s="266" t="s">
        <v>681</v>
      </c>
      <c r="B109" s="354">
        <v>50444409</v>
      </c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267"/>
    </row>
    <row r="110" spans="1:13" ht="15.75" customHeight="1">
      <c r="A110" s="815" t="s">
        <v>682</v>
      </c>
      <c r="B110" s="805" t="s">
        <v>10</v>
      </c>
      <c r="C110" s="805"/>
      <c r="D110" s="806"/>
      <c r="E110" s="804" t="s">
        <v>682</v>
      </c>
      <c r="F110" s="808">
        <v>1</v>
      </c>
      <c r="G110" s="808"/>
      <c r="H110" s="808">
        <v>2</v>
      </c>
      <c r="I110" s="808"/>
      <c r="J110" s="808">
        <v>3</v>
      </c>
      <c r="K110" s="808"/>
      <c r="L110" s="808">
        <v>4</v>
      </c>
      <c r="M110" s="817"/>
    </row>
    <row r="111" spans="1:13" ht="15.75" customHeight="1">
      <c r="A111" s="815"/>
      <c r="B111" s="805"/>
      <c r="C111" s="805"/>
      <c r="D111" s="807"/>
      <c r="E111" s="804"/>
      <c r="F111" s="800" t="s">
        <v>683</v>
      </c>
      <c r="G111" s="800"/>
      <c r="H111" s="800" t="s">
        <v>684</v>
      </c>
      <c r="I111" s="800"/>
      <c r="J111" s="800" t="s">
        <v>685</v>
      </c>
      <c r="K111" s="800"/>
      <c r="L111" s="800" t="s">
        <v>695</v>
      </c>
      <c r="M111" s="818"/>
    </row>
    <row r="112" spans="1:13" ht="15.75" customHeight="1">
      <c r="A112" s="815"/>
      <c r="B112" s="353" t="s">
        <v>11</v>
      </c>
      <c r="C112" s="353" t="s">
        <v>686</v>
      </c>
      <c r="D112" s="807"/>
      <c r="E112" s="804"/>
      <c r="F112" s="353" t="s">
        <v>11</v>
      </c>
      <c r="G112" s="353" t="s">
        <v>686</v>
      </c>
      <c r="H112" s="353" t="s">
        <v>11</v>
      </c>
      <c r="I112" s="353" t="s">
        <v>686</v>
      </c>
      <c r="J112" s="353" t="s">
        <v>11</v>
      </c>
      <c r="K112" s="353" t="s">
        <v>686</v>
      </c>
      <c r="L112" s="353" t="s">
        <v>11</v>
      </c>
      <c r="M112" s="268" t="s">
        <v>686</v>
      </c>
    </row>
    <row r="113" spans="1:13" ht="15.75" customHeight="1">
      <c r="A113" s="269" t="s">
        <v>687</v>
      </c>
      <c r="B113" s="270">
        <v>10637.800000000001</v>
      </c>
      <c r="C113" s="191">
        <f>B113/B109</f>
        <v>2.1088164597190544E-4</v>
      </c>
      <c r="D113" s="807"/>
      <c r="E113" s="189" t="s">
        <v>687</v>
      </c>
      <c r="F113" s="271">
        <v>0</v>
      </c>
      <c r="G113" s="193">
        <f>IFERROR(F113/B113,"")</f>
        <v>0</v>
      </c>
      <c r="H113" s="271">
        <v>136.82900000000001</v>
      </c>
      <c r="I113" s="193">
        <f>IFERROR(H113/B113,"")</f>
        <v>1.2862527966308823E-2</v>
      </c>
      <c r="J113" s="271">
        <v>3185.3060000000005</v>
      </c>
      <c r="K113" s="193">
        <f>IFERROR(J113/B113,"")</f>
        <v>0.29943277745398489</v>
      </c>
      <c r="L113" s="271">
        <v>4151.8950000000004</v>
      </c>
      <c r="M113" s="272">
        <f>IFERROR(L113/B113,"")</f>
        <v>0.39029639587132681</v>
      </c>
    </row>
    <row r="114" spans="1:13" ht="15.75" customHeight="1">
      <c r="A114" s="273" t="s">
        <v>688</v>
      </c>
      <c r="B114" s="274">
        <v>22192.718089999984</v>
      </c>
      <c r="C114" s="191">
        <f>B114/B109</f>
        <v>4.3994405980650865E-4</v>
      </c>
      <c r="D114" s="807"/>
      <c r="E114" s="195" t="s">
        <v>688</v>
      </c>
      <c r="F114" s="271">
        <v>0</v>
      </c>
      <c r="G114" s="193">
        <f>IFERROR(F114/B114,"")</f>
        <v>0</v>
      </c>
      <c r="H114" s="271">
        <v>431.16616000000005</v>
      </c>
      <c r="I114" s="193">
        <f>IFERROR(H114/B114,"")</f>
        <v>1.942827184355949E-2</v>
      </c>
      <c r="J114" s="271">
        <v>1784.5664799999979</v>
      </c>
      <c r="K114" s="193">
        <f>IFERROR(J114/B114,"")</f>
        <v>8.0412253819604082E-2</v>
      </c>
      <c r="L114" s="271">
        <v>2934.7442599999968</v>
      </c>
      <c r="M114" s="272">
        <f>IFERROR(L114/B114,"")</f>
        <v>0.13223906364684501</v>
      </c>
    </row>
    <row r="115" spans="1:13" ht="15.75" customHeight="1">
      <c r="A115" s="275"/>
      <c r="B115" s="185"/>
      <c r="C115" s="185"/>
      <c r="D115" s="807"/>
      <c r="E115" s="804" t="s">
        <v>682</v>
      </c>
      <c r="F115" s="819">
        <v>5</v>
      </c>
      <c r="G115" s="820"/>
      <c r="H115" s="819">
        <v>6</v>
      </c>
      <c r="I115" s="820"/>
      <c r="J115" s="819">
        <v>7</v>
      </c>
      <c r="K115" s="820"/>
      <c r="L115" s="821">
        <v>8</v>
      </c>
      <c r="M115" s="822"/>
    </row>
    <row r="116" spans="1:13" ht="15.75" customHeight="1">
      <c r="A116" s="275"/>
      <c r="B116" s="185"/>
      <c r="C116" s="185"/>
      <c r="D116" s="807"/>
      <c r="E116" s="804"/>
      <c r="F116" s="823" t="s">
        <v>689</v>
      </c>
      <c r="G116" s="824"/>
      <c r="H116" s="823" t="s">
        <v>690</v>
      </c>
      <c r="I116" s="824"/>
      <c r="J116" s="823" t="s">
        <v>691</v>
      </c>
      <c r="K116" s="824"/>
      <c r="L116" s="825" t="s">
        <v>692</v>
      </c>
      <c r="M116" s="826"/>
    </row>
    <row r="117" spans="1:13" ht="15.75" customHeight="1">
      <c r="A117" s="275"/>
      <c r="B117" s="185"/>
      <c r="C117" s="185"/>
      <c r="D117" s="807"/>
      <c r="E117" s="804"/>
      <c r="F117" s="353" t="s">
        <v>11</v>
      </c>
      <c r="G117" s="353" t="s">
        <v>686</v>
      </c>
      <c r="H117" s="353" t="s">
        <v>11</v>
      </c>
      <c r="I117" s="353" t="s">
        <v>686</v>
      </c>
      <c r="J117" s="353" t="s">
        <v>11</v>
      </c>
      <c r="K117" s="353" t="s">
        <v>686</v>
      </c>
      <c r="L117" s="353" t="s">
        <v>11</v>
      </c>
      <c r="M117" s="268" t="s">
        <v>686</v>
      </c>
    </row>
    <row r="118" spans="1:13" ht="15.75" customHeight="1">
      <c r="A118" s="276"/>
      <c r="B118" s="277"/>
      <c r="C118" s="277"/>
      <c r="D118" s="807"/>
      <c r="E118" s="189" t="s">
        <v>687</v>
      </c>
      <c r="F118" s="271">
        <v>2466.5980000000004</v>
      </c>
      <c r="G118" s="193">
        <f>IFERROR(F118/B113,"")</f>
        <v>0.23187106356577489</v>
      </c>
      <c r="H118" s="271">
        <v>697.17200000000003</v>
      </c>
      <c r="I118" s="193">
        <f>IFERROR(H118/B113,"")</f>
        <v>6.5537235142604663E-2</v>
      </c>
      <c r="J118" s="271">
        <v>0</v>
      </c>
      <c r="K118" s="193">
        <f>IFERROR(J118/B113,"")</f>
        <v>0</v>
      </c>
      <c r="L118" s="271">
        <v>0</v>
      </c>
      <c r="M118" s="272">
        <f>IFERROR(L118/B113,"")</f>
        <v>0</v>
      </c>
    </row>
    <row r="119" spans="1:13" ht="15.75" customHeight="1" thickBot="1">
      <c r="A119" s="278"/>
      <c r="B119" s="279"/>
      <c r="C119" s="279"/>
      <c r="D119" s="816"/>
      <c r="E119" s="280" t="s">
        <v>688</v>
      </c>
      <c r="F119" s="281">
        <v>10862.057839999987</v>
      </c>
      <c r="G119" s="282">
        <f>IFERROR(F119/B114,"")</f>
        <v>0.48944242863583343</v>
      </c>
      <c r="H119" s="281">
        <v>6180.1833500000057</v>
      </c>
      <c r="I119" s="282">
        <f>IFERROR(H119/B114,"")</f>
        <v>0.27847798205415814</v>
      </c>
      <c r="J119" s="281">
        <v>0</v>
      </c>
      <c r="K119" s="282">
        <f>IFERROR(J119/B114,"")</f>
        <v>0</v>
      </c>
      <c r="L119" s="281">
        <v>0</v>
      </c>
      <c r="M119" s="283">
        <f>IFERROR(L119/B114,"")</f>
        <v>0</v>
      </c>
    </row>
    <row r="120" spans="1:13" ht="15.75" customHeight="1">
      <c r="A120" s="810" t="s">
        <v>697</v>
      </c>
      <c r="B120" s="811"/>
      <c r="C120" s="811"/>
      <c r="D120" s="811"/>
      <c r="E120" s="811"/>
      <c r="F120" s="811"/>
      <c r="G120" s="811"/>
      <c r="H120" s="811"/>
      <c r="I120" s="811"/>
      <c r="J120" s="811"/>
      <c r="K120" s="811"/>
      <c r="L120" s="811"/>
      <c r="M120" s="812"/>
    </row>
    <row r="121" spans="1:13" ht="15.75" customHeight="1">
      <c r="A121" s="813"/>
      <c r="B121" s="803"/>
      <c r="C121" s="803"/>
      <c r="D121" s="803"/>
      <c r="E121" s="803"/>
      <c r="F121" s="803"/>
      <c r="G121" s="803"/>
      <c r="H121" s="803"/>
      <c r="I121" s="803"/>
      <c r="J121" s="803"/>
      <c r="K121" s="803"/>
      <c r="L121" s="803"/>
      <c r="M121" s="814"/>
    </row>
    <row r="122" spans="1:13" ht="15.75" customHeight="1">
      <c r="A122" s="266" t="s">
        <v>681</v>
      </c>
      <c r="B122" s="354">
        <v>50896038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267"/>
    </row>
    <row r="123" spans="1:13" ht="15.75" customHeight="1">
      <c r="A123" s="815" t="s">
        <v>682</v>
      </c>
      <c r="B123" s="805" t="s">
        <v>10</v>
      </c>
      <c r="C123" s="805"/>
      <c r="D123" s="806"/>
      <c r="E123" s="804" t="s">
        <v>682</v>
      </c>
      <c r="F123" s="808">
        <v>1</v>
      </c>
      <c r="G123" s="808"/>
      <c r="H123" s="808">
        <v>2</v>
      </c>
      <c r="I123" s="808"/>
      <c r="J123" s="808">
        <v>3</v>
      </c>
      <c r="K123" s="808"/>
      <c r="L123" s="808">
        <v>4</v>
      </c>
      <c r="M123" s="817"/>
    </row>
    <row r="124" spans="1:13" ht="15.75" customHeight="1">
      <c r="A124" s="815"/>
      <c r="B124" s="805"/>
      <c r="C124" s="805"/>
      <c r="D124" s="807"/>
      <c r="E124" s="804"/>
      <c r="F124" s="800" t="s">
        <v>321</v>
      </c>
      <c r="G124" s="800"/>
      <c r="H124" s="800" t="s">
        <v>240</v>
      </c>
      <c r="I124" s="800"/>
      <c r="J124" s="800" t="s">
        <v>685</v>
      </c>
      <c r="K124" s="800"/>
      <c r="L124" s="800" t="s">
        <v>695</v>
      </c>
      <c r="M124" s="818"/>
    </row>
    <row r="125" spans="1:13" ht="15.75" customHeight="1">
      <c r="A125" s="815"/>
      <c r="B125" s="368" t="s">
        <v>11</v>
      </c>
      <c r="C125" s="368" t="s">
        <v>686</v>
      </c>
      <c r="D125" s="807"/>
      <c r="E125" s="804"/>
      <c r="F125" s="368" t="s">
        <v>11</v>
      </c>
      <c r="G125" s="368" t="s">
        <v>686</v>
      </c>
      <c r="H125" s="368" t="s">
        <v>11</v>
      </c>
      <c r="I125" s="368" t="s">
        <v>686</v>
      </c>
      <c r="J125" s="368" t="s">
        <v>11</v>
      </c>
      <c r="K125" s="368" t="s">
        <v>686</v>
      </c>
      <c r="L125" s="368" t="s">
        <v>11</v>
      </c>
      <c r="M125" s="268" t="s">
        <v>686</v>
      </c>
    </row>
    <row r="126" spans="1:13" ht="15.75" customHeight="1">
      <c r="A126" s="269" t="s">
        <v>407</v>
      </c>
      <c r="B126" s="270">
        <v>125923.71199999998</v>
      </c>
      <c r="C126" s="191">
        <f>B126/B122</f>
        <v>2.4741358453088231E-3</v>
      </c>
      <c r="D126" s="807"/>
      <c r="E126" s="189" t="s">
        <v>407</v>
      </c>
      <c r="F126" s="271">
        <v>0</v>
      </c>
      <c r="G126" s="193">
        <f>IFERROR(F126/B126,"")</f>
        <v>0</v>
      </c>
      <c r="H126" s="271">
        <v>413.55200000000002</v>
      </c>
      <c r="I126" s="193">
        <f>IFERROR(H126/B126,"")</f>
        <v>3.2841471509353222E-3</v>
      </c>
      <c r="J126" s="271">
        <v>2539.8149999999996</v>
      </c>
      <c r="K126" s="193">
        <f>IFERROR(J126/B126,"")</f>
        <v>2.0169473720723859E-2</v>
      </c>
      <c r="L126" s="271">
        <v>3379.052000000001</v>
      </c>
      <c r="M126" s="272">
        <f>IFERROR(L126/B126,"")</f>
        <v>2.683412001069347E-2</v>
      </c>
    </row>
    <row r="127" spans="1:13" ht="15.75" customHeight="1">
      <c r="A127" s="273" t="s">
        <v>688</v>
      </c>
      <c r="B127" s="274">
        <v>119028.51714747345</v>
      </c>
      <c r="C127" s="191">
        <f>B127/B122</f>
        <v>2.3386597822697606E-3</v>
      </c>
      <c r="D127" s="807"/>
      <c r="E127" s="195" t="s">
        <v>688</v>
      </c>
      <c r="F127" s="271">
        <v>0</v>
      </c>
      <c r="G127" s="193">
        <f>IFERROR(F127/B127,"")</f>
        <v>0</v>
      </c>
      <c r="H127" s="271">
        <v>1857.0376799999999</v>
      </c>
      <c r="I127" s="193">
        <f>IFERROR(H127/B127,"")</f>
        <v>1.5601619884915268E-2</v>
      </c>
      <c r="J127" s="271">
        <v>916.46043999999961</v>
      </c>
      <c r="K127" s="193">
        <f>IFERROR(J127/B127,"")</f>
        <v>7.6995031271752069E-3</v>
      </c>
      <c r="L127" s="271">
        <v>2305.2656700000025</v>
      </c>
      <c r="M127" s="272">
        <f>IFERROR(L127/B127,"")</f>
        <v>1.936733923303299E-2</v>
      </c>
    </row>
    <row r="128" spans="1:13" ht="15.75" customHeight="1">
      <c r="A128" s="275"/>
      <c r="B128" s="185"/>
      <c r="C128" s="185"/>
      <c r="D128" s="807"/>
      <c r="E128" s="804" t="s">
        <v>682</v>
      </c>
      <c r="F128" s="819">
        <v>5</v>
      </c>
      <c r="G128" s="820"/>
      <c r="H128" s="819">
        <v>6</v>
      </c>
      <c r="I128" s="820"/>
      <c r="J128" s="819">
        <v>7</v>
      </c>
      <c r="K128" s="820"/>
      <c r="L128" s="821">
        <v>8</v>
      </c>
      <c r="M128" s="822"/>
    </row>
    <row r="129" spans="1:13" ht="15.75" customHeight="1">
      <c r="A129" s="275"/>
      <c r="B129" s="185"/>
      <c r="C129" s="185"/>
      <c r="D129" s="807"/>
      <c r="E129" s="804"/>
      <c r="F129" s="823" t="s">
        <v>689</v>
      </c>
      <c r="G129" s="824"/>
      <c r="H129" s="823" t="s">
        <v>412</v>
      </c>
      <c r="I129" s="824"/>
      <c r="J129" s="823" t="s">
        <v>248</v>
      </c>
      <c r="K129" s="824"/>
      <c r="L129" s="825" t="s">
        <v>692</v>
      </c>
      <c r="M129" s="826"/>
    </row>
    <row r="130" spans="1:13" ht="15.75" customHeight="1">
      <c r="A130" s="275"/>
      <c r="B130" s="185"/>
      <c r="C130" s="185"/>
      <c r="D130" s="807"/>
      <c r="E130" s="804"/>
      <c r="F130" s="368" t="s">
        <v>11</v>
      </c>
      <c r="G130" s="368" t="s">
        <v>686</v>
      </c>
      <c r="H130" s="368" t="s">
        <v>11</v>
      </c>
      <c r="I130" s="368" t="s">
        <v>686</v>
      </c>
      <c r="J130" s="368" t="s">
        <v>11</v>
      </c>
      <c r="K130" s="368" t="s">
        <v>686</v>
      </c>
      <c r="L130" s="368" t="s">
        <v>11</v>
      </c>
      <c r="M130" s="268" t="s">
        <v>686</v>
      </c>
    </row>
    <row r="131" spans="1:13" ht="15.75" customHeight="1">
      <c r="A131" s="276"/>
      <c r="B131" s="277"/>
      <c r="C131" s="277"/>
      <c r="D131" s="807"/>
      <c r="E131" s="189" t="s">
        <v>407</v>
      </c>
      <c r="F131" s="271">
        <v>1678.1869999999997</v>
      </c>
      <c r="G131" s="193">
        <f>IFERROR(F131/B126,"")</f>
        <v>1.332701342222186E-2</v>
      </c>
      <c r="H131" s="271">
        <v>737.43200000000002</v>
      </c>
      <c r="I131" s="193">
        <f>IFERROR(H131/B126,"")</f>
        <v>5.8561806056034952E-3</v>
      </c>
      <c r="J131" s="271">
        <v>0</v>
      </c>
      <c r="K131" s="193">
        <f>IFERROR(J131/B126,"")</f>
        <v>0</v>
      </c>
      <c r="L131" s="271">
        <v>0</v>
      </c>
      <c r="M131" s="272">
        <f>IFERROR(L131/B126,"")</f>
        <v>0</v>
      </c>
    </row>
    <row r="132" spans="1:13" ht="15.75" customHeight="1" thickBot="1">
      <c r="A132" s="278"/>
      <c r="B132" s="279"/>
      <c r="C132" s="279"/>
      <c r="D132" s="816"/>
      <c r="E132" s="280" t="s">
        <v>688</v>
      </c>
      <c r="F132" s="281">
        <v>8281.5108900000032</v>
      </c>
      <c r="G132" s="282">
        <f>IFERROR(F132/B127,"")</f>
        <v>6.9575855336745998E-2</v>
      </c>
      <c r="H132" s="281">
        <v>5034.3212100000064</v>
      </c>
      <c r="I132" s="282">
        <f>IFERROR(H132/B127,"")</f>
        <v>4.229508466246458E-2</v>
      </c>
      <c r="J132" s="281">
        <v>935.0999999999998</v>
      </c>
      <c r="K132" s="282">
        <f>IFERROR(J132/B127,"")</f>
        <v>7.856100558166523E-3</v>
      </c>
      <c r="L132" s="281">
        <v>0</v>
      </c>
      <c r="M132" s="283">
        <f>IFERROR(L132/B127,"")</f>
        <v>0</v>
      </c>
    </row>
    <row r="133" spans="1:13" ht="15.75" customHeight="1">
      <c r="A133" s="810" t="s">
        <v>754</v>
      </c>
      <c r="B133" s="811"/>
      <c r="C133" s="811"/>
      <c r="D133" s="811"/>
      <c r="E133" s="811"/>
      <c r="F133" s="811"/>
      <c r="G133" s="811"/>
      <c r="H133" s="811"/>
      <c r="I133" s="811"/>
      <c r="J133" s="811"/>
      <c r="K133" s="811"/>
      <c r="L133" s="811"/>
      <c r="M133" s="812"/>
    </row>
    <row r="134" spans="1:13" ht="15.75" customHeight="1">
      <c r="A134" s="813"/>
      <c r="B134" s="803"/>
      <c r="C134" s="803"/>
      <c r="D134" s="803"/>
      <c r="E134" s="803"/>
      <c r="F134" s="803"/>
      <c r="G134" s="803"/>
      <c r="H134" s="803"/>
      <c r="I134" s="803"/>
      <c r="J134" s="803"/>
      <c r="K134" s="803"/>
      <c r="L134" s="803"/>
      <c r="M134" s="814"/>
    </row>
    <row r="135" spans="1:13" ht="15.75" customHeight="1">
      <c r="A135" s="266" t="s">
        <v>238</v>
      </c>
      <c r="B135" s="354">
        <v>51190043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267"/>
    </row>
    <row r="136" spans="1:13" ht="15.75" customHeight="1">
      <c r="A136" s="815" t="s">
        <v>197</v>
      </c>
      <c r="B136" s="805" t="s">
        <v>10</v>
      </c>
      <c r="C136" s="805"/>
      <c r="D136" s="806"/>
      <c r="E136" s="804" t="s">
        <v>197</v>
      </c>
      <c r="F136" s="808">
        <v>1</v>
      </c>
      <c r="G136" s="808"/>
      <c r="H136" s="808">
        <v>2</v>
      </c>
      <c r="I136" s="808"/>
      <c r="J136" s="808">
        <v>3</v>
      </c>
      <c r="K136" s="808"/>
      <c r="L136" s="808">
        <v>4</v>
      </c>
      <c r="M136" s="817"/>
    </row>
    <row r="137" spans="1:13" ht="15.75" customHeight="1">
      <c r="A137" s="815"/>
      <c r="B137" s="805"/>
      <c r="C137" s="805"/>
      <c r="D137" s="807"/>
      <c r="E137" s="804"/>
      <c r="F137" s="800" t="s">
        <v>250</v>
      </c>
      <c r="G137" s="800"/>
      <c r="H137" s="800" t="s">
        <v>240</v>
      </c>
      <c r="I137" s="800"/>
      <c r="J137" s="800" t="s">
        <v>164</v>
      </c>
      <c r="K137" s="800"/>
      <c r="L137" s="800" t="s">
        <v>695</v>
      </c>
      <c r="M137" s="818"/>
    </row>
    <row r="138" spans="1:13" ht="15.75" customHeight="1">
      <c r="A138" s="815"/>
      <c r="B138" s="426" t="s">
        <v>11</v>
      </c>
      <c r="C138" s="426" t="s">
        <v>41</v>
      </c>
      <c r="D138" s="807"/>
      <c r="E138" s="804"/>
      <c r="F138" s="426" t="s">
        <v>11</v>
      </c>
      <c r="G138" s="426" t="s">
        <v>41</v>
      </c>
      <c r="H138" s="426" t="s">
        <v>11</v>
      </c>
      <c r="I138" s="426" t="s">
        <v>41</v>
      </c>
      <c r="J138" s="426" t="s">
        <v>11</v>
      </c>
      <c r="K138" s="426" t="s">
        <v>41</v>
      </c>
      <c r="L138" s="426" t="s">
        <v>11</v>
      </c>
      <c r="M138" s="268" t="s">
        <v>41</v>
      </c>
    </row>
    <row r="139" spans="1:13" ht="15.75" customHeight="1">
      <c r="A139" s="269" t="s">
        <v>244</v>
      </c>
      <c r="B139" s="270">
        <v>126488</v>
      </c>
      <c r="C139" s="191">
        <f>B139/B135</f>
        <v>2.4709492820703433E-3</v>
      </c>
      <c r="D139" s="807"/>
      <c r="E139" s="189" t="s">
        <v>244</v>
      </c>
      <c r="F139" s="271">
        <v>0</v>
      </c>
      <c r="G139" s="193">
        <f>IFERROR(F139/B139,"")</f>
        <v>0</v>
      </c>
      <c r="H139" s="271">
        <v>134.22499999999999</v>
      </c>
      <c r="I139" s="193">
        <f>IFERROR(H139/B139,"")</f>
        <v>1.0611678578205047E-3</v>
      </c>
      <c r="J139" s="271">
        <v>4376.1360000000004</v>
      </c>
      <c r="K139" s="193">
        <f>IFERROR(J139/B139,"")</f>
        <v>3.4597242426159004E-2</v>
      </c>
      <c r="L139" s="271">
        <v>2683.2860000000001</v>
      </c>
      <c r="M139" s="272">
        <f>IFERROR(L139/B139,"")</f>
        <v>2.1213759408007085E-2</v>
      </c>
    </row>
    <row r="140" spans="1:13" ht="15.75" customHeight="1">
      <c r="A140" s="273" t="s">
        <v>245</v>
      </c>
      <c r="B140" s="274">
        <v>115508.24525041386</v>
      </c>
      <c r="C140" s="191">
        <f>B140/B135</f>
        <v>2.2564592346682316E-3</v>
      </c>
      <c r="D140" s="807"/>
      <c r="E140" s="195" t="s">
        <v>245</v>
      </c>
      <c r="F140" s="271">
        <v>0</v>
      </c>
      <c r="G140" s="193">
        <f>IFERROR(F140/B140,"")</f>
        <v>0</v>
      </c>
      <c r="H140" s="271">
        <v>1567.3288099999995</v>
      </c>
      <c r="I140" s="193">
        <f>IFERROR(H140/B140,"")</f>
        <v>1.3568977752212748E-2</v>
      </c>
      <c r="J140" s="271">
        <v>0</v>
      </c>
      <c r="K140" s="193">
        <f>IFERROR(J140/B140,"")</f>
        <v>0</v>
      </c>
      <c r="L140" s="271">
        <v>3126.5364695081889</v>
      </c>
      <c r="M140" s="272">
        <f>IFERROR(L140/B140,"")</f>
        <v>2.7067647532261221E-2</v>
      </c>
    </row>
    <row r="141" spans="1:13" ht="15.75" customHeight="1">
      <c r="A141" s="275"/>
      <c r="B141" s="185"/>
      <c r="C141" s="185"/>
      <c r="D141" s="807"/>
      <c r="E141" s="804" t="s">
        <v>197</v>
      </c>
      <c r="F141" s="819">
        <v>5</v>
      </c>
      <c r="G141" s="820"/>
      <c r="H141" s="819">
        <v>6</v>
      </c>
      <c r="I141" s="820"/>
      <c r="J141" s="819">
        <v>7</v>
      </c>
      <c r="K141" s="820"/>
      <c r="L141" s="821">
        <v>8</v>
      </c>
      <c r="M141" s="822"/>
    </row>
    <row r="142" spans="1:13" ht="15.75" customHeight="1">
      <c r="A142" s="275"/>
      <c r="B142" s="185"/>
      <c r="C142" s="185"/>
      <c r="D142" s="807"/>
      <c r="E142" s="804"/>
      <c r="F142" s="823" t="s">
        <v>188</v>
      </c>
      <c r="G142" s="824"/>
      <c r="H142" s="823" t="s">
        <v>165</v>
      </c>
      <c r="I142" s="824"/>
      <c r="J142" s="823" t="s">
        <v>189</v>
      </c>
      <c r="K142" s="824"/>
      <c r="L142" s="825" t="s">
        <v>249</v>
      </c>
      <c r="M142" s="826"/>
    </row>
    <row r="143" spans="1:13" ht="15.75" customHeight="1">
      <c r="A143" s="275"/>
      <c r="B143" s="185"/>
      <c r="C143" s="185"/>
      <c r="D143" s="807"/>
      <c r="E143" s="804"/>
      <c r="F143" s="426" t="s">
        <v>11</v>
      </c>
      <c r="G143" s="426" t="s">
        <v>41</v>
      </c>
      <c r="H143" s="426" t="s">
        <v>11</v>
      </c>
      <c r="I143" s="426" t="s">
        <v>41</v>
      </c>
      <c r="J143" s="426" t="s">
        <v>11</v>
      </c>
      <c r="K143" s="426" t="s">
        <v>41</v>
      </c>
      <c r="L143" s="426" t="s">
        <v>11</v>
      </c>
      <c r="M143" s="268" t="s">
        <v>41</v>
      </c>
    </row>
    <row r="144" spans="1:13" ht="15.75" customHeight="1">
      <c r="A144" s="276"/>
      <c r="B144" s="277"/>
      <c r="C144" s="277"/>
      <c r="D144" s="807"/>
      <c r="E144" s="189" t="s">
        <v>244</v>
      </c>
      <c r="F144" s="271">
        <v>1998.4399999999998</v>
      </c>
      <c r="G144" s="193">
        <f>IFERROR(F144/B139,"")</f>
        <v>1.5799443425463282E-2</v>
      </c>
      <c r="H144" s="271">
        <v>929.51</v>
      </c>
      <c r="I144" s="193">
        <f>IFERROR(H144/B139,"")</f>
        <v>7.3486022389475684E-3</v>
      </c>
      <c r="J144" s="271">
        <v>0</v>
      </c>
      <c r="K144" s="193">
        <f>IFERROR(J144/B139,"")</f>
        <v>0</v>
      </c>
      <c r="L144" s="271">
        <v>0</v>
      </c>
      <c r="M144" s="272">
        <f>IFERROR(L144/B139,"")</f>
        <v>0</v>
      </c>
    </row>
    <row r="145" spans="1:13" ht="15.75" customHeight="1" thickBot="1">
      <c r="A145" s="278"/>
      <c r="B145" s="279"/>
      <c r="C145" s="279"/>
      <c r="D145" s="816"/>
      <c r="E145" s="280" t="s">
        <v>245</v>
      </c>
      <c r="F145" s="281">
        <v>9727.9645499999788</v>
      </c>
      <c r="G145" s="282">
        <f>IFERROR(F145/B140,"")</f>
        <v>8.421878913414732E-2</v>
      </c>
      <c r="H145" s="281">
        <v>5044.1673599999995</v>
      </c>
      <c r="I145" s="282">
        <f>IFERROR(H145/B140,"")</f>
        <v>4.3669327233433378E-2</v>
      </c>
      <c r="J145" s="281">
        <v>1022.6864000000024</v>
      </c>
      <c r="K145" s="282">
        <f>IFERROR(J145/B140,"")</f>
        <v>8.8537956557377291E-3</v>
      </c>
      <c r="L145" s="281">
        <v>0</v>
      </c>
      <c r="M145" s="283">
        <f>IFERROR(L145/B140,"")</f>
        <v>0</v>
      </c>
    </row>
    <row r="146" spans="1:13" ht="15.75" customHeight="1">
      <c r="A146" s="810" t="s">
        <v>756</v>
      </c>
      <c r="B146" s="811"/>
      <c r="C146" s="811"/>
      <c r="D146" s="811"/>
      <c r="E146" s="811"/>
      <c r="F146" s="811"/>
      <c r="G146" s="811"/>
      <c r="H146" s="811"/>
      <c r="I146" s="811"/>
      <c r="J146" s="811"/>
      <c r="K146" s="811"/>
      <c r="L146" s="811"/>
      <c r="M146" s="812"/>
    </row>
    <row r="147" spans="1:13" ht="15.75" customHeight="1">
      <c r="A147" s="813"/>
      <c r="B147" s="803"/>
      <c r="C147" s="803"/>
      <c r="D147" s="803"/>
      <c r="E147" s="803"/>
      <c r="F147" s="803"/>
      <c r="G147" s="803"/>
      <c r="H147" s="803"/>
      <c r="I147" s="803"/>
      <c r="J147" s="803"/>
      <c r="K147" s="803"/>
      <c r="L147" s="803"/>
      <c r="M147" s="814"/>
    </row>
    <row r="148" spans="1:13" ht="15.75" customHeight="1">
      <c r="A148" s="266" t="s">
        <v>238</v>
      </c>
      <c r="B148" s="354">
        <v>49497330</v>
      </c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267"/>
    </row>
    <row r="149" spans="1:13" ht="15.75" customHeight="1">
      <c r="A149" s="815" t="s">
        <v>197</v>
      </c>
      <c r="B149" s="805" t="s">
        <v>10</v>
      </c>
      <c r="C149" s="805"/>
      <c r="D149" s="806"/>
      <c r="E149" s="804" t="s">
        <v>197</v>
      </c>
      <c r="F149" s="808">
        <v>1</v>
      </c>
      <c r="G149" s="808"/>
      <c r="H149" s="808">
        <v>2</v>
      </c>
      <c r="I149" s="808"/>
      <c r="J149" s="808">
        <v>3</v>
      </c>
      <c r="K149" s="808"/>
      <c r="L149" s="808">
        <v>4</v>
      </c>
      <c r="M149" s="817"/>
    </row>
    <row r="150" spans="1:13" ht="15.75" customHeight="1">
      <c r="A150" s="815"/>
      <c r="B150" s="805"/>
      <c r="C150" s="805"/>
      <c r="D150" s="807"/>
      <c r="E150" s="804"/>
      <c r="F150" s="800" t="s">
        <v>250</v>
      </c>
      <c r="G150" s="800"/>
      <c r="H150" s="800" t="s">
        <v>240</v>
      </c>
      <c r="I150" s="800"/>
      <c r="J150" s="800" t="s">
        <v>164</v>
      </c>
      <c r="K150" s="800"/>
      <c r="L150" s="800" t="s">
        <v>695</v>
      </c>
      <c r="M150" s="818"/>
    </row>
    <row r="151" spans="1:13" ht="15.75" customHeight="1">
      <c r="A151" s="815"/>
      <c r="B151" s="429" t="s">
        <v>11</v>
      </c>
      <c r="C151" s="429" t="s">
        <v>41</v>
      </c>
      <c r="D151" s="807"/>
      <c r="E151" s="804"/>
      <c r="F151" s="429" t="s">
        <v>11</v>
      </c>
      <c r="G151" s="429" t="s">
        <v>41</v>
      </c>
      <c r="H151" s="429" t="s">
        <v>11</v>
      </c>
      <c r="I151" s="429" t="s">
        <v>41</v>
      </c>
      <c r="J151" s="429" t="s">
        <v>11</v>
      </c>
      <c r="K151" s="429" t="s">
        <v>41</v>
      </c>
      <c r="L151" s="429" t="s">
        <v>11</v>
      </c>
      <c r="M151" s="268" t="s">
        <v>41</v>
      </c>
    </row>
    <row r="152" spans="1:13" ht="15.75" customHeight="1">
      <c r="A152" s="269" t="s">
        <v>244</v>
      </c>
      <c r="B152" s="270">
        <v>121653.17465</v>
      </c>
      <c r="C152" s="191">
        <f>B152/B148</f>
        <v>2.4577724626762697E-3</v>
      </c>
      <c r="D152" s="807"/>
      <c r="E152" s="189" t="s">
        <v>244</v>
      </c>
      <c r="F152" s="271">
        <v>0</v>
      </c>
      <c r="G152" s="193">
        <f>IFERROR(F152/B152,"")</f>
        <v>0</v>
      </c>
      <c r="H152" s="271">
        <v>278.36500000000001</v>
      </c>
      <c r="I152" s="193">
        <f>IFERROR(H152/B152,"")</f>
        <v>2.2881852512346254E-3</v>
      </c>
      <c r="J152" s="271">
        <v>1647.2909999999999</v>
      </c>
      <c r="K152" s="193">
        <f>IFERROR(J152/B152,"")</f>
        <v>1.3540879674856886E-2</v>
      </c>
      <c r="L152" s="271">
        <v>4182.6130000000003</v>
      </c>
      <c r="M152" s="272">
        <f>IFERROR(L152/B152,"")</f>
        <v>3.4381453768333702E-2</v>
      </c>
    </row>
    <row r="153" spans="1:13" ht="15.75" customHeight="1">
      <c r="A153" s="273" t="s">
        <v>245</v>
      </c>
      <c r="B153" s="274">
        <v>118133.70914207518</v>
      </c>
      <c r="C153" s="191">
        <f>B153/B148</f>
        <v>2.3866683140701768E-3</v>
      </c>
      <c r="D153" s="807"/>
      <c r="E153" s="195" t="s">
        <v>245</v>
      </c>
      <c r="F153" s="271">
        <v>0</v>
      </c>
      <c r="G153" s="193">
        <f>IFERROR(F153/B153,"")</f>
        <v>0</v>
      </c>
      <c r="H153" s="271">
        <v>439.30235999999979</v>
      </c>
      <c r="I153" s="193">
        <f>IFERROR(H153/B153,"")</f>
        <v>3.7186876056830363E-3</v>
      </c>
      <c r="J153" s="271">
        <v>403.64119999999946</v>
      </c>
      <c r="K153" s="193">
        <f>IFERROR(J153/B153,"")</f>
        <v>3.4168164441070298E-3</v>
      </c>
      <c r="L153" s="271">
        <v>2938.0159700000004</v>
      </c>
      <c r="M153" s="272">
        <f>IFERROR(L153/B153,"")</f>
        <v>2.4870259228604714E-2</v>
      </c>
    </row>
    <row r="154" spans="1:13" ht="15.75" customHeight="1">
      <c r="A154" s="275"/>
      <c r="B154" s="185"/>
      <c r="C154" s="185"/>
      <c r="D154" s="807"/>
      <c r="E154" s="804" t="s">
        <v>197</v>
      </c>
      <c r="F154" s="819">
        <v>5</v>
      </c>
      <c r="G154" s="820"/>
      <c r="H154" s="819">
        <v>6</v>
      </c>
      <c r="I154" s="820"/>
      <c r="J154" s="819">
        <v>7</v>
      </c>
      <c r="K154" s="820"/>
      <c r="L154" s="821">
        <v>8</v>
      </c>
      <c r="M154" s="822"/>
    </row>
    <row r="155" spans="1:13" ht="15.75" customHeight="1">
      <c r="A155" s="275"/>
      <c r="B155" s="185"/>
      <c r="C155" s="185"/>
      <c r="D155" s="807"/>
      <c r="E155" s="804"/>
      <c r="F155" s="823" t="s">
        <v>188</v>
      </c>
      <c r="G155" s="824"/>
      <c r="H155" s="823" t="s">
        <v>165</v>
      </c>
      <c r="I155" s="824"/>
      <c r="J155" s="823" t="s">
        <v>189</v>
      </c>
      <c r="K155" s="824"/>
      <c r="L155" s="825" t="s">
        <v>249</v>
      </c>
      <c r="M155" s="826"/>
    </row>
    <row r="156" spans="1:13" ht="15.75" customHeight="1">
      <c r="A156" s="275"/>
      <c r="B156" s="185"/>
      <c r="C156" s="185"/>
      <c r="D156" s="807"/>
      <c r="E156" s="804"/>
      <c r="F156" s="429" t="s">
        <v>11</v>
      </c>
      <c r="G156" s="429" t="s">
        <v>41</v>
      </c>
      <c r="H156" s="429" t="s">
        <v>11</v>
      </c>
      <c r="I156" s="429" t="s">
        <v>41</v>
      </c>
      <c r="J156" s="429" t="s">
        <v>11</v>
      </c>
      <c r="K156" s="429" t="s">
        <v>41</v>
      </c>
      <c r="L156" s="429" t="s">
        <v>11</v>
      </c>
      <c r="M156" s="268" t="s">
        <v>41</v>
      </c>
    </row>
    <row r="157" spans="1:13" ht="15.75" customHeight="1">
      <c r="A157" s="276"/>
      <c r="B157" s="277"/>
      <c r="C157" s="277"/>
      <c r="D157" s="807"/>
      <c r="E157" s="189" t="s">
        <v>244</v>
      </c>
      <c r="F157" s="271">
        <v>2506.0449999999996</v>
      </c>
      <c r="G157" s="193">
        <f>IFERROR(F157/B152,"")</f>
        <v>2.0599914529234192E-2</v>
      </c>
      <c r="H157" s="271">
        <v>1135.7530000000002</v>
      </c>
      <c r="I157" s="193">
        <f>IFERROR(H157/B152,"")</f>
        <v>9.3359914631705836E-3</v>
      </c>
      <c r="J157" s="271">
        <v>290.55100000000004</v>
      </c>
      <c r="K157" s="193">
        <f>IFERROR(J157/B152,"")</f>
        <v>2.3883552635262039E-3</v>
      </c>
      <c r="L157" s="271">
        <v>0</v>
      </c>
      <c r="M157" s="272">
        <f>IFERROR(L157/B152,"")</f>
        <v>0</v>
      </c>
    </row>
    <row r="158" spans="1:13" ht="15.75" customHeight="1" thickBot="1">
      <c r="A158" s="278"/>
      <c r="B158" s="279"/>
      <c r="C158" s="279"/>
      <c r="D158" s="816"/>
      <c r="E158" s="280" t="s">
        <v>245</v>
      </c>
      <c r="F158" s="281">
        <v>7689.4863200000027</v>
      </c>
      <c r="G158" s="282">
        <f>IFERROR(F158/B153,"")</f>
        <v>6.5091381417239108E-2</v>
      </c>
      <c r="H158" s="281">
        <v>5591.6998200000153</v>
      </c>
      <c r="I158" s="282">
        <f>IFERROR(H158/B153,"")</f>
        <v>4.7333651509029302E-2</v>
      </c>
      <c r="J158" s="281">
        <v>1252.1805999999999</v>
      </c>
      <c r="K158" s="282">
        <f>IFERROR(J158/B153,"")</f>
        <v>1.0599689191965073E-2</v>
      </c>
      <c r="L158" s="281">
        <v>0</v>
      </c>
      <c r="M158" s="283">
        <f>IFERROR(L158/B153,"")</f>
        <v>0</v>
      </c>
    </row>
    <row r="159" spans="1:13" ht="15.75" customHeight="1">
      <c r="A159" s="810" t="s">
        <v>758</v>
      </c>
      <c r="B159" s="811"/>
      <c r="C159" s="811"/>
      <c r="D159" s="811"/>
      <c r="E159" s="811"/>
      <c r="F159" s="811"/>
      <c r="G159" s="811"/>
      <c r="H159" s="811"/>
      <c r="I159" s="811"/>
      <c r="J159" s="811"/>
      <c r="K159" s="811"/>
      <c r="L159" s="811"/>
      <c r="M159" s="812"/>
    </row>
    <row r="160" spans="1:13" ht="15.75" customHeight="1">
      <c r="A160" s="813"/>
      <c r="B160" s="803"/>
      <c r="C160" s="803"/>
      <c r="D160" s="803"/>
      <c r="E160" s="803"/>
      <c r="F160" s="803"/>
      <c r="G160" s="803"/>
      <c r="H160" s="803"/>
      <c r="I160" s="803"/>
      <c r="J160" s="803"/>
      <c r="K160" s="803"/>
      <c r="L160" s="803"/>
      <c r="M160" s="814"/>
    </row>
    <row r="161" spans="1:13" ht="15.75" customHeight="1">
      <c r="A161" s="266" t="s">
        <v>238</v>
      </c>
      <c r="B161" s="354">
        <v>52649495</v>
      </c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267"/>
    </row>
    <row r="162" spans="1:13" ht="15.75" customHeight="1">
      <c r="A162" s="815" t="s">
        <v>197</v>
      </c>
      <c r="B162" s="805" t="s">
        <v>10</v>
      </c>
      <c r="C162" s="805"/>
      <c r="D162" s="806"/>
      <c r="E162" s="804" t="s">
        <v>197</v>
      </c>
      <c r="F162" s="808">
        <v>1</v>
      </c>
      <c r="G162" s="808"/>
      <c r="H162" s="808">
        <v>2</v>
      </c>
      <c r="I162" s="808"/>
      <c r="J162" s="808">
        <v>3</v>
      </c>
      <c r="K162" s="808"/>
      <c r="L162" s="808">
        <v>4</v>
      </c>
      <c r="M162" s="817"/>
    </row>
    <row r="163" spans="1:13" ht="15.75" customHeight="1">
      <c r="A163" s="815"/>
      <c r="B163" s="805"/>
      <c r="C163" s="805"/>
      <c r="D163" s="807"/>
      <c r="E163" s="804"/>
      <c r="F163" s="800" t="s">
        <v>250</v>
      </c>
      <c r="G163" s="800"/>
      <c r="H163" s="800" t="s">
        <v>240</v>
      </c>
      <c r="I163" s="800"/>
      <c r="J163" s="800" t="s">
        <v>164</v>
      </c>
      <c r="K163" s="800"/>
      <c r="L163" s="800" t="s">
        <v>695</v>
      </c>
      <c r="M163" s="818"/>
    </row>
    <row r="164" spans="1:13" ht="15.75" customHeight="1">
      <c r="A164" s="815"/>
      <c r="B164" s="444" t="s">
        <v>11</v>
      </c>
      <c r="C164" s="444" t="s">
        <v>41</v>
      </c>
      <c r="D164" s="807"/>
      <c r="E164" s="804"/>
      <c r="F164" s="444" t="s">
        <v>11</v>
      </c>
      <c r="G164" s="444" t="s">
        <v>41</v>
      </c>
      <c r="H164" s="444" t="s">
        <v>11</v>
      </c>
      <c r="I164" s="444" t="s">
        <v>41</v>
      </c>
      <c r="J164" s="444" t="s">
        <v>11</v>
      </c>
      <c r="K164" s="444" t="s">
        <v>41</v>
      </c>
      <c r="L164" s="444" t="s">
        <v>11</v>
      </c>
      <c r="M164" s="268" t="s">
        <v>41</v>
      </c>
    </row>
    <row r="165" spans="1:13" ht="15.75" customHeight="1">
      <c r="A165" s="269" t="s">
        <v>244</v>
      </c>
      <c r="B165" s="270">
        <v>129274</v>
      </c>
      <c r="C165" s="191">
        <f>B165/B161</f>
        <v>2.4553701797139743E-3</v>
      </c>
      <c r="D165" s="807"/>
      <c r="E165" s="189" t="s">
        <v>244</v>
      </c>
      <c r="F165" s="271">
        <v>0</v>
      </c>
      <c r="G165" s="193">
        <f>IFERROR(F165/B165,"")</f>
        <v>0</v>
      </c>
      <c r="H165" s="271">
        <v>308.69000000000005</v>
      </c>
      <c r="I165" s="193">
        <f>IFERROR(H165/B165,"")</f>
        <v>2.3878738184012257E-3</v>
      </c>
      <c r="J165" s="271">
        <v>721.21400000000006</v>
      </c>
      <c r="K165" s="193">
        <f>IFERROR(J165/B165,"")</f>
        <v>5.5789563253245047E-3</v>
      </c>
      <c r="L165" s="271">
        <v>4567.991</v>
      </c>
      <c r="M165" s="272">
        <f>IFERROR(L165/B165,"")</f>
        <v>3.5335728762164086E-2</v>
      </c>
    </row>
    <row r="166" spans="1:13" ht="15.75" customHeight="1">
      <c r="A166" s="273" t="s">
        <v>245</v>
      </c>
      <c r="B166" s="274">
        <v>118981.92926777399</v>
      </c>
      <c r="C166" s="191">
        <f>B166/B161</f>
        <v>2.2598873791244149E-3</v>
      </c>
      <c r="D166" s="807"/>
      <c r="E166" s="195" t="s">
        <v>245</v>
      </c>
      <c r="F166" s="271">
        <v>0</v>
      </c>
      <c r="G166" s="193">
        <f>IFERROR(F166/B166,"")</f>
        <v>0</v>
      </c>
      <c r="H166" s="271">
        <v>0</v>
      </c>
      <c r="I166" s="193">
        <f>IFERROR(H166/B166,"")</f>
        <v>0</v>
      </c>
      <c r="J166" s="271">
        <v>638.26473999999939</v>
      </c>
      <c r="K166" s="193">
        <f>IFERROR(J166/B166,"")</f>
        <v>5.3643838516314263E-3</v>
      </c>
      <c r="L166" s="271">
        <v>4112.5036300000047</v>
      </c>
      <c r="M166" s="272">
        <f>IFERROR(L166/B166,"")</f>
        <v>3.4564102761728104E-2</v>
      </c>
    </row>
    <row r="167" spans="1:13" ht="15.75" customHeight="1">
      <c r="A167" s="275"/>
      <c r="B167" s="185"/>
      <c r="C167" s="185"/>
      <c r="D167" s="807"/>
      <c r="E167" s="804" t="s">
        <v>197</v>
      </c>
      <c r="F167" s="819">
        <v>5</v>
      </c>
      <c r="G167" s="820"/>
      <c r="H167" s="819">
        <v>6</v>
      </c>
      <c r="I167" s="820"/>
      <c r="J167" s="819">
        <v>7</v>
      </c>
      <c r="K167" s="820"/>
      <c r="L167" s="821">
        <v>8</v>
      </c>
      <c r="M167" s="822"/>
    </row>
    <row r="168" spans="1:13" ht="15.75" customHeight="1">
      <c r="A168" s="275"/>
      <c r="B168" s="185"/>
      <c r="C168" s="185"/>
      <c r="D168" s="807"/>
      <c r="E168" s="804"/>
      <c r="F168" s="823" t="s">
        <v>188</v>
      </c>
      <c r="G168" s="824"/>
      <c r="H168" s="823" t="s">
        <v>165</v>
      </c>
      <c r="I168" s="824"/>
      <c r="J168" s="823" t="s">
        <v>189</v>
      </c>
      <c r="K168" s="824"/>
      <c r="L168" s="825" t="s">
        <v>249</v>
      </c>
      <c r="M168" s="826"/>
    </row>
    <row r="169" spans="1:13" ht="15.75" customHeight="1">
      <c r="A169" s="275"/>
      <c r="B169" s="185"/>
      <c r="C169" s="185"/>
      <c r="D169" s="807"/>
      <c r="E169" s="804"/>
      <c r="F169" s="444" t="s">
        <v>11</v>
      </c>
      <c r="G169" s="444" t="s">
        <v>41</v>
      </c>
      <c r="H169" s="444" t="s">
        <v>11</v>
      </c>
      <c r="I169" s="444" t="s">
        <v>41</v>
      </c>
      <c r="J169" s="444" t="s">
        <v>11</v>
      </c>
      <c r="K169" s="444" t="s">
        <v>41</v>
      </c>
      <c r="L169" s="444" t="s">
        <v>11</v>
      </c>
      <c r="M169" s="268" t="s">
        <v>41</v>
      </c>
    </row>
    <row r="170" spans="1:13" ht="15.75" customHeight="1">
      <c r="A170" s="276"/>
      <c r="B170" s="277"/>
      <c r="C170" s="277"/>
      <c r="D170" s="807"/>
      <c r="E170" s="189" t="s">
        <v>244</v>
      </c>
      <c r="F170" s="271">
        <v>2919.8290000000006</v>
      </c>
      <c r="G170" s="193">
        <f>IFERROR(F170/B165,"")</f>
        <v>2.2586359206027511E-2</v>
      </c>
      <c r="H170" s="271">
        <v>1754.818</v>
      </c>
      <c r="I170" s="193">
        <f>IFERROR(H170/B165,"")</f>
        <v>1.3574407846898834E-2</v>
      </c>
      <c r="J170" s="271">
        <v>504.61500000000001</v>
      </c>
      <c r="K170" s="193">
        <f>IFERROR(J170/B165,"")</f>
        <v>3.9034531305598961E-3</v>
      </c>
      <c r="L170" s="271">
        <v>0</v>
      </c>
      <c r="M170" s="272">
        <f>IFERROR(L170/B165,"")</f>
        <v>0</v>
      </c>
    </row>
    <row r="171" spans="1:13" ht="15.75" customHeight="1" thickBot="1">
      <c r="A171" s="278"/>
      <c r="B171" s="279"/>
      <c r="C171" s="279"/>
      <c r="D171" s="816"/>
      <c r="E171" s="280" t="s">
        <v>245</v>
      </c>
      <c r="F171" s="281">
        <v>7286.3094799999935</v>
      </c>
      <c r="G171" s="282">
        <f>IFERROR(F171/B166,"")</f>
        <v>6.1238790838580526E-2</v>
      </c>
      <c r="H171" s="281">
        <v>3621.9585500000039</v>
      </c>
      <c r="I171" s="282">
        <f>IFERROR(H171/B166,"")</f>
        <v>3.0441249123206175E-2</v>
      </c>
      <c r="J171" s="281">
        <v>1091.537080000001</v>
      </c>
      <c r="K171" s="282">
        <f>IFERROR(J171/B166,"")</f>
        <v>9.1739736169805207E-3</v>
      </c>
      <c r="L171" s="281">
        <v>0</v>
      </c>
      <c r="M171" s="283">
        <f>IFERROR(L171/B166,"")</f>
        <v>0</v>
      </c>
    </row>
    <row r="172" spans="1:13" ht="15.75" customHeight="1">
      <c r="A172" s="810" t="s">
        <v>785</v>
      </c>
      <c r="B172" s="811"/>
      <c r="C172" s="811"/>
      <c r="D172" s="811"/>
      <c r="E172" s="811"/>
      <c r="F172" s="811"/>
      <c r="G172" s="811"/>
      <c r="H172" s="811"/>
      <c r="I172" s="811"/>
      <c r="J172" s="811"/>
      <c r="K172" s="811"/>
      <c r="L172" s="811"/>
      <c r="M172" s="812"/>
    </row>
    <row r="173" spans="1:13" ht="15.75" customHeight="1">
      <c r="A173" s="813"/>
      <c r="B173" s="803"/>
      <c r="C173" s="803"/>
      <c r="D173" s="803"/>
      <c r="E173" s="803"/>
      <c r="F173" s="803"/>
      <c r="G173" s="803"/>
      <c r="H173" s="803"/>
      <c r="I173" s="803"/>
      <c r="J173" s="803"/>
      <c r="K173" s="803"/>
      <c r="L173" s="803"/>
      <c r="M173" s="814"/>
    </row>
    <row r="174" spans="1:13" ht="15.75" customHeight="1">
      <c r="A174" s="266" t="s">
        <v>238</v>
      </c>
      <c r="B174" s="354">
        <v>49899447</v>
      </c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267"/>
    </row>
    <row r="175" spans="1:13" ht="15.75" customHeight="1">
      <c r="A175" s="815" t="s">
        <v>197</v>
      </c>
      <c r="B175" s="805" t="s">
        <v>10</v>
      </c>
      <c r="C175" s="805"/>
      <c r="D175" s="806"/>
      <c r="E175" s="804" t="s">
        <v>197</v>
      </c>
      <c r="F175" s="808">
        <v>1</v>
      </c>
      <c r="G175" s="808"/>
      <c r="H175" s="808">
        <v>2</v>
      </c>
      <c r="I175" s="808"/>
      <c r="J175" s="808">
        <v>3</v>
      </c>
      <c r="K175" s="808"/>
      <c r="L175" s="808">
        <v>4</v>
      </c>
      <c r="M175" s="817"/>
    </row>
    <row r="176" spans="1:13" ht="15.75" customHeight="1">
      <c r="A176" s="815"/>
      <c r="B176" s="805"/>
      <c r="C176" s="805"/>
      <c r="D176" s="807"/>
      <c r="E176" s="804"/>
      <c r="F176" s="800" t="s">
        <v>250</v>
      </c>
      <c r="G176" s="800"/>
      <c r="H176" s="800" t="s">
        <v>240</v>
      </c>
      <c r="I176" s="800"/>
      <c r="J176" s="800" t="s">
        <v>164</v>
      </c>
      <c r="K176" s="800"/>
      <c r="L176" s="800" t="s">
        <v>695</v>
      </c>
      <c r="M176" s="818"/>
    </row>
    <row r="177" spans="1:13" ht="15.75" customHeight="1">
      <c r="A177" s="815"/>
      <c r="B177" s="453" t="s">
        <v>11</v>
      </c>
      <c r="C177" s="453" t="s">
        <v>41</v>
      </c>
      <c r="D177" s="807"/>
      <c r="E177" s="804"/>
      <c r="F177" s="453" t="s">
        <v>11</v>
      </c>
      <c r="G177" s="453" t="s">
        <v>41</v>
      </c>
      <c r="H177" s="453" t="s">
        <v>11</v>
      </c>
      <c r="I177" s="453" t="s">
        <v>41</v>
      </c>
      <c r="J177" s="453" t="s">
        <v>11</v>
      </c>
      <c r="K177" s="453" t="s">
        <v>41</v>
      </c>
      <c r="L177" s="453" t="s">
        <v>11</v>
      </c>
      <c r="M177" s="268" t="s">
        <v>41</v>
      </c>
    </row>
    <row r="178" spans="1:13" ht="15.75" customHeight="1">
      <c r="A178" s="269" t="s">
        <v>244</v>
      </c>
      <c r="B178" s="270">
        <v>122397.80100000001</v>
      </c>
      <c r="C178" s="191">
        <f>B178/B174</f>
        <v>2.4528889268051407E-3</v>
      </c>
      <c r="D178" s="807"/>
      <c r="E178" s="189" t="s">
        <v>244</v>
      </c>
      <c r="F178" s="271">
        <v>0</v>
      </c>
      <c r="G178" s="193">
        <f>IFERROR(F178/B178,"")</f>
        <v>0</v>
      </c>
      <c r="H178" s="271">
        <v>280.89300000000003</v>
      </c>
      <c r="I178" s="193">
        <f>IFERROR(H178/B178,"")</f>
        <v>2.2949186807694364E-3</v>
      </c>
      <c r="J178" s="271">
        <v>1185.7960000000003</v>
      </c>
      <c r="K178" s="193">
        <f>IFERROR(J178/B178,"")</f>
        <v>9.6880498694580323E-3</v>
      </c>
      <c r="L178" s="271">
        <v>2752.3570000000004</v>
      </c>
      <c r="M178" s="272">
        <f>IFERROR(L178/B178,"")</f>
        <v>2.2486980791427785E-2</v>
      </c>
    </row>
    <row r="179" spans="1:13" ht="15.75" customHeight="1">
      <c r="A179" s="273" t="s">
        <v>245</v>
      </c>
      <c r="B179" s="274">
        <v>110502.30436585688</v>
      </c>
      <c r="C179" s="191">
        <f>B179/B174</f>
        <v>2.2144995788401598E-3</v>
      </c>
      <c r="D179" s="807"/>
      <c r="E179" s="195" t="s">
        <v>245</v>
      </c>
      <c r="F179" s="271">
        <v>0</v>
      </c>
      <c r="G179" s="193">
        <f>IFERROR(F179/B179,"")</f>
        <v>0</v>
      </c>
      <c r="H179" s="271">
        <v>0</v>
      </c>
      <c r="I179" s="193">
        <f>IFERROR(H179/B179,"")</f>
        <v>0</v>
      </c>
      <c r="J179" s="271">
        <v>335.43429000000094</v>
      </c>
      <c r="K179" s="193">
        <f>IFERROR(J179/B179,"")</f>
        <v>3.0355411312458004E-3</v>
      </c>
      <c r="L179" s="271">
        <v>2469.7383400000108</v>
      </c>
      <c r="M179" s="272">
        <f>IFERROR(L179/B179,"")</f>
        <v>2.2350107123767032E-2</v>
      </c>
    </row>
    <row r="180" spans="1:13" ht="15.75" customHeight="1">
      <c r="A180" s="275"/>
      <c r="B180" s="185"/>
      <c r="C180" s="185"/>
      <c r="D180" s="807"/>
      <c r="E180" s="804" t="s">
        <v>197</v>
      </c>
      <c r="F180" s="819">
        <v>5</v>
      </c>
      <c r="G180" s="820"/>
      <c r="H180" s="819">
        <v>6</v>
      </c>
      <c r="I180" s="820"/>
      <c r="J180" s="819">
        <v>7</v>
      </c>
      <c r="K180" s="820"/>
      <c r="L180" s="821">
        <v>8</v>
      </c>
      <c r="M180" s="822"/>
    </row>
    <row r="181" spans="1:13" ht="15.75" customHeight="1">
      <c r="A181" s="275"/>
      <c r="B181" s="185"/>
      <c r="C181" s="185"/>
      <c r="D181" s="807"/>
      <c r="E181" s="804"/>
      <c r="F181" s="823" t="s">
        <v>188</v>
      </c>
      <c r="G181" s="824"/>
      <c r="H181" s="823" t="s">
        <v>165</v>
      </c>
      <c r="I181" s="824"/>
      <c r="J181" s="823" t="s">
        <v>189</v>
      </c>
      <c r="K181" s="824"/>
      <c r="L181" s="825" t="s">
        <v>249</v>
      </c>
      <c r="M181" s="826"/>
    </row>
    <row r="182" spans="1:13" ht="15.75" customHeight="1">
      <c r="A182" s="275"/>
      <c r="B182" s="185"/>
      <c r="C182" s="185"/>
      <c r="D182" s="807"/>
      <c r="E182" s="804"/>
      <c r="F182" s="453" t="s">
        <v>11</v>
      </c>
      <c r="G182" s="453" t="s">
        <v>41</v>
      </c>
      <c r="H182" s="453" t="s">
        <v>11</v>
      </c>
      <c r="I182" s="453" t="s">
        <v>41</v>
      </c>
      <c r="J182" s="453" t="s">
        <v>11</v>
      </c>
      <c r="K182" s="453" t="s">
        <v>41</v>
      </c>
      <c r="L182" s="453" t="s">
        <v>11</v>
      </c>
      <c r="M182" s="268" t="s">
        <v>41</v>
      </c>
    </row>
    <row r="183" spans="1:13" ht="15.75" customHeight="1">
      <c r="A183" s="276"/>
      <c r="B183" s="277"/>
      <c r="C183" s="277"/>
      <c r="D183" s="807"/>
      <c r="E183" s="189" t="s">
        <v>244</v>
      </c>
      <c r="F183" s="271">
        <v>4668.351999999999</v>
      </c>
      <c r="G183" s="193">
        <f>IFERROR(F183/B178,"")</f>
        <v>3.814081594488776E-2</v>
      </c>
      <c r="H183" s="271">
        <v>1295.3419999999999</v>
      </c>
      <c r="I183" s="193">
        <f>IFERROR(H183/B178,"")</f>
        <v>1.0583049608873282E-2</v>
      </c>
      <c r="J183" s="271">
        <v>336.41</v>
      </c>
      <c r="K183" s="193">
        <f>IFERROR(J183/B178,"")</f>
        <v>2.7484970910547652E-3</v>
      </c>
      <c r="L183" s="271">
        <v>0</v>
      </c>
      <c r="M183" s="272">
        <f>IFERROR(L183/B178,"")</f>
        <v>0</v>
      </c>
    </row>
    <row r="184" spans="1:13" ht="15.75" customHeight="1" thickBot="1">
      <c r="A184" s="278"/>
      <c r="B184" s="279"/>
      <c r="C184" s="279"/>
      <c r="D184" s="816"/>
      <c r="E184" s="280" t="s">
        <v>245</v>
      </c>
      <c r="F184" s="281">
        <v>8778.6225899999881</v>
      </c>
      <c r="G184" s="282">
        <f>IFERROR(F184/B179,"")</f>
        <v>7.9442891624551648E-2</v>
      </c>
      <c r="H184" s="281">
        <v>3397.7179399999904</v>
      </c>
      <c r="I184" s="282">
        <f>IFERROR(H184/B179,"")</f>
        <v>3.0747937425364868E-2</v>
      </c>
      <c r="J184" s="281">
        <v>1368.9606800000008</v>
      </c>
      <c r="K184" s="282">
        <f>IFERROR(J184/B179,"")</f>
        <v>1.2388526084194346E-2</v>
      </c>
      <c r="L184" s="281">
        <v>0</v>
      </c>
      <c r="M184" s="283">
        <f>IFERROR(L184/B179,"")</f>
        <v>0</v>
      </c>
    </row>
    <row r="185" spans="1:13" ht="15.75" customHeight="1">
      <c r="A185" s="810" t="s">
        <v>788</v>
      </c>
      <c r="B185" s="811"/>
      <c r="C185" s="811"/>
      <c r="D185" s="811"/>
      <c r="E185" s="811"/>
      <c r="F185" s="811"/>
      <c r="G185" s="811"/>
      <c r="H185" s="811"/>
      <c r="I185" s="811"/>
      <c r="J185" s="811"/>
      <c r="K185" s="811"/>
      <c r="L185" s="811"/>
      <c r="M185" s="812"/>
    </row>
    <row r="186" spans="1:13" ht="15.75" customHeight="1">
      <c r="A186" s="813"/>
      <c r="B186" s="803"/>
      <c r="C186" s="803"/>
      <c r="D186" s="803"/>
      <c r="E186" s="803"/>
      <c r="F186" s="803"/>
      <c r="G186" s="803"/>
      <c r="H186" s="803"/>
      <c r="I186" s="803"/>
      <c r="J186" s="803"/>
      <c r="K186" s="803"/>
      <c r="L186" s="803"/>
      <c r="M186" s="814"/>
    </row>
    <row r="187" spans="1:13" ht="15.75" customHeight="1">
      <c r="A187" s="266" t="s">
        <v>238</v>
      </c>
      <c r="B187" s="354">
        <v>50932396</v>
      </c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267"/>
    </row>
    <row r="188" spans="1:13" ht="15.75" customHeight="1">
      <c r="A188" s="815" t="s">
        <v>197</v>
      </c>
      <c r="B188" s="805" t="s">
        <v>10</v>
      </c>
      <c r="C188" s="805"/>
      <c r="D188" s="806"/>
      <c r="E188" s="804" t="s">
        <v>197</v>
      </c>
      <c r="F188" s="808">
        <v>1</v>
      </c>
      <c r="G188" s="808"/>
      <c r="H188" s="808">
        <v>2</v>
      </c>
      <c r="I188" s="808"/>
      <c r="J188" s="808">
        <v>3</v>
      </c>
      <c r="K188" s="808"/>
      <c r="L188" s="808">
        <v>4</v>
      </c>
      <c r="M188" s="817"/>
    </row>
    <row r="189" spans="1:13" ht="15.75" customHeight="1">
      <c r="A189" s="815"/>
      <c r="B189" s="805"/>
      <c r="C189" s="805"/>
      <c r="D189" s="807"/>
      <c r="E189" s="804"/>
      <c r="F189" s="800" t="s">
        <v>250</v>
      </c>
      <c r="G189" s="800"/>
      <c r="H189" s="800" t="s">
        <v>240</v>
      </c>
      <c r="I189" s="800"/>
      <c r="J189" s="800" t="s">
        <v>164</v>
      </c>
      <c r="K189" s="800"/>
      <c r="L189" s="800" t="s">
        <v>695</v>
      </c>
      <c r="M189" s="818"/>
    </row>
    <row r="190" spans="1:13" ht="15.75" customHeight="1">
      <c r="A190" s="815"/>
      <c r="B190" s="459" t="s">
        <v>11</v>
      </c>
      <c r="C190" s="459" t="s">
        <v>41</v>
      </c>
      <c r="D190" s="807"/>
      <c r="E190" s="804"/>
      <c r="F190" s="459" t="s">
        <v>11</v>
      </c>
      <c r="G190" s="459" t="s">
        <v>41</v>
      </c>
      <c r="H190" s="459" t="s">
        <v>11</v>
      </c>
      <c r="I190" s="459" t="s">
        <v>41</v>
      </c>
      <c r="J190" s="459" t="s">
        <v>11</v>
      </c>
      <c r="K190" s="459" t="s">
        <v>41</v>
      </c>
      <c r="L190" s="459" t="s">
        <v>11</v>
      </c>
      <c r="M190" s="268" t="s">
        <v>41</v>
      </c>
    </row>
    <row r="191" spans="1:13" ht="15.75" customHeight="1">
      <c r="A191" s="269" t="s">
        <v>244</v>
      </c>
      <c r="B191" s="270">
        <v>125026</v>
      </c>
      <c r="C191" s="191">
        <f>B191/B187</f>
        <v>2.4547441278827721E-3</v>
      </c>
      <c r="D191" s="807"/>
      <c r="E191" s="189" t="s">
        <v>244</v>
      </c>
      <c r="F191" s="271">
        <v>0</v>
      </c>
      <c r="G191" s="193">
        <f>IFERROR(F191/B191,"")</f>
        <v>0</v>
      </c>
      <c r="H191" s="271">
        <v>0</v>
      </c>
      <c r="I191" s="193">
        <f>IFERROR(H191/B191,"")</f>
        <v>0</v>
      </c>
      <c r="J191" s="271">
        <v>2703.6120000000001</v>
      </c>
      <c r="K191" s="193">
        <f>IFERROR(J191/B191,"")</f>
        <v>2.1624398125189962E-2</v>
      </c>
      <c r="L191" s="271">
        <v>6391.12</v>
      </c>
      <c r="M191" s="272">
        <f>IFERROR(L191/B191,"")</f>
        <v>5.1118327387903319E-2</v>
      </c>
    </row>
    <row r="192" spans="1:13" ht="15.75" customHeight="1">
      <c r="A192" s="273" t="s">
        <v>245</v>
      </c>
      <c r="B192" s="274">
        <v>115976.36212522408</v>
      </c>
      <c r="C192" s="191">
        <f>B192/B187</f>
        <v>2.2770647217386767E-3</v>
      </c>
      <c r="D192" s="807"/>
      <c r="E192" s="195" t="s">
        <v>245</v>
      </c>
      <c r="F192" s="271">
        <v>0</v>
      </c>
      <c r="G192" s="193">
        <f>IFERROR(F192/B192,"")</f>
        <v>0</v>
      </c>
      <c r="H192" s="271">
        <v>0</v>
      </c>
      <c r="I192" s="193">
        <f>IFERROR(H192/B192,"")</f>
        <v>0</v>
      </c>
      <c r="J192" s="271">
        <v>0</v>
      </c>
      <c r="K192" s="193">
        <f>IFERROR(J192/B192,"")</f>
        <v>0</v>
      </c>
      <c r="L192" s="271">
        <v>13832.589219999996</v>
      </c>
      <c r="M192" s="272">
        <f>IFERROR(L192/B192,"")</f>
        <v>0.11927076316693244</v>
      </c>
    </row>
    <row r="193" spans="1:13" ht="15.75" customHeight="1">
      <c r="A193" s="275"/>
      <c r="B193" s="185"/>
      <c r="C193" s="185"/>
      <c r="D193" s="807"/>
      <c r="E193" s="804" t="s">
        <v>197</v>
      </c>
      <c r="F193" s="819">
        <v>5</v>
      </c>
      <c r="G193" s="820"/>
      <c r="H193" s="819">
        <v>6</v>
      </c>
      <c r="I193" s="820"/>
      <c r="J193" s="819">
        <v>7</v>
      </c>
      <c r="K193" s="820"/>
      <c r="L193" s="821">
        <v>8</v>
      </c>
      <c r="M193" s="822"/>
    </row>
    <row r="194" spans="1:13" ht="15.75" customHeight="1">
      <c r="A194" s="275"/>
      <c r="B194" s="185"/>
      <c r="C194" s="185"/>
      <c r="D194" s="807"/>
      <c r="E194" s="804"/>
      <c r="F194" s="823" t="s">
        <v>188</v>
      </c>
      <c r="G194" s="824"/>
      <c r="H194" s="823" t="s">
        <v>165</v>
      </c>
      <c r="I194" s="824"/>
      <c r="J194" s="823" t="s">
        <v>189</v>
      </c>
      <c r="K194" s="824"/>
      <c r="L194" s="825" t="s">
        <v>249</v>
      </c>
      <c r="M194" s="826"/>
    </row>
    <row r="195" spans="1:13" ht="15.75" customHeight="1">
      <c r="A195" s="275"/>
      <c r="B195" s="185"/>
      <c r="C195" s="185"/>
      <c r="D195" s="807"/>
      <c r="E195" s="804"/>
      <c r="F195" s="459" t="s">
        <v>11</v>
      </c>
      <c r="G195" s="459" t="s">
        <v>41</v>
      </c>
      <c r="H195" s="459" t="s">
        <v>11</v>
      </c>
      <c r="I195" s="459" t="s">
        <v>41</v>
      </c>
      <c r="J195" s="459" t="s">
        <v>11</v>
      </c>
      <c r="K195" s="459" t="s">
        <v>41</v>
      </c>
      <c r="L195" s="459" t="s">
        <v>11</v>
      </c>
      <c r="M195" s="268" t="s">
        <v>41</v>
      </c>
    </row>
    <row r="196" spans="1:13" ht="15.75" customHeight="1">
      <c r="A196" s="276"/>
      <c r="B196" s="277"/>
      <c r="C196" s="277"/>
      <c r="D196" s="807"/>
      <c r="E196" s="189" t="s">
        <v>244</v>
      </c>
      <c r="F196" s="271">
        <v>3607.0949999999998</v>
      </c>
      <c r="G196" s="193">
        <f>IFERROR(F196/B191,"")</f>
        <v>2.8850759042119239E-2</v>
      </c>
      <c r="H196" s="271">
        <v>1671.3330000000001</v>
      </c>
      <c r="I196" s="193">
        <f>IFERROR(H196/B191,"")</f>
        <v>1.3367883480236112E-2</v>
      </c>
      <c r="J196" s="271">
        <v>0</v>
      </c>
      <c r="K196" s="193">
        <f>IFERROR(J196/B191,"")</f>
        <v>0</v>
      </c>
      <c r="L196" s="271">
        <v>0</v>
      </c>
      <c r="M196" s="272">
        <f>IFERROR(L196/B191,"")</f>
        <v>0</v>
      </c>
    </row>
    <row r="197" spans="1:13" ht="15.75" customHeight="1" thickBot="1">
      <c r="A197" s="278"/>
      <c r="B197" s="279"/>
      <c r="C197" s="279"/>
      <c r="D197" s="816"/>
      <c r="E197" s="280" t="s">
        <v>245</v>
      </c>
      <c r="F197" s="281">
        <v>11873.359339999959</v>
      </c>
      <c r="G197" s="282">
        <f>IFERROR(F197/B192,"")</f>
        <v>0.10237740796852933</v>
      </c>
      <c r="H197" s="281">
        <v>7203.390679999995</v>
      </c>
      <c r="I197" s="282">
        <f>IFERROR(H197/B192,"")</f>
        <v>6.2110852142630756E-2</v>
      </c>
      <c r="J197" s="281">
        <v>0</v>
      </c>
      <c r="K197" s="282">
        <f>IFERROR(J197/B192,"")</f>
        <v>0</v>
      </c>
      <c r="L197" s="281">
        <v>0</v>
      </c>
      <c r="M197" s="283">
        <f>IFERROR(L197/B192,"")</f>
        <v>0</v>
      </c>
    </row>
    <row r="198" spans="1:13" ht="15.75" customHeight="1">
      <c r="A198" s="810" t="s">
        <v>791</v>
      </c>
      <c r="B198" s="811"/>
      <c r="C198" s="811"/>
      <c r="D198" s="811"/>
      <c r="E198" s="811"/>
      <c r="F198" s="811"/>
      <c r="G198" s="811"/>
      <c r="H198" s="811"/>
      <c r="I198" s="811"/>
      <c r="J198" s="811"/>
      <c r="K198" s="811"/>
      <c r="L198" s="811"/>
      <c r="M198" s="812"/>
    </row>
    <row r="199" spans="1:13" ht="15.75" customHeight="1">
      <c r="A199" s="813"/>
      <c r="B199" s="803"/>
      <c r="C199" s="803"/>
      <c r="D199" s="803"/>
      <c r="E199" s="803"/>
      <c r="F199" s="803"/>
      <c r="G199" s="803"/>
      <c r="H199" s="803"/>
      <c r="I199" s="803"/>
      <c r="J199" s="803"/>
      <c r="K199" s="803"/>
      <c r="L199" s="803"/>
      <c r="M199" s="814"/>
    </row>
    <row r="200" spans="1:13" ht="15.75" customHeight="1">
      <c r="A200" s="266" t="s">
        <v>238</v>
      </c>
      <c r="B200" s="354">
        <v>48568543</v>
      </c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267"/>
    </row>
    <row r="201" spans="1:13" ht="15.75" customHeight="1">
      <c r="A201" s="815" t="s">
        <v>197</v>
      </c>
      <c r="B201" s="805" t="s">
        <v>10</v>
      </c>
      <c r="C201" s="805"/>
      <c r="D201" s="806"/>
      <c r="E201" s="804" t="s">
        <v>197</v>
      </c>
      <c r="F201" s="808">
        <v>1</v>
      </c>
      <c r="G201" s="808"/>
      <c r="H201" s="808">
        <v>2</v>
      </c>
      <c r="I201" s="808"/>
      <c r="J201" s="808">
        <v>3</v>
      </c>
      <c r="K201" s="808"/>
      <c r="L201" s="808">
        <v>4</v>
      </c>
      <c r="M201" s="817"/>
    </row>
    <row r="202" spans="1:13" ht="15.75" customHeight="1">
      <c r="A202" s="815"/>
      <c r="B202" s="805"/>
      <c r="C202" s="805"/>
      <c r="D202" s="807"/>
      <c r="E202" s="804"/>
      <c r="F202" s="800" t="s">
        <v>250</v>
      </c>
      <c r="G202" s="800"/>
      <c r="H202" s="800" t="s">
        <v>240</v>
      </c>
      <c r="I202" s="800"/>
      <c r="J202" s="800" t="s">
        <v>164</v>
      </c>
      <c r="K202" s="800"/>
      <c r="L202" s="800" t="s">
        <v>695</v>
      </c>
      <c r="M202" s="818"/>
    </row>
    <row r="203" spans="1:13" ht="15.75" customHeight="1">
      <c r="A203" s="815"/>
      <c r="B203" s="465" t="s">
        <v>11</v>
      </c>
      <c r="C203" s="465" t="s">
        <v>41</v>
      </c>
      <c r="D203" s="807"/>
      <c r="E203" s="804"/>
      <c r="F203" s="465" t="s">
        <v>11</v>
      </c>
      <c r="G203" s="465" t="s">
        <v>41</v>
      </c>
      <c r="H203" s="465" t="s">
        <v>11</v>
      </c>
      <c r="I203" s="465" t="s">
        <v>41</v>
      </c>
      <c r="J203" s="465" t="s">
        <v>11</v>
      </c>
      <c r="K203" s="465" t="s">
        <v>41</v>
      </c>
      <c r="L203" s="465" t="s">
        <v>11</v>
      </c>
      <c r="M203" s="268" t="s">
        <v>41</v>
      </c>
    </row>
    <row r="204" spans="1:13" ht="15.75" customHeight="1">
      <c r="A204" s="269" t="s">
        <v>244</v>
      </c>
      <c r="B204" s="270">
        <v>118904</v>
      </c>
      <c r="C204" s="191">
        <f>B204/B200</f>
        <v>2.4481689722502071E-3</v>
      </c>
      <c r="D204" s="807"/>
      <c r="E204" s="189" t="s">
        <v>244</v>
      </c>
      <c r="F204" s="271">
        <v>0</v>
      </c>
      <c r="G204" s="193">
        <f>IFERROR(F204/B204,"")</f>
        <v>0</v>
      </c>
      <c r="H204" s="271">
        <v>644.82600000000002</v>
      </c>
      <c r="I204" s="193">
        <f>IFERROR(H204/B204,"")</f>
        <v>5.4230808046827695E-3</v>
      </c>
      <c r="J204" s="271">
        <v>1959.9749999999999</v>
      </c>
      <c r="K204" s="193">
        <f>IFERROR(J204/B204,"")</f>
        <v>1.6483675906613739E-2</v>
      </c>
      <c r="L204" s="271">
        <v>5007.1060000000007</v>
      </c>
      <c r="M204" s="272">
        <f>IFERROR(L204/B204,"")</f>
        <v>4.2110492498149771E-2</v>
      </c>
    </row>
    <row r="205" spans="1:13" ht="15.75" customHeight="1">
      <c r="A205" s="273" t="s">
        <v>245</v>
      </c>
      <c r="B205" s="274">
        <v>107634.69212281464</v>
      </c>
      <c r="C205" s="191">
        <f>B205/B200</f>
        <v>2.2161400255061108E-3</v>
      </c>
      <c r="D205" s="807"/>
      <c r="E205" s="195" t="s">
        <v>245</v>
      </c>
      <c r="F205" s="271">
        <v>0</v>
      </c>
      <c r="G205" s="193">
        <f>IFERROR(F205/B205,"")</f>
        <v>0</v>
      </c>
      <c r="H205" s="271">
        <v>0</v>
      </c>
      <c r="I205" s="193">
        <f>IFERROR(H205/B205,"")</f>
        <v>0</v>
      </c>
      <c r="J205" s="271">
        <v>0</v>
      </c>
      <c r="K205" s="193">
        <f>IFERROR(J205/B205,"")</f>
        <v>0</v>
      </c>
      <c r="L205" s="271">
        <v>14266.462739999961</v>
      </c>
      <c r="M205" s="272">
        <f>IFERROR(L205/B205,"")</f>
        <v>0.13254520878567172</v>
      </c>
    </row>
    <row r="206" spans="1:13" ht="15.75" customHeight="1">
      <c r="A206" s="275"/>
      <c r="B206" s="185"/>
      <c r="C206" s="185"/>
      <c r="D206" s="807"/>
      <c r="E206" s="804" t="s">
        <v>197</v>
      </c>
      <c r="F206" s="819">
        <v>5</v>
      </c>
      <c r="G206" s="820"/>
      <c r="H206" s="819">
        <v>6</v>
      </c>
      <c r="I206" s="820"/>
      <c r="J206" s="819">
        <v>7</v>
      </c>
      <c r="K206" s="820"/>
      <c r="L206" s="821">
        <v>8</v>
      </c>
      <c r="M206" s="822"/>
    </row>
    <row r="207" spans="1:13" ht="15.75" customHeight="1">
      <c r="A207" s="275"/>
      <c r="B207" s="185"/>
      <c r="C207" s="185"/>
      <c r="D207" s="807"/>
      <c r="E207" s="804"/>
      <c r="F207" s="823" t="s">
        <v>188</v>
      </c>
      <c r="G207" s="824"/>
      <c r="H207" s="823" t="s">
        <v>165</v>
      </c>
      <c r="I207" s="824"/>
      <c r="J207" s="823" t="s">
        <v>189</v>
      </c>
      <c r="K207" s="824"/>
      <c r="L207" s="825" t="s">
        <v>249</v>
      </c>
      <c r="M207" s="826"/>
    </row>
    <row r="208" spans="1:13" ht="15.75" customHeight="1">
      <c r="A208" s="275"/>
      <c r="B208" s="185"/>
      <c r="C208" s="185"/>
      <c r="D208" s="807"/>
      <c r="E208" s="804"/>
      <c r="F208" s="465" t="s">
        <v>11</v>
      </c>
      <c r="G208" s="465" t="s">
        <v>41</v>
      </c>
      <c r="H208" s="465" t="s">
        <v>11</v>
      </c>
      <c r="I208" s="465" t="s">
        <v>41</v>
      </c>
      <c r="J208" s="465" t="s">
        <v>11</v>
      </c>
      <c r="K208" s="465" t="s">
        <v>41</v>
      </c>
      <c r="L208" s="465" t="s">
        <v>11</v>
      </c>
      <c r="M208" s="268" t="s">
        <v>41</v>
      </c>
    </row>
    <row r="209" spans="1:13" ht="15.75" customHeight="1">
      <c r="A209" s="276"/>
      <c r="B209" s="277"/>
      <c r="C209" s="277"/>
      <c r="D209" s="807"/>
      <c r="E209" s="189" t="s">
        <v>244</v>
      </c>
      <c r="F209" s="271">
        <v>4790.9799999999996</v>
      </c>
      <c r="G209" s="193">
        <f>IFERROR(F209/B204,"")</f>
        <v>4.0292841283724679E-2</v>
      </c>
      <c r="H209" s="271">
        <v>1516.2709999999997</v>
      </c>
      <c r="I209" s="193">
        <f>IFERROR(H209/B204,"")</f>
        <v>1.2752060485770031E-2</v>
      </c>
      <c r="J209" s="271">
        <v>0</v>
      </c>
      <c r="K209" s="193">
        <f>IFERROR(J209/B204,"")</f>
        <v>0</v>
      </c>
      <c r="L209" s="271">
        <v>0</v>
      </c>
      <c r="M209" s="272">
        <f>IFERROR(L209/B204,"")</f>
        <v>0</v>
      </c>
    </row>
    <row r="210" spans="1:13" ht="15.75" customHeight="1" thickBot="1">
      <c r="A210" s="278"/>
      <c r="B210" s="279"/>
      <c r="C210" s="279"/>
      <c r="D210" s="816"/>
      <c r="E210" s="280" t="s">
        <v>245</v>
      </c>
      <c r="F210" s="281">
        <v>10972.051010000034</v>
      </c>
      <c r="G210" s="282">
        <f>IFERROR(F210/B205,"")</f>
        <v>0.10193786774138371</v>
      </c>
      <c r="H210" s="281">
        <v>3627.1672599999574</v>
      </c>
      <c r="I210" s="282">
        <f>IFERROR(H210/B205,"")</f>
        <v>3.3698867794978625E-2</v>
      </c>
      <c r="J210" s="281">
        <v>0</v>
      </c>
      <c r="K210" s="282">
        <f>IFERROR(J210/B205,"")</f>
        <v>0</v>
      </c>
      <c r="L210" s="281">
        <v>0</v>
      </c>
      <c r="M210" s="283">
        <f>IFERROR(L210/B205,"")</f>
        <v>0</v>
      </c>
    </row>
    <row r="211" spans="1:13" ht="15.75" customHeight="1">
      <c r="A211" s="810" t="s">
        <v>792</v>
      </c>
      <c r="B211" s="811"/>
      <c r="C211" s="811"/>
      <c r="D211" s="811"/>
      <c r="E211" s="811"/>
      <c r="F211" s="811"/>
      <c r="G211" s="811"/>
      <c r="H211" s="811"/>
      <c r="I211" s="811"/>
      <c r="J211" s="811"/>
      <c r="K211" s="811"/>
      <c r="L211" s="811"/>
      <c r="M211" s="812"/>
    </row>
    <row r="212" spans="1:13" ht="15.75" customHeight="1">
      <c r="A212" s="813"/>
      <c r="B212" s="803"/>
      <c r="C212" s="803"/>
      <c r="D212" s="803"/>
      <c r="E212" s="803"/>
      <c r="F212" s="803"/>
      <c r="G212" s="803"/>
      <c r="H212" s="803"/>
      <c r="I212" s="803"/>
      <c r="J212" s="803"/>
      <c r="K212" s="803"/>
      <c r="L212" s="803"/>
      <c r="M212" s="814"/>
    </row>
    <row r="213" spans="1:13" ht="15.75" customHeight="1">
      <c r="A213" s="266" t="s">
        <v>238</v>
      </c>
      <c r="B213" s="354">
        <v>49954974</v>
      </c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267"/>
    </row>
    <row r="214" spans="1:13" ht="15.75" customHeight="1">
      <c r="A214" s="815" t="s">
        <v>197</v>
      </c>
      <c r="B214" s="805" t="s">
        <v>10</v>
      </c>
      <c r="C214" s="805"/>
      <c r="D214" s="806"/>
      <c r="E214" s="804" t="s">
        <v>197</v>
      </c>
      <c r="F214" s="808">
        <v>1</v>
      </c>
      <c r="G214" s="808"/>
      <c r="H214" s="808">
        <v>2</v>
      </c>
      <c r="I214" s="808"/>
      <c r="J214" s="808">
        <v>3</v>
      </c>
      <c r="K214" s="808"/>
      <c r="L214" s="808">
        <v>4</v>
      </c>
      <c r="M214" s="817"/>
    </row>
    <row r="215" spans="1:13" ht="15.75" customHeight="1">
      <c r="A215" s="815"/>
      <c r="B215" s="805"/>
      <c r="C215" s="805"/>
      <c r="D215" s="807"/>
      <c r="E215" s="804"/>
      <c r="F215" s="800" t="s">
        <v>250</v>
      </c>
      <c r="G215" s="800"/>
      <c r="H215" s="800" t="s">
        <v>240</v>
      </c>
      <c r="I215" s="800"/>
      <c r="J215" s="800" t="s">
        <v>164</v>
      </c>
      <c r="K215" s="800"/>
      <c r="L215" s="800" t="s">
        <v>695</v>
      </c>
      <c r="M215" s="818"/>
    </row>
    <row r="216" spans="1:13" ht="15.75" customHeight="1">
      <c r="A216" s="815"/>
      <c r="B216" s="468" t="s">
        <v>11</v>
      </c>
      <c r="C216" s="468" t="s">
        <v>41</v>
      </c>
      <c r="D216" s="807"/>
      <c r="E216" s="804"/>
      <c r="F216" s="468" t="s">
        <v>11</v>
      </c>
      <c r="G216" s="468" t="s">
        <v>41</v>
      </c>
      <c r="H216" s="468" t="s">
        <v>11</v>
      </c>
      <c r="I216" s="468" t="s">
        <v>41</v>
      </c>
      <c r="J216" s="468" t="s">
        <v>11</v>
      </c>
      <c r="K216" s="468" t="s">
        <v>41</v>
      </c>
      <c r="L216" s="468" t="s">
        <v>11</v>
      </c>
      <c r="M216" s="268" t="s">
        <v>41</v>
      </c>
    </row>
    <row r="217" spans="1:13" ht="15.75" customHeight="1">
      <c r="A217" s="269" t="s">
        <v>244</v>
      </c>
      <c r="B217" s="270">
        <v>122936</v>
      </c>
      <c r="C217" s="191">
        <f>B217/B213</f>
        <v>2.4609361221967605E-3</v>
      </c>
      <c r="D217" s="807"/>
      <c r="E217" s="189" t="s">
        <v>244</v>
      </c>
      <c r="F217" s="271">
        <v>0</v>
      </c>
      <c r="G217" s="193">
        <f>IFERROR(F217/B217,"")</f>
        <v>0</v>
      </c>
      <c r="H217" s="271">
        <v>1501.0600000000002</v>
      </c>
      <c r="I217" s="193">
        <f>IFERROR(H217/B217,"")</f>
        <v>1.2210093056549751E-2</v>
      </c>
      <c r="J217" s="271">
        <v>2748.6741000000002</v>
      </c>
      <c r="K217" s="193">
        <f>IFERROR(J217/B217,"")</f>
        <v>2.2358577633890805E-2</v>
      </c>
      <c r="L217" s="271">
        <v>6482.1190000000006</v>
      </c>
      <c r="M217" s="272">
        <f>IFERROR(L217/B217,"")</f>
        <v>5.2727589965510517E-2</v>
      </c>
    </row>
    <row r="218" spans="1:13" ht="15.75" customHeight="1">
      <c r="A218" s="273" t="s">
        <v>245</v>
      </c>
      <c r="B218" s="274">
        <v>110726.85705083513</v>
      </c>
      <c r="C218" s="191">
        <f>B218/B213</f>
        <v>2.2165331734700757E-3</v>
      </c>
      <c r="D218" s="807"/>
      <c r="E218" s="195" t="s">
        <v>245</v>
      </c>
      <c r="F218" s="271">
        <v>0</v>
      </c>
      <c r="G218" s="193">
        <f>IFERROR(F218/B218,"")</f>
        <v>0</v>
      </c>
      <c r="H218" s="271">
        <v>1280.8224000000021</v>
      </c>
      <c r="I218" s="193">
        <f>IFERROR(H218/B218,"")</f>
        <v>1.1567405001046598E-2</v>
      </c>
      <c r="J218" s="271">
        <v>1314.0638399999846</v>
      </c>
      <c r="K218" s="193">
        <f>IFERROR(J218/B218,"")</f>
        <v>1.1867616177317242E-2</v>
      </c>
      <c r="L218" s="271">
        <v>11296.346420000025</v>
      </c>
      <c r="M218" s="272">
        <f>IFERROR(L218/B218,"")</f>
        <v>0.10201993193768545</v>
      </c>
    </row>
    <row r="219" spans="1:13" ht="15.75" customHeight="1">
      <c r="A219" s="275"/>
      <c r="B219" s="185"/>
      <c r="C219" s="185"/>
      <c r="D219" s="807"/>
      <c r="E219" s="804" t="s">
        <v>197</v>
      </c>
      <c r="F219" s="819">
        <v>5</v>
      </c>
      <c r="G219" s="820"/>
      <c r="H219" s="819">
        <v>6</v>
      </c>
      <c r="I219" s="820"/>
      <c r="J219" s="819">
        <v>7</v>
      </c>
      <c r="K219" s="820"/>
      <c r="L219" s="821">
        <v>8</v>
      </c>
      <c r="M219" s="822"/>
    </row>
    <row r="220" spans="1:13" ht="15.75" customHeight="1">
      <c r="A220" s="275"/>
      <c r="B220" s="185"/>
      <c r="C220" s="185"/>
      <c r="D220" s="807"/>
      <c r="E220" s="804"/>
      <c r="F220" s="823" t="s">
        <v>188</v>
      </c>
      <c r="G220" s="824"/>
      <c r="H220" s="823" t="s">
        <v>165</v>
      </c>
      <c r="I220" s="824"/>
      <c r="J220" s="823" t="s">
        <v>189</v>
      </c>
      <c r="K220" s="824"/>
      <c r="L220" s="825" t="s">
        <v>249</v>
      </c>
      <c r="M220" s="826"/>
    </row>
    <row r="221" spans="1:13" ht="15.75" customHeight="1">
      <c r="A221" s="275"/>
      <c r="B221" s="185"/>
      <c r="C221" s="185"/>
      <c r="D221" s="807"/>
      <c r="E221" s="804"/>
      <c r="F221" s="468" t="s">
        <v>11</v>
      </c>
      <c r="G221" s="468" t="s">
        <v>41</v>
      </c>
      <c r="H221" s="468" t="s">
        <v>11</v>
      </c>
      <c r="I221" s="468" t="s">
        <v>41</v>
      </c>
      <c r="J221" s="468" t="s">
        <v>11</v>
      </c>
      <c r="K221" s="468" t="s">
        <v>41</v>
      </c>
      <c r="L221" s="468" t="s">
        <v>11</v>
      </c>
      <c r="M221" s="268" t="s">
        <v>41</v>
      </c>
    </row>
    <row r="222" spans="1:13" ht="15.75" customHeight="1">
      <c r="A222" s="276"/>
      <c r="B222" s="277"/>
      <c r="C222" s="277"/>
      <c r="D222" s="807"/>
      <c r="E222" s="189" t="s">
        <v>244</v>
      </c>
      <c r="F222" s="271">
        <v>2195.3139999999999</v>
      </c>
      <c r="G222" s="193">
        <f>IFERROR(F222/B217,"")</f>
        <v>1.7857372942018609E-2</v>
      </c>
      <c r="H222" s="271">
        <v>1509.8239999999998</v>
      </c>
      <c r="I222" s="193">
        <f>IFERROR(H222/B217,"")</f>
        <v>1.2281382182599075E-2</v>
      </c>
      <c r="J222" s="271">
        <v>0</v>
      </c>
      <c r="K222" s="193">
        <f>IFERROR(J222/B217,"")</f>
        <v>0</v>
      </c>
      <c r="L222" s="271">
        <v>0</v>
      </c>
      <c r="M222" s="272">
        <f>IFERROR(L222/B217,"")</f>
        <v>0</v>
      </c>
    </row>
    <row r="223" spans="1:13" ht="15.75" customHeight="1" thickBot="1">
      <c r="A223" s="278"/>
      <c r="B223" s="279"/>
      <c r="C223" s="279"/>
      <c r="D223" s="816"/>
      <c r="E223" s="280" t="s">
        <v>245</v>
      </c>
      <c r="F223" s="281">
        <v>9630.2537600000069</v>
      </c>
      <c r="G223" s="282">
        <f>IFERROR(F223/B218,"")</f>
        <v>8.697306160851942E-2</v>
      </c>
      <c r="H223" s="281">
        <v>5050.8231600000054</v>
      </c>
      <c r="I223" s="282">
        <f>IFERROR(H223/B218,"")</f>
        <v>4.5615158729567777E-2</v>
      </c>
      <c r="J223" s="281">
        <v>0</v>
      </c>
      <c r="K223" s="282">
        <f>IFERROR(J223/B218,"")</f>
        <v>0</v>
      </c>
      <c r="L223" s="281">
        <v>0</v>
      </c>
      <c r="M223" s="283">
        <f>IFERROR(L223/B218,"")</f>
        <v>0</v>
      </c>
    </row>
    <row r="224" spans="1:13" ht="15.75" customHeight="1">
      <c r="A224" s="810" t="s">
        <v>794</v>
      </c>
      <c r="B224" s="811"/>
      <c r="C224" s="811"/>
      <c r="D224" s="811"/>
      <c r="E224" s="811"/>
      <c r="F224" s="811"/>
      <c r="G224" s="811"/>
      <c r="H224" s="811"/>
      <c r="I224" s="811"/>
      <c r="J224" s="811"/>
      <c r="K224" s="811"/>
      <c r="L224" s="811"/>
      <c r="M224" s="812"/>
    </row>
    <row r="225" spans="1:13" ht="15.75" customHeight="1">
      <c r="A225" s="813"/>
      <c r="B225" s="803"/>
      <c r="C225" s="803"/>
      <c r="D225" s="803"/>
      <c r="E225" s="803"/>
      <c r="F225" s="803"/>
      <c r="G225" s="803"/>
      <c r="H225" s="803"/>
      <c r="I225" s="803"/>
      <c r="J225" s="803"/>
      <c r="K225" s="803"/>
      <c r="L225" s="803"/>
      <c r="M225" s="814"/>
    </row>
    <row r="226" spans="1:13" ht="15.75" customHeight="1">
      <c r="A226" s="266" t="s">
        <v>238</v>
      </c>
      <c r="B226" s="354">
        <v>47582302</v>
      </c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267"/>
    </row>
    <row r="227" spans="1:13" ht="15.75" customHeight="1">
      <c r="A227" s="815" t="s">
        <v>197</v>
      </c>
      <c r="B227" s="805" t="s">
        <v>10</v>
      </c>
      <c r="C227" s="805"/>
      <c r="D227" s="806"/>
      <c r="E227" s="804" t="s">
        <v>197</v>
      </c>
      <c r="F227" s="808">
        <v>1</v>
      </c>
      <c r="G227" s="808"/>
      <c r="H227" s="808">
        <v>2</v>
      </c>
      <c r="I227" s="808"/>
      <c r="J227" s="808">
        <v>3</v>
      </c>
      <c r="K227" s="808"/>
      <c r="L227" s="808">
        <v>4</v>
      </c>
      <c r="M227" s="817"/>
    </row>
    <row r="228" spans="1:13" ht="15.75" customHeight="1">
      <c r="A228" s="815"/>
      <c r="B228" s="805"/>
      <c r="C228" s="805"/>
      <c r="D228" s="807"/>
      <c r="E228" s="804"/>
      <c r="F228" s="800" t="s">
        <v>250</v>
      </c>
      <c r="G228" s="800"/>
      <c r="H228" s="800" t="s">
        <v>240</v>
      </c>
      <c r="I228" s="800"/>
      <c r="J228" s="800" t="s">
        <v>164</v>
      </c>
      <c r="K228" s="800"/>
      <c r="L228" s="800" t="s">
        <v>695</v>
      </c>
      <c r="M228" s="818"/>
    </row>
    <row r="229" spans="1:13" ht="15.75" customHeight="1">
      <c r="A229" s="815"/>
      <c r="B229" s="478" t="s">
        <v>11</v>
      </c>
      <c r="C229" s="478" t="s">
        <v>41</v>
      </c>
      <c r="D229" s="807"/>
      <c r="E229" s="804"/>
      <c r="F229" s="478" t="s">
        <v>11</v>
      </c>
      <c r="G229" s="478" t="s">
        <v>41</v>
      </c>
      <c r="H229" s="478" t="s">
        <v>11</v>
      </c>
      <c r="I229" s="478" t="s">
        <v>41</v>
      </c>
      <c r="J229" s="478" t="s">
        <v>11</v>
      </c>
      <c r="K229" s="478" t="s">
        <v>41</v>
      </c>
      <c r="L229" s="478" t="s">
        <v>11</v>
      </c>
      <c r="M229" s="268" t="s">
        <v>41</v>
      </c>
    </row>
    <row r="230" spans="1:13" ht="15.75" customHeight="1">
      <c r="A230" s="269" t="s">
        <v>244</v>
      </c>
      <c r="B230" s="270">
        <v>116707.33200000001</v>
      </c>
      <c r="C230" s="191">
        <f>B230/B226</f>
        <v>2.4527466535772063E-3</v>
      </c>
      <c r="D230" s="807"/>
      <c r="E230" s="189" t="s">
        <v>244</v>
      </c>
      <c r="F230" s="271">
        <v>0</v>
      </c>
      <c r="G230" s="193">
        <f>IFERROR(F230/B230,"")</f>
        <v>0</v>
      </c>
      <c r="H230" s="271">
        <v>655.30500000000006</v>
      </c>
      <c r="I230" s="193">
        <f>IFERROR(H230/B230,"")</f>
        <v>5.6149428555182807E-3</v>
      </c>
      <c r="J230" s="271">
        <v>2194.0420000000004</v>
      </c>
      <c r="K230" s="193">
        <f>IFERROR(J230/B230,"")</f>
        <v>1.879952152449171E-2</v>
      </c>
      <c r="L230" s="271">
        <v>6503.0510000000004</v>
      </c>
      <c r="M230" s="272">
        <f>IFERROR(L230/B230,"")</f>
        <v>5.572101502585973E-2</v>
      </c>
    </row>
    <row r="231" spans="1:13" ht="15.75" customHeight="1">
      <c r="A231" s="273" t="s">
        <v>245</v>
      </c>
      <c r="B231" s="274">
        <v>104435.35944224003</v>
      </c>
      <c r="C231" s="191">
        <f>B231/B226</f>
        <v>2.1948362112081091E-3</v>
      </c>
      <c r="D231" s="807"/>
      <c r="E231" s="195" t="s">
        <v>245</v>
      </c>
      <c r="F231" s="271">
        <v>0</v>
      </c>
      <c r="G231" s="193">
        <f>IFERROR(F231/B231,"")</f>
        <v>0</v>
      </c>
      <c r="H231" s="271">
        <v>0</v>
      </c>
      <c r="I231" s="193">
        <f>IFERROR(H231/B231,"")</f>
        <v>0</v>
      </c>
      <c r="J231" s="271">
        <v>6120.2293400000053</v>
      </c>
      <c r="K231" s="193">
        <f>IFERROR(J231/B231,"")</f>
        <v>5.8603038019751488E-2</v>
      </c>
      <c r="L231" s="271">
        <v>5601.6356299999961</v>
      </c>
      <c r="M231" s="272">
        <f>IFERROR(L231/B231,"")</f>
        <v>5.3637347158249478E-2</v>
      </c>
    </row>
    <row r="232" spans="1:13" ht="15.75" customHeight="1">
      <c r="A232" s="275"/>
      <c r="B232" s="185"/>
      <c r="C232" s="185"/>
      <c r="D232" s="807"/>
      <c r="E232" s="804" t="s">
        <v>197</v>
      </c>
      <c r="F232" s="819">
        <v>5</v>
      </c>
      <c r="G232" s="820"/>
      <c r="H232" s="819">
        <v>6</v>
      </c>
      <c r="I232" s="820"/>
      <c r="J232" s="819">
        <v>7</v>
      </c>
      <c r="K232" s="820"/>
      <c r="L232" s="821">
        <v>8</v>
      </c>
      <c r="M232" s="822"/>
    </row>
    <row r="233" spans="1:13" ht="15.75" customHeight="1">
      <c r="A233" s="275"/>
      <c r="B233" s="185"/>
      <c r="C233" s="185"/>
      <c r="D233" s="807"/>
      <c r="E233" s="804"/>
      <c r="F233" s="823" t="s">
        <v>188</v>
      </c>
      <c r="G233" s="824"/>
      <c r="H233" s="823" t="s">
        <v>165</v>
      </c>
      <c r="I233" s="824"/>
      <c r="J233" s="823" t="s">
        <v>189</v>
      </c>
      <c r="K233" s="824"/>
      <c r="L233" s="825" t="s">
        <v>249</v>
      </c>
      <c r="M233" s="826"/>
    </row>
    <row r="234" spans="1:13" ht="15.75" customHeight="1">
      <c r="A234" s="275"/>
      <c r="B234" s="185"/>
      <c r="C234" s="185"/>
      <c r="D234" s="807"/>
      <c r="E234" s="804"/>
      <c r="F234" s="478" t="s">
        <v>11</v>
      </c>
      <c r="G234" s="478" t="s">
        <v>41</v>
      </c>
      <c r="H234" s="478" t="s">
        <v>11</v>
      </c>
      <c r="I234" s="478" t="s">
        <v>41</v>
      </c>
      <c r="J234" s="478" t="s">
        <v>11</v>
      </c>
      <c r="K234" s="478" t="s">
        <v>41</v>
      </c>
      <c r="L234" s="478" t="s">
        <v>11</v>
      </c>
      <c r="M234" s="268" t="s">
        <v>41</v>
      </c>
    </row>
    <row r="235" spans="1:13" ht="15.75" customHeight="1">
      <c r="A235" s="276"/>
      <c r="B235" s="277"/>
      <c r="C235" s="277"/>
      <c r="D235" s="807"/>
      <c r="E235" s="189" t="s">
        <v>244</v>
      </c>
      <c r="F235" s="271">
        <v>2881.55</v>
      </c>
      <c r="G235" s="193">
        <f>IFERROR(F235/B230,"")</f>
        <v>2.4690393916296537E-2</v>
      </c>
      <c r="H235" s="271">
        <v>2465.4870000000001</v>
      </c>
      <c r="I235" s="193">
        <f>IFERROR(H235/B230,"")</f>
        <v>2.1125382251048288E-2</v>
      </c>
      <c r="J235" s="271">
        <v>0</v>
      </c>
      <c r="K235" s="193">
        <f>IFERROR(J235/B230,"")</f>
        <v>0</v>
      </c>
      <c r="L235" s="271">
        <v>0</v>
      </c>
      <c r="M235" s="272">
        <f>IFERROR(L235/B230,"")</f>
        <v>0</v>
      </c>
    </row>
    <row r="236" spans="1:13" ht="15.75" customHeight="1" thickBot="1">
      <c r="A236" s="278"/>
      <c r="B236" s="279"/>
      <c r="C236" s="279"/>
      <c r="D236" s="816"/>
      <c r="E236" s="280" t="s">
        <v>245</v>
      </c>
      <c r="F236" s="281">
        <v>12214.969340000049</v>
      </c>
      <c r="G236" s="282">
        <f>IFERROR(F236/B231,"")</f>
        <v>0.11696200793712756</v>
      </c>
      <c r="H236" s="281">
        <v>5285.9332799999956</v>
      </c>
      <c r="I236" s="282">
        <f>IFERROR(H236/B231,"")</f>
        <v>5.061440213573911E-2</v>
      </c>
      <c r="J236" s="281">
        <v>0</v>
      </c>
      <c r="K236" s="282">
        <f>IFERROR(J236/B231,"")</f>
        <v>0</v>
      </c>
      <c r="L236" s="281">
        <v>0</v>
      </c>
      <c r="M236" s="283">
        <f>IFERROR(L236/B231,"")</f>
        <v>0</v>
      </c>
    </row>
    <row r="237" spans="1:13" ht="15.75" customHeight="1">
      <c r="A237" s="810" t="s">
        <v>802</v>
      </c>
      <c r="B237" s="811"/>
      <c r="C237" s="811"/>
      <c r="D237" s="811"/>
      <c r="E237" s="811"/>
      <c r="F237" s="811"/>
      <c r="G237" s="811"/>
      <c r="H237" s="811"/>
      <c r="I237" s="811"/>
      <c r="J237" s="811"/>
      <c r="K237" s="811"/>
      <c r="L237" s="811"/>
      <c r="M237" s="812"/>
    </row>
    <row r="238" spans="1:13" ht="15.75" customHeight="1">
      <c r="A238" s="813"/>
      <c r="B238" s="803"/>
      <c r="C238" s="803"/>
      <c r="D238" s="803"/>
      <c r="E238" s="803"/>
      <c r="F238" s="803"/>
      <c r="G238" s="803"/>
      <c r="H238" s="803"/>
      <c r="I238" s="803"/>
      <c r="J238" s="803"/>
      <c r="K238" s="803"/>
      <c r="L238" s="803"/>
      <c r="M238" s="814"/>
    </row>
    <row r="239" spans="1:13" ht="15.75" customHeight="1">
      <c r="A239" s="266" t="s">
        <v>238</v>
      </c>
      <c r="B239" s="354">
        <v>49743811</v>
      </c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267"/>
    </row>
    <row r="240" spans="1:13" ht="15.75" customHeight="1">
      <c r="A240" s="815" t="s">
        <v>197</v>
      </c>
      <c r="B240" s="805" t="s">
        <v>10</v>
      </c>
      <c r="C240" s="805"/>
      <c r="D240" s="806"/>
      <c r="E240" s="804" t="s">
        <v>197</v>
      </c>
      <c r="F240" s="808">
        <v>1</v>
      </c>
      <c r="G240" s="808"/>
      <c r="H240" s="808">
        <v>2</v>
      </c>
      <c r="I240" s="808"/>
      <c r="J240" s="808">
        <v>3</v>
      </c>
      <c r="K240" s="808"/>
      <c r="L240" s="808">
        <v>4</v>
      </c>
      <c r="M240" s="817"/>
    </row>
    <row r="241" spans="1:13" ht="15.75" customHeight="1">
      <c r="A241" s="815"/>
      <c r="B241" s="805"/>
      <c r="C241" s="805"/>
      <c r="D241" s="807"/>
      <c r="E241" s="804"/>
      <c r="F241" s="800" t="s">
        <v>250</v>
      </c>
      <c r="G241" s="800"/>
      <c r="H241" s="800" t="s">
        <v>240</v>
      </c>
      <c r="I241" s="800"/>
      <c r="J241" s="800" t="s">
        <v>164</v>
      </c>
      <c r="K241" s="800"/>
      <c r="L241" s="800" t="s">
        <v>695</v>
      </c>
      <c r="M241" s="818"/>
    </row>
    <row r="242" spans="1:13" ht="15.75" customHeight="1">
      <c r="A242" s="815"/>
      <c r="B242" s="480" t="s">
        <v>11</v>
      </c>
      <c r="C242" s="480" t="s">
        <v>41</v>
      </c>
      <c r="D242" s="807"/>
      <c r="E242" s="804"/>
      <c r="F242" s="480" t="s">
        <v>11</v>
      </c>
      <c r="G242" s="480" t="s">
        <v>41</v>
      </c>
      <c r="H242" s="480" t="s">
        <v>11</v>
      </c>
      <c r="I242" s="480" t="s">
        <v>41</v>
      </c>
      <c r="J242" s="480" t="s">
        <v>11</v>
      </c>
      <c r="K242" s="480" t="s">
        <v>41</v>
      </c>
      <c r="L242" s="480" t="s">
        <v>11</v>
      </c>
      <c r="M242" s="268" t="s">
        <v>41</v>
      </c>
    </row>
    <row r="243" spans="1:13" ht="15.75" customHeight="1">
      <c r="A243" s="269" t="s">
        <v>244</v>
      </c>
      <c r="B243" s="270">
        <v>122573</v>
      </c>
      <c r="C243" s="191">
        <f>B243/B239</f>
        <v>2.464085431652995E-3</v>
      </c>
      <c r="D243" s="807"/>
      <c r="E243" s="189" t="s">
        <v>244</v>
      </c>
      <c r="F243" s="271">
        <v>0</v>
      </c>
      <c r="G243" s="193">
        <f>IFERROR(F243/B243,"")</f>
        <v>0</v>
      </c>
      <c r="H243" s="271">
        <v>811.54099999999994</v>
      </c>
      <c r="I243" s="193">
        <f>IFERROR(H243/B243,"")</f>
        <v>6.6208789863999411E-3</v>
      </c>
      <c r="J243" s="271">
        <v>6045.5380000000005</v>
      </c>
      <c r="K243" s="193">
        <f>IFERROR(J243/B243,"")</f>
        <v>4.9321938763022856E-2</v>
      </c>
      <c r="L243" s="271">
        <v>3624.6750000000002</v>
      </c>
      <c r="M243" s="272">
        <f>IFERROR(L243/B243,"")</f>
        <v>2.9571561436858036E-2</v>
      </c>
    </row>
    <row r="244" spans="1:13" ht="15.75" customHeight="1">
      <c r="A244" s="273" t="s">
        <v>245</v>
      </c>
      <c r="B244" s="274">
        <v>101215.76197099355</v>
      </c>
      <c r="C244" s="191">
        <f>B244/B239</f>
        <v>2.0347408036548217E-3</v>
      </c>
      <c r="D244" s="807"/>
      <c r="E244" s="195" t="s">
        <v>245</v>
      </c>
      <c r="F244" s="271">
        <v>0</v>
      </c>
      <c r="G244" s="193">
        <f>IFERROR(F244/B244,"")</f>
        <v>0</v>
      </c>
      <c r="H244" s="271">
        <v>0</v>
      </c>
      <c r="I244" s="193">
        <f>IFERROR(H244/B244,"")</f>
        <v>0</v>
      </c>
      <c r="J244" s="271">
        <v>4566.049100000002</v>
      </c>
      <c r="K244" s="193">
        <f>IFERROR(J244/B244,"")</f>
        <v>4.5112036021707193E-2</v>
      </c>
      <c r="L244" s="271">
        <v>12694.373069999985</v>
      </c>
      <c r="M244" s="272">
        <f>IFERROR(L244/B244,"")</f>
        <v>0.12541893498403878</v>
      </c>
    </row>
    <row r="245" spans="1:13" ht="15.75" customHeight="1">
      <c r="A245" s="275"/>
      <c r="B245" s="185"/>
      <c r="C245" s="185"/>
      <c r="D245" s="807"/>
      <c r="E245" s="804" t="s">
        <v>197</v>
      </c>
      <c r="F245" s="819">
        <v>5</v>
      </c>
      <c r="G245" s="820"/>
      <c r="H245" s="819">
        <v>6</v>
      </c>
      <c r="I245" s="820"/>
      <c r="J245" s="819">
        <v>7</v>
      </c>
      <c r="K245" s="820"/>
      <c r="L245" s="821">
        <v>8</v>
      </c>
      <c r="M245" s="822"/>
    </row>
    <row r="246" spans="1:13" ht="15.75" customHeight="1">
      <c r="A246" s="275"/>
      <c r="B246" s="185"/>
      <c r="C246" s="185"/>
      <c r="D246" s="807"/>
      <c r="E246" s="804"/>
      <c r="F246" s="823" t="s">
        <v>188</v>
      </c>
      <c r="G246" s="824"/>
      <c r="H246" s="823" t="s">
        <v>165</v>
      </c>
      <c r="I246" s="824"/>
      <c r="J246" s="823" t="s">
        <v>189</v>
      </c>
      <c r="K246" s="824"/>
      <c r="L246" s="825" t="s">
        <v>249</v>
      </c>
      <c r="M246" s="826"/>
    </row>
    <row r="247" spans="1:13" ht="15.75" customHeight="1">
      <c r="A247" s="275"/>
      <c r="B247" s="185"/>
      <c r="C247" s="185"/>
      <c r="D247" s="807"/>
      <c r="E247" s="804"/>
      <c r="F247" s="480" t="s">
        <v>11</v>
      </c>
      <c r="G247" s="480" t="s">
        <v>41</v>
      </c>
      <c r="H247" s="480" t="s">
        <v>11</v>
      </c>
      <c r="I247" s="480" t="s">
        <v>41</v>
      </c>
      <c r="J247" s="480" t="s">
        <v>11</v>
      </c>
      <c r="K247" s="480" t="s">
        <v>41</v>
      </c>
      <c r="L247" s="480" t="s">
        <v>11</v>
      </c>
      <c r="M247" s="268" t="s">
        <v>41</v>
      </c>
    </row>
    <row r="248" spans="1:13" ht="15.75" customHeight="1">
      <c r="A248" s="276"/>
      <c r="B248" s="277"/>
      <c r="C248" s="277"/>
      <c r="D248" s="807"/>
      <c r="E248" s="189" t="s">
        <v>244</v>
      </c>
      <c r="F248" s="271">
        <v>2214.98</v>
      </c>
      <c r="G248" s="193">
        <f>IFERROR(F248/B243,"")</f>
        <v>1.8070700725282076E-2</v>
      </c>
      <c r="H248" s="271">
        <v>2466.8669999999997</v>
      </c>
      <c r="I248" s="193">
        <f>IFERROR(H248/B243,"")</f>
        <v>2.0125696523704238E-2</v>
      </c>
      <c r="J248" s="271">
        <v>0</v>
      </c>
      <c r="K248" s="193">
        <f>IFERROR(J248/B243,"")</f>
        <v>0</v>
      </c>
      <c r="L248" s="271">
        <v>0</v>
      </c>
      <c r="M248" s="272">
        <f>IFERROR(L248/B243,"")</f>
        <v>0</v>
      </c>
    </row>
    <row r="249" spans="1:13" ht="15.75" customHeight="1" thickBot="1">
      <c r="A249" s="278"/>
      <c r="B249" s="279"/>
      <c r="C249" s="279"/>
      <c r="D249" s="816"/>
      <c r="E249" s="280" t="s">
        <v>245</v>
      </c>
      <c r="F249" s="281">
        <v>6735.8776599999837</v>
      </c>
      <c r="G249" s="282">
        <f>IFERROR(F249/B244,"")</f>
        <v>6.6549690767830738E-2</v>
      </c>
      <c r="H249" s="281">
        <v>5140.3288799999918</v>
      </c>
      <c r="I249" s="282">
        <f>IFERROR(H249/B244,"")</f>
        <v>5.0785853704021999E-2</v>
      </c>
      <c r="J249" s="281">
        <v>0</v>
      </c>
      <c r="K249" s="282">
        <f>IFERROR(J249/B244,"")</f>
        <v>0</v>
      </c>
      <c r="L249" s="281">
        <v>0</v>
      </c>
      <c r="M249" s="283">
        <f>IFERROR(L249/B244,"")</f>
        <v>0</v>
      </c>
    </row>
    <row r="250" spans="1:13" ht="15.75" customHeight="1">
      <c r="A250" s="810" t="s">
        <v>806</v>
      </c>
      <c r="B250" s="811"/>
      <c r="C250" s="811"/>
      <c r="D250" s="811"/>
      <c r="E250" s="811"/>
      <c r="F250" s="811"/>
      <c r="G250" s="811"/>
      <c r="H250" s="811"/>
      <c r="I250" s="811"/>
      <c r="J250" s="811"/>
      <c r="K250" s="811"/>
      <c r="L250" s="811"/>
      <c r="M250" s="812"/>
    </row>
    <row r="251" spans="1:13" ht="15.75" customHeight="1">
      <c r="A251" s="813"/>
      <c r="B251" s="803"/>
      <c r="C251" s="803"/>
      <c r="D251" s="803"/>
      <c r="E251" s="803"/>
      <c r="F251" s="803"/>
      <c r="G251" s="803"/>
      <c r="H251" s="803"/>
      <c r="I251" s="803"/>
      <c r="J251" s="803"/>
      <c r="K251" s="803"/>
      <c r="L251" s="803"/>
      <c r="M251" s="814"/>
    </row>
    <row r="252" spans="1:13" ht="15.75" customHeight="1">
      <c r="A252" s="266" t="s">
        <v>238</v>
      </c>
      <c r="B252" s="354">
        <v>52585700</v>
      </c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267"/>
    </row>
    <row r="253" spans="1:13" ht="15.75" customHeight="1">
      <c r="A253" s="815" t="s">
        <v>197</v>
      </c>
      <c r="B253" s="805" t="s">
        <v>10</v>
      </c>
      <c r="C253" s="805"/>
      <c r="D253" s="806"/>
      <c r="E253" s="804" t="s">
        <v>197</v>
      </c>
      <c r="F253" s="808">
        <v>1</v>
      </c>
      <c r="G253" s="808"/>
      <c r="H253" s="808">
        <v>2</v>
      </c>
      <c r="I253" s="808"/>
      <c r="J253" s="808">
        <v>3</v>
      </c>
      <c r="K253" s="808"/>
      <c r="L253" s="808">
        <v>4</v>
      </c>
      <c r="M253" s="817"/>
    </row>
    <row r="254" spans="1:13" ht="15.75" customHeight="1">
      <c r="A254" s="815"/>
      <c r="B254" s="805"/>
      <c r="C254" s="805"/>
      <c r="D254" s="807"/>
      <c r="E254" s="804"/>
      <c r="F254" s="800" t="s">
        <v>250</v>
      </c>
      <c r="G254" s="800"/>
      <c r="H254" s="800" t="s">
        <v>240</v>
      </c>
      <c r="I254" s="800"/>
      <c r="J254" s="800" t="s">
        <v>164</v>
      </c>
      <c r="K254" s="800"/>
      <c r="L254" s="800" t="s">
        <v>695</v>
      </c>
      <c r="M254" s="818"/>
    </row>
    <row r="255" spans="1:13" ht="15.75" customHeight="1">
      <c r="A255" s="815"/>
      <c r="B255" s="485" t="s">
        <v>11</v>
      </c>
      <c r="C255" s="485" t="s">
        <v>41</v>
      </c>
      <c r="D255" s="807"/>
      <c r="E255" s="804"/>
      <c r="F255" s="485" t="s">
        <v>11</v>
      </c>
      <c r="G255" s="485" t="s">
        <v>41</v>
      </c>
      <c r="H255" s="485" t="s">
        <v>11</v>
      </c>
      <c r="I255" s="485" t="s">
        <v>41</v>
      </c>
      <c r="J255" s="485" t="s">
        <v>11</v>
      </c>
      <c r="K255" s="485" t="s">
        <v>41</v>
      </c>
      <c r="L255" s="485" t="s">
        <v>11</v>
      </c>
      <c r="M255" s="268" t="s">
        <v>41</v>
      </c>
    </row>
    <row r="256" spans="1:13" ht="15.75" customHeight="1">
      <c r="A256" s="269" t="s">
        <v>244</v>
      </c>
      <c r="B256" s="270">
        <v>129101.829</v>
      </c>
      <c r="C256" s="191">
        <f>B256/B252</f>
        <v>2.4550748397377995E-3</v>
      </c>
      <c r="D256" s="807"/>
      <c r="E256" s="189" t="s">
        <v>244</v>
      </c>
      <c r="F256" s="271">
        <v>0</v>
      </c>
      <c r="G256" s="193">
        <f>IFERROR(F256/B256,"")</f>
        <v>0</v>
      </c>
      <c r="H256" s="271">
        <v>3603.7519999999995</v>
      </c>
      <c r="I256" s="193">
        <f>IFERROR(H256/B256,"")</f>
        <v>2.79140274612221E-2</v>
      </c>
      <c r="J256" s="271">
        <v>811.50300000000004</v>
      </c>
      <c r="K256" s="193">
        <f>IFERROR(J256/B256,"")</f>
        <v>6.285759127393928E-3</v>
      </c>
      <c r="L256" s="271">
        <v>10731.770000000002</v>
      </c>
      <c r="M256" s="272">
        <f>IFERROR(L256/B256,"")</f>
        <v>8.3126397845223424E-2</v>
      </c>
    </row>
    <row r="257" spans="1:13" ht="15.75" customHeight="1">
      <c r="A257" s="273" t="s">
        <v>245</v>
      </c>
      <c r="B257" s="274">
        <v>100452.3190710835</v>
      </c>
      <c r="C257" s="191">
        <f>B257/B252</f>
        <v>1.9102592353260203E-3</v>
      </c>
      <c r="D257" s="807"/>
      <c r="E257" s="195" t="s">
        <v>245</v>
      </c>
      <c r="F257" s="271">
        <v>0</v>
      </c>
      <c r="G257" s="193">
        <f>IFERROR(F257/B257,"")</f>
        <v>0</v>
      </c>
      <c r="H257" s="271">
        <v>1963.473449999999</v>
      </c>
      <c r="I257" s="193">
        <f>IFERROR(H257/B257,"")</f>
        <v>1.9546322754485916E-2</v>
      </c>
      <c r="J257" s="271">
        <v>0</v>
      </c>
      <c r="K257" s="193">
        <f>IFERROR(J257/B257,"")</f>
        <v>0</v>
      </c>
      <c r="L257" s="271">
        <v>18817.172480000161</v>
      </c>
      <c r="M257" s="272">
        <f>IFERROR(L257/B257,"")</f>
        <v>0.18732442072028704</v>
      </c>
    </row>
    <row r="258" spans="1:13" ht="15.75" customHeight="1">
      <c r="A258" s="275"/>
      <c r="B258" s="185"/>
      <c r="C258" s="185"/>
      <c r="D258" s="807"/>
      <c r="E258" s="804" t="s">
        <v>197</v>
      </c>
      <c r="F258" s="819">
        <v>5</v>
      </c>
      <c r="G258" s="820"/>
      <c r="H258" s="819">
        <v>6</v>
      </c>
      <c r="I258" s="820"/>
      <c r="J258" s="819">
        <v>7</v>
      </c>
      <c r="K258" s="820"/>
      <c r="L258" s="821">
        <v>8</v>
      </c>
      <c r="M258" s="822"/>
    </row>
    <row r="259" spans="1:13" ht="15.75" customHeight="1">
      <c r="A259" s="275"/>
      <c r="B259" s="185"/>
      <c r="C259" s="185"/>
      <c r="D259" s="807"/>
      <c r="E259" s="804"/>
      <c r="F259" s="823" t="s">
        <v>188</v>
      </c>
      <c r="G259" s="824"/>
      <c r="H259" s="823" t="s">
        <v>165</v>
      </c>
      <c r="I259" s="824"/>
      <c r="J259" s="823" t="s">
        <v>189</v>
      </c>
      <c r="K259" s="824"/>
      <c r="L259" s="825" t="s">
        <v>249</v>
      </c>
      <c r="M259" s="826"/>
    </row>
    <row r="260" spans="1:13" ht="15.75" customHeight="1">
      <c r="A260" s="275"/>
      <c r="B260" s="185"/>
      <c r="C260" s="185"/>
      <c r="D260" s="807"/>
      <c r="E260" s="804"/>
      <c r="F260" s="485" t="s">
        <v>11</v>
      </c>
      <c r="G260" s="485" t="s">
        <v>41</v>
      </c>
      <c r="H260" s="485" t="s">
        <v>11</v>
      </c>
      <c r="I260" s="485" t="s">
        <v>41</v>
      </c>
      <c r="J260" s="485" t="s">
        <v>11</v>
      </c>
      <c r="K260" s="485" t="s">
        <v>41</v>
      </c>
      <c r="L260" s="485" t="s">
        <v>11</v>
      </c>
      <c r="M260" s="268" t="s">
        <v>41</v>
      </c>
    </row>
    <row r="261" spans="1:13" ht="15.75" customHeight="1">
      <c r="A261" s="276"/>
      <c r="B261" s="277"/>
      <c r="C261" s="277"/>
      <c r="D261" s="807"/>
      <c r="E261" s="189" t="s">
        <v>244</v>
      </c>
      <c r="F261" s="271">
        <v>1612.078</v>
      </c>
      <c r="G261" s="193">
        <f>IFERROR(F261/B256,"")</f>
        <v>1.2486871893968288E-2</v>
      </c>
      <c r="H261" s="271">
        <v>1022.1999999999998</v>
      </c>
      <c r="I261" s="193">
        <f>IFERROR(H261/B256,"")</f>
        <v>7.9177809324451932E-3</v>
      </c>
      <c r="J261" s="271">
        <v>0</v>
      </c>
      <c r="K261" s="193">
        <f>IFERROR(J261/B256,"")</f>
        <v>0</v>
      </c>
      <c r="L261" s="271">
        <v>0</v>
      </c>
      <c r="M261" s="272">
        <f>IFERROR(L261/B256,"")</f>
        <v>0</v>
      </c>
    </row>
    <row r="262" spans="1:13" ht="15.75" customHeight="1" thickBot="1">
      <c r="A262" s="278"/>
      <c r="B262" s="279"/>
      <c r="C262" s="279"/>
      <c r="D262" s="816"/>
      <c r="E262" s="280" t="s">
        <v>245</v>
      </c>
      <c r="F262" s="281">
        <v>5619.3451999999734</v>
      </c>
      <c r="G262" s="282">
        <f>IFERROR(F262/B257,"")</f>
        <v>5.5940422799234051E-2</v>
      </c>
      <c r="H262" s="281">
        <v>4763.3846399999848</v>
      </c>
      <c r="I262" s="282">
        <f>IFERROR(H262/B257,"")</f>
        <v>4.7419359593174254E-2</v>
      </c>
      <c r="J262" s="281">
        <v>0</v>
      </c>
      <c r="K262" s="282">
        <f>IFERROR(J262/B257,"")</f>
        <v>0</v>
      </c>
      <c r="L262" s="281">
        <v>0</v>
      </c>
      <c r="M262" s="283">
        <f>IFERROR(L262/B257,"")</f>
        <v>0</v>
      </c>
    </row>
    <row r="263" spans="1:13" ht="15.75" customHeight="1">
      <c r="A263" s="810" t="s">
        <v>810</v>
      </c>
      <c r="B263" s="811"/>
      <c r="C263" s="811"/>
      <c r="D263" s="811"/>
      <c r="E263" s="811"/>
      <c r="F263" s="811"/>
      <c r="G263" s="811"/>
      <c r="H263" s="811"/>
      <c r="I263" s="811"/>
      <c r="J263" s="811"/>
      <c r="K263" s="811"/>
      <c r="L263" s="811"/>
      <c r="M263" s="812"/>
    </row>
    <row r="264" spans="1:13" ht="15.75" customHeight="1">
      <c r="A264" s="813"/>
      <c r="B264" s="803"/>
      <c r="C264" s="803"/>
      <c r="D264" s="803"/>
      <c r="E264" s="803"/>
      <c r="F264" s="803"/>
      <c r="G264" s="803"/>
      <c r="H264" s="803"/>
      <c r="I264" s="803"/>
      <c r="J264" s="803"/>
      <c r="K264" s="803"/>
      <c r="L264" s="803"/>
      <c r="M264" s="814"/>
    </row>
    <row r="265" spans="1:13" ht="15.75" customHeight="1">
      <c r="A265" s="266" t="s">
        <v>238</v>
      </c>
      <c r="B265" s="354">
        <v>48784609</v>
      </c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267"/>
    </row>
    <row r="266" spans="1:13" ht="15.75" customHeight="1">
      <c r="A266" s="815" t="s">
        <v>197</v>
      </c>
      <c r="B266" s="805" t="s">
        <v>10</v>
      </c>
      <c r="C266" s="805"/>
      <c r="D266" s="806"/>
      <c r="E266" s="804" t="s">
        <v>197</v>
      </c>
      <c r="F266" s="808">
        <v>1</v>
      </c>
      <c r="G266" s="808"/>
      <c r="H266" s="808">
        <v>2</v>
      </c>
      <c r="I266" s="808"/>
      <c r="J266" s="808">
        <v>3</v>
      </c>
      <c r="K266" s="808"/>
      <c r="L266" s="808">
        <v>4</v>
      </c>
      <c r="M266" s="817"/>
    </row>
    <row r="267" spans="1:13" ht="15.75" customHeight="1">
      <c r="A267" s="815"/>
      <c r="B267" s="805"/>
      <c r="C267" s="805"/>
      <c r="D267" s="807"/>
      <c r="E267" s="804"/>
      <c r="F267" s="800" t="s">
        <v>250</v>
      </c>
      <c r="G267" s="800"/>
      <c r="H267" s="800" t="s">
        <v>240</v>
      </c>
      <c r="I267" s="800"/>
      <c r="J267" s="800" t="s">
        <v>164</v>
      </c>
      <c r="K267" s="800"/>
      <c r="L267" s="800" t="s">
        <v>695</v>
      </c>
      <c r="M267" s="818"/>
    </row>
    <row r="268" spans="1:13" ht="15.75" customHeight="1">
      <c r="A268" s="815"/>
      <c r="B268" s="487" t="s">
        <v>11</v>
      </c>
      <c r="C268" s="487" t="s">
        <v>41</v>
      </c>
      <c r="D268" s="807"/>
      <c r="E268" s="804"/>
      <c r="F268" s="487" t="s">
        <v>11</v>
      </c>
      <c r="G268" s="487" t="s">
        <v>41</v>
      </c>
      <c r="H268" s="487" t="s">
        <v>11</v>
      </c>
      <c r="I268" s="487" t="s">
        <v>41</v>
      </c>
      <c r="J268" s="487" t="s">
        <v>11</v>
      </c>
      <c r="K268" s="487" t="s">
        <v>41</v>
      </c>
      <c r="L268" s="487" t="s">
        <v>11</v>
      </c>
      <c r="M268" s="268" t="s">
        <v>41</v>
      </c>
    </row>
    <row r="269" spans="1:13" ht="15.75" customHeight="1">
      <c r="A269" s="269" t="s">
        <v>244</v>
      </c>
      <c r="B269" s="270">
        <v>119574</v>
      </c>
      <c r="C269" s="191">
        <f>B269/B265</f>
        <v>2.451059923427899E-3</v>
      </c>
      <c r="D269" s="807"/>
      <c r="E269" s="189" t="s">
        <v>244</v>
      </c>
      <c r="F269" s="271">
        <v>0</v>
      </c>
      <c r="G269" s="193">
        <f>IFERROR(F269/B269,"")</f>
        <v>0</v>
      </c>
      <c r="H269" s="271">
        <v>1458.4679999999998</v>
      </c>
      <c r="I269" s="193">
        <f>IFERROR(H269/B269,"")</f>
        <v>1.2197200060213758E-2</v>
      </c>
      <c r="J269" s="271">
        <v>1387.144</v>
      </c>
      <c r="K269" s="193">
        <f>IFERROR(J269/B269,"")</f>
        <v>1.1600715874688477E-2</v>
      </c>
      <c r="L269" s="271">
        <v>8259.2160000000003</v>
      </c>
      <c r="M269" s="272">
        <f>IFERROR(L269/B269,"")</f>
        <v>6.9072005619950833E-2</v>
      </c>
    </row>
    <row r="270" spans="1:13" ht="15.75" customHeight="1">
      <c r="A270" s="273" t="s">
        <v>245</v>
      </c>
      <c r="B270" s="274">
        <v>107362.99873387686</v>
      </c>
      <c r="C270" s="191">
        <f>B270/B265</f>
        <v>2.2007555443126921E-3</v>
      </c>
      <c r="D270" s="807"/>
      <c r="E270" s="195" t="s">
        <v>245</v>
      </c>
      <c r="F270" s="271">
        <v>0</v>
      </c>
      <c r="G270" s="193">
        <f>IFERROR(F270/B270,"")</f>
        <v>0</v>
      </c>
      <c r="H270" s="271">
        <v>3354.9993999999924</v>
      </c>
      <c r="I270" s="193">
        <f>IFERROR(H270/B270,"")</f>
        <v>3.1249121574147783E-2</v>
      </c>
      <c r="J270" s="271">
        <v>1249.2024999999915</v>
      </c>
      <c r="K270" s="193">
        <f>IFERROR(J270/B270,"")</f>
        <v>1.1635316773299324E-2</v>
      </c>
      <c r="L270" s="271">
        <v>13497.26806</v>
      </c>
      <c r="M270" s="272">
        <f>IFERROR(L270/B270,"")</f>
        <v>0.12571619849642976</v>
      </c>
    </row>
    <row r="271" spans="1:13" ht="15.75" customHeight="1">
      <c r="A271" s="275"/>
      <c r="B271" s="185"/>
      <c r="C271" s="185"/>
      <c r="D271" s="807"/>
      <c r="E271" s="804" t="s">
        <v>197</v>
      </c>
      <c r="F271" s="819">
        <v>5</v>
      </c>
      <c r="G271" s="820"/>
      <c r="H271" s="819">
        <v>6</v>
      </c>
      <c r="I271" s="820"/>
      <c r="J271" s="819">
        <v>7</v>
      </c>
      <c r="K271" s="820"/>
      <c r="L271" s="821">
        <v>8</v>
      </c>
      <c r="M271" s="822"/>
    </row>
    <row r="272" spans="1:13" ht="15.75" customHeight="1">
      <c r="A272" s="275"/>
      <c r="B272" s="185"/>
      <c r="C272" s="185"/>
      <c r="D272" s="807"/>
      <c r="E272" s="804"/>
      <c r="F272" s="823" t="s">
        <v>188</v>
      </c>
      <c r="G272" s="824"/>
      <c r="H272" s="823" t="s">
        <v>165</v>
      </c>
      <c r="I272" s="824"/>
      <c r="J272" s="823" t="s">
        <v>189</v>
      </c>
      <c r="K272" s="824"/>
      <c r="L272" s="825" t="s">
        <v>249</v>
      </c>
      <c r="M272" s="826"/>
    </row>
    <row r="273" spans="1:13" ht="15.75" customHeight="1">
      <c r="A273" s="275"/>
      <c r="B273" s="185"/>
      <c r="C273" s="185"/>
      <c r="D273" s="807"/>
      <c r="E273" s="804"/>
      <c r="F273" s="487" t="s">
        <v>11</v>
      </c>
      <c r="G273" s="487" t="s">
        <v>41</v>
      </c>
      <c r="H273" s="487" t="s">
        <v>11</v>
      </c>
      <c r="I273" s="487" t="s">
        <v>41</v>
      </c>
      <c r="J273" s="487" t="s">
        <v>11</v>
      </c>
      <c r="K273" s="487" t="s">
        <v>41</v>
      </c>
      <c r="L273" s="487" t="s">
        <v>11</v>
      </c>
      <c r="M273" s="268" t="s">
        <v>41</v>
      </c>
    </row>
    <row r="274" spans="1:13" ht="15.75" customHeight="1">
      <c r="A274" s="276"/>
      <c r="B274" s="277"/>
      <c r="C274" s="277"/>
      <c r="D274" s="807"/>
      <c r="E274" s="189" t="s">
        <v>244</v>
      </c>
      <c r="F274" s="271">
        <v>3769.37</v>
      </c>
      <c r="G274" s="193">
        <f>IFERROR(F274/B269,"")</f>
        <v>3.1523324468529949E-2</v>
      </c>
      <c r="H274" s="271">
        <v>0</v>
      </c>
      <c r="I274" s="193">
        <f>IFERROR(H274/B269,"")</f>
        <v>0</v>
      </c>
      <c r="J274" s="271">
        <v>0</v>
      </c>
      <c r="K274" s="193">
        <f>IFERROR(J274/B269,"")</f>
        <v>0</v>
      </c>
      <c r="L274" s="271">
        <v>0</v>
      </c>
      <c r="M274" s="272">
        <f>IFERROR(L274/B269,"")</f>
        <v>0</v>
      </c>
    </row>
    <row r="275" spans="1:13" ht="15.75" customHeight="1" thickBot="1">
      <c r="A275" s="278"/>
      <c r="B275" s="279"/>
      <c r="C275" s="279"/>
      <c r="D275" s="816"/>
      <c r="E275" s="280" t="s">
        <v>245</v>
      </c>
      <c r="F275" s="281">
        <v>8107.1470500000132</v>
      </c>
      <c r="G275" s="282">
        <f>IFERROR(F275/B270,"")</f>
        <v>7.551155561605899E-2</v>
      </c>
      <c r="H275" s="281">
        <v>2973.3343199999513</v>
      </c>
      <c r="I275" s="282">
        <f>IFERROR(H275/B270,"")</f>
        <v>2.7694218260147743E-2</v>
      </c>
      <c r="J275" s="281">
        <v>0</v>
      </c>
      <c r="K275" s="282">
        <f>IFERROR(J275/B270,"")</f>
        <v>0</v>
      </c>
      <c r="L275" s="281">
        <v>0</v>
      </c>
      <c r="M275" s="283">
        <f>IFERROR(L275/B270,"")</f>
        <v>0</v>
      </c>
    </row>
    <row r="276" spans="1:13" ht="15.75" customHeight="1">
      <c r="A276" s="810" t="s">
        <v>845</v>
      </c>
      <c r="B276" s="811"/>
      <c r="C276" s="811"/>
      <c r="D276" s="811"/>
      <c r="E276" s="811"/>
      <c r="F276" s="811"/>
      <c r="G276" s="811"/>
      <c r="H276" s="811"/>
      <c r="I276" s="811"/>
      <c r="J276" s="811"/>
      <c r="K276" s="811"/>
      <c r="L276" s="811"/>
      <c r="M276" s="812"/>
    </row>
    <row r="277" spans="1:13" ht="15.75" customHeight="1">
      <c r="A277" s="813"/>
      <c r="B277" s="803"/>
      <c r="C277" s="803"/>
      <c r="D277" s="803"/>
      <c r="E277" s="803"/>
      <c r="F277" s="803"/>
      <c r="G277" s="803"/>
      <c r="H277" s="803"/>
      <c r="I277" s="803"/>
      <c r="J277" s="803"/>
      <c r="K277" s="803"/>
      <c r="L277" s="803"/>
      <c r="M277" s="814"/>
    </row>
    <row r="278" spans="1:13" ht="15.75" customHeight="1">
      <c r="A278" s="266" t="s">
        <v>238</v>
      </c>
      <c r="B278" s="354">
        <v>47077667</v>
      </c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267"/>
    </row>
    <row r="279" spans="1:13" ht="15.75" customHeight="1">
      <c r="A279" s="815" t="s">
        <v>197</v>
      </c>
      <c r="B279" s="805" t="s">
        <v>10</v>
      </c>
      <c r="C279" s="805"/>
      <c r="D279" s="806"/>
      <c r="E279" s="804" t="s">
        <v>197</v>
      </c>
      <c r="F279" s="808">
        <v>1</v>
      </c>
      <c r="G279" s="808"/>
      <c r="H279" s="808">
        <v>2</v>
      </c>
      <c r="I279" s="808"/>
      <c r="J279" s="808">
        <v>3</v>
      </c>
      <c r="K279" s="808"/>
      <c r="L279" s="808">
        <v>4</v>
      </c>
      <c r="M279" s="817"/>
    </row>
    <row r="280" spans="1:13" ht="15.75" customHeight="1">
      <c r="A280" s="815"/>
      <c r="B280" s="805"/>
      <c r="C280" s="805"/>
      <c r="D280" s="807"/>
      <c r="E280" s="804"/>
      <c r="F280" s="800" t="s">
        <v>250</v>
      </c>
      <c r="G280" s="800"/>
      <c r="H280" s="800" t="s">
        <v>240</v>
      </c>
      <c r="I280" s="800"/>
      <c r="J280" s="800" t="s">
        <v>164</v>
      </c>
      <c r="K280" s="800"/>
      <c r="L280" s="800" t="s">
        <v>695</v>
      </c>
      <c r="M280" s="818"/>
    </row>
    <row r="281" spans="1:13" ht="15.75" customHeight="1">
      <c r="A281" s="815"/>
      <c r="B281" s="499" t="s">
        <v>11</v>
      </c>
      <c r="C281" s="499" t="s">
        <v>41</v>
      </c>
      <c r="D281" s="807"/>
      <c r="E281" s="804"/>
      <c r="F281" s="499" t="s">
        <v>11</v>
      </c>
      <c r="G281" s="499" t="s">
        <v>41</v>
      </c>
      <c r="H281" s="499" t="s">
        <v>11</v>
      </c>
      <c r="I281" s="499" t="s">
        <v>41</v>
      </c>
      <c r="J281" s="499" t="s">
        <v>11</v>
      </c>
      <c r="K281" s="499" t="s">
        <v>41</v>
      </c>
      <c r="L281" s="499" t="s">
        <v>11</v>
      </c>
      <c r="M281" s="268" t="s">
        <v>41</v>
      </c>
    </row>
    <row r="282" spans="1:13" ht="15.75" customHeight="1">
      <c r="A282" s="269" t="s">
        <v>244</v>
      </c>
      <c r="B282" s="270">
        <v>115557</v>
      </c>
      <c r="C282" s="191">
        <f>B282/B278</f>
        <v>2.454603368514417E-3</v>
      </c>
      <c r="D282" s="807"/>
      <c r="E282" s="189" t="s">
        <v>244</v>
      </c>
      <c r="F282" s="271">
        <v>0</v>
      </c>
      <c r="G282" s="193">
        <f>IFERROR(F282/B282,"")</f>
        <v>0</v>
      </c>
      <c r="H282" s="271">
        <v>2058.9650000000001</v>
      </c>
      <c r="I282" s="193">
        <f>IFERROR(H282/B282,"")</f>
        <v>1.7817743624358545E-2</v>
      </c>
      <c r="J282" s="271">
        <v>1278.299</v>
      </c>
      <c r="K282" s="193">
        <f>IFERROR(J282/B282,"")</f>
        <v>1.1062064608807775E-2</v>
      </c>
      <c r="L282" s="271">
        <v>6266.3449999999993</v>
      </c>
      <c r="M282" s="272">
        <f>IFERROR(L282/B282,"")</f>
        <v>5.422730773557638E-2</v>
      </c>
    </row>
    <row r="283" spans="1:13" ht="15.75" customHeight="1">
      <c r="A283" s="273" t="s">
        <v>245</v>
      </c>
      <c r="B283" s="274">
        <v>104545.0793315998</v>
      </c>
      <c r="C283" s="191">
        <f>B283/B278</f>
        <v>2.2206937172906168E-3</v>
      </c>
      <c r="D283" s="807"/>
      <c r="E283" s="195" t="s">
        <v>245</v>
      </c>
      <c r="F283" s="271">
        <v>0</v>
      </c>
      <c r="G283" s="193">
        <f>IFERROR(F283/B283,"")</f>
        <v>0</v>
      </c>
      <c r="H283" s="271">
        <v>0</v>
      </c>
      <c r="I283" s="193">
        <f>IFERROR(H283/B283,"")</f>
        <v>0</v>
      </c>
      <c r="J283" s="271">
        <v>1502.8863499999807</v>
      </c>
      <c r="K283" s="193">
        <f>IFERROR(J283/B283,"")</f>
        <v>1.4375486245823892E-2</v>
      </c>
      <c r="L283" s="271">
        <v>13574.219739999902</v>
      </c>
      <c r="M283" s="272">
        <f>IFERROR(L283/B283,"")</f>
        <v>0.12984082872943939</v>
      </c>
    </row>
    <row r="284" spans="1:13" ht="15.75" customHeight="1">
      <c r="A284" s="275"/>
      <c r="B284" s="185"/>
      <c r="C284" s="185"/>
      <c r="D284" s="807"/>
      <c r="E284" s="804" t="s">
        <v>197</v>
      </c>
      <c r="F284" s="819">
        <v>5</v>
      </c>
      <c r="G284" s="820"/>
      <c r="H284" s="819">
        <v>6</v>
      </c>
      <c r="I284" s="820"/>
      <c r="J284" s="819">
        <v>7</v>
      </c>
      <c r="K284" s="820"/>
      <c r="L284" s="821">
        <v>8</v>
      </c>
      <c r="M284" s="822"/>
    </row>
    <row r="285" spans="1:13" ht="15.75" customHeight="1">
      <c r="A285" s="275"/>
      <c r="B285" s="185"/>
      <c r="C285" s="185"/>
      <c r="D285" s="807"/>
      <c r="E285" s="804"/>
      <c r="F285" s="823" t="s">
        <v>188</v>
      </c>
      <c r="G285" s="824"/>
      <c r="H285" s="823" t="s">
        <v>165</v>
      </c>
      <c r="I285" s="824"/>
      <c r="J285" s="823" t="s">
        <v>189</v>
      </c>
      <c r="K285" s="824"/>
      <c r="L285" s="825" t="s">
        <v>249</v>
      </c>
      <c r="M285" s="826"/>
    </row>
    <row r="286" spans="1:13" ht="15.75" customHeight="1">
      <c r="A286" s="275"/>
      <c r="B286" s="185"/>
      <c r="C286" s="185"/>
      <c r="D286" s="807"/>
      <c r="E286" s="804"/>
      <c r="F286" s="499" t="s">
        <v>11</v>
      </c>
      <c r="G286" s="499" t="s">
        <v>41</v>
      </c>
      <c r="H286" s="499" t="s">
        <v>11</v>
      </c>
      <c r="I286" s="499" t="s">
        <v>41</v>
      </c>
      <c r="J286" s="499" t="s">
        <v>11</v>
      </c>
      <c r="K286" s="499" t="s">
        <v>41</v>
      </c>
      <c r="L286" s="499" t="s">
        <v>11</v>
      </c>
      <c r="M286" s="268" t="s">
        <v>41</v>
      </c>
    </row>
    <row r="287" spans="1:13" ht="15.75" customHeight="1">
      <c r="A287" s="276"/>
      <c r="B287" s="277"/>
      <c r="C287" s="277"/>
      <c r="D287" s="807"/>
      <c r="E287" s="189" t="s">
        <v>244</v>
      </c>
      <c r="F287" s="271">
        <v>4216.2010000000009</v>
      </c>
      <c r="G287" s="193">
        <f>IFERROR(F287/B282,"")</f>
        <v>3.648589873395814E-2</v>
      </c>
      <c r="H287" s="271">
        <v>860.79999999999984</v>
      </c>
      <c r="I287" s="193">
        <f>IFERROR(H287/B282,"")</f>
        <v>7.4491376550100798E-3</v>
      </c>
      <c r="J287" s="271">
        <v>0</v>
      </c>
      <c r="K287" s="193">
        <f>IFERROR(J287/B282,"")</f>
        <v>0</v>
      </c>
      <c r="L287" s="271">
        <v>0</v>
      </c>
      <c r="M287" s="272">
        <f>IFERROR(L287/B282,"")</f>
        <v>0</v>
      </c>
    </row>
    <row r="288" spans="1:13" ht="15.75" customHeight="1" thickBot="1">
      <c r="A288" s="278"/>
      <c r="B288" s="279"/>
      <c r="C288" s="279"/>
      <c r="D288" s="816"/>
      <c r="E288" s="280" t="s">
        <v>245</v>
      </c>
      <c r="F288" s="281">
        <v>11653.282010000023</v>
      </c>
      <c r="G288" s="282">
        <f>IFERROR(F288/B283,"")</f>
        <v>0.11146657580159969</v>
      </c>
      <c r="H288" s="281">
        <v>0</v>
      </c>
      <c r="I288" s="282">
        <f>IFERROR(H288/B283,"")</f>
        <v>0</v>
      </c>
      <c r="J288" s="281">
        <v>0</v>
      </c>
      <c r="K288" s="282">
        <f>IFERROR(J288/B283,"")</f>
        <v>0</v>
      </c>
      <c r="L288" s="281">
        <v>0</v>
      </c>
      <c r="M288" s="283">
        <f>IFERROR(L288/B283,"")</f>
        <v>0</v>
      </c>
    </row>
    <row r="289" spans="1:13" ht="15.75" customHeight="1">
      <c r="A289" s="810" t="s">
        <v>887</v>
      </c>
      <c r="B289" s="811"/>
      <c r="C289" s="811"/>
      <c r="D289" s="811"/>
      <c r="E289" s="811"/>
      <c r="F289" s="811"/>
      <c r="G289" s="811"/>
      <c r="H289" s="811"/>
      <c r="I289" s="811"/>
      <c r="J289" s="811"/>
      <c r="K289" s="811"/>
      <c r="L289" s="811"/>
      <c r="M289" s="812"/>
    </row>
    <row r="290" spans="1:13" ht="15.75" customHeight="1">
      <c r="A290" s="813"/>
      <c r="B290" s="803"/>
      <c r="C290" s="803"/>
      <c r="D290" s="803"/>
      <c r="E290" s="803"/>
      <c r="F290" s="803"/>
      <c r="G290" s="803"/>
      <c r="H290" s="803"/>
      <c r="I290" s="803"/>
      <c r="J290" s="803"/>
      <c r="K290" s="803"/>
      <c r="L290" s="803"/>
      <c r="M290" s="814"/>
    </row>
    <row r="291" spans="1:13" ht="15.75" customHeight="1">
      <c r="A291" s="266" t="s">
        <v>238</v>
      </c>
      <c r="B291" s="354">
        <v>47860768</v>
      </c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267"/>
    </row>
    <row r="292" spans="1:13" ht="15.75" customHeight="1">
      <c r="A292" s="815" t="s">
        <v>197</v>
      </c>
      <c r="B292" s="805" t="s">
        <v>10</v>
      </c>
      <c r="C292" s="805"/>
      <c r="D292" s="806"/>
      <c r="E292" s="804" t="s">
        <v>197</v>
      </c>
      <c r="F292" s="808">
        <v>1</v>
      </c>
      <c r="G292" s="808"/>
      <c r="H292" s="808">
        <v>2</v>
      </c>
      <c r="I292" s="808"/>
      <c r="J292" s="808">
        <v>3</v>
      </c>
      <c r="K292" s="808"/>
      <c r="L292" s="808">
        <v>4</v>
      </c>
      <c r="M292" s="817"/>
    </row>
    <row r="293" spans="1:13" ht="15.75" customHeight="1">
      <c r="A293" s="815"/>
      <c r="B293" s="805"/>
      <c r="C293" s="805"/>
      <c r="D293" s="807"/>
      <c r="E293" s="804"/>
      <c r="F293" s="800" t="s">
        <v>250</v>
      </c>
      <c r="G293" s="800"/>
      <c r="H293" s="800" t="s">
        <v>240</v>
      </c>
      <c r="I293" s="800"/>
      <c r="J293" s="800" t="s">
        <v>164</v>
      </c>
      <c r="K293" s="800"/>
      <c r="L293" s="800" t="s">
        <v>695</v>
      </c>
      <c r="M293" s="818"/>
    </row>
    <row r="294" spans="1:13" ht="15.75" customHeight="1">
      <c r="A294" s="815"/>
      <c r="B294" s="528" t="s">
        <v>11</v>
      </c>
      <c r="C294" s="528" t="s">
        <v>41</v>
      </c>
      <c r="D294" s="807"/>
      <c r="E294" s="804"/>
      <c r="F294" s="528" t="s">
        <v>11</v>
      </c>
      <c r="G294" s="528" t="s">
        <v>41</v>
      </c>
      <c r="H294" s="528" t="s">
        <v>11</v>
      </c>
      <c r="I294" s="528" t="s">
        <v>41</v>
      </c>
      <c r="J294" s="528" t="s">
        <v>11</v>
      </c>
      <c r="K294" s="528" t="s">
        <v>41</v>
      </c>
      <c r="L294" s="528" t="s">
        <v>11</v>
      </c>
      <c r="M294" s="268" t="s">
        <v>41</v>
      </c>
    </row>
    <row r="295" spans="1:13" ht="15.75" customHeight="1">
      <c r="A295" s="269" t="s">
        <v>244</v>
      </c>
      <c r="B295" s="270">
        <v>117024</v>
      </c>
      <c r="C295" s="191">
        <f>B295/B291</f>
        <v>2.4450923980158445E-3</v>
      </c>
      <c r="D295" s="807"/>
      <c r="E295" s="189" t="s">
        <v>244</v>
      </c>
      <c r="F295" s="271">
        <v>0</v>
      </c>
      <c r="G295" s="193">
        <f>IFERROR(F295/B295,"")</f>
        <v>0</v>
      </c>
      <c r="H295" s="271">
        <v>3420.3180000000002</v>
      </c>
      <c r="I295" s="193">
        <f>IFERROR(H295/B295,"")</f>
        <v>2.9227491796554556E-2</v>
      </c>
      <c r="J295" s="271">
        <v>1232.9130000000002</v>
      </c>
      <c r="K295" s="193">
        <f>IFERROR(J295/B295,"")</f>
        <v>1.0535556808859724E-2</v>
      </c>
      <c r="L295" s="271">
        <v>1214.7220000000002</v>
      </c>
      <c r="M295" s="272">
        <f>IFERROR(L295/B295,"")</f>
        <v>1.0380110062893083E-2</v>
      </c>
    </row>
    <row r="296" spans="1:13" ht="15.75" customHeight="1">
      <c r="A296" s="273" t="s">
        <v>245</v>
      </c>
      <c r="B296" s="274">
        <v>106787.07459785466</v>
      </c>
      <c r="C296" s="191">
        <f>B296/B291</f>
        <v>2.2312026960757225E-3</v>
      </c>
      <c r="D296" s="807"/>
      <c r="E296" s="195" t="s">
        <v>245</v>
      </c>
      <c r="F296" s="271">
        <v>0</v>
      </c>
      <c r="G296" s="193">
        <f>IFERROR(F296/B296,"")</f>
        <v>0</v>
      </c>
      <c r="H296" s="271">
        <v>2618.8591999999899</v>
      </c>
      <c r="I296" s="193">
        <f>IFERROR(H296/B296,"")</f>
        <v>2.4524121574284633E-2</v>
      </c>
      <c r="J296" s="271">
        <v>1594.8998000000151</v>
      </c>
      <c r="K296" s="193">
        <f>IFERROR(J296/B296,"")</f>
        <v>1.493532626496406E-2</v>
      </c>
      <c r="L296" s="271">
        <v>3295.7032599999875</v>
      </c>
      <c r="M296" s="272">
        <f>IFERROR(L296/B296,"")</f>
        <v>3.0862379856468114E-2</v>
      </c>
    </row>
    <row r="297" spans="1:13" ht="15.75" customHeight="1">
      <c r="A297" s="275"/>
      <c r="B297" s="185"/>
      <c r="C297" s="185"/>
      <c r="D297" s="807"/>
      <c r="E297" s="804" t="s">
        <v>197</v>
      </c>
      <c r="F297" s="819">
        <v>5</v>
      </c>
      <c r="G297" s="820"/>
      <c r="H297" s="819">
        <v>6</v>
      </c>
      <c r="I297" s="820"/>
      <c r="J297" s="819">
        <v>7</v>
      </c>
      <c r="K297" s="820"/>
      <c r="L297" s="821">
        <v>8</v>
      </c>
      <c r="M297" s="822"/>
    </row>
    <row r="298" spans="1:13" ht="15.75" customHeight="1">
      <c r="A298" s="275"/>
      <c r="B298" s="185"/>
      <c r="C298" s="185"/>
      <c r="D298" s="807"/>
      <c r="E298" s="804"/>
      <c r="F298" s="823" t="s">
        <v>188</v>
      </c>
      <c r="G298" s="824"/>
      <c r="H298" s="823" t="s">
        <v>165</v>
      </c>
      <c r="I298" s="824"/>
      <c r="J298" s="823" t="s">
        <v>189</v>
      </c>
      <c r="K298" s="824"/>
      <c r="L298" s="825" t="s">
        <v>249</v>
      </c>
      <c r="M298" s="826"/>
    </row>
    <row r="299" spans="1:13" ht="15.75" customHeight="1">
      <c r="A299" s="275"/>
      <c r="B299" s="185"/>
      <c r="C299" s="185"/>
      <c r="D299" s="807"/>
      <c r="E299" s="804"/>
      <c r="F299" s="528" t="s">
        <v>11</v>
      </c>
      <c r="G299" s="528" t="s">
        <v>41</v>
      </c>
      <c r="H299" s="528" t="s">
        <v>11</v>
      </c>
      <c r="I299" s="528" t="s">
        <v>41</v>
      </c>
      <c r="J299" s="528" t="s">
        <v>11</v>
      </c>
      <c r="K299" s="528" t="s">
        <v>41</v>
      </c>
      <c r="L299" s="528" t="s">
        <v>11</v>
      </c>
      <c r="M299" s="268" t="s">
        <v>41</v>
      </c>
    </row>
    <row r="300" spans="1:13" ht="15.75" customHeight="1">
      <c r="A300" s="276"/>
      <c r="B300" s="277"/>
      <c r="C300" s="277"/>
      <c r="D300" s="807"/>
      <c r="E300" s="189" t="s">
        <v>244</v>
      </c>
      <c r="F300" s="271">
        <v>1368.8999999999999</v>
      </c>
      <c r="G300" s="193">
        <f>IFERROR(F300/B295,"")</f>
        <v>1.1697600492206726E-2</v>
      </c>
      <c r="H300" s="271">
        <v>807</v>
      </c>
      <c r="I300" s="193">
        <f>IFERROR(H300/B295,"")</f>
        <v>6.8960213289581624E-3</v>
      </c>
      <c r="J300" s="271">
        <v>0</v>
      </c>
      <c r="K300" s="193">
        <f>IFERROR(J300/B295,"")</f>
        <v>0</v>
      </c>
      <c r="L300" s="271">
        <v>0</v>
      </c>
      <c r="M300" s="272">
        <f>IFERROR(L300/B295,"")</f>
        <v>0</v>
      </c>
    </row>
    <row r="301" spans="1:13" ht="15.75" customHeight="1" thickBot="1">
      <c r="A301" s="278"/>
      <c r="B301" s="279"/>
      <c r="C301" s="279"/>
      <c r="D301" s="816"/>
      <c r="E301" s="280" t="s">
        <v>245</v>
      </c>
      <c r="F301" s="281">
        <v>6554.8831299998656</v>
      </c>
      <c r="G301" s="282">
        <f>IFERROR(F301/B296,"")</f>
        <v>6.1382739012981184E-2</v>
      </c>
      <c r="H301" s="281">
        <v>1088.1764799999992</v>
      </c>
      <c r="I301" s="282">
        <f>IFERROR(H301/B296,"")</f>
        <v>1.0190151608684113E-2</v>
      </c>
      <c r="J301" s="281">
        <v>0</v>
      </c>
      <c r="K301" s="282">
        <f>IFERROR(J301/B296,"")</f>
        <v>0</v>
      </c>
      <c r="L301" s="281">
        <v>0</v>
      </c>
      <c r="M301" s="283">
        <f>IFERROR(L301/B296,"")</f>
        <v>0</v>
      </c>
    </row>
    <row r="302" spans="1:13" ht="15.75" customHeight="1">
      <c r="A302" s="810" t="s">
        <v>886</v>
      </c>
      <c r="B302" s="811"/>
      <c r="C302" s="811"/>
      <c r="D302" s="811"/>
      <c r="E302" s="811"/>
      <c r="F302" s="811"/>
      <c r="G302" s="811"/>
      <c r="H302" s="811"/>
      <c r="I302" s="811"/>
      <c r="J302" s="811"/>
      <c r="K302" s="811"/>
      <c r="L302" s="811"/>
      <c r="M302" s="812"/>
    </row>
    <row r="303" spans="1:13" ht="15.75" customHeight="1">
      <c r="A303" s="813"/>
      <c r="B303" s="803"/>
      <c r="C303" s="803"/>
      <c r="D303" s="803"/>
      <c r="E303" s="803"/>
      <c r="F303" s="803"/>
      <c r="G303" s="803"/>
      <c r="H303" s="803"/>
      <c r="I303" s="803"/>
      <c r="J303" s="803"/>
      <c r="K303" s="803"/>
      <c r="L303" s="803"/>
      <c r="M303" s="814"/>
    </row>
    <row r="304" spans="1:13" ht="15.75" customHeight="1">
      <c r="A304" s="266" t="s">
        <v>238</v>
      </c>
      <c r="B304" s="354">
        <v>45268529</v>
      </c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267"/>
    </row>
    <row r="305" spans="1:13" ht="15.75" customHeight="1">
      <c r="A305" s="815" t="s">
        <v>197</v>
      </c>
      <c r="B305" s="805" t="s">
        <v>10</v>
      </c>
      <c r="C305" s="805"/>
      <c r="D305" s="806"/>
      <c r="E305" s="804" t="s">
        <v>197</v>
      </c>
      <c r="F305" s="808">
        <v>1</v>
      </c>
      <c r="G305" s="808"/>
      <c r="H305" s="808">
        <v>2</v>
      </c>
      <c r="I305" s="808"/>
      <c r="J305" s="808">
        <v>3</v>
      </c>
      <c r="K305" s="808"/>
      <c r="L305" s="808">
        <v>4</v>
      </c>
      <c r="M305" s="817"/>
    </row>
    <row r="306" spans="1:13" ht="15.75" customHeight="1">
      <c r="A306" s="815"/>
      <c r="B306" s="805"/>
      <c r="C306" s="805"/>
      <c r="D306" s="807"/>
      <c r="E306" s="804"/>
      <c r="F306" s="800" t="s">
        <v>250</v>
      </c>
      <c r="G306" s="800"/>
      <c r="H306" s="800" t="s">
        <v>240</v>
      </c>
      <c r="I306" s="800"/>
      <c r="J306" s="800" t="s">
        <v>164</v>
      </c>
      <c r="K306" s="800"/>
      <c r="L306" s="800" t="s">
        <v>695</v>
      </c>
      <c r="M306" s="818"/>
    </row>
    <row r="307" spans="1:13" ht="15.75" customHeight="1">
      <c r="A307" s="815"/>
      <c r="B307" s="531" t="s">
        <v>11</v>
      </c>
      <c r="C307" s="531" t="s">
        <v>41</v>
      </c>
      <c r="D307" s="807"/>
      <c r="E307" s="804"/>
      <c r="F307" s="531" t="s">
        <v>11</v>
      </c>
      <c r="G307" s="531" t="s">
        <v>41</v>
      </c>
      <c r="H307" s="531" t="s">
        <v>11</v>
      </c>
      <c r="I307" s="531" t="s">
        <v>41</v>
      </c>
      <c r="J307" s="531" t="s">
        <v>11</v>
      </c>
      <c r="K307" s="531" t="s">
        <v>41</v>
      </c>
      <c r="L307" s="531" t="s">
        <v>11</v>
      </c>
      <c r="M307" s="268" t="s">
        <v>41</v>
      </c>
    </row>
    <row r="308" spans="1:13" ht="15.75" customHeight="1">
      <c r="A308" s="269" t="s">
        <v>244</v>
      </c>
      <c r="B308" s="270">
        <v>111302</v>
      </c>
      <c r="C308" s="191">
        <f>B308/B304</f>
        <v>2.4587059146543066E-3</v>
      </c>
      <c r="D308" s="807"/>
      <c r="E308" s="189" t="s">
        <v>244</v>
      </c>
      <c r="F308" s="271">
        <v>0</v>
      </c>
      <c r="G308" s="193">
        <f>IFERROR(F308/B308,"")</f>
        <v>0</v>
      </c>
      <c r="H308" s="271">
        <v>2032.4850000000001</v>
      </c>
      <c r="I308" s="193">
        <f>IFERROR(H308/B308,"")</f>
        <v>1.8260992614687967E-2</v>
      </c>
      <c r="J308" s="271">
        <v>0</v>
      </c>
      <c r="K308" s="193">
        <f>IFERROR(J308/B308,"")</f>
        <v>0</v>
      </c>
      <c r="L308" s="271">
        <v>1297.2910000000002</v>
      </c>
      <c r="M308" s="272">
        <f>IFERROR(L308/B308,"")</f>
        <v>1.1655594688325459E-2</v>
      </c>
    </row>
    <row r="309" spans="1:13" ht="15.75" customHeight="1">
      <c r="A309" s="273" t="s">
        <v>245</v>
      </c>
      <c r="B309" s="274">
        <v>101893.93253329059</v>
      </c>
      <c r="C309" s="191">
        <f>B309/B304</f>
        <v>2.2508779230111628E-3</v>
      </c>
      <c r="D309" s="807"/>
      <c r="E309" s="195" t="s">
        <v>245</v>
      </c>
      <c r="F309" s="271">
        <v>0</v>
      </c>
      <c r="G309" s="193">
        <f>IFERROR(F309/B309,"")</f>
        <v>0</v>
      </c>
      <c r="H309" s="271">
        <v>1351.4083999999991</v>
      </c>
      <c r="I309" s="193">
        <f>IFERROR(H309/B309,"")</f>
        <v>1.3262893740591175E-2</v>
      </c>
      <c r="J309" s="271">
        <v>2382.4582500000106</v>
      </c>
      <c r="K309" s="193">
        <f>IFERROR(J309/B309,"")</f>
        <v>2.3381747968375041E-2</v>
      </c>
      <c r="L309" s="271">
        <v>2411.1381199999896</v>
      </c>
      <c r="M309" s="272">
        <f>IFERROR(L309/B309,"")</f>
        <v>2.3663215856471409E-2</v>
      </c>
    </row>
    <row r="310" spans="1:13" ht="15.75" customHeight="1">
      <c r="A310" s="275"/>
      <c r="B310" s="185"/>
      <c r="C310" s="185"/>
      <c r="D310" s="807"/>
      <c r="E310" s="804" t="s">
        <v>197</v>
      </c>
      <c r="F310" s="819">
        <v>5</v>
      </c>
      <c r="G310" s="820"/>
      <c r="H310" s="819">
        <v>6</v>
      </c>
      <c r="I310" s="820"/>
      <c r="J310" s="819">
        <v>7</v>
      </c>
      <c r="K310" s="820"/>
      <c r="L310" s="821">
        <v>8</v>
      </c>
      <c r="M310" s="822"/>
    </row>
    <row r="311" spans="1:13" ht="15.75" customHeight="1">
      <c r="A311" s="275"/>
      <c r="B311" s="185"/>
      <c r="C311" s="185"/>
      <c r="D311" s="807"/>
      <c r="E311" s="804"/>
      <c r="F311" s="823" t="s">
        <v>188</v>
      </c>
      <c r="G311" s="824"/>
      <c r="H311" s="823" t="s">
        <v>165</v>
      </c>
      <c r="I311" s="824"/>
      <c r="J311" s="823" t="s">
        <v>189</v>
      </c>
      <c r="K311" s="824"/>
      <c r="L311" s="825" t="s">
        <v>249</v>
      </c>
      <c r="M311" s="826"/>
    </row>
    <row r="312" spans="1:13" ht="15.75" customHeight="1">
      <c r="A312" s="275"/>
      <c r="B312" s="185"/>
      <c r="C312" s="185"/>
      <c r="D312" s="807"/>
      <c r="E312" s="804"/>
      <c r="F312" s="531" t="s">
        <v>11</v>
      </c>
      <c r="G312" s="531" t="s">
        <v>41</v>
      </c>
      <c r="H312" s="531" t="s">
        <v>11</v>
      </c>
      <c r="I312" s="531" t="s">
        <v>41</v>
      </c>
      <c r="J312" s="531" t="s">
        <v>11</v>
      </c>
      <c r="K312" s="531" t="s">
        <v>41</v>
      </c>
      <c r="L312" s="531" t="s">
        <v>11</v>
      </c>
      <c r="M312" s="268" t="s">
        <v>41</v>
      </c>
    </row>
    <row r="313" spans="1:13" ht="15.75" customHeight="1">
      <c r="A313" s="276"/>
      <c r="B313" s="277"/>
      <c r="C313" s="277"/>
      <c r="D313" s="807"/>
      <c r="E313" s="189" t="s">
        <v>244</v>
      </c>
      <c r="F313" s="271">
        <v>4126.5310000000009</v>
      </c>
      <c r="G313" s="193">
        <f>IFERROR(F313/B308,"")</f>
        <v>3.7075084005678251E-2</v>
      </c>
      <c r="H313" s="271">
        <v>780.09999999999991</v>
      </c>
      <c r="I313" s="193">
        <f>IFERROR(H313/B308,"")</f>
        <v>7.0088587806149032E-3</v>
      </c>
      <c r="J313" s="271">
        <v>631.87</v>
      </c>
      <c r="K313" s="193">
        <f>IFERROR(J313/B308,"")</f>
        <v>5.677076782088372E-3</v>
      </c>
      <c r="L313" s="271">
        <v>0</v>
      </c>
      <c r="M313" s="272">
        <f>IFERROR(L313/B308,"")</f>
        <v>0</v>
      </c>
    </row>
    <row r="314" spans="1:13" ht="15.75" customHeight="1" thickBot="1">
      <c r="A314" s="278"/>
      <c r="B314" s="279"/>
      <c r="C314" s="279"/>
      <c r="D314" s="816"/>
      <c r="E314" s="280" t="s">
        <v>245</v>
      </c>
      <c r="F314" s="281">
        <v>7919.6729299999806</v>
      </c>
      <c r="G314" s="282">
        <f>IFERROR(F314/B309,"")</f>
        <v>7.7724676367873821E-2</v>
      </c>
      <c r="H314" s="281">
        <v>2969.7468799999551</v>
      </c>
      <c r="I314" s="282">
        <f>IFERROR(H314/B309,"")</f>
        <v>2.9145473201063126E-2</v>
      </c>
      <c r="J314" s="281">
        <v>1220.7728400000015</v>
      </c>
      <c r="K314" s="282">
        <f>IFERROR(J314/B309,"")</f>
        <v>1.1980819756869753E-2</v>
      </c>
      <c r="L314" s="281">
        <v>0</v>
      </c>
      <c r="M314" s="283">
        <f>IFERROR(L314/B309,"")</f>
        <v>0</v>
      </c>
    </row>
    <row r="315" spans="1:13" ht="15.75" customHeight="1">
      <c r="A315" s="810" t="s">
        <v>907</v>
      </c>
      <c r="B315" s="811"/>
      <c r="C315" s="811"/>
      <c r="D315" s="811"/>
      <c r="E315" s="811"/>
      <c r="F315" s="811"/>
      <c r="G315" s="811"/>
      <c r="H315" s="811"/>
      <c r="I315" s="811"/>
      <c r="J315" s="811"/>
      <c r="K315" s="811"/>
      <c r="L315" s="811"/>
      <c r="M315" s="812"/>
    </row>
    <row r="316" spans="1:13" ht="15.75" customHeight="1">
      <c r="A316" s="813"/>
      <c r="B316" s="803"/>
      <c r="C316" s="803"/>
      <c r="D316" s="803"/>
      <c r="E316" s="803"/>
      <c r="F316" s="803"/>
      <c r="G316" s="803"/>
      <c r="H316" s="803"/>
      <c r="I316" s="803"/>
      <c r="J316" s="803"/>
      <c r="K316" s="803"/>
      <c r="L316" s="803"/>
      <c r="M316" s="814"/>
    </row>
    <row r="317" spans="1:13" ht="15.75" customHeight="1">
      <c r="A317" s="266" t="s">
        <v>238</v>
      </c>
      <c r="B317" s="354">
        <v>46317667</v>
      </c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267"/>
    </row>
    <row r="318" spans="1:13" ht="15.75" customHeight="1">
      <c r="A318" s="815" t="s">
        <v>197</v>
      </c>
      <c r="B318" s="805" t="s">
        <v>10</v>
      </c>
      <c r="C318" s="805"/>
      <c r="D318" s="806"/>
      <c r="E318" s="804" t="s">
        <v>197</v>
      </c>
      <c r="F318" s="808">
        <v>1</v>
      </c>
      <c r="G318" s="808"/>
      <c r="H318" s="808">
        <v>2</v>
      </c>
      <c r="I318" s="808"/>
      <c r="J318" s="808">
        <v>3</v>
      </c>
      <c r="K318" s="808"/>
      <c r="L318" s="808">
        <v>4</v>
      </c>
      <c r="M318" s="817"/>
    </row>
    <row r="319" spans="1:13" ht="15.75" customHeight="1">
      <c r="A319" s="815"/>
      <c r="B319" s="805"/>
      <c r="C319" s="805"/>
      <c r="D319" s="807"/>
      <c r="E319" s="804"/>
      <c r="F319" s="800" t="s">
        <v>250</v>
      </c>
      <c r="G319" s="800"/>
      <c r="H319" s="800" t="s">
        <v>240</v>
      </c>
      <c r="I319" s="800"/>
      <c r="J319" s="800" t="s">
        <v>164</v>
      </c>
      <c r="K319" s="800"/>
      <c r="L319" s="800" t="s">
        <v>695</v>
      </c>
      <c r="M319" s="818"/>
    </row>
    <row r="320" spans="1:13" ht="15.75" customHeight="1">
      <c r="A320" s="815"/>
      <c r="B320" s="540" t="s">
        <v>11</v>
      </c>
      <c r="C320" s="540" t="s">
        <v>41</v>
      </c>
      <c r="D320" s="807"/>
      <c r="E320" s="804"/>
      <c r="F320" s="540" t="s">
        <v>11</v>
      </c>
      <c r="G320" s="540" t="s">
        <v>41</v>
      </c>
      <c r="H320" s="540" t="s">
        <v>11</v>
      </c>
      <c r="I320" s="540" t="s">
        <v>41</v>
      </c>
      <c r="J320" s="540" t="s">
        <v>11</v>
      </c>
      <c r="K320" s="540" t="s">
        <v>41</v>
      </c>
      <c r="L320" s="540" t="s">
        <v>11</v>
      </c>
      <c r="M320" s="268" t="s">
        <v>41</v>
      </c>
    </row>
    <row r="321" spans="1:13" ht="15.75" customHeight="1">
      <c r="A321" s="269" t="s">
        <v>244</v>
      </c>
      <c r="B321" s="270">
        <v>113778.49100000001</v>
      </c>
      <c r="C321" s="191">
        <f>B321/B317</f>
        <v>2.4564814760639824E-3</v>
      </c>
      <c r="D321" s="807"/>
      <c r="E321" s="189" t="s">
        <v>244</v>
      </c>
      <c r="F321" s="271">
        <v>0</v>
      </c>
      <c r="G321" s="193">
        <f>IFERROR(F321/B321,"")</f>
        <v>0</v>
      </c>
      <c r="H321" s="271">
        <v>1400.0409999999999</v>
      </c>
      <c r="I321" s="193">
        <f>IFERROR(H321/B321,"")</f>
        <v>1.2304970717180629E-2</v>
      </c>
      <c r="J321" s="271">
        <v>1362.7540000000004</v>
      </c>
      <c r="K321" s="193">
        <f>IFERROR(J321/B321,"")</f>
        <v>1.1977254998047041E-2</v>
      </c>
      <c r="L321" s="271">
        <v>7475.5</v>
      </c>
      <c r="M321" s="272">
        <f>IFERROR(L321/B321,"")</f>
        <v>6.5702224860760369E-2</v>
      </c>
    </row>
    <row r="322" spans="1:13" ht="15.75" customHeight="1">
      <c r="A322" s="273" t="s">
        <v>245</v>
      </c>
      <c r="B322" s="274">
        <v>98194.248914419688</v>
      </c>
      <c r="C322" s="191">
        <f>B322/B317</f>
        <v>2.1200171613656553E-3</v>
      </c>
      <c r="D322" s="807"/>
      <c r="E322" s="195" t="s">
        <v>245</v>
      </c>
      <c r="F322" s="271">
        <v>0</v>
      </c>
      <c r="G322" s="193">
        <f>IFERROR(F322/B322,"")</f>
        <v>0</v>
      </c>
      <c r="H322" s="271">
        <v>2511.7135999999964</v>
      </c>
      <c r="I322" s="193">
        <f>IFERROR(H322/B322,"")</f>
        <v>2.5579029604768988E-2</v>
      </c>
      <c r="J322" s="271">
        <v>1140.6631499999999</v>
      </c>
      <c r="K322" s="193">
        <f>IFERROR(J322/B322,"")</f>
        <v>1.161639467291139E-2</v>
      </c>
      <c r="L322" s="271">
        <v>15389.934349999996</v>
      </c>
      <c r="M322" s="272">
        <f>IFERROR(L322/B322,"")</f>
        <v>0.15672948792971525</v>
      </c>
    </row>
    <row r="323" spans="1:13" ht="15.75" customHeight="1">
      <c r="A323" s="275"/>
      <c r="B323" s="185"/>
      <c r="C323" s="185"/>
      <c r="D323" s="807"/>
      <c r="E323" s="804" t="s">
        <v>197</v>
      </c>
      <c r="F323" s="819">
        <v>5</v>
      </c>
      <c r="G323" s="820"/>
      <c r="H323" s="819">
        <v>6</v>
      </c>
      <c r="I323" s="820"/>
      <c r="J323" s="819">
        <v>7</v>
      </c>
      <c r="K323" s="820"/>
      <c r="L323" s="821">
        <v>8</v>
      </c>
      <c r="M323" s="822"/>
    </row>
    <row r="324" spans="1:13" ht="15.75" customHeight="1">
      <c r="A324" s="275"/>
      <c r="B324" s="185"/>
      <c r="C324" s="185"/>
      <c r="D324" s="807"/>
      <c r="E324" s="804"/>
      <c r="F324" s="823" t="s">
        <v>188</v>
      </c>
      <c r="G324" s="824"/>
      <c r="H324" s="823" t="s">
        <v>165</v>
      </c>
      <c r="I324" s="824"/>
      <c r="J324" s="823" t="s">
        <v>189</v>
      </c>
      <c r="K324" s="824"/>
      <c r="L324" s="825" t="s">
        <v>249</v>
      </c>
      <c r="M324" s="826"/>
    </row>
    <row r="325" spans="1:13" ht="15.75" customHeight="1">
      <c r="A325" s="275"/>
      <c r="B325" s="185"/>
      <c r="C325" s="185"/>
      <c r="D325" s="807"/>
      <c r="E325" s="804"/>
      <c r="F325" s="540" t="s">
        <v>11</v>
      </c>
      <c r="G325" s="540" t="s">
        <v>41</v>
      </c>
      <c r="H325" s="540" t="s">
        <v>11</v>
      </c>
      <c r="I325" s="540" t="s">
        <v>41</v>
      </c>
      <c r="J325" s="540" t="s">
        <v>11</v>
      </c>
      <c r="K325" s="540" t="s">
        <v>41</v>
      </c>
      <c r="L325" s="540" t="s">
        <v>11</v>
      </c>
      <c r="M325" s="268" t="s">
        <v>41</v>
      </c>
    </row>
    <row r="326" spans="1:13" ht="15.75" customHeight="1">
      <c r="A326" s="276"/>
      <c r="B326" s="277"/>
      <c r="C326" s="277"/>
      <c r="D326" s="807"/>
      <c r="E326" s="189" t="s">
        <v>244</v>
      </c>
      <c r="F326" s="271">
        <v>3369.085</v>
      </c>
      <c r="G326" s="193">
        <f>IFERROR(F326/B321,"")</f>
        <v>2.9610913015184915E-2</v>
      </c>
      <c r="H326" s="271">
        <v>0</v>
      </c>
      <c r="I326" s="193">
        <f>IFERROR(H326/B321,"")</f>
        <v>0</v>
      </c>
      <c r="J326" s="271">
        <v>651.53000000000009</v>
      </c>
      <c r="K326" s="193">
        <f>IFERROR(J326/B321,"")</f>
        <v>5.726301994987788E-3</v>
      </c>
      <c r="L326" s="271">
        <v>0</v>
      </c>
      <c r="M326" s="272">
        <f>IFERROR(L326/B321,"")</f>
        <v>0</v>
      </c>
    </row>
    <row r="327" spans="1:13" ht="15.75" customHeight="1" thickBot="1">
      <c r="A327" s="278"/>
      <c r="B327" s="279"/>
      <c r="C327" s="279"/>
      <c r="D327" s="816"/>
      <c r="E327" s="280" t="s">
        <v>245</v>
      </c>
      <c r="F327" s="281">
        <v>5034.1327199998859</v>
      </c>
      <c r="G327" s="282">
        <f>IFERROR(F327/B322,"")</f>
        <v>5.1267083109799425E-2</v>
      </c>
      <c r="H327" s="281">
        <v>0</v>
      </c>
      <c r="I327" s="282">
        <f>IFERROR(H327/B322,"")</f>
        <v>0</v>
      </c>
      <c r="J327" s="281">
        <v>1714.8269600000033</v>
      </c>
      <c r="K327" s="282">
        <f>IFERROR(J327/B322,"")</f>
        <v>1.7463619091323213E-2</v>
      </c>
      <c r="L327" s="281">
        <v>0</v>
      </c>
      <c r="M327" s="283">
        <f>IFERROR(L327/B322,"")</f>
        <v>0</v>
      </c>
    </row>
    <row r="328" spans="1:13" ht="15.75" customHeight="1">
      <c r="A328" s="810" t="s">
        <v>911</v>
      </c>
      <c r="B328" s="811"/>
      <c r="C328" s="811"/>
      <c r="D328" s="811"/>
      <c r="E328" s="811"/>
      <c r="F328" s="811"/>
      <c r="G328" s="811"/>
      <c r="H328" s="811"/>
      <c r="I328" s="811"/>
      <c r="J328" s="811"/>
      <c r="K328" s="811"/>
      <c r="L328" s="811"/>
      <c r="M328" s="812"/>
    </row>
    <row r="329" spans="1:13" ht="15.75" customHeight="1">
      <c r="A329" s="813"/>
      <c r="B329" s="803"/>
      <c r="C329" s="803"/>
      <c r="D329" s="803"/>
      <c r="E329" s="803"/>
      <c r="F329" s="803"/>
      <c r="G329" s="803"/>
      <c r="H329" s="803"/>
      <c r="I329" s="803"/>
      <c r="J329" s="803"/>
      <c r="K329" s="803"/>
      <c r="L329" s="803"/>
      <c r="M329" s="814"/>
    </row>
    <row r="330" spans="1:13" ht="15.75" customHeight="1">
      <c r="A330" s="266" t="s">
        <v>238</v>
      </c>
      <c r="B330" s="354">
        <v>45146482</v>
      </c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267"/>
    </row>
    <row r="331" spans="1:13" ht="15.75" customHeight="1">
      <c r="A331" s="815" t="s">
        <v>197</v>
      </c>
      <c r="B331" s="805" t="s">
        <v>10</v>
      </c>
      <c r="C331" s="805"/>
      <c r="D331" s="806"/>
      <c r="E331" s="804" t="s">
        <v>197</v>
      </c>
      <c r="F331" s="808">
        <v>1</v>
      </c>
      <c r="G331" s="808"/>
      <c r="H331" s="808">
        <v>2</v>
      </c>
      <c r="I331" s="808"/>
      <c r="J331" s="808">
        <v>3</v>
      </c>
      <c r="K331" s="808"/>
      <c r="L331" s="808">
        <v>4</v>
      </c>
      <c r="M331" s="817"/>
    </row>
    <row r="332" spans="1:13" ht="15.75" customHeight="1">
      <c r="A332" s="815"/>
      <c r="B332" s="805"/>
      <c r="C332" s="805"/>
      <c r="D332" s="807"/>
      <c r="E332" s="804"/>
      <c r="F332" s="800" t="s">
        <v>250</v>
      </c>
      <c r="G332" s="800"/>
      <c r="H332" s="800" t="s">
        <v>240</v>
      </c>
      <c r="I332" s="800"/>
      <c r="J332" s="800" t="s">
        <v>164</v>
      </c>
      <c r="K332" s="800"/>
      <c r="L332" s="800" t="s">
        <v>695</v>
      </c>
      <c r="M332" s="818"/>
    </row>
    <row r="333" spans="1:13" ht="15.75" customHeight="1">
      <c r="A333" s="815"/>
      <c r="B333" s="543" t="s">
        <v>11</v>
      </c>
      <c r="C333" s="543" t="s">
        <v>41</v>
      </c>
      <c r="D333" s="807"/>
      <c r="E333" s="804"/>
      <c r="F333" s="543" t="s">
        <v>11</v>
      </c>
      <c r="G333" s="543" t="s">
        <v>41</v>
      </c>
      <c r="H333" s="543" t="s">
        <v>11</v>
      </c>
      <c r="I333" s="543" t="s">
        <v>41</v>
      </c>
      <c r="J333" s="543" t="s">
        <v>11</v>
      </c>
      <c r="K333" s="543" t="s">
        <v>41</v>
      </c>
      <c r="L333" s="543" t="s">
        <v>11</v>
      </c>
      <c r="M333" s="268" t="s">
        <v>41</v>
      </c>
    </row>
    <row r="334" spans="1:13" ht="15.75" customHeight="1">
      <c r="A334" s="269" t="s">
        <v>244</v>
      </c>
      <c r="B334" s="270">
        <v>110495</v>
      </c>
      <c r="C334" s="191">
        <f>B334/B330</f>
        <v>2.4474775243838488E-3</v>
      </c>
      <c r="D334" s="807"/>
      <c r="E334" s="189" t="s">
        <v>244</v>
      </c>
      <c r="F334" s="271">
        <v>0</v>
      </c>
      <c r="G334" s="193">
        <f>IFERROR(F334/B334,"")</f>
        <v>0</v>
      </c>
      <c r="H334" s="271">
        <v>2701.6150000000002</v>
      </c>
      <c r="I334" s="193">
        <f>IFERROR(H334/B334,"")</f>
        <v>2.4450110864745012E-2</v>
      </c>
      <c r="J334" s="271">
        <v>1255.49</v>
      </c>
      <c r="K334" s="193">
        <f>IFERROR(J334/B334,"")</f>
        <v>1.1362414588895425E-2</v>
      </c>
      <c r="L334" s="271">
        <v>6920.2499999999991</v>
      </c>
      <c r="M334" s="272">
        <f>IFERROR(L334/B334,"")</f>
        <v>6.2629530747997639E-2</v>
      </c>
    </row>
    <row r="335" spans="1:13" ht="15.75" customHeight="1">
      <c r="A335" s="273" t="s">
        <v>245</v>
      </c>
      <c r="B335" s="274">
        <v>99044.287757320009</v>
      </c>
      <c r="C335" s="191">
        <f>B335/B330</f>
        <v>2.1938428725702262E-3</v>
      </c>
      <c r="D335" s="807"/>
      <c r="E335" s="195" t="s">
        <v>245</v>
      </c>
      <c r="F335" s="271">
        <v>0</v>
      </c>
      <c r="G335" s="193">
        <f>IFERROR(F335/B335,"")</f>
        <v>0</v>
      </c>
      <c r="H335" s="271">
        <v>1147.9823999999996</v>
      </c>
      <c r="I335" s="193">
        <f>IFERROR(H335/B335,"")</f>
        <v>1.159059675216006E-2</v>
      </c>
      <c r="J335" s="271">
        <v>0</v>
      </c>
      <c r="K335" s="193">
        <f>IFERROR(J335/B335,"")</f>
        <v>0</v>
      </c>
      <c r="L335" s="271">
        <v>17357.638680000058</v>
      </c>
      <c r="M335" s="272">
        <f>IFERROR(L335/B335,"")</f>
        <v>0.17525128478413654</v>
      </c>
    </row>
    <row r="336" spans="1:13" ht="15.75" customHeight="1">
      <c r="A336" s="275"/>
      <c r="B336" s="185"/>
      <c r="C336" s="185"/>
      <c r="D336" s="807"/>
      <c r="E336" s="804" t="s">
        <v>197</v>
      </c>
      <c r="F336" s="819">
        <v>5</v>
      </c>
      <c r="G336" s="820"/>
      <c r="H336" s="819">
        <v>6</v>
      </c>
      <c r="I336" s="820"/>
      <c r="J336" s="819">
        <v>7</v>
      </c>
      <c r="K336" s="820"/>
      <c r="L336" s="821">
        <v>8</v>
      </c>
      <c r="M336" s="822"/>
    </row>
    <row r="337" spans="1:13" ht="15.75" customHeight="1">
      <c r="A337" s="275"/>
      <c r="B337" s="185"/>
      <c r="C337" s="185"/>
      <c r="D337" s="807"/>
      <c r="E337" s="804"/>
      <c r="F337" s="823" t="s">
        <v>188</v>
      </c>
      <c r="G337" s="824"/>
      <c r="H337" s="823" t="s">
        <v>165</v>
      </c>
      <c r="I337" s="824"/>
      <c r="J337" s="823" t="s">
        <v>189</v>
      </c>
      <c r="K337" s="824"/>
      <c r="L337" s="825" t="s">
        <v>249</v>
      </c>
      <c r="M337" s="826"/>
    </row>
    <row r="338" spans="1:13" ht="15.75" customHeight="1">
      <c r="A338" s="275"/>
      <c r="B338" s="185"/>
      <c r="C338" s="185"/>
      <c r="D338" s="807"/>
      <c r="E338" s="804"/>
      <c r="F338" s="543" t="s">
        <v>11</v>
      </c>
      <c r="G338" s="543" t="s">
        <v>41</v>
      </c>
      <c r="H338" s="543" t="s">
        <v>11</v>
      </c>
      <c r="I338" s="543" t="s">
        <v>41</v>
      </c>
      <c r="J338" s="543" t="s">
        <v>11</v>
      </c>
      <c r="K338" s="543" t="s">
        <v>41</v>
      </c>
      <c r="L338" s="543" t="s">
        <v>11</v>
      </c>
      <c r="M338" s="268" t="s">
        <v>41</v>
      </c>
    </row>
    <row r="339" spans="1:13" ht="15.75" customHeight="1">
      <c r="A339" s="276"/>
      <c r="B339" s="277"/>
      <c r="C339" s="277"/>
      <c r="D339" s="807"/>
      <c r="E339" s="189" t="s">
        <v>244</v>
      </c>
      <c r="F339" s="271">
        <v>1429.7170000000001</v>
      </c>
      <c r="G339" s="193">
        <f>IFERROR(F339/B334,"")</f>
        <v>1.2939200868817594E-2</v>
      </c>
      <c r="H339" s="271">
        <v>1387.08</v>
      </c>
      <c r="I339" s="193">
        <f>IFERROR(H339/B334,"")</f>
        <v>1.2553328204896148E-2</v>
      </c>
      <c r="J339" s="271">
        <v>0</v>
      </c>
      <c r="K339" s="193">
        <f>IFERROR(J339/B334,"")</f>
        <v>0</v>
      </c>
      <c r="L339" s="271">
        <v>0</v>
      </c>
      <c r="M339" s="272">
        <f>IFERROR(L339/B334,"")</f>
        <v>0</v>
      </c>
    </row>
    <row r="340" spans="1:13" ht="15.75" customHeight="1" thickBot="1">
      <c r="A340" s="278"/>
      <c r="B340" s="279"/>
      <c r="C340" s="279"/>
      <c r="D340" s="816"/>
      <c r="E340" s="280" t="s">
        <v>245</v>
      </c>
      <c r="F340" s="281">
        <v>3937.4843599999795</v>
      </c>
      <c r="G340" s="282">
        <f>IFERROR(F340/B335,"")</f>
        <v>3.9754784946787344E-2</v>
      </c>
      <c r="H340" s="281">
        <v>1597.3776000000053</v>
      </c>
      <c r="I340" s="282">
        <f>IFERROR(H340/B335,"")</f>
        <v>1.6127912433616838E-2</v>
      </c>
      <c r="J340" s="281">
        <v>1201.4213199999961</v>
      </c>
      <c r="K340" s="282">
        <f>IFERROR(J340/B335,"")</f>
        <v>1.2130142456511363E-2</v>
      </c>
      <c r="L340" s="281">
        <v>0</v>
      </c>
      <c r="M340" s="283">
        <f>IFERROR(L340/B335,"")</f>
        <v>0</v>
      </c>
    </row>
    <row r="341" spans="1:13" ht="15.75" customHeight="1">
      <c r="A341" s="810" t="s">
        <v>916</v>
      </c>
      <c r="B341" s="811"/>
      <c r="C341" s="811"/>
      <c r="D341" s="811"/>
      <c r="E341" s="811"/>
      <c r="F341" s="811"/>
      <c r="G341" s="811"/>
      <c r="H341" s="811"/>
      <c r="I341" s="811"/>
      <c r="J341" s="811"/>
      <c r="K341" s="811"/>
      <c r="L341" s="811"/>
      <c r="M341" s="812"/>
    </row>
    <row r="342" spans="1:13" ht="15.75" customHeight="1">
      <c r="A342" s="813"/>
      <c r="B342" s="803"/>
      <c r="C342" s="803"/>
      <c r="D342" s="803"/>
      <c r="E342" s="803"/>
      <c r="F342" s="803"/>
      <c r="G342" s="803"/>
      <c r="H342" s="803"/>
      <c r="I342" s="803"/>
      <c r="J342" s="803"/>
      <c r="K342" s="803"/>
      <c r="L342" s="803"/>
      <c r="M342" s="814"/>
    </row>
    <row r="343" spans="1:13" ht="15.75" customHeight="1">
      <c r="A343" s="266" t="s">
        <v>238</v>
      </c>
      <c r="B343" s="354">
        <v>47419360</v>
      </c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267"/>
    </row>
    <row r="344" spans="1:13" ht="15.75" customHeight="1">
      <c r="A344" s="815" t="s">
        <v>197</v>
      </c>
      <c r="B344" s="805" t="s">
        <v>10</v>
      </c>
      <c r="C344" s="805"/>
      <c r="D344" s="806"/>
      <c r="E344" s="804" t="s">
        <v>197</v>
      </c>
      <c r="F344" s="808">
        <v>1</v>
      </c>
      <c r="G344" s="808"/>
      <c r="H344" s="808">
        <v>2</v>
      </c>
      <c r="I344" s="808"/>
      <c r="J344" s="808">
        <v>3</v>
      </c>
      <c r="K344" s="808"/>
      <c r="L344" s="808">
        <v>4</v>
      </c>
      <c r="M344" s="817"/>
    </row>
    <row r="345" spans="1:13" ht="15.75" customHeight="1">
      <c r="A345" s="815"/>
      <c r="B345" s="805"/>
      <c r="C345" s="805"/>
      <c r="D345" s="807"/>
      <c r="E345" s="804"/>
      <c r="F345" s="800" t="s">
        <v>250</v>
      </c>
      <c r="G345" s="800"/>
      <c r="H345" s="800" t="s">
        <v>240</v>
      </c>
      <c r="I345" s="800"/>
      <c r="J345" s="800" t="s">
        <v>164</v>
      </c>
      <c r="K345" s="800"/>
      <c r="L345" s="800" t="s">
        <v>695</v>
      </c>
      <c r="M345" s="818"/>
    </row>
    <row r="346" spans="1:13" ht="15.75" customHeight="1">
      <c r="A346" s="815"/>
      <c r="B346" s="560" t="s">
        <v>11</v>
      </c>
      <c r="C346" s="560" t="s">
        <v>41</v>
      </c>
      <c r="D346" s="807"/>
      <c r="E346" s="804"/>
      <c r="F346" s="560" t="s">
        <v>11</v>
      </c>
      <c r="G346" s="560" t="s">
        <v>41</v>
      </c>
      <c r="H346" s="560" t="s">
        <v>11</v>
      </c>
      <c r="I346" s="560" t="s">
        <v>41</v>
      </c>
      <c r="J346" s="560" t="s">
        <v>11</v>
      </c>
      <c r="K346" s="560" t="s">
        <v>41</v>
      </c>
      <c r="L346" s="560" t="s">
        <v>11</v>
      </c>
      <c r="M346" s="268" t="s">
        <v>41</v>
      </c>
    </row>
    <row r="347" spans="1:13" ht="15.75" customHeight="1">
      <c r="A347" s="269" t="s">
        <v>244</v>
      </c>
      <c r="B347" s="270">
        <v>115356.747</v>
      </c>
      <c r="C347" s="191">
        <f>B347/B343</f>
        <v>2.4326930392987167E-3</v>
      </c>
      <c r="D347" s="807"/>
      <c r="E347" s="189" t="s">
        <v>244</v>
      </c>
      <c r="F347" s="271">
        <v>0</v>
      </c>
      <c r="G347" s="193">
        <f>IFERROR(F347/B347,"")</f>
        <v>0</v>
      </c>
      <c r="H347" s="271">
        <v>663.423</v>
      </c>
      <c r="I347" s="193">
        <f>IFERROR(H347/B347,"")</f>
        <v>5.7510550293170103E-3</v>
      </c>
      <c r="J347" s="271">
        <v>1524.336</v>
      </c>
      <c r="K347" s="193">
        <f>IFERROR(J347/B347,"")</f>
        <v>1.3214103549573914E-2</v>
      </c>
      <c r="L347" s="271">
        <v>8311.619999999999</v>
      </c>
      <c r="M347" s="272">
        <f>IFERROR(L347/B347,"")</f>
        <v>7.2051442296652127E-2</v>
      </c>
    </row>
    <row r="348" spans="1:13" ht="15.75" customHeight="1">
      <c r="A348" s="273" t="s">
        <v>245</v>
      </c>
      <c r="B348" s="274">
        <v>95866.762821479511</v>
      </c>
      <c r="C348" s="191">
        <f>B348/B343</f>
        <v>2.0216798122429215E-3</v>
      </c>
      <c r="D348" s="807"/>
      <c r="E348" s="195" t="s">
        <v>245</v>
      </c>
      <c r="F348" s="271">
        <v>0</v>
      </c>
      <c r="G348" s="193">
        <f>IFERROR(F348/B348,"")</f>
        <v>0</v>
      </c>
      <c r="H348" s="271">
        <v>0</v>
      </c>
      <c r="I348" s="193">
        <f>IFERROR(H348/B348,"")</f>
        <v>0</v>
      </c>
      <c r="J348" s="271">
        <v>3530.5467499999868</v>
      </c>
      <c r="K348" s="193">
        <f>IFERROR(J348/B348,"")</f>
        <v>3.6827641260553205E-2</v>
      </c>
      <c r="L348" s="271">
        <v>13515.838550000013</v>
      </c>
      <c r="M348" s="272">
        <f>IFERROR(L348/B348,"")</f>
        <v>0.14098565709545072</v>
      </c>
    </row>
    <row r="349" spans="1:13" ht="15.75" customHeight="1">
      <c r="A349" s="275"/>
      <c r="B349" s="185"/>
      <c r="C349" s="185"/>
      <c r="D349" s="807"/>
      <c r="E349" s="804" t="s">
        <v>197</v>
      </c>
      <c r="F349" s="819">
        <v>5</v>
      </c>
      <c r="G349" s="820"/>
      <c r="H349" s="819">
        <v>6</v>
      </c>
      <c r="I349" s="820"/>
      <c r="J349" s="819">
        <v>7</v>
      </c>
      <c r="K349" s="820"/>
      <c r="L349" s="821">
        <v>8</v>
      </c>
      <c r="M349" s="822"/>
    </row>
    <row r="350" spans="1:13" ht="15.75" customHeight="1">
      <c r="A350" s="275"/>
      <c r="B350" s="185"/>
      <c r="C350" s="185"/>
      <c r="D350" s="807"/>
      <c r="E350" s="804"/>
      <c r="F350" s="823" t="s">
        <v>188</v>
      </c>
      <c r="G350" s="824"/>
      <c r="H350" s="823" t="s">
        <v>165</v>
      </c>
      <c r="I350" s="824"/>
      <c r="J350" s="823" t="s">
        <v>189</v>
      </c>
      <c r="K350" s="824"/>
      <c r="L350" s="825" t="s">
        <v>249</v>
      </c>
      <c r="M350" s="826"/>
    </row>
    <row r="351" spans="1:13" ht="15.75" customHeight="1">
      <c r="A351" s="275"/>
      <c r="B351" s="185"/>
      <c r="C351" s="185"/>
      <c r="D351" s="807"/>
      <c r="E351" s="804"/>
      <c r="F351" s="560" t="s">
        <v>11</v>
      </c>
      <c r="G351" s="560" t="s">
        <v>41</v>
      </c>
      <c r="H351" s="560" t="s">
        <v>11</v>
      </c>
      <c r="I351" s="560" t="s">
        <v>41</v>
      </c>
      <c r="J351" s="560" t="s">
        <v>11</v>
      </c>
      <c r="K351" s="560" t="s">
        <v>41</v>
      </c>
      <c r="L351" s="560" t="s">
        <v>11</v>
      </c>
      <c r="M351" s="268" t="s">
        <v>41</v>
      </c>
    </row>
    <row r="352" spans="1:13" ht="15.75" customHeight="1">
      <c r="A352" s="276"/>
      <c r="B352" s="277"/>
      <c r="C352" s="277"/>
      <c r="D352" s="807"/>
      <c r="E352" s="189" t="s">
        <v>244</v>
      </c>
      <c r="F352" s="271">
        <v>3325.0299999999997</v>
      </c>
      <c r="G352" s="193">
        <f>IFERROR(F352/B347,"")</f>
        <v>2.8823888385132772E-2</v>
      </c>
      <c r="H352" s="271">
        <v>887.69999999999982</v>
      </c>
      <c r="I352" s="193">
        <f>IFERROR(H352/B347,"")</f>
        <v>7.695258605029837E-3</v>
      </c>
      <c r="J352" s="271">
        <v>0</v>
      </c>
      <c r="K352" s="193">
        <f>IFERROR(J352/B347,"")</f>
        <v>0</v>
      </c>
      <c r="L352" s="271">
        <v>0</v>
      </c>
      <c r="M352" s="272">
        <f>IFERROR(L352/B347,"")</f>
        <v>0</v>
      </c>
    </row>
    <row r="353" spans="1:13" ht="15.75" customHeight="1" thickBot="1">
      <c r="A353" s="278"/>
      <c r="B353" s="279"/>
      <c r="C353" s="279"/>
      <c r="D353" s="816"/>
      <c r="E353" s="280" t="s">
        <v>245</v>
      </c>
      <c r="F353" s="281">
        <v>6539.3127300000378</v>
      </c>
      <c r="G353" s="282">
        <f>IFERROR(F353/B348,"")</f>
        <v>6.821251221528539E-2</v>
      </c>
      <c r="H353" s="281">
        <v>1669.5423999999894</v>
      </c>
      <c r="I353" s="282">
        <f>IFERROR(H353/B348,"")</f>
        <v>1.7415237052584805E-2</v>
      </c>
      <c r="J353" s="281">
        <v>1443.7904800000053</v>
      </c>
      <c r="K353" s="282">
        <f>IFERROR(J353/B348,"")</f>
        <v>1.5060386285167393E-2</v>
      </c>
      <c r="L353" s="281">
        <v>0</v>
      </c>
      <c r="M353" s="283">
        <f>IFERROR(L353/B348,"")</f>
        <v>0</v>
      </c>
    </row>
    <row r="354" spans="1:13" ht="15.75" customHeight="1">
      <c r="A354" s="810" t="s">
        <v>918</v>
      </c>
      <c r="B354" s="811"/>
      <c r="C354" s="811"/>
      <c r="D354" s="811"/>
      <c r="E354" s="811"/>
      <c r="F354" s="811"/>
      <c r="G354" s="811"/>
      <c r="H354" s="811"/>
      <c r="I354" s="811"/>
      <c r="J354" s="811"/>
      <c r="K354" s="811"/>
      <c r="L354" s="811"/>
      <c r="M354" s="812"/>
    </row>
    <row r="355" spans="1:13" ht="15.75" customHeight="1">
      <c r="A355" s="813"/>
      <c r="B355" s="803"/>
      <c r="C355" s="803"/>
      <c r="D355" s="803"/>
      <c r="E355" s="803"/>
      <c r="F355" s="803"/>
      <c r="G355" s="803"/>
      <c r="H355" s="803"/>
      <c r="I355" s="803"/>
      <c r="J355" s="803"/>
      <c r="K355" s="803"/>
      <c r="L355" s="803"/>
      <c r="M355" s="814"/>
    </row>
    <row r="356" spans="1:13" ht="15.75" customHeight="1">
      <c r="A356" s="266" t="s">
        <v>238</v>
      </c>
      <c r="B356" s="354">
        <v>46841477</v>
      </c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267"/>
    </row>
    <row r="357" spans="1:13" ht="15.75" customHeight="1">
      <c r="A357" s="815" t="s">
        <v>197</v>
      </c>
      <c r="B357" s="805" t="s">
        <v>10</v>
      </c>
      <c r="C357" s="805"/>
      <c r="D357" s="806"/>
      <c r="E357" s="804" t="s">
        <v>197</v>
      </c>
      <c r="F357" s="808">
        <v>1</v>
      </c>
      <c r="G357" s="808"/>
      <c r="H357" s="808">
        <v>2</v>
      </c>
      <c r="I357" s="808"/>
      <c r="J357" s="808">
        <v>3</v>
      </c>
      <c r="K357" s="808"/>
      <c r="L357" s="808">
        <v>4</v>
      </c>
      <c r="M357" s="817"/>
    </row>
    <row r="358" spans="1:13" ht="15.75" customHeight="1">
      <c r="A358" s="815"/>
      <c r="B358" s="805"/>
      <c r="C358" s="805"/>
      <c r="D358" s="807"/>
      <c r="E358" s="804"/>
      <c r="F358" s="800" t="s">
        <v>250</v>
      </c>
      <c r="G358" s="800"/>
      <c r="H358" s="800" t="s">
        <v>240</v>
      </c>
      <c r="I358" s="800"/>
      <c r="J358" s="800" t="s">
        <v>164</v>
      </c>
      <c r="K358" s="800"/>
      <c r="L358" s="800" t="s">
        <v>695</v>
      </c>
      <c r="M358" s="818"/>
    </row>
    <row r="359" spans="1:13" ht="15.75" customHeight="1">
      <c r="A359" s="815"/>
      <c r="B359" s="562" t="s">
        <v>11</v>
      </c>
      <c r="C359" s="562" t="s">
        <v>41</v>
      </c>
      <c r="D359" s="807"/>
      <c r="E359" s="804"/>
      <c r="F359" s="562" t="s">
        <v>11</v>
      </c>
      <c r="G359" s="562" t="s">
        <v>41</v>
      </c>
      <c r="H359" s="562" t="s">
        <v>11</v>
      </c>
      <c r="I359" s="562" t="s">
        <v>41</v>
      </c>
      <c r="J359" s="562" t="s">
        <v>11</v>
      </c>
      <c r="K359" s="562" t="s">
        <v>41</v>
      </c>
      <c r="L359" s="562" t="s">
        <v>11</v>
      </c>
      <c r="M359" s="268" t="s">
        <v>41</v>
      </c>
    </row>
    <row r="360" spans="1:13" ht="15.75" customHeight="1">
      <c r="A360" s="269" t="s">
        <v>244</v>
      </c>
      <c r="B360" s="270">
        <v>114102</v>
      </c>
      <c r="C360" s="191">
        <f>B360/B356</f>
        <v>2.4359180646673462E-3</v>
      </c>
      <c r="D360" s="807"/>
      <c r="E360" s="189" t="s">
        <v>244</v>
      </c>
      <c r="F360" s="271">
        <v>0</v>
      </c>
      <c r="G360" s="193">
        <f>IFERROR(F360/B360,"")</f>
        <v>0</v>
      </c>
      <c r="H360" s="271">
        <v>2063.7719999999999</v>
      </c>
      <c r="I360" s="193">
        <f>IFERROR(H360/B360,"")</f>
        <v>1.8087079981069568E-2</v>
      </c>
      <c r="J360" s="271">
        <v>1384.5540000000001</v>
      </c>
      <c r="K360" s="193">
        <f>IFERROR(J360/B360,"")</f>
        <v>1.2134353473208183E-2</v>
      </c>
      <c r="L360" s="271">
        <v>8151.3090000000002</v>
      </c>
      <c r="M360" s="272">
        <f>IFERROR(L360/B360,"")</f>
        <v>7.1438791607509072E-2</v>
      </c>
    </row>
    <row r="361" spans="1:13" ht="15.75" customHeight="1">
      <c r="A361" s="273" t="s">
        <v>245</v>
      </c>
      <c r="B361" s="274">
        <v>97189.411734956419</v>
      </c>
      <c r="C361" s="191">
        <f>B361/B356</f>
        <v>2.0748579669030596E-3</v>
      </c>
      <c r="D361" s="807"/>
      <c r="E361" s="195" t="s">
        <v>245</v>
      </c>
      <c r="F361" s="271">
        <v>0</v>
      </c>
      <c r="G361" s="193">
        <f>IFERROR(F361/B361,"")</f>
        <v>0</v>
      </c>
      <c r="H361" s="271">
        <v>0</v>
      </c>
      <c r="I361" s="193">
        <f>IFERROR(H361/B361,"")</f>
        <v>0</v>
      </c>
      <c r="J361" s="271">
        <v>0</v>
      </c>
      <c r="K361" s="193">
        <f>IFERROR(J361/B361,"")</f>
        <v>0</v>
      </c>
      <c r="L361" s="271">
        <v>16541.958809999967</v>
      </c>
      <c r="M361" s="272">
        <f>IFERROR(L361/B361,"")</f>
        <v>0.17020330213656668</v>
      </c>
    </row>
    <row r="362" spans="1:13" ht="15.75" customHeight="1">
      <c r="A362" s="275"/>
      <c r="B362" s="185"/>
      <c r="C362" s="185"/>
      <c r="D362" s="807"/>
      <c r="E362" s="804" t="s">
        <v>197</v>
      </c>
      <c r="F362" s="819">
        <v>5</v>
      </c>
      <c r="G362" s="820"/>
      <c r="H362" s="819">
        <v>6</v>
      </c>
      <c r="I362" s="820"/>
      <c r="J362" s="819">
        <v>7</v>
      </c>
      <c r="K362" s="820"/>
      <c r="L362" s="821">
        <v>8</v>
      </c>
      <c r="M362" s="822"/>
    </row>
    <row r="363" spans="1:13" ht="15.75" customHeight="1">
      <c r="A363" s="275"/>
      <c r="B363" s="185"/>
      <c r="C363" s="185"/>
      <c r="D363" s="807"/>
      <c r="E363" s="804"/>
      <c r="F363" s="823" t="s">
        <v>188</v>
      </c>
      <c r="G363" s="824"/>
      <c r="H363" s="823" t="s">
        <v>165</v>
      </c>
      <c r="I363" s="824"/>
      <c r="J363" s="823" t="s">
        <v>189</v>
      </c>
      <c r="K363" s="824"/>
      <c r="L363" s="825" t="s">
        <v>249</v>
      </c>
      <c r="M363" s="826"/>
    </row>
    <row r="364" spans="1:13" ht="15.75" customHeight="1">
      <c r="A364" s="275"/>
      <c r="B364" s="185"/>
      <c r="C364" s="185"/>
      <c r="D364" s="807"/>
      <c r="E364" s="804"/>
      <c r="F364" s="562" t="s">
        <v>11</v>
      </c>
      <c r="G364" s="562" t="s">
        <v>41</v>
      </c>
      <c r="H364" s="562" t="s">
        <v>11</v>
      </c>
      <c r="I364" s="562" t="s">
        <v>41</v>
      </c>
      <c r="J364" s="562" t="s">
        <v>11</v>
      </c>
      <c r="K364" s="562" t="s">
        <v>41</v>
      </c>
      <c r="L364" s="562" t="s">
        <v>11</v>
      </c>
      <c r="M364" s="268" t="s">
        <v>41</v>
      </c>
    </row>
    <row r="365" spans="1:13" ht="15.75" customHeight="1">
      <c r="A365" s="276"/>
      <c r="B365" s="277"/>
      <c r="C365" s="277"/>
      <c r="D365" s="807"/>
      <c r="E365" s="189" t="s">
        <v>244</v>
      </c>
      <c r="F365" s="271">
        <v>2255.2030000000004</v>
      </c>
      <c r="G365" s="193">
        <f>IFERROR(F365/B360,"")</f>
        <v>1.9764798163047104E-2</v>
      </c>
      <c r="H365" s="271">
        <v>941.49999999999989</v>
      </c>
      <c r="I365" s="193">
        <f>IFERROR(H365/B360,"")</f>
        <v>8.2513891079910948E-3</v>
      </c>
      <c r="J365" s="271">
        <v>0</v>
      </c>
      <c r="K365" s="193">
        <f>IFERROR(J365/B360,"")</f>
        <v>0</v>
      </c>
      <c r="L365" s="271">
        <v>0</v>
      </c>
      <c r="M365" s="272">
        <f>IFERROR(L365/B360,"")</f>
        <v>0</v>
      </c>
    </row>
    <row r="366" spans="1:13" ht="15.75" customHeight="1" thickBot="1">
      <c r="A366" s="278"/>
      <c r="B366" s="279"/>
      <c r="C366" s="279"/>
      <c r="D366" s="816"/>
      <c r="E366" s="280" t="s">
        <v>245</v>
      </c>
      <c r="F366" s="281">
        <v>6805.0356099999872</v>
      </c>
      <c r="G366" s="282">
        <f>IFERROR(F366/B361,"")</f>
        <v>7.0018281709101016E-2</v>
      </c>
      <c r="H366" s="281">
        <v>1638.3359999999791</v>
      </c>
      <c r="I366" s="282">
        <f>IFERROR(H366/B361,"")</f>
        <v>1.685714493743266E-2</v>
      </c>
      <c r="J366" s="281">
        <v>1600.1576799999741</v>
      </c>
      <c r="K366" s="282">
        <f>IFERROR(J366/B361,"")</f>
        <v>1.6464321076083234E-2</v>
      </c>
      <c r="L366" s="281">
        <v>0</v>
      </c>
      <c r="M366" s="283">
        <f>IFERROR(L366/B361,"")</f>
        <v>0</v>
      </c>
    </row>
    <row r="367" spans="1:13" ht="15.75" customHeight="1">
      <c r="A367" s="810" t="s">
        <v>936</v>
      </c>
      <c r="B367" s="811"/>
      <c r="C367" s="811"/>
      <c r="D367" s="811"/>
      <c r="E367" s="811"/>
      <c r="F367" s="811"/>
      <c r="G367" s="811"/>
      <c r="H367" s="811"/>
      <c r="I367" s="811"/>
      <c r="J367" s="811"/>
      <c r="K367" s="811"/>
      <c r="L367" s="811"/>
      <c r="M367" s="812"/>
    </row>
    <row r="368" spans="1:13" ht="15.75" customHeight="1">
      <c r="A368" s="813"/>
      <c r="B368" s="803"/>
      <c r="C368" s="803"/>
      <c r="D368" s="803"/>
      <c r="E368" s="803"/>
      <c r="F368" s="803"/>
      <c r="G368" s="803"/>
      <c r="H368" s="803"/>
      <c r="I368" s="803"/>
      <c r="J368" s="803"/>
      <c r="K368" s="803"/>
      <c r="L368" s="803"/>
      <c r="M368" s="814"/>
    </row>
    <row r="369" spans="1:13" ht="15.75" customHeight="1">
      <c r="A369" s="266" t="s">
        <v>238</v>
      </c>
      <c r="B369" s="354">
        <v>49988113</v>
      </c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267"/>
    </row>
    <row r="370" spans="1:13" ht="15.75" customHeight="1">
      <c r="A370" s="815" t="s">
        <v>197</v>
      </c>
      <c r="B370" s="805" t="s">
        <v>10</v>
      </c>
      <c r="C370" s="805"/>
      <c r="D370" s="806"/>
      <c r="E370" s="804" t="s">
        <v>197</v>
      </c>
      <c r="F370" s="808">
        <v>1</v>
      </c>
      <c r="G370" s="808"/>
      <c r="H370" s="808">
        <v>2</v>
      </c>
      <c r="I370" s="808"/>
      <c r="J370" s="808">
        <v>3</v>
      </c>
      <c r="K370" s="808"/>
      <c r="L370" s="808">
        <v>4</v>
      </c>
      <c r="M370" s="817"/>
    </row>
    <row r="371" spans="1:13" ht="15.75" customHeight="1">
      <c r="A371" s="815"/>
      <c r="B371" s="805"/>
      <c r="C371" s="805"/>
      <c r="D371" s="807"/>
      <c r="E371" s="804"/>
      <c r="F371" s="800" t="s">
        <v>250</v>
      </c>
      <c r="G371" s="800"/>
      <c r="H371" s="800" t="s">
        <v>240</v>
      </c>
      <c r="I371" s="800"/>
      <c r="J371" s="800" t="s">
        <v>164</v>
      </c>
      <c r="K371" s="800"/>
      <c r="L371" s="800" t="s">
        <v>695</v>
      </c>
      <c r="M371" s="818"/>
    </row>
    <row r="372" spans="1:13" ht="15.75" customHeight="1">
      <c r="A372" s="815"/>
      <c r="B372" s="564" t="s">
        <v>11</v>
      </c>
      <c r="C372" s="564" t="s">
        <v>41</v>
      </c>
      <c r="D372" s="807"/>
      <c r="E372" s="804"/>
      <c r="F372" s="564" t="s">
        <v>11</v>
      </c>
      <c r="G372" s="564" t="s">
        <v>41</v>
      </c>
      <c r="H372" s="564" t="s">
        <v>11</v>
      </c>
      <c r="I372" s="564" t="s">
        <v>41</v>
      </c>
      <c r="J372" s="564" t="s">
        <v>11</v>
      </c>
      <c r="K372" s="564" t="s">
        <v>41</v>
      </c>
      <c r="L372" s="564" t="s">
        <v>11</v>
      </c>
      <c r="M372" s="268" t="s">
        <v>41</v>
      </c>
    </row>
    <row r="373" spans="1:13" ht="15.75" customHeight="1">
      <c r="A373" s="269" t="s">
        <v>244</v>
      </c>
      <c r="B373" s="270">
        <v>121756</v>
      </c>
      <c r="C373" s="191">
        <f>B373/B369</f>
        <v>2.4356990630952603E-3</v>
      </c>
      <c r="D373" s="807"/>
      <c r="E373" s="189" t="s">
        <v>244</v>
      </c>
      <c r="F373" s="271">
        <v>0</v>
      </c>
      <c r="G373" s="193">
        <f>IFERROR(F373/B373,"")</f>
        <v>0</v>
      </c>
      <c r="H373" s="271">
        <v>769.72000000000014</v>
      </c>
      <c r="I373" s="193">
        <f>IFERROR(H373/B373,"")</f>
        <v>6.3218239758204946E-3</v>
      </c>
      <c r="J373" s="271">
        <v>831.67200000000003</v>
      </c>
      <c r="K373" s="193">
        <f>IFERROR(J373/B373,"")</f>
        <v>6.8306448963500778E-3</v>
      </c>
      <c r="L373" s="271">
        <v>12237.047999999999</v>
      </c>
      <c r="M373" s="272">
        <f>IFERROR(L373/B373,"")</f>
        <v>0.1005046814941358</v>
      </c>
    </row>
    <row r="374" spans="1:13" ht="15.75" customHeight="1">
      <c r="A374" s="273" t="s">
        <v>245</v>
      </c>
      <c r="B374" s="274">
        <v>94254.637206307234</v>
      </c>
      <c r="C374" s="191">
        <f>B374/B369</f>
        <v>1.8855410126464912E-3</v>
      </c>
      <c r="D374" s="807"/>
      <c r="E374" s="195" t="s">
        <v>245</v>
      </c>
      <c r="F374" s="271">
        <v>0</v>
      </c>
      <c r="G374" s="193">
        <f>IFERROR(F374/B374,"")</f>
        <v>0</v>
      </c>
      <c r="H374" s="271">
        <v>0</v>
      </c>
      <c r="I374" s="193">
        <f>IFERROR(H374/B374,"")</f>
        <v>0</v>
      </c>
      <c r="J374" s="271">
        <v>0</v>
      </c>
      <c r="K374" s="193">
        <f>IFERROR(J374/B374,"")</f>
        <v>0</v>
      </c>
      <c r="L374" s="271">
        <v>18100.71399999996</v>
      </c>
      <c r="M374" s="272">
        <f>IFERROR(L374/B374,"")</f>
        <v>0.19204056730259966</v>
      </c>
    </row>
    <row r="375" spans="1:13" ht="15.75" customHeight="1">
      <c r="A375" s="275"/>
      <c r="B375" s="185"/>
      <c r="C375" s="185"/>
      <c r="D375" s="807"/>
      <c r="E375" s="804" t="s">
        <v>197</v>
      </c>
      <c r="F375" s="819">
        <v>5</v>
      </c>
      <c r="G375" s="820"/>
      <c r="H375" s="819">
        <v>6</v>
      </c>
      <c r="I375" s="820"/>
      <c r="J375" s="819">
        <v>7</v>
      </c>
      <c r="K375" s="820"/>
      <c r="L375" s="821">
        <v>8</v>
      </c>
      <c r="M375" s="822"/>
    </row>
    <row r="376" spans="1:13" ht="15.75" customHeight="1">
      <c r="A376" s="275"/>
      <c r="B376" s="185"/>
      <c r="C376" s="185"/>
      <c r="D376" s="807"/>
      <c r="E376" s="804"/>
      <c r="F376" s="823" t="s">
        <v>188</v>
      </c>
      <c r="G376" s="824"/>
      <c r="H376" s="823" t="s">
        <v>165</v>
      </c>
      <c r="I376" s="824"/>
      <c r="J376" s="823" t="s">
        <v>189</v>
      </c>
      <c r="K376" s="824"/>
      <c r="L376" s="825" t="s">
        <v>249</v>
      </c>
      <c r="M376" s="826"/>
    </row>
    <row r="377" spans="1:13" ht="15.75" customHeight="1">
      <c r="A377" s="275"/>
      <c r="B377" s="185"/>
      <c r="C377" s="185"/>
      <c r="D377" s="807"/>
      <c r="E377" s="804"/>
      <c r="F377" s="564" t="s">
        <v>11</v>
      </c>
      <c r="G377" s="564" t="s">
        <v>41</v>
      </c>
      <c r="H377" s="564" t="s">
        <v>11</v>
      </c>
      <c r="I377" s="564" t="s">
        <v>41</v>
      </c>
      <c r="J377" s="564" t="s">
        <v>11</v>
      </c>
      <c r="K377" s="564" t="s">
        <v>41</v>
      </c>
      <c r="L377" s="564" t="s">
        <v>11</v>
      </c>
      <c r="M377" s="268" t="s">
        <v>41</v>
      </c>
    </row>
    <row r="378" spans="1:13" ht="15.75" customHeight="1">
      <c r="A378" s="276"/>
      <c r="B378" s="277"/>
      <c r="C378" s="277"/>
      <c r="D378" s="807"/>
      <c r="E378" s="189" t="s">
        <v>244</v>
      </c>
      <c r="F378" s="271">
        <v>2455.817</v>
      </c>
      <c r="G378" s="193">
        <f>IFERROR(F378/B373,"")</f>
        <v>2.0169987516015637E-2</v>
      </c>
      <c r="H378" s="271">
        <v>0</v>
      </c>
      <c r="I378" s="193">
        <f>IFERROR(H378/B373,"")</f>
        <v>0</v>
      </c>
      <c r="J378" s="271">
        <v>0</v>
      </c>
      <c r="K378" s="193">
        <f>IFERROR(J378/B373,"")</f>
        <v>0</v>
      </c>
      <c r="L378" s="271">
        <v>0</v>
      </c>
      <c r="M378" s="272">
        <f>IFERROR(L378/B373,"")</f>
        <v>0</v>
      </c>
    </row>
    <row r="379" spans="1:13" ht="15.75" customHeight="1" thickBot="1">
      <c r="A379" s="278"/>
      <c r="B379" s="279"/>
      <c r="C379" s="279"/>
      <c r="D379" s="816"/>
      <c r="E379" s="280" t="s">
        <v>245</v>
      </c>
      <c r="F379" s="281">
        <v>8417.0204999999933</v>
      </c>
      <c r="G379" s="282">
        <f>IFERROR(F379/B374,"")</f>
        <v>8.9300863591215987E-2</v>
      </c>
      <c r="H379" s="281">
        <v>1676.3687999999943</v>
      </c>
      <c r="I379" s="282">
        <f>IFERROR(H379/B374,"")</f>
        <v>1.7785531297847029E-2</v>
      </c>
      <c r="J379" s="281">
        <v>0</v>
      </c>
      <c r="K379" s="282">
        <f>IFERROR(J379/B374,"")</f>
        <v>0</v>
      </c>
      <c r="L379" s="281">
        <v>0</v>
      </c>
      <c r="M379" s="283">
        <f>IFERROR(L379/B374,"")</f>
        <v>0</v>
      </c>
    </row>
    <row r="380" spans="1:13" ht="15.75" customHeight="1">
      <c r="A380" s="810" t="s">
        <v>937</v>
      </c>
      <c r="B380" s="811"/>
      <c r="C380" s="811"/>
      <c r="D380" s="811"/>
      <c r="E380" s="811"/>
      <c r="F380" s="811"/>
      <c r="G380" s="811"/>
      <c r="H380" s="811"/>
      <c r="I380" s="811"/>
      <c r="J380" s="811"/>
      <c r="K380" s="811"/>
      <c r="L380" s="811"/>
      <c r="M380" s="812"/>
    </row>
    <row r="381" spans="1:13" ht="15.75" customHeight="1">
      <c r="A381" s="813"/>
      <c r="B381" s="803"/>
      <c r="C381" s="803"/>
      <c r="D381" s="803"/>
      <c r="E381" s="803"/>
      <c r="F381" s="803"/>
      <c r="G381" s="803"/>
      <c r="H381" s="803"/>
      <c r="I381" s="803"/>
      <c r="J381" s="803"/>
      <c r="K381" s="803"/>
      <c r="L381" s="803"/>
      <c r="M381" s="814"/>
    </row>
    <row r="382" spans="1:13" ht="15.75" customHeight="1">
      <c r="A382" s="266" t="s">
        <v>238</v>
      </c>
      <c r="B382" s="354">
        <v>53050901</v>
      </c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267"/>
    </row>
    <row r="383" spans="1:13" ht="15.75" customHeight="1">
      <c r="A383" s="815" t="s">
        <v>197</v>
      </c>
      <c r="B383" s="805" t="s">
        <v>10</v>
      </c>
      <c r="C383" s="805"/>
      <c r="D383" s="806"/>
      <c r="E383" s="804" t="s">
        <v>197</v>
      </c>
      <c r="F383" s="808">
        <v>1</v>
      </c>
      <c r="G383" s="808"/>
      <c r="H383" s="808">
        <v>2</v>
      </c>
      <c r="I383" s="808"/>
      <c r="J383" s="808">
        <v>3</v>
      </c>
      <c r="K383" s="808"/>
      <c r="L383" s="808">
        <v>4</v>
      </c>
      <c r="M383" s="817"/>
    </row>
    <row r="384" spans="1:13" ht="15.75" customHeight="1">
      <c r="A384" s="815"/>
      <c r="B384" s="805"/>
      <c r="C384" s="805"/>
      <c r="D384" s="807"/>
      <c r="E384" s="804"/>
      <c r="F384" s="800" t="s">
        <v>250</v>
      </c>
      <c r="G384" s="800"/>
      <c r="H384" s="800" t="s">
        <v>240</v>
      </c>
      <c r="I384" s="800"/>
      <c r="J384" s="800" t="s">
        <v>164</v>
      </c>
      <c r="K384" s="800"/>
      <c r="L384" s="800" t="s">
        <v>695</v>
      </c>
      <c r="M384" s="818"/>
    </row>
    <row r="385" spans="1:13" ht="15.75" customHeight="1">
      <c r="A385" s="815"/>
      <c r="B385" s="575" t="s">
        <v>11</v>
      </c>
      <c r="C385" s="575" t="s">
        <v>41</v>
      </c>
      <c r="D385" s="807"/>
      <c r="E385" s="804"/>
      <c r="F385" s="575" t="s">
        <v>11</v>
      </c>
      <c r="G385" s="575" t="s">
        <v>41</v>
      </c>
      <c r="H385" s="575" t="s">
        <v>11</v>
      </c>
      <c r="I385" s="575" t="s">
        <v>41</v>
      </c>
      <c r="J385" s="575" t="s">
        <v>11</v>
      </c>
      <c r="K385" s="575" t="s">
        <v>41</v>
      </c>
      <c r="L385" s="575" t="s">
        <v>11</v>
      </c>
      <c r="M385" s="268" t="s">
        <v>41</v>
      </c>
    </row>
    <row r="386" spans="1:13" ht="15.75" customHeight="1">
      <c r="A386" s="269" t="s">
        <v>244</v>
      </c>
      <c r="B386" s="270">
        <v>129836</v>
      </c>
      <c r="C386" s="191">
        <f>B386/B382</f>
        <v>2.4473853893640751E-3</v>
      </c>
      <c r="D386" s="807"/>
      <c r="E386" s="189" t="s">
        <v>244</v>
      </c>
      <c r="F386" s="271">
        <v>0</v>
      </c>
      <c r="G386" s="193">
        <f>IFERROR(F386/B386,"")</f>
        <v>0</v>
      </c>
      <c r="H386" s="271">
        <v>3347.5150000000003</v>
      </c>
      <c r="I386" s="193">
        <f>IFERROR(H386/B386,"")</f>
        <v>2.5782641178101608E-2</v>
      </c>
      <c r="J386" s="271">
        <v>2204.8720000000003</v>
      </c>
      <c r="K386" s="193">
        <f>IFERROR(J386/B386,"")</f>
        <v>1.6981977263624885E-2</v>
      </c>
      <c r="L386" s="271">
        <v>3790.8570000000004</v>
      </c>
      <c r="M386" s="272">
        <f>IFERROR(L386/B386,"")</f>
        <v>2.9197271943066642E-2</v>
      </c>
    </row>
    <row r="387" spans="1:13" ht="15.75" customHeight="1">
      <c r="A387" s="273" t="s">
        <v>245</v>
      </c>
      <c r="B387" s="274">
        <v>102537</v>
      </c>
      <c r="C387" s="191">
        <f>B387/B382</f>
        <v>1.9328041195756506E-3</v>
      </c>
      <c r="D387" s="807"/>
      <c r="E387" s="195" t="s">
        <v>245</v>
      </c>
      <c r="F387" s="271">
        <v>0</v>
      </c>
      <c r="G387" s="193">
        <f>IFERROR(F387/B387,"")</f>
        <v>0</v>
      </c>
      <c r="H387" s="271">
        <v>4288.2147999999961</v>
      </c>
      <c r="I387" s="193">
        <f>IFERROR(H387/B387,"")</f>
        <v>4.1821145537708299E-2</v>
      </c>
      <c r="J387" s="271">
        <v>1219.8979000000095</v>
      </c>
      <c r="K387" s="193">
        <f>IFERROR(J387/B387,"")</f>
        <v>1.1897148346450642E-2</v>
      </c>
      <c r="L387" s="271">
        <v>14881.301100000024</v>
      </c>
      <c r="M387" s="272">
        <f>IFERROR(L387/B387,"")</f>
        <v>0.14513103660142215</v>
      </c>
    </row>
    <row r="388" spans="1:13" ht="15.75" customHeight="1">
      <c r="A388" s="275"/>
      <c r="B388" s="185"/>
      <c r="C388" s="185"/>
      <c r="D388" s="807"/>
      <c r="E388" s="804" t="s">
        <v>197</v>
      </c>
      <c r="F388" s="819">
        <v>5</v>
      </c>
      <c r="G388" s="820"/>
      <c r="H388" s="819">
        <v>6</v>
      </c>
      <c r="I388" s="820"/>
      <c r="J388" s="819">
        <v>7</v>
      </c>
      <c r="K388" s="820"/>
      <c r="L388" s="821">
        <v>8</v>
      </c>
      <c r="M388" s="822"/>
    </row>
    <row r="389" spans="1:13" ht="15.75" customHeight="1">
      <c r="A389" s="275"/>
      <c r="B389" s="185"/>
      <c r="C389" s="185"/>
      <c r="D389" s="807"/>
      <c r="E389" s="804"/>
      <c r="F389" s="823" t="s">
        <v>188</v>
      </c>
      <c r="G389" s="824"/>
      <c r="H389" s="823" t="s">
        <v>165</v>
      </c>
      <c r="I389" s="824"/>
      <c r="J389" s="823" t="s">
        <v>189</v>
      </c>
      <c r="K389" s="824"/>
      <c r="L389" s="825" t="s">
        <v>249</v>
      </c>
      <c r="M389" s="826"/>
    </row>
    <row r="390" spans="1:13" ht="15.75" customHeight="1">
      <c r="A390" s="275"/>
      <c r="B390" s="185"/>
      <c r="C390" s="185"/>
      <c r="D390" s="807"/>
      <c r="E390" s="804"/>
      <c r="F390" s="575" t="s">
        <v>11</v>
      </c>
      <c r="G390" s="575" t="s">
        <v>41</v>
      </c>
      <c r="H390" s="575" t="s">
        <v>11</v>
      </c>
      <c r="I390" s="575" t="s">
        <v>41</v>
      </c>
      <c r="J390" s="575" t="s">
        <v>11</v>
      </c>
      <c r="K390" s="575" t="s">
        <v>41</v>
      </c>
      <c r="L390" s="575" t="s">
        <v>11</v>
      </c>
      <c r="M390" s="268" t="s">
        <v>41</v>
      </c>
    </row>
    <row r="391" spans="1:13" ht="15.75" customHeight="1">
      <c r="A391" s="276"/>
      <c r="B391" s="277"/>
      <c r="C391" s="277"/>
      <c r="D391" s="807"/>
      <c r="E391" s="189" t="s">
        <v>244</v>
      </c>
      <c r="F391" s="271">
        <v>4216.7480000000005</v>
      </c>
      <c r="G391" s="193">
        <f>IFERROR(F391/B386,"")</f>
        <v>3.2477494685603382E-2</v>
      </c>
      <c r="H391" s="271">
        <v>0</v>
      </c>
      <c r="I391" s="193">
        <f>IFERROR(H391/B386,"")</f>
        <v>0</v>
      </c>
      <c r="J391" s="271">
        <v>631.87</v>
      </c>
      <c r="K391" s="193">
        <f>IFERROR(J391/B386,"")</f>
        <v>4.8666779629686682E-3</v>
      </c>
      <c r="L391" s="271">
        <v>0</v>
      </c>
      <c r="M391" s="272">
        <f>IFERROR(L391/B386,"")</f>
        <v>0</v>
      </c>
    </row>
    <row r="392" spans="1:13" ht="15.75" customHeight="1" thickBot="1">
      <c r="A392" s="278"/>
      <c r="B392" s="279"/>
      <c r="C392" s="279"/>
      <c r="D392" s="816"/>
      <c r="E392" s="280" t="s">
        <v>245</v>
      </c>
      <c r="F392" s="281">
        <v>6261.6111399999991</v>
      </c>
      <c r="G392" s="282">
        <f>IFERROR(F392/B387,"")</f>
        <v>6.1066845528931012E-2</v>
      </c>
      <c r="H392" s="281">
        <v>4684.1948399999874</v>
      </c>
      <c r="I392" s="282">
        <f>IFERROR(H392/B387,"")</f>
        <v>4.5682971415196345E-2</v>
      </c>
      <c r="J392" s="281">
        <v>1220.7728400000015</v>
      </c>
      <c r="K392" s="282">
        <f>IFERROR(J392/B387,"")</f>
        <v>1.1905681266274627E-2</v>
      </c>
      <c r="L392" s="281">
        <v>0</v>
      </c>
      <c r="M392" s="283">
        <f>IFERROR(L392/B387,"")</f>
        <v>0</v>
      </c>
    </row>
  </sheetData>
  <mergeCells count="661">
    <mergeCell ref="A380:M381"/>
    <mergeCell ref="A383:A385"/>
    <mergeCell ref="B383:C384"/>
    <mergeCell ref="D383:D392"/>
    <mergeCell ref="E383:E385"/>
    <mergeCell ref="F383:G383"/>
    <mergeCell ref="H383:I383"/>
    <mergeCell ref="J383:K383"/>
    <mergeCell ref="L383:M383"/>
    <mergeCell ref="F384:G384"/>
    <mergeCell ref="H384:I384"/>
    <mergeCell ref="J384:K384"/>
    <mergeCell ref="L384:M384"/>
    <mergeCell ref="E388:E390"/>
    <mergeCell ref="F388:G388"/>
    <mergeCell ref="H388:I388"/>
    <mergeCell ref="J388:K388"/>
    <mergeCell ref="L388:M388"/>
    <mergeCell ref="F389:G389"/>
    <mergeCell ref="H389:I389"/>
    <mergeCell ref="J389:K389"/>
    <mergeCell ref="L389:M389"/>
    <mergeCell ref="A354:M355"/>
    <mergeCell ref="A357:A359"/>
    <mergeCell ref="B357:C358"/>
    <mergeCell ref="D357:D366"/>
    <mergeCell ref="E357:E359"/>
    <mergeCell ref="F357:G357"/>
    <mergeCell ref="H357:I357"/>
    <mergeCell ref="J357:K357"/>
    <mergeCell ref="L357:M357"/>
    <mergeCell ref="F358:G358"/>
    <mergeCell ref="H358:I358"/>
    <mergeCell ref="J358:K358"/>
    <mergeCell ref="L358:M358"/>
    <mergeCell ref="E362:E364"/>
    <mergeCell ref="F362:G362"/>
    <mergeCell ref="H362:I362"/>
    <mergeCell ref="J362:K362"/>
    <mergeCell ref="L362:M362"/>
    <mergeCell ref="F363:G363"/>
    <mergeCell ref="H363:I363"/>
    <mergeCell ref="J363:K363"/>
    <mergeCell ref="L363:M363"/>
    <mergeCell ref="A341:M342"/>
    <mergeCell ref="A344:A346"/>
    <mergeCell ref="B344:C345"/>
    <mergeCell ref="D344:D353"/>
    <mergeCell ref="E344:E346"/>
    <mergeCell ref="F344:G344"/>
    <mergeCell ref="H344:I344"/>
    <mergeCell ref="J344:K344"/>
    <mergeCell ref="L344:M344"/>
    <mergeCell ref="F345:G345"/>
    <mergeCell ref="H345:I345"/>
    <mergeCell ref="J345:K345"/>
    <mergeCell ref="L345:M345"/>
    <mergeCell ref="E349:E351"/>
    <mergeCell ref="F349:G349"/>
    <mergeCell ref="H349:I349"/>
    <mergeCell ref="J349:K349"/>
    <mergeCell ref="L349:M349"/>
    <mergeCell ref="F350:G350"/>
    <mergeCell ref="H350:I350"/>
    <mergeCell ref="J350:K350"/>
    <mergeCell ref="L350:M350"/>
    <mergeCell ref="A328:M329"/>
    <mergeCell ref="A331:A333"/>
    <mergeCell ref="B331:C332"/>
    <mergeCell ref="D331:D340"/>
    <mergeCell ref="E331:E333"/>
    <mergeCell ref="F331:G331"/>
    <mergeCell ref="H331:I331"/>
    <mergeCell ref="J331:K331"/>
    <mergeCell ref="L331:M331"/>
    <mergeCell ref="F332:G332"/>
    <mergeCell ref="H332:I332"/>
    <mergeCell ref="J332:K332"/>
    <mergeCell ref="L332:M332"/>
    <mergeCell ref="E336:E338"/>
    <mergeCell ref="F336:G336"/>
    <mergeCell ref="H336:I336"/>
    <mergeCell ref="J336:K336"/>
    <mergeCell ref="L336:M336"/>
    <mergeCell ref="F337:G337"/>
    <mergeCell ref="H337:I337"/>
    <mergeCell ref="J337:K337"/>
    <mergeCell ref="L337:M337"/>
    <mergeCell ref="A302:M303"/>
    <mergeCell ref="A305:A307"/>
    <mergeCell ref="B305:C306"/>
    <mergeCell ref="D305:D314"/>
    <mergeCell ref="E305:E307"/>
    <mergeCell ref="F305:G305"/>
    <mergeCell ref="H305:I305"/>
    <mergeCell ref="J305:K305"/>
    <mergeCell ref="L305:M305"/>
    <mergeCell ref="F306:G306"/>
    <mergeCell ref="H306:I306"/>
    <mergeCell ref="J306:K306"/>
    <mergeCell ref="L306:M306"/>
    <mergeCell ref="E310:E312"/>
    <mergeCell ref="F310:G310"/>
    <mergeCell ref="H310:I310"/>
    <mergeCell ref="J310:K310"/>
    <mergeCell ref="L310:M310"/>
    <mergeCell ref="F311:G311"/>
    <mergeCell ref="H311:I311"/>
    <mergeCell ref="J311:K311"/>
    <mergeCell ref="L311:M311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76:M277"/>
    <mergeCell ref="A279:A281"/>
    <mergeCell ref="B279:C280"/>
    <mergeCell ref="D279:D288"/>
    <mergeCell ref="E279:E281"/>
    <mergeCell ref="F279:G279"/>
    <mergeCell ref="H279:I279"/>
    <mergeCell ref="J279:K279"/>
    <mergeCell ref="L279:M279"/>
    <mergeCell ref="F280:G280"/>
    <mergeCell ref="H280:I280"/>
    <mergeCell ref="J280:K280"/>
    <mergeCell ref="L280:M280"/>
    <mergeCell ref="E284:E286"/>
    <mergeCell ref="F284:G284"/>
    <mergeCell ref="H284:I284"/>
    <mergeCell ref="J284:K284"/>
    <mergeCell ref="L284:M284"/>
    <mergeCell ref="F285:G285"/>
    <mergeCell ref="H285:I285"/>
    <mergeCell ref="J285:K285"/>
    <mergeCell ref="L285:M285"/>
    <mergeCell ref="A289:M290"/>
    <mergeCell ref="A292:A294"/>
    <mergeCell ref="B292:C293"/>
    <mergeCell ref="D292:D301"/>
    <mergeCell ref="E292:E294"/>
    <mergeCell ref="F292:G292"/>
    <mergeCell ref="H292:I292"/>
    <mergeCell ref="J292:K292"/>
    <mergeCell ref="L292:M292"/>
    <mergeCell ref="F293:G293"/>
    <mergeCell ref="H293:I293"/>
    <mergeCell ref="J293:K293"/>
    <mergeCell ref="L293:M293"/>
    <mergeCell ref="E297:E299"/>
    <mergeCell ref="F297:G297"/>
    <mergeCell ref="H297:I297"/>
    <mergeCell ref="J297:K297"/>
    <mergeCell ref="L297:M297"/>
    <mergeCell ref="F298:G298"/>
    <mergeCell ref="H298:I298"/>
    <mergeCell ref="J298:K298"/>
    <mergeCell ref="L298:M298"/>
    <mergeCell ref="A315:M316"/>
    <mergeCell ref="A318:A320"/>
    <mergeCell ref="B318:C319"/>
    <mergeCell ref="D318:D327"/>
    <mergeCell ref="E318:E320"/>
    <mergeCell ref="F318:G318"/>
    <mergeCell ref="H318:I318"/>
    <mergeCell ref="J318:K318"/>
    <mergeCell ref="L318:M318"/>
    <mergeCell ref="F319:G319"/>
    <mergeCell ref="H319:I319"/>
    <mergeCell ref="J319:K319"/>
    <mergeCell ref="L319:M319"/>
    <mergeCell ref="E323:E325"/>
    <mergeCell ref="F323:G323"/>
    <mergeCell ref="H323:I323"/>
    <mergeCell ref="J323:K323"/>
    <mergeCell ref="L323:M323"/>
    <mergeCell ref="F324:G324"/>
    <mergeCell ref="H324:I324"/>
    <mergeCell ref="J324:K324"/>
    <mergeCell ref="L324:M324"/>
    <mergeCell ref="A367:M368"/>
    <mergeCell ref="A370:A372"/>
    <mergeCell ref="B370:C371"/>
    <mergeCell ref="D370:D379"/>
    <mergeCell ref="E370:E372"/>
    <mergeCell ref="F370:G370"/>
    <mergeCell ref="H370:I370"/>
    <mergeCell ref="J370:K370"/>
    <mergeCell ref="L370:M370"/>
    <mergeCell ref="F371:G371"/>
    <mergeCell ref="H371:I371"/>
    <mergeCell ref="J371:K371"/>
    <mergeCell ref="L371:M371"/>
    <mergeCell ref="E375:E377"/>
    <mergeCell ref="F375:G375"/>
    <mergeCell ref="H375:I375"/>
    <mergeCell ref="J375:K375"/>
    <mergeCell ref="L375:M375"/>
    <mergeCell ref="F376:G376"/>
    <mergeCell ref="H376:I376"/>
    <mergeCell ref="J376:K376"/>
    <mergeCell ref="L376:M37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O33" sqref="O33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612" t="s">
        <v>204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612"/>
      <c r="P1" s="612"/>
      <c r="Q1" s="612"/>
    </row>
    <row r="2" spans="1:17" s="121" customFormat="1" ht="15.75" customHeight="1">
      <c r="A2" s="612"/>
      <c r="B2" s="612"/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  <c r="O2" s="612"/>
      <c r="P2" s="612"/>
      <c r="Q2" s="612"/>
    </row>
    <row r="3" spans="1:17" ht="15.75" customHeight="1">
      <c r="A3" s="748" t="s">
        <v>210</v>
      </c>
      <c r="B3" s="749"/>
      <c r="C3" s="749"/>
      <c r="D3" s="749"/>
      <c r="E3" s="749"/>
      <c r="F3" s="749"/>
      <c r="G3" s="749"/>
      <c r="H3" s="749"/>
      <c r="I3" s="749"/>
      <c r="J3" s="749"/>
      <c r="K3" s="749"/>
      <c r="L3" s="749"/>
      <c r="M3" s="749"/>
      <c r="N3" s="152"/>
    </row>
    <row r="4" spans="1:17" s="121" customFormat="1" ht="15.75" customHeight="1">
      <c r="A4" s="749"/>
      <c r="B4" s="749"/>
      <c r="C4" s="749"/>
      <c r="D4" s="749"/>
      <c r="E4" s="749"/>
      <c r="F4" s="749"/>
      <c r="G4" s="749"/>
      <c r="H4" s="749"/>
      <c r="I4" s="749"/>
      <c r="J4" s="749"/>
      <c r="K4" s="749"/>
      <c r="L4" s="749"/>
      <c r="M4" s="749"/>
      <c r="N4" s="131"/>
    </row>
    <row r="5" spans="1:17" ht="15.75" customHeight="1">
      <c r="A5" s="631" t="s">
        <v>190</v>
      </c>
      <c r="B5" s="859">
        <v>1</v>
      </c>
      <c r="C5" s="859"/>
      <c r="D5" s="859">
        <v>2</v>
      </c>
      <c r="E5" s="859"/>
      <c r="F5" s="859">
        <v>3</v>
      </c>
      <c r="G5" s="859"/>
      <c r="H5" s="855">
        <v>4</v>
      </c>
      <c r="I5" s="855"/>
      <c r="J5" s="855">
        <v>5</v>
      </c>
      <c r="K5" s="855"/>
      <c r="L5" s="855">
        <v>6</v>
      </c>
      <c r="M5" s="855"/>
      <c r="N5" s="855">
        <v>7</v>
      </c>
      <c r="O5" s="855"/>
      <c r="P5" s="855">
        <v>8</v>
      </c>
      <c r="Q5" s="855"/>
    </row>
    <row r="6" spans="1:17" ht="15.75" customHeight="1">
      <c r="A6" s="631"/>
      <c r="B6" s="860" t="s">
        <v>321</v>
      </c>
      <c r="C6" s="860"/>
      <c r="D6" s="860" t="s">
        <v>211</v>
      </c>
      <c r="E6" s="860"/>
      <c r="F6" s="860" t="s">
        <v>164</v>
      </c>
      <c r="G6" s="860"/>
      <c r="H6" s="631" t="s">
        <v>695</v>
      </c>
      <c r="I6" s="631"/>
      <c r="J6" s="631" t="s">
        <v>188</v>
      </c>
      <c r="K6" s="631"/>
      <c r="L6" s="631" t="s">
        <v>165</v>
      </c>
      <c r="M6" s="631"/>
      <c r="N6" s="631" t="s">
        <v>189</v>
      </c>
      <c r="O6" s="631"/>
      <c r="P6" s="858" t="s">
        <v>214</v>
      </c>
      <c r="Q6" s="631"/>
    </row>
    <row r="8" spans="1:17" s="154" customFormat="1" ht="15.75" customHeight="1">
      <c r="A8" s="848" t="s">
        <v>986</v>
      </c>
      <c r="B8" s="849"/>
      <c r="C8" s="584" t="s">
        <v>987</v>
      </c>
      <c r="D8" s="850" t="s">
        <v>12</v>
      </c>
      <c r="E8" s="851"/>
      <c r="F8" s="852"/>
      <c r="G8" s="582" t="s">
        <v>988</v>
      </c>
      <c r="H8" s="583"/>
      <c r="I8" s="584"/>
      <c r="J8" s="170" t="s">
        <v>989</v>
      </c>
      <c r="K8" s="170" t="s">
        <v>990</v>
      </c>
      <c r="L8" s="170" t="s">
        <v>991</v>
      </c>
      <c r="M8" s="170" t="s">
        <v>11</v>
      </c>
      <c r="N8" s="371" t="s">
        <v>992</v>
      </c>
      <c r="O8" s="853" t="s">
        <v>993</v>
      </c>
      <c r="P8" s="854"/>
    </row>
    <row r="9" spans="1:17" ht="15.75" customHeight="1">
      <c r="A9" s="772">
        <v>1</v>
      </c>
      <c r="B9" s="835" t="s">
        <v>994</v>
      </c>
      <c r="C9" s="171">
        <v>1</v>
      </c>
      <c r="D9" s="585">
        <v>0</v>
      </c>
      <c r="E9" s="838"/>
      <c r="F9" s="839"/>
      <c r="G9" s="585">
        <v>0</v>
      </c>
      <c r="H9" s="838"/>
      <c r="I9" s="839"/>
      <c r="J9" s="4">
        <v>0</v>
      </c>
      <c r="K9" s="14">
        <v>0</v>
      </c>
      <c r="L9" s="4">
        <v>0</v>
      </c>
      <c r="M9" s="16">
        <v>0</v>
      </c>
      <c r="N9" s="172"/>
      <c r="O9" s="846"/>
      <c r="P9" s="847"/>
    </row>
    <row r="10" spans="1:17" ht="15.75" customHeight="1">
      <c r="A10" s="777"/>
      <c r="B10" s="836"/>
      <c r="C10" s="171">
        <v>2</v>
      </c>
      <c r="D10" s="585">
        <v>0</v>
      </c>
      <c r="E10" s="838"/>
      <c r="F10" s="839"/>
      <c r="G10" s="585">
        <v>0</v>
      </c>
      <c r="H10" s="838"/>
      <c r="I10" s="839"/>
      <c r="J10" s="4">
        <v>0</v>
      </c>
      <c r="K10" s="14">
        <v>0</v>
      </c>
      <c r="L10" s="4">
        <v>0</v>
      </c>
      <c r="M10" s="16">
        <v>0</v>
      </c>
      <c r="N10" s="172"/>
      <c r="O10" s="846"/>
      <c r="P10" s="847"/>
    </row>
    <row r="11" spans="1:17" ht="15.75" customHeight="1">
      <c r="A11" s="777"/>
      <c r="B11" s="836"/>
      <c r="C11" s="171">
        <v>3</v>
      </c>
      <c r="D11" s="585">
        <v>0</v>
      </c>
      <c r="E11" s="838"/>
      <c r="F11" s="839"/>
      <c r="G11" s="585">
        <v>0</v>
      </c>
      <c r="H11" s="838"/>
      <c r="I11" s="839"/>
      <c r="J11" s="4">
        <v>0</v>
      </c>
      <c r="K11" s="14">
        <v>0</v>
      </c>
      <c r="L11" s="4">
        <v>0</v>
      </c>
      <c r="M11" s="16">
        <v>0</v>
      </c>
      <c r="N11" s="172"/>
      <c r="O11" s="846"/>
      <c r="P11" s="847"/>
    </row>
    <row r="12" spans="1:17" ht="15.75" customHeight="1">
      <c r="A12" s="777"/>
      <c r="B12" s="836"/>
      <c r="C12" s="171">
        <v>4</v>
      </c>
      <c r="D12" s="585">
        <v>0</v>
      </c>
      <c r="E12" s="838"/>
      <c r="F12" s="839"/>
      <c r="G12" s="585">
        <v>0</v>
      </c>
      <c r="H12" s="838"/>
      <c r="I12" s="839"/>
      <c r="J12" s="4">
        <v>0</v>
      </c>
      <c r="K12" s="14">
        <v>0</v>
      </c>
      <c r="L12" s="4">
        <v>0</v>
      </c>
      <c r="M12" s="16">
        <v>0</v>
      </c>
      <c r="N12" s="172"/>
      <c r="O12" s="846"/>
      <c r="P12" s="847"/>
    </row>
    <row r="13" spans="1:17" ht="15.75" customHeight="1" thickBot="1">
      <c r="A13" s="777"/>
      <c r="B13" s="836"/>
      <c r="C13" s="173">
        <v>5</v>
      </c>
      <c r="D13" s="843">
        <v>0</v>
      </c>
      <c r="E13" s="844"/>
      <c r="F13" s="845"/>
      <c r="G13" s="843">
        <v>0</v>
      </c>
      <c r="H13" s="844"/>
      <c r="I13" s="845"/>
      <c r="J13" s="4">
        <v>0</v>
      </c>
      <c r="K13" s="14">
        <v>0</v>
      </c>
      <c r="L13" s="4">
        <v>0</v>
      </c>
      <c r="M13" s="16">
        <v>0</v>
      </c>
      <c r="N13" s="174"/>
      <c r="O13" s="856"/>
      <c r="P13" s="857"/>
    </row>
    <row r="14" spans="1:17" ht="15.75" customHeight="1" thickTop="1" thickBot="1">
      <c r="A14" s="773"/>
      <c r="B14" s="837"/>
      <c r="C14" s="829"/>
      <c r="D14" s="830"/>
      <c r="E14" s="830"/>
      <c r="F14" s="830"/>
      <c r="G14" s="830"/>
      <c r="H14" s="830"/>
      <c r="I14" s="831"/>
      <c r="J14" s="369" t="s">
        <v>995</v>
      </c>
      <c r="K14" s="246">
        <v>0</v>
      </c>
      <c r="L14" s="369" t="s">
        <v>996</v>
      </c>
      <c r="M14" s="248">
        <v>0</v>
      </c>
      <c r="N14" s="832"/>
      <c r="O14" s="833"/>
      <c r="P14" s="834"/>
    </row>
    <row r="15" spans="1:17" ht="15.75" customHeight="1" thickTop="1"/>
    <row r="16" spans="1:17" ht="15.75" customHeight="1">
      <c r="A16" s="848" t="s">
        <v>997</v>
      </c>
      <c r="B16" s="849"/>
      <c r="C16" s="584" t="s">
        <v>998</v>
      </c>
      <c r="D16" s="850" t="s">
        <v>12</v>
      </c>
      <c r="E16" s="851"/>
      <c r="F16" s="852"/>
      <c r="G16" s="582" t="s">
        <v>999</v>
      </c>
      <c r="H16" s="583"/>
      <c r="I16" s="584"/>
      <c r="J16" s="170" t="s">
        <v>989</v>
      </c>
      <c r="K16" s="170" t="s">
        <v>990</v>
      </c>
      <c r="L16" s="170" t="s">
        <v>991</v>
      </c>
      <c r="M16" s="170" t="s">
        <v>11</v>
      </c>
      <c r="N16" s="371" t="s">
        <v>992</v>
      </c>
      <c r="O16" s="853" t="s">
        <v>993</v>
      </c>
      <c r="P16" s="854"/>
    </row>
    <row r="17" spans="1:16" ht="15.75" customHeight="1">
      <c r="A17" s="772">
        <v>2</v>
      </c>
      <c r="B17" s="835" t="s">
        <v>1000</v>
      </c>
      <c r="C17" s="171">
        <v>1</v>
      </c>
      <c r="D17" s="585" t="s">
        <v>790</v>
      </c>
      <c r="E17" s="838"/>
      <c r="F17" s="839"/>
      <c r="G17" s="585" t="s">
        <v>888</v>
      </c>
      <c r="H17" s="838"/>
      <c r="I17" s="839"/>
      <c r="J17" s="372">
        <v>462.04</v>
      </c>
      <c r="K17" s="14">
        <v>2.4727992087042537E-2</v>
      </c>
      <c r="L17" s="4">
        <v>0.4</v>
      </c>
      <c r="M17" s="338">
        <v>184.81600000000003</v>
      </c>
      <c r="N17" s="172"/>
      <c r="O17" s="846" t="s">
        <v>700</v>
      </c>
      <c r="P17" s="847"/>
    </row>
    <row r="18" spans="1:16" ht="15.75" customHeight="1">
      <c r="A18" s="777"/>
      <c r="B18" s="836"/>
      <c r="C18" s="171">
        <v>2</v>
      </c>
      <c r="D18" s="585" t="s">
        <v>878</v>
      </c>
      <c r="E18" s="838"/>
      <c r="F18" s="839"/>
      <c r="G18" s="585" t="s">
        <v>1001</v>
      </c>
      <c r="H18" s="838"/>
      <c r="I18" s="839"/>
      <c r="J18" s="372">
        <v>298.2</v>
      </c>
      <c r="K18" s="14">
        <v>0.19697964543663826</v>
      </c>
      <c r="L18" s="4">
        <v>0.60000000000000009</v>
      </c>
      <c r="M18" s="338">
        <v>178.92000000000002</v>
      </c>
      <c r="N18" s="172"/>
      <c r="O18" s="846" t="s">
        <v>700</v>
      </c>
      <c r="P18" s="847"/>
    </row>
    <row r="19" spans="1:16" ht="15.75" customHeight="1">
      <c r="A19" s="777"/>
      <c r="B19" s="836"/>
      <c r="C19" s="171">
        <v>3</v>
      </c>
      <c r="D19" s="585" t="s">
        <v>352</v>
      </c>
      <c r="E19" s="838"/>
      <c r="F19" s="839"/>
      <c r="G19" s="585" t="s">
        <v>920</v>
      </c>
      <c r="H19" s="838"/>
      <c r="I19" s="839"/>
      <c r="J19" s="372">
        <v>169.36</v>
      </c>
      <c r="K19" s="14">
        <v>1.4713022496211398E-2</v>
      </c>
      <c r="L19" s="4">
        <v>1</v>
      </c>
      <c r="M19" s="338">
        <v>169.36</v>
      </c>
      <c r="N19" s="172"/>
      <c r="O19" s="846" t="s">
        <v>700</v>
      </c>
      <c r="P19" s="847"/>
    </row>
    <row r="20" spans="1:16" ht="15.75" customHeight="1">
      <c r="A20" s="777"/>
      <c r="B20" s="836"/>
      <c r="C20" s="171">
        <v>4</v>
      </c>
      <c r="D20" s="585" t="s">
        <v>369</v>
      </c>
      <c r="E20" s="838"/>
      <c r="F20" s="839"/>
      <c r="G20" s="585" t="s">
        <v>923</v>
      </c>
      <c r="H20" s="838"/>
      <c r="I20" s="839"/>
      <c r="J20" s="372">
        <v>418.41</v>
      </c>
      <c r="K20" s="14">
        <v>4.4135495972635989E-2</v>
      </c>
      <c r="L20" s="4">
        <v>0.4</v>
      </c>
      <c r="M20" s="338">
        <v>167.36400000000003</v>
      </c>
      <c r="N20" s="172"/>
      <c r="O20" s="846" t="s">
        <v>700</v>
      </c>
      <c r="P20" s="847"/>
    </row>
    <row r="21" spans="1:16" ht="15.75" customHeight="1" thickBot="1">
      <c r="A21" s="777"/>
      <c r="B21" s="836"/>
      <c r="C21" s="173">
        <v>5</v>
      </c>
      <c r="D21" s="585" t="s">
        <v>879</v>
      </c>
      <c r="E21" s="838"/>
      <c r="F21" s="839"/>
      <c r="G21" s="585" t="s">
        <v>880</v>
      </c>
      <c r="H21" s="838"/>
      <c r="I21" s="839"/>
      <c r="J21" s="372">
        <v>109.96</v>
      </c>
      <c r="K21" s="14">
        <v>1.7289073305670814E-2</v>
      </c>
      <c r="L21" s="4">
        <v>1.5</v>
      </c>
      <c r="M21" s="338">
        <v>164.94</v>
      </c>
      <c r="N21" s="174"/>
      <c r="O21" s="846" t="s">
        <v>700</v>
      </c>
      <c r="P21" s="847"/>
    </row>
    <row r="22" spans="1:16" ht="15.75" customHeight="1" thickTop="1" thickBot="1">
      <c r="A22" s="773"/>
      <c r="B22" s="837"/>
      <c r="C22" s="840"/>
      <c r="D22" s="841"/>
      <c r="E22" s="841"/>
      <c r="F22" s="841"/>
      <c r="G22" s="841"/>
      <c r="H22" s="841"/>
      <c r="I22" s="842"/>
      <c r="J22" s="369" t="s">
        <v>995</v>
      </c>
      <c r="K22" s="246">
        <v>6.6653316491573989E-3</v>
      </c>
      <c r="L22" s="369" t="s">
        <v>996</v>
      </c>
      <c r="M22" s="248">
        <v>865.40000000000009</v>
      </c>
      <c r="N22" s="832"/>
      <c r="O22" s="833"/>
      <c r="P22" s="834"/>
    </row>
    <row r="23" spans="1:16" ht="15.75" customHeight="1" thickTop="1"/>
    <row r="24" spans="1:16" ht="15.75" customHeight="1">
      <c r="A24" s="848" t="s">
        <v>997</v>
      </c>
      <c r="B24" s="849"/>
      <c r="C24" s="584" t="s">
        <v>998</v>
      </c>
      <c r="D24" s="850" t="s">
        <v>12</v>
      </c>
      <c r="E24" s="851"/>
      <c r="F24" s="852"/>
      <c r="G24" s="582" t="s">
        <v>999</v>
      </c>
      <c r="H24" s="583"/>
      <c r="I24" s="584"/>
      <c r="J24" s="170" t="s">
        <v>989</v>
      </c>
      <c r="K24" s="170" t="s">
        <v>990</v>
      </c>
      <c r="L24" s="170" t="s">
        <v>991</v>
      </c>
      <c r="M24" s="170" t="s">
        <v>11</v>
      </c>
      <c r="N24" s="371" t="s">
        <v>992</v>
      </c>
      <c r="O24" s="853" t="s">
        <v>993</v>
      </c>
      <c r="P24" s="854"/>
    </row>
    <row r="25" spans="1:16" ht="15.75" customHeight="1">
      <c r="A25" s="772">
        <v>3</v>
      </c>
      <c r="B25" s="835" t="s">
        <v>1002</v>
      </c>
      <c r="C25" s="171">
        <v>1</v>
      </c>
      <c r="D25" s="585" t="s">
        <v>762</v>
      </c>
      <c r="E25" s="838"/>
      <c r="F25" s="839"/>
      <c r="G25" s="585" t="s">
        <v>931</v>
      </c>
      <c r="H25" s="838"/>
      <c r="I25" s="839"/>
      <c r="J25" s="372">
        <v>103.97</v>
      </c>
      <c r="K25" s="14">
        <v>1.7694509497788186E-2</v>
      </c>
      <c r="L25" s="4">
        <v>1.7</v>
      </c>
      <c r="M25" s="338">
        <v>176.749</v>
      </c>
      <c r="N25" s="172"/>
      <c r="O25" s="846" t="s">
        <v>1003</v>
      </c>
      <c r="P25" s="847"/>
    </row>
    <row r="26" spans="1:16" ht="15.75" customHeight="1">
      <c r="A26" s="777"/>
      <c r="B26" s="836"/>
      <c r="C26" s="171">
        <v>2</v>
      </c>
      <c r="D26" s="585" t="s">
        <v>352</v>
      </c>
      <c r="E26" s="838"/>
      <c r="F26" s="839"/>
      <c r="G26" s="585" t="s">
        <v>881</v>
      </c>
      <c r="H26" s="838"/>
      <c r="I26" s="839"/>
      <c r="J26" s="372">
        <v>75.14</v>
      </c>
      <c r="K26" s="14">
        <v>3.0257186081694407E-2</v>
      </c>
      <c r="L26" s="4">
        <v>2</v>
      </c>
      <c r="M26" s="338">
        <v>150.28</v>
      </c>
      <c r="N26" s="172"/>
      <c r="O26" s="846" t="s">
        <v>1003</v>
      </c>
      <c r="P26" s="847"/>
    </row>
    <row r="27" spans="1:16" ht="15.75" customHeight="1">
      <c r="A27" s="777"/>
      <c r="B27" s="836"/>
      <c r="C27" s="171">
        <v>3</v>
      </c>
      <c r="D27" s="585" t="s">
        <v>372</v>
      </c>
      <c r="E27" s="838"/>
      <c r="F27" s="839"/>
      <c r="G27" s="585" t="s">
        <v>1004</v>
      </c>
      <c r="H27" s="838"/>
      <c r="I27" s="839"/>
      <c r="J27" s="372">
        <v>114.4</v>
      </c>
      <c r="K27" s="14">
        <v>2.2256462934429039E-2</v>
      </c>
      <c r="L27" s="4">
        <v>1.3</v>
      </c>
      <c r="M27" s="338">
        <v>148.72</v>
      </c>
      <c r="N27" s="172"/>
      <c r="O27" s="846" t="s">
        <v>1003</v>
      </c>
      <c r="P27" s="847"/>
    </row>
    <row r="28" spans="1:16" ht="15.75" customHeight="1">
      <c r="A28" s="777"/>
      <c r="B28" s="836"/>
      <c r="C28" s="171">
        <v>4</v>
      </c>
      <c r="D28" s="585" t="s">
        <v>371</v>
      </c>
      <c r="E28" s="838"/>
      <c r="F28" s="839"/>
      <c r="G28" s="585" t="s">
        <v>1005</v>
      </c>
      <c r="H28" s="838"/>
      <c r="I28" s="839"/>
      <c r="J28" s="372">
        <v>95.43</v>
      </c>
      <c r="K28" s="14">
        <v>2.5998142989786442E-2</v>
      </c>
      <c r="L28" s="4">
        <v>1.4</v>
      </c>
      <c r="M28" s="338">
        <v>133.602</v>
      </c>
      <c r="N28" s="172"/>
      <c r="O28" s="846" t="s">
        <v>1003</v>
      </c>
      <c r="P28" s="847"/>
    </row>
    <row r="29" spans="1:16" ht="15.75" customHeight="1" thickBot="1">
      <c r="A29" s="777"/>
      <c r="B29" s="836"/>
      <c r="C29" s="173">
        <v>5</v>
      </c>
      <c r="D29" s="843">
        <v>0</v>
      </c>
      <c r="E29" s="844"/>
      <c r="F29" s="845"/>
      <c r="G29" s="843">
        <v>0</v>
      </c>
      <c r="H29" s="844"/>
      <c r="I29" s="845"/>
      <c r="J29" s="372">
        <v>0</v>
      </c>
      <c r="K29" s="14">
        <v>0</v>
      </c>
      <c r="L29" s="4">
        <v>0</v>
      </c>
      <c r="M29" s="338">
        <v>0</v>
      </c>
      <c r="N29" s="174"/>
      <c r="O29" s="846"/>
      <c r="P29" s="847"/>
    </row>
    <row r="30" spans="1:16" ht="15.75" customHeight="1" thickTop="1" thickBot="1">
      <c r="A30" s="773"/>
      <c r="B30" s="837"/>
      <c r="C30" s="829"/>
      <c r="D30" s="830"/>
      <c r="E30" s="830"/>
      <c r="F30" s="830"/>
      <c r="G30" s="830"/>
      <c r="H30" s="830"/>
      <c r="I30" s="831"/>
      <c r="J30" s="369" t="s">
        <v>995</v>
      </c>
      <c r="K30" s="246">
        <v>4.693236082442466E-3</v>
      </c>
      <c r="L30" s="369" t="s">
        <v>996</v>
      </c>
      <c r="M30" s="248">
        <v>609.351</v>
      </c>
      <c r="N30" s="832"/>
      <c r="O30" s="833"/>
      <c r="P30" s="834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L39" sqref="L39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612" t="s">
        <v>204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612"/>
      <c r="P1" s="612"/>
      <c r="Q1" s="612"/>
    </row>
    <row r="2" spans="1:17" s="121" customFormat="1" ht="15.75" customHeight="1">
      <c r="A2" s="612"/>
      <c r="B2" s="612"/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  <c r="O2" s="612"/>
      <c r="P2" s="612"/>
      <c r="Q2" s="612"/>
    </row>
    <row r="3" spans="1:17" s="120" customFormat="1" ht="15.75" customHeight="1">
      <c r="A3" s="748" t="s">
        <v>210</v>
      </c>
      <c r="B3" s="749"/>
      <c r="C3" s="749"/>
      <c r="D3" s="749"/>
      <c r="E3" s="749"/>
      <c r="F3" s="749"/>
      <c r="G3" s="749"/>
      <c r="H3" s="749"/>
      <c r="I3" s="749"/>
      <c r="J3" s="749"/>
      <c r="K3" s="749"/>
      <c r="L3" s="749"/>
      <c r="M3" s="749"/>
      <c r="N3" s="152"/>
    </row>
    <row r="4" spans="1:17" s="121" customFormat="1" ht="15.75" customHeight="1">
      <c r="A4" s="749"/>
      <c r="B4" s="749"/>
      <c r="C4" s="749"/>
      <c r="D4" s="749"/>
      <c r="E4" s="749"/>
      <c r="F4" s="749"/>
      <c r="G4" s="749"/>
      <c r="H4" s="749"/>
      <c r="I4" s="749"/>
      <c r="J4" s="749"/>
      <c r="K4" s="749"/>
      <c r="L4" s="749"/>
      <c r="M4" s="749"/>
      <c r="N4" s="131"/>
    </row>
    <row r="5" spans="1:17" s="120" customFormat="1" ht="15.75" customHeight="1">
      <c r="A5" s="631" t="s">
        <v>190</v>
      </c>
      <c r="B5" s="855">
        <v>1</v>
      </c>
      <c r="C5" s="855"/>
      <c r="D5" s="855">
        <v>2</v>
      </c>
      <c r="E5" s="855"/>
      <c r="F5" s="855">
        <v>3</v>
      </c>
      <c r="G5" s="855"/>
      <c r="H5" s="859">
        <v>4</v>
      </c>
      <c r="I5" s="859"/>
      <c r="J5" s="859">
        <v>5</v>
      </c>
      <c r="K5" s="859"/>
      <c r="L5" s="859">
        <v>6</v>
      </c>
      <c r="M5" s="859"/>
      <c r="N5" s="859">
        <v>7</v>
      </c>
      <c r="O5" s="859"/>
      <c r="P5" s="855">
        <v>8</v>
      </c>
      <c r="Q5" s="855"/>
    </row>
    <row r="6" spans="1:17" s="120" customFormat="1" ht="15.75" customHeight="1">
      <c r="A6" s="631"/>
      <c r="B6" s="631" t="s">
        <v>322</v>
      </c>
      <c r="C6" s="631"/>
      <c r="D6" s="631" t="s">
        <v>211</v>
      </c>
      <c r="E6" s="631"/>
      <c r="F6" s="631" t="s">
        <v>164</v>
      </c>
      <c r="G6" s="631"/>
      <c r="H6" s="860" t="s">
        <v>695</v>
      </c>
      <c r="I6" s="860"/>
      <c r="J6" s="860" t="s">
        <v>188</v>
      </c>
      <c r="K6" s="860"/>
      <c r="L6" s="860" t="s">
        <v>165</v>
      </c>
      <c r="M6" s="860"/>
      <c r="N6" s="860" t="s">
        <v>189</v>
      </c>
      <c r="O6" s="860"/>
      <c r="P6" s="858" t="s">
        <v>214</v>
      </c>
      <c r="Q6" s="631"/>
    </row>
    <row r="7" spans="1:17" s="120" customFormat="1" ht="15.75" customHeight="1">
      <c r="B7" s="175"/>
      <c r="C7" s="161"/>
    </row>
    <row r="8" spans="1:17" s="110" customFormat="1" ht="15.75" customHeight="1">
      <c r="A8" s="861" t="s">
        <v>986</v>
      </c>
      <c r="B8" s="862"/>
      <c r="C8" s="117" t="s">
        <v>987</v>
      </c>
      <c r="D8" s="863" t="s">
        <v>12</v>
      </c>
      <c r="E8" s="864"/>
      <c r="F8" s="865"/>
      <c r="G8" s="115" t="s">
        <v>988</v>
      </c>
      <c r="H8" s="116"/>
      <c r="I8" s="117"/>
      <c r="J8" s="114" t="s">
        <v>1006</v>
      </c>
      <c r="K8" s="114" t="s">
        <v>1007</v>
      </c>
      <c r="L8" s="114" t="s">
        <v>1008</v>
      </c>
      <c r="M8" s="118" t="s">
        <v>11</v>
      </c>
      <c r="N8" s="371" t="s">
        <v>1009</v>
      </c>
      <c r="O8" s="866" t="s">
        <v>1010</v>
      </c>
      <c r="P8" s="867"/>
    </row>
    <row r="9" spans="1:17" ht="15.75" customHeight="1">
      <c r="A9" s="862">
        <v>4</v>
      </c>
      <c r="B9" s="869" t="s">
        <v>695</v>
      </c>
      <c r="C9" s="112">
        <v>1</v>
      </c>
      <c r="D9" s="585" t="s">
        <v>349</v>
      </c>
      <c r="E9" s="838"/>
      <c r="F9" s="839"/>
      <c r="G9" s="585" t="s">
        <v>397</v>
      </c>
      <c r="H9" s="838"/>
      <c r="I9" s="839"/>
      <c r="J9" s="372">
        <v>127.48</v>
      </c>
      <c r="K9" s="14">
        <v>1.0260845347073094E-2</v>
      </c>
      <c r="L9" s="4">
        <v>1.4</v>
      </c>
      <c r="M9" s="338">
        <v>178.47200000000001</v>
      </c>
      <c r="N9" s="4"/>
      <c r="O9" s="846" t="s">
        <v>1011</v>
      </c>
      <c r="P9" s="875"/>
      <c r="Q9" s="264"/>
    </row>
    <row r="10" spans="1:17" ht="15.75" customHeight="1">
      <c r="A10" s="862"/>
      <c r="B10" s="869"/>
      <c r="C10" s="112">
        <v>2</v>
      </c>
      <c r="D10" s="585" t="s">
        <v>368</v>
      </c>
      <c r="E10" s="838"/>
      <c r="F10" s="839"/>
      <c r="G10" s="585" t="s">
        <v>807</v>
      </c>
      <c r="H10" s="838"/>
      <c r="I10" s="839"/>
      <c r="J10" s="372">
        <v>432.07</v>
      </c>
      <c r="K10" s="14">
        <v>8.291873963515755E-3</v>
      </c>
      <c r="L10" s="4">
        <v>0.4</v>
      </c>
      <c r="M10" s="338">
        <v>172.828</v>
      </c>
      <c r="N10" s="4"/>
      <c r="O10" s="846" t="s">
        <v>1011</v>
      </c>
      <c r="P10" s="875"/>
      <c r="Q10" s="264"/>
    </row>
    <row r="11" spans="1:17" ht="15.75" customHeight="1">
      <c r="A11" s="862"/>
      <c r="B11" s="869"/>
      <c r="C11" s="112">
        <v>3</v>
      </c>
      <c r="D11" s="585" t="s">
        <v>801</v>
      </c>
      <c r="E11" s="838"/>
      <c r="F11" s="839"/>
      <c r="G11" s="585" t="s">
        <v>1012</v>
      </c>
      <c r="H11" s="838"/>
      <c r="I11" s="839"/>
      <c r="J11" s="372">
        <v>240.51</v>
      </c>
      <c r="K11" s="14">
        <v>9.4492440604751638E-3</v>
      </c>
      <c r="L11" s="4">
        <v>0.70000000000000007</v>
      </c>
      <c r="M11" s="338">
        <v>168.357</v>
      </c>
      <c r="N11" s="4"/>
      <c r="O11" s="846" t="s">
        <v>1011</v>
      </c>
      <c r="P11" s="875"/>
      <c r="Q11" s="264"/>
    </row>
    <row r="12" spans="1:17" ht="15.75" customHeight="1">
      <c r="A12" s="862"/>
      <c r="B12" s="869"/>
      <c r="C12" s="112">
        <v>4</v>
      </c>
      <c r="D12" s="585" t="s">
        <v>801</v>
      </c>
      <c r="E12" s="838"/>
      <c r="F12" s="839"/>
      <c r="G12" s="585" t="s">
        <v>1013</v>
      </c>
      <c r="H12" s="838"/>
      <c r="I12" s="839"/>
      <c r="J12" s="372">
        <v>320.63</v>
      </c>
      <c r="K12" s="14">
        <v>2.4792978628452419E-2</v>
      </c>
      <c r="L12" s="4">
        <v>0.5</v>
      </c>
      <c r="M12" s="338">
        <v>160.315</v>
      </c>
      <c r="N12" s="4"/>
      <c r="O12" s="846" t="s">
        <v>1011</v>
      </c>
      <c r="P12" s="875"/>
      <c r="Q12" s="264"/>
    </row>
    <row r="13" spans="1:17" ht="15.75" customHeight="1" thickBot="1">
      <c r="A13" s="862"/>
      <c r="B13" s="869"/>
      <c r="C13" s="113">
        <v>5</v>
      </c>
      <c r="D13" s="585" t="s">
        <v>958</v>
      </c>
      <c r="E13" s="838"/>
      <c r="F13" s="839"/>
      <c r="G13" s="585" t="s">
        <v>1014</v>
      </c>
      <c r="H13" s="838"/>
      <c r="I13" s="839"/>
      <c r="J13" s="372">
        <v>432.07</v>
      </c>
      <c r="K13" s="14">
        <v>7.0028011204481787E-3</v>
      </c>
      <c r="L13" s="4">
        <v>0.3</v>
      </c>
      <c r="M13" s="338">
        <v>158.26499999999999</v>
      </c>
      <c r="N13" s="27"/>
      <c r="O13" s="846" t="s">
        <v>1011</v>
      </c>
      <c r="P13" s="875"/>
      <c r="Q13" s="264"/>
    </row>
    <row r="14" spans="1:17" ht="15.75" customHeight="1" thickTop="1" thickBot="1">
      <c r="A14" s="862"/>
      <c r="B14" s="869"/>
      <c r="C14" s="877"/>
      <c r="D14" s="877"/>
      <c r="E14" s="877"/>
      <c r="F14" s="877"/>
      <c r="G14" s="877"/>
      <c r="H14" s="877"/>
      <c r="I14" s="877"/>
      <c r="J14" s="247" t="s">
        <v>1015</v>
      </c>
      <c r="K14" s="246">
        <v>6.4561215687482668E-3</v>
      </c>
      <c r="L14" s="247" t="s">
        <v>1016</v>
      </c>
      <c r="M14" s="248">
        <v>838.23699999999997</v>
      </c>
      <c r="N14" s="876"/>
      <c r="O14" s="876"/>
      <c r="P14" s="876"/>
      <c r="Q14" s="264"/>
    </row>
    <row r="15" spans="1:17" ht="15.75" customHeight="1" thickTop="1">
      <c r="A15" s="579"/>
      <c r="D15" s="579"/>
      <c r="E15" s="579"/>
      <c r="F15" s="579"/>
      <c r="G15" s="579"/>
      <c r="H15" s="579"/>
      <c r="I15" s="579"/>
      <c r="J15" s="579"/>
      <c r="K15" s="579"/>
      <c r="L15" s="579"/>
      <c r="M15" s="579"/>
      <c r="N15" s="579"/>
      <c r="O15" s="579"/>
      <c r="P15" s="579"/>
      <c r="Q15" s="264"/>
    </row>
    <row r="16" spans="1:17" ht="15.75" customHeight="1">
      <c r="A16" s="861" t="s">
        <v>986</v>
      </c>
      <c r="B16" s="862"/>
      <c r="C16" s="117" t="s">
        <v>987</v>
      </c>
      <c r="D16" s="863" t="s">
        <v>12</v>
      </c>
      <c r="E16" s="864"/>
      <c r="F16" s="865"/>
      <c r="G16" s="115" t="s">
        <v>988</v>
      </c>
      <c r="H16" s="116"/>
      <c r="I16" s="117"/>
      <c r="J16" s="114" t="s">
        <v>1006</v>
      </c>
      <c r="K16" s="114" t="s">
        <v>1007</v>
      </c>
      <c r="L16" s="114" t="s">
        <v>1008</v>
      </c>
      <c r="M16" s="118" t="s">
        <v>11</v>
      </c>
      <c r="N16" s="371" t="s">
        <v>1009</v>
      </c>
      <c r="O16" s="866" t="s">
        <v>1010</v>
      </c>
      <c r="P16" s="867"/>
      <c r="Q16" s="264"/>
    </row>
    <row r="17" spans="1:17" ht="15.75" customHeight="1">
      <c r="A17" s="862">
        <v>5</v>
      </c>
      <c r="B17" s="868" t="s">
        <v>212</v>
      </c>
      <c r="C17" s="112">
        <v>1</v>
      </c>
      <c r="D17" s="585" t="s">
        <v>376</v>
      </c>
      <c r="E17" s="838"/>
      <c r="F17" s="839"/>
      <c r="G17" s="585" t="s">
        <v>396</v>
      </c>
      <c r="H17" s="838"/>
      <c r="I17" s="839"/>
      <c r="J17" s="372">
        <v>420.33</v>
      </c>
      <c r="K17" s="14">
        <v>6.598482349059717E-3</v>
      </c>
      <c r="L17" s="4">
        <v>0.4</v>
      </c>
      <c r="M17" s="338">
        <v>168.13200000000001</v>
      </c>
      <c r="N17" s="4"/>
      <c r="O17" s="846" t="s">
        <v>713</v>
      </c>
      <c r="P17" s="875"/>
      <c r="Q17" s="264"/>
    </row>
    <row r="18" spans="1:17" ht="15.75" customHeight="1">
      <c r="A18" s="862"/>
      <c r="B18" s="869"/>
      <c r="C18" s="112">
        <v>2</v>
      </c>
      <c r="D18" s="585" t="s">
        <v>347</v>
      </c>
      <c r="E18" s="838"/>
      <c r="F18" s="839"/>
      <c r="G18" s="585" t="s">
        <v>917</v>
      </c>
      <c r="H18" s="838"/>
      <c r="I18" s="839"/>
      <c r="J18" s="372">
        <v>272.74</v>
      </c>
      <c r="K18" s="14">
        <v>1.1254924029262803E-2</v>
      </c>
      <c r="L18" s="4">
        <v>0.60000000000000009</v>
      </c>
      <c r="M18" s="338">
        <v>163.64400000000003</v>
      </c>
      <c r="N18" s="4"/>
      <c r="O18" s="846" t="s">
        <v>713</v>
      </c>
      <c r="P18" s="875"/>
      <c r="Q18" s="264"/>
    </row>
    <row r="19" spans="1:17" ht="15.75" customHeight="1">
      <c r="A19" s="862"/>
      <c r="B19" s="869"/>
      <c r="C19" s="112">
        <v>3</v>
      </c>
      <c r="D19" s="585" t="s">
        <v>786</v>
      </c>
      <c r="E19" s="838"/>
      <c r="F19" s="839"/>
      <c r="G19" s="585" t="s">
        <v>927</v>
      </c>
      <c r="H19" s="838"/>
      <c r="I19" s="839"/>
      <c r="J19" s="372">
        <v>258.37</v>
      </c>
      <c r="K19" s="14">
        <v>1.5624186240299986E-2</v>
      </c>
      <c r="L19" s="4">
        <v>0.60000000000000009</v>
      </c>
      <c r="M19" s="338">
        <v>155.02200000000002</v>
      </c>
      <c r="N19" s="4"/>
      <c r="O19" s="846" t="s">
        <v>713</v>
      </c>
      <c r="P19" s="875"/>
      <c r="Q19" s="264"/>
    </row>
    <row r="20" spans="1:17" ht="15.75" customHeight="1">
      <c r="A20" s="862"/>
      <c r="B20" s="869"/>
      <c r="C20" s="112">
        <v>4</v>
      </c>
      <c r="D20" s="585" t="s">
        <v>352</v>
      </c>
      <c r="E20" s="838"/>
      <c r="F20" s="839"/>
      <c r="G20" s="585" t="s">
        <v>1017</v>
      </c>
      <c r="H20" s="838"/>
      <c r="I20" s="839"/>
      <c r="J20" s="372">
        <v>136.88999999999999</v>
      </c>
      <c r="K20" s="14">
        <v>2.1387463058018356E-2</v>
      </c>
      <c r="L20" s="4">
        <v>1.1000000000000001</v>
      </c>
      <c r="M20" s="338">
        <v>150.57900000000001</v>
      </c>
      <c r="N20" s="4"/>
      <c r="O20" s="846" t="s">
        <v>713</v>
      </c>
      <c r="P20" s="875"/>
      <c r="Q20" s="264"/>
    </row>
    <row r="21" spans="1:17" ht="15.75" customHeight="1" thickBot="1">
      <c r="A21" s="862"/>
      <c r="B21" s="869"/>
      <c r="C21" s="113">
        <v>5</v>
      </c>
      <c r="D21" s="585" t="s">
        <v>878</v>
      </c>
      <c r="E21" s="838"/>
      <c r="F21" s="839"/>
      <c r="G21" s="585" t="s">
        <v>354</v>
      </c>
      <c r="H21" s="838"/>
      <c r="I21" s="839"/>
      <c r="J21" s="372">
        <v>487.6</v>
      </c>
      <c r="K21" s="14">
        <v>5.9718130424396849E-3</v>
      </c>
      <c r="L21" s="4">
        <v>0.3</v>
      </c>
      <c r="M21" s="338">
        <v>146.28</v>
      </c>
      <c r="N21" s="4"/>
      <c r="O21" s="846" t="s">
        <v>713</v>
      </c>
      <c r="P21" s="875"/>
      <c r="Q21" s="264"/>
    </row>
    <row r="22" spans="1:17" ht="15.75" customHeight="1" thickTop="1" thickBot="1">
      <c r="A22" s="862"/>
      <c r="B22" s="869"/>
      <c r="C22" s="870"/>
      <c r="D22" s="870"/>
      <c r="E22" s="870"/>
      <c r="F22" s="870"/>
      <c r="G22" s="870"/>
      <c r="H22" s="870"/>
      <c r="I22" s="871"/>
      <c r="J22" s="119" t="s">
        <v>1015</v>
      </c>
      <c r="K22" s="246">
        <v>6.0357450938106549E-3</v>
      </c>
      <c r="L22" s="119" t="s">
        <v>1016</v>
      </c>
      <c r="M22" s="248">
        <v>783.65700000000015</v>
      </c>
      <c r="N22" s="872"/>
      <c r="O22" s="873"/>
      <c r="P22" s="874"/>
      <c r="Q22" s="264"/>
    </row>
    <row r="23" spans="1:17" ht="15.75" customHeight="1" thickTop="1">
      <c r="A23" s="579"/>
      <c r="D23" s="579"/>
      <c r="E23" s="579"/>
      <c r="F23" s="579"/>
      <c r="G23" s="579"/>
      <c r="H23" s="579"/>
      <c r="I23" s="579"/>
      <c r="J23" s="579"/>
      <c r="K23" s="579"/>
      <c r="L23" s="579"/>
      <c r="M23" s="579"/>
      <c r="N23" s="579"/>
      <c r="O23" s="579"/>
      <c r="P23" s="579"/>
      <c r="Q23" s="264"/>
    </row>
    <row r="24" spans="1:17" ht="15.75" customHeight="1">
      <c r="A24" s="861" t="s">
        <v>986</v>
      </c>
      <c r="B24" s="862"/>
      <c r="C24" s="117" t="s">
        <v>987</v>
      </c>
      <c r="D24" s="863" t="s">
        <v>12</v>
      </c>
      <c r="E24" s="864"/>
      <c r="F24" s="865"/>
      <c r="G24" s="115" t="s">
        <v>988</v>
      </c>
      <c r="H24" s="116"/>
      <c r="I24" s="117"/>
      <c r="J24" s="114" t="s">
        <v>1006</v>
      </c>
      <c r="K24" s="114" t="s">
        <v>1007</v>
      </c>
      <c r="L24" s="114" t="s">
        <v>1008</v>
      </c>
      <c r="M24" s="118" t="s">
        <v>11</v>
      </c>
      <c r="N24" s="371" t="s">
        <v>1009</v>
      </c>
      <c r="O24" s="866" t="s">
        <v>1010</v>
      </c>
      <c r="P24" s="867"/>
      <c r="Q24" s="264"/>
    </row>
    <row r="25" spans="1:17" ht="15.75" customHeight="1">
      <c r="A25" s="862">
        <v>6</v>
      </c>
      <c r="B25" s="868" t="s">
        <v>213</v>
      </c>
      <c r="C25" s="112">
        <v>1</v>
      </c>
      <c r="D25" s="585" t="s">
        <v>757</v>
      </c>
      <c r="E25" s="838"/>
      <c r="F25" s="839"/>
      <c r="G25" s="585" t="s">
        <v>459</v>
      </c>
      <c r="H25" s="838"/>
      <c r="I25" s="839"/>
      <c r="J25" s="372">
        <v>13.45</v>
      </c>
      <c r="K25" s="14">
        <v>1.3864818024263431E-2</v>
      </c>
      <c r="L25" s="4">
        <v>16</v>
      </c>
      <c r="M25" s="338">
        <v>215.2</v>
      </c>
      <c r="N25" s="4"/>
      <c r="O25" s="846" t="s">
        <v>1018</v>
      </c>
      <c r="P25" s="875"/>
      <c r="Q25" s="264"/>
    </row>
    <row r="26" spans="1:17" ht="15.75" customHeight="1">
      <c r="A26" s="862"/>
      <c r="B26" s="869"/>
      <c r="C26" s="112">
        <v>2</v>
      </c>
      <c r="D26" s="585" t="s">
        <v>878</v>
      </c>
      <c r="E26" s="838"/>
      <c r="F26" s="839"/>
      <c r="G26" s="585" t="s">
        <v>354</v>
      </c>
      <c r="H26" s="838"/>
      <c r="I26" s="839"/>
      <c r="J26" s="372">
        <v>487.6</v>
      </c>
      <c r="K26" s="14">
        <v>4.0423639744522595E-3</v>
      </c>
      <c r="L26" s="4">
        <v>0.3</v>
      </c>
      <c r="M26" s="338">
        <v>146.28</v>
      </c>
      <c r="N26" s="4"/>
      <c r="O26" s="846" t="s">
        <v>1019</v>
      </c>
      <c r="P26" s="875"/>
      <c r="Q26" s="264"/>
    </row>
    <row r="27" spans="1:17" ht="15.75" customHeight="1">
      <c r="A27" s="862"/>
      <c r="B27" s="869"/>
      <c r="C27" s="112">
        <v>3</v>
      </c>
      <c r="D27" s="585">
        <v>0</v>
      </c>
      <c r="E27" s="838"/>
      <c r="F27" s="839"/>
      <c r="G27" s="585">
        <v>0</v>
      </c>
      <c r="H27" s="838"/>
      <c r="I27" s="839"/>
      <c r="J27" s="372">
        <v>0</v>
      </c>
      <c r="K27" s="14">
        <v>0</v>
      </c>
      <c r="L27" s="4">
        <v>0</v>
      </c>
      <c r="M27" s="338">
        <v>0</v>
      </c>
      <c r="N27" s="4"/>
      <c r="O27" s="846"/>
      <c r="P27" s="875"/>
      <c r="Q27" s="264"/>
    </row>
    <row r="28" spans="1:17" ht="15.75" customHeight="1">
      <c r="A28" s="862"/>
      <c r="B28" s="869"/>
      <c r="C28" s="112">
        <v>4</v>
      </c>
      <c r="D28" s="585">
        <v>0</v>
      </c>
      <c r="E28" s="838"/>
      <c r="F28" s="839"/>
      <c r="G28" s="585">
        <v>0</v>
      </c>
      <c r="H28" s="838"/>
      <c r="I28" s="839"/>
      <c r="J28" s="372">
        <v>0</v>
      </c>
      <c r="K28" s="14">
        <v>0</v>
      </c>
      <c r="L28" s="4">
        <v>0</v>
      </c>
      <c r="M28" s="338">
        <v>0</v>
      </c>
      <c r="N28" s="4"/>
      <c r="O28" s="846"/>
      <c r="P28" s="875"/>
      <c r="Q28" s="264"/>
    </row>
    <row r="29" spans="1:17" ht="15.75" customHeight="1" thickBot="1">
      <c r="A29" s="862"/>
      <c r="B29" s="869"/>
      <c r="C29" s="113">
        <v>5</v>
      </c>
      <c r="D29" s="585">
        <v>0</v>
      </c>
      <c r="E29" s="838"/>
      <c r="F29" s="839"/>
      <c r="G29" s="585">
        <v>0</v>
      </c>
      <c r="H29" s="838"/>
      <c r="I29" s="839"/>
      <c r="J29" s="372">
        <v>0</v>
      </c>
      <c r="K29" s="14">
        <v>0</v>
      </c>
      <c r="L29" s="4">
        <v>0</v>
      </c>
      <c r="M29" s="338">
        <v>0</v>
      </c>
      <c r="N29" s="4"/>
      <c r="O29" s="846"/>
      <c r="P29" s="875"/>
      <c r="Q29" s="264"/>
    </row>
    <row r="30" spans="1:17" ht="15.75" customHeight="1" thickTop="1" thickBot="1">
      <c r="A30" s="862"/>
      <c r="B30" s="869"/>
      <c r="C30" s="870"/>
      <c r="D30" s="870"/>
      <c r="E30" s="870"/>
      <c r="F30" s="870"/>
      <c r="G30" s="870"/>
      <c r="H30" s="870"/>
      <c r="I30" s="871"/>
      <c r="J30" s="119" t="s">
        <v>1015</v>
      </c>
      <c r="K30" s="246">
        <v>2.7841276687513481E-3</v>
      </c>
      <c r="L30" s="119" t="s">
        <v>1016</v>
      </c>
      <c r="M30" s="248">
        <v>361.48</v>
      </c>
      <c r="N30" s="872"/>
      <c r="O30" s="873"/>
      <c r="P30" s="874"/>
      <c r="Q30" s="264"/>
    </row>
    <row r="31" spans="1:17" ht="15.75" customHeight="1" thickTop="1">
      <c r="A31" s="579"/>
      <c r="D31" s="579"/>
      <c r="E31" s="579"/>
      <c r="F31" s="579"/>
      <c r="G31" s="579"/>
      <c r="H31" s="579"/>
      <c r="I31" s="579"/>
      <c r="J31" s="579"/>
      <c r="K31" s="579"/>
      <c r="L31" s="579"/>
      <c r="M31" s="579"/>
      <c r="N31" s="579"/>
      <c r="O31" s="579"/>
      <c r="P31" s="579"/>
      <c r="Q31" s="264"/>
    </row>
    <row r="32" spans="1:17" ht="15.75" customHeight="1">
      <c r="A32" s="861" t="s">
        <v>986</v>
      </c>
      <c r="B32" s="862"/>
      <c r="C32" s="117" t="s">
        <v>987</v>
      </c>
      <c r="D32" s="863" t="s">
        <v>12</v>
      </c>
      <c r="E32" s="864"/>
      <c r="F32" s="865"/>
      <c r="G32" s="115" t="s">
        <v>988</v>
      </c>
      <c r="H32" s="116"/>
      <c r="I32" s="117"/>
      <c r="J32" s="114" t="s">
        <v>1006</v>
      </c>
      <c r="K32" s="114" t="s">
        <v>1007</v>
      </c>
      <c r="L32" s="114" t="s">
        <v>1008</v>
      </c>
      <c r="M32" s="118" t="s">
        <v>11</v>
      </c>
      <c r="N32" s="118" t="s">
        <v>13</v>
      </c>
      <c r="O32" s="866" t="s">
        <v>1010</v>
      </c>
      <c r="P32" s="867"/>
      <c r="Q32" s="264"/>
    </row>
    <row r="33" spans="1:17" ht="15.75" customHeight="1">
      <c r="A33" s="862">
        <v>7</v>
      </c>
      <c r="B33" s="868" t="s">
        <v>1020</v>
      </c>
      <c r="C33" s="112">
        <v>1</v>
      </c>
      <c r="D33" s="585">
        <v>0</v>
      </c>
      <c r="E33" s="838"/>
      <c r="F33" s="839"/>
      <c r="G33" s="585">
        <v>0</v>
      </c>
      <c r="H33" s="838"/>
      <c r="I33" s="839"/>
      <c r="J33" s="4">
        <v>0</v>
      </c>
      <c r="K33" s="14">
        <v>0</v>
      </c>
      <c r="L33" s="4">
        <v>0</v>
      </c>
      <c r="M33" s="338">
        <v>0</v>
      </c>
      <c r="N33" s="4"/>
      <c r="O33" s="846"/>
      <c r="P33" s="875"/>
      <c r="Q33" s="264"/>
    </row>
    <row r="34" spans="1:17" ht="15.75" customHeight="1">
      <c r="A34" s="862"/>
      <c r="B34" s="869"/>
      <c r="C34" s="112">
        <v>2</v>
      </c>
      <c r="D34" s="585">
        <v>0</v>
      </c>
      <c r="E34" s="838"/>
      <c r="F34" s="839"/>
      <c r="G34" s="585">
        <v>0</v>
      </c>
      <c r="H34" s="838"/>
      <c r="I34" s="839"/>
      <c r="J34" s="4">
        <v>0</v>
      </c>
      <c r="K34" s="14">
        <v>0</v>
      </c>
      <c r="L34" s="4">
        <v>0</v>
      </c>
      <c r="M34" s="338">
        <v>0</v>
      </c>
      <c r="N34" s="4"/>
      <c r="O34" s="846"/>
      <c r="P34" s="875"/>
      <c r="Q34" s="264"/>
    </row>
    <row r="35" spans="1:17" ht="15.75" customHeight="1">
      <c r="A35" s="862"/>
      <c r="B35" s="869"/>
      <c r="C35" s="112">
        <v>3</v>
      </c>
      <c r="D35" s="585">
        <v>0</v>
      </c>
      <c r="E35" s="838"/>
      <c r="F35" s="839"/>
      <c r="G35" s="585">
        <v>0</v>
      </c>
      <c r="H35" s="838"/>
      <c r="I35" s="839"/>
      <c r="J35" s="4">
        <v>0</v>
      </c>
      <c r="K35" s="14">
        <v>0</v>
      </c>
      <c r="L35" s="4">
        <v>0</v>
      </c>
      <c r="M35" s="338">
        <v>0</v>
      </c>
      <c r="N35" s="4"/>
      <c r="O35" s="846"/>
      <c r="P35" s="875"/>
      <c r="Q35" s="264"/>
    </row>
    <row r="36" spans="1:17" ht="15.75" customHeight="1">
      <c r="A36" s="862"/>
      <c r="B36" s="869"/>
      <c r="C36" s="112">
        <v>4</v>
      </c>
      <c r="D36" s="585">
        <v>0</v>
      </c>
      <c r="E36" s="838"/>
      <c r="F36" s="839"/>
      <c r="G36" s="585">
        <v>0</v>
      </c>
      <c r="H36" s="838"/>
      <c r="I36" s="839"/>
      <c r="J36" s="4">
        <v>0</v>
      </c>
      <c r="K36" s="14">
        <v>0</v>
      </c>
      <c r="L36" s="4">
        <v>0</v>
      </c>
      <c r="M36" s="338">
        <v>0</v>
      </c>
      <c r="N36" s="4"/>
      <c r="O36" s="846"/>
      <c r="P36" s="875"/>
      <c r="Q36" s="264"/>
    </row>
    <row r="37" spans="1:17" ht="15.75" customHeight="1" thickBot="1">
      <c r="A37" s="862"/>
      <c r="B37" s="869"/>
      <c r="C37" s="113">
        <v>5</v>
      </c>
      <c r="D37" s="585">
        <v>0</v>
      </c>
      <c r="E37" s="838"/>
      <c r="F37" s="839"/>
      <c r="G37" s="585">
        <v>0</v>
      </c>
      <c r="H37" s="838"/>
      <c r="I37" s="839"/>
      <c r="J37" s="4">
        <v>0</v>
      </c>
      <c r="K37" s="14">
        <v>0</v>
      </c>
      <c r="L37" s="4">
        <v>0</v>
      </c>
      <c r="M37" s="338">
        <v>0</v>
      </c>
      <c r="N37" s="4"/>
      <c r="O37" s="846"/>
      <c r="P37" s="875"/>
      <c r="Q37" s="264"/>
    </row>
    <row r="38" spans="1:17" ht="15.75" customHeight="1" thickTop="1" thickBot="1">
      <c r="A38" s="862"/>
      <c r="B38" s="869"/>
      <c r="C38" s="870"/>
      <c r="D38" s="870"/>
      <c r="E38" s="870"/>
      <c r="F38" s="870"/>
      <c r="G38" s="870"/>
      <c r="H38" s="870"/>
      <c r="I38" s="871"/>
      <c r="J38" s="119" t="s">
        <v>1015</v>
      </c>
      <c r="K38" s="246">
        <v>0</v>
      </c>
      <c r="L38" s="119" t="s">
        <v>1016</v>
      </c>
      <c r="M38" s="248">
        <v>0</v>
      </c>
      <c r="N38" s="872"/>
      <c r="O38" s="873"/>
      <c r="P38" s="874"/>
      <c r="Q38" s="264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M32" sqref="M32"/>
    </sheetView>
  </sheetViews>
  <sheetFormatPr defaultColWidth="12.5703125" defaultRowHeight="15.75" customHeight="1"/>
  <cols>
    <col min="1" max="1" width="5.42578125" style="183" customWidth="1"/>
    <col min="2" max="2" width="11.42578125" style="374" customWidth="1"/>
    <col min="3" max="3" width="4" style="375" customWidth="1"/>
    <col min="4" max="17" width="9.5703125" style="183" customWidth="1"/>
    <col min="18" max="16384" width="12.5703125" style="183"/>
  </cols>
  <sheetData>
    <row r="1" spans="1:23" ht="15.75" customHeight="1">
      <c r="A1" s="802" t="s">
        <v>703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</row>
    <row r="2" spans="1:23" s="184" customFormat="1" ht="15.75" customHeigh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183"/>
      <c r="S2" s="183"/>
      <c r="T2" s="183"/>
      <c r="U2" s="183"/>
      <c r="V2" s="183"/>
      <c r="W2" s="183"/>
    </row>
    <row r="3" spans="1:23" ht="15.75" customHeight="1">
      <c r="A3" s="803" t="s">
        <v>704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185"/>
    </row>
    <row r="4" spans="1:23" s="184" customFormat="1" ht="15.75" customHeight="1">
      <c r="A4" s="803"/>
      <c r="B4" s="803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186"/>
      <c r="R4" s="183"/>
      <c r="S4" s="183"/>
      <c r="T4" s="183"/>
      <c r="U4" s="183"/>
      <c r="V4" s="183"/>
      <c r="W4" s="183"/>
    </row>
    <row r="5" spans="1:23" ht="15.75" customHeight="1">
      <c r="A5" s="805" t="s">
        <v>698</v>
      </c>
      <c r="B5" s="879">
        <v>1</v>
      </c>
      <c r="C5" s="879"/>
      <c r="D5" s="879">
        <v>2</v>
      </c>
      <c r="E5" s="879"/>
      <c r="F5" s="879">
        <v>3</v>
      </c>
      <c r="G5" s="879"/>
      <c r="H5" s="808">
        <v>4</v>
      </c>
      <c r="I5" s="808"/>
      <c r="J5" s="808">
        <v>5</v>
      </c>
      <c r="K5" s="808"/>
      <c r="L5" s="808">
        <v>6</v>
      </c>
      <c r="M5" s="808"/>
      <c r="N5" s="808">
        <v>7</v>
      </c>
      <c r="O5" s="808"/>
      <c r="P5" s="808">
        <v>8</v>
      </c>
      <c r="Q5" s="808"/>
    </row>
    <row r="6" spans="1:23" ht="15.75" customHeight="1">
      <c r="A6" s="805"/>
      <c r="B6" s="880" t="s">
        <v>705</v>
      </c>
      <c r="C6" s="880"/>
      <c r="D6" s="880" t="s">
        <v>706</v>
      </c>
      <c r="E6" s="880"/>
      <c r="F6" s="880" t="s">
        <v>707</v>
      </c>
      <c r="G6" s="880"/>
      <c r="H6" s="878" t="s">
        <v>708</v>
      </c>
      <c r="I6" s="805"/>
      <c r="J6" s="805" t="s">
        <v>709</v>
      </c>
      <c r="K6" s="805"/>
      <c r="L6" s="805" t="s">
        <v>710</v>
      </c>
      <c r="M6" s="805"/>
      <c r="N6" s="805" t="s">
        <v>711</v>
      </c>
      <c r="O6" s="805"/>
      <c r="P6" s="878" t="s">
        <v>712</v>
      </c>
      <c r="Q6" s="805"/>
    </row>
    <row r="8" spans="1:23" s="373" customFormat="1" ht="15.75" customHeight="1">
      <c r="A8" s="848" t="s">
        <v>986</v>
      </c>
      <c r="B8" s="849"/>
      <c r="C8" s="584" t="s">
        <v>987</v>
      </c>
      <c r="D8" s="850" t="s">
        <v>12</v>
      </c>
      <c r="E8" s="851"/>
      <c r="F8" s="852"/>
      <c r="G8" s="582" t="s">
        <v>988</v>
      </c>
      <c r="H8" s="583"/>
      <c r="I8" s="584"/>
      <c r="J8" s="170" t="s">
        <v>1006</v>
      </c>
      <c r="K8" s="371" t="s">
        <v>1021</v>
      </c>
      <c r="L8" s="170" t="s">
        <v>1008</v>
      </c>
      <c r="M8" s="170" t="s">
        <v>11</v>
      </c>
      <c r="N8" s="371" t="s">
        <v>1009</v>
      </c>
      <c r="O8" s="853" t="s">
        <v>1010</v>
      </c>
      <c r="P8" s="854"/>
      <c r="R8" s="183"/>
      <c r="S8" s="183"/>
      <c r="T8" s="183"/>
      <c r="U8" s="183"/>
      <c r="V8" s="183"/>
      <c r="W8" s="183"/>
    </row>
    <row r="9" spans="1:23" ht="15.75" customHeight="1">
      <c r="A9" s="772">
        <v>1</v>
      </c>
      <c r="B9" s="835" t="s">
        <v>1022</v>
      </c>
      <c r="C9" s="171">
        <v>1</v>
      </c>
      <c r="D9" s="585">
        <v>0</v>
      </c>
      <c r="E9" s="838"/>
      <c r="F9" s="839"/>
      <c r="G9" s="585">
        <v>0</v>
      </c>
      <c r="H9" s="838"/>
      <c r="I9" s="839"/>
      <c r="J9" s="4">
        <v>0</v>
      </c>
      <c r="K9" s="14">
        <v>0</v>
      </c>
      <c r="L9" s="372">
        <v>0</v>
      </c>
      <c r="M9" s="16">
        <v>0</v>
      </c>
      <c r="N9" s="172"/>
      <c r="O9" s="846"/>
      <c r="P9" s="847"/>
    </row>
    <row r="10" spans="1:23" ht="15.75" customHeight="1">
      <c r="A10" s="777"/>
      <c r="B10" s="836"/>
      <c r="C10" s="171">
        <v>2</v>
      </c>
      <c r="D10" s="585">
        <v>0</v>
      </c>
      <c r="E10" s="838"/>
      <c r="F10" s="839"/>
      <c r="G10" s="585">
        <v>0</v>
      </c>
      <c r="H10" s="838"/>
      <c r="I10" s="839"/>
      <c r="J10" s="4">
        <v>0</v>
      </c>
      <c r="K10" s="14">
        <v>0</v>
      </c>
      <c r="L10" s="372">
        <v>0</v>
      </c>
      <c r="M10" s="16">
        <v>0</v>
      </c>
      <c r="N10" s="172"/>
      <c r="O10" s="846"/>
      <c r="P10" s="847"/>
    </row>
    <row r="11" spans="1:23" ht="15.75" customHeight="1">
      <c r="A11" s="777"/>
      <c r="B11" s="836"/>
      <c r="C11" s="171">
        <v>3</v>
      </c>
      <c r="D11" s="585">
        <v>0</v>
      </c>
      <c r="E11" s="838"/>
      <c r="F11" s="839"/>
      <c r="G11" s="585">
        <v>0</v>
      </c>
      <c r="H11" s="838"/>
      <c r="I11" s="839"/>
      <c r="J11" s="4">
        <v>0</v>
      </c>
      <c r="K11" s="14">
        <v>0</v>
      </c>
      <c r="L11" s="372">
        <v>0</v>
      </c>
      <c r="M11" s="16">
        <v>0</v>
      </c>
      <c r="N11" s="172"/>
      <c r="O11" s="846"/>
      <c r="P11" s="847"/>
    </row>
    <row r="12" spans="1:23" ht="15.75" customHeight="1">
      <c r="A12" s="777"/>
      <c r="B12" s="836"/>
      <c r="C12" s="171">
        <v>4</v>
      </c>
      <c r="D12" s="585">
        <v>0</v>
      </c>
      <c r="E12" s="838"/>
      <c r="F12" s="839"/>
      <c r="G12" s="585">
        <v>0</v>
      </c>
      <c r="H12" s="838"/>
      <c r="I12" s="839"/>
      <c r="J12" s="4">
        <v>0</v>
      </c>
      <c r="K12" s="14">
        <v>0</v>
      </c>
      <c r="L12" s="372">
        <v>0</v>
      </c>
      <c r="M12" s="16">
        <v>0</v>
      </c>
      <c r="N12" s="172"/>
      <c r="O12" s="846"/>
      <c r="P12" s="847"/>
    </row>
    <row r="13" spans="1:23" ht="15.75" customHeight="1" thickBot="1">
      <c r="A13" s="777"/>
      <c r="B13" s="836"/>
      <c r="C13" s="173">
        <v>5</v>
      </c>
      <c r="D13" s="843">
        <v>0</v>
      </c>
      <c r="E13" s="844"/>
      <c r="F13" s="845"/>
      <c r="G13" s="843">
        <v>0</v>
      </c>
      <c r="H13" s="844"/>
      <c r="I13" s="845"/>
      <c r="J13" s="4">
        <v>0</v>
      </c>
      <c r="K13" s="14">
        <v>0</v>
      </c>
      <c r="L13" s="372">
        <v>0</v>
      </c>
      <c r="M13" s="16">
        <v>0</v>
      </c>
      <c r="N13" s="174"/>
      <c r="O13" s="856"/>
      <c r="P13" s="857"/>
    </row>
    <row r="14" spans="1:23" ht="15.75" customHeight="1" thickTop="1" thickBot="1">
      <c r="A14" s="773"/>
      <c r="B14" s="837"/>
      <c r="C14" s="829"/>
      <c r="D14" s="830"/>
      <c r="E14" s="830"/>
      <c r="F14" s="830"/>
      <c r="G14" s="830"/>
      <c r="H14" s="830"/>
      <c r="I14" s="831"/>
      <c r="J14" s="369" t="s">
        <v>1015</v>
      </c>
      <c r="K14" s="246">
        <v>0</v>
      </c>
      <c r="L14" s="369" t="s">
        <v>1016</v>
      </c>
      <c r="M14" s="248">
        <v>0</v>
      </c>
      <c r="N14" s="832"/>
      <c r="O14" s="833"/>
      <c r="P14" s="834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48" t="s">
        <v>986</v>
      </c>
      <c r="B16" s="849"/>
      <c r="C16" s="584" t="s">
        <v>987</v>
      </c>
      <c r="D16" s="850" t="s">
        <v>12</v>
      </c>
      <c r="E16" s="851"/>
      <c r="F16" s="852"/>
      <c r="G16" s="582" t="s">
        <v>988</v>
      </c>
      <c r="H16" s="583"/>
      <c r="I16" s="584"/>
      <c r="J16" s="170" t="s">
        <v>1006</v>
      </c>
      <c r="K16" s="371" t="s">
        <v>1021</v>
      </c>
      <c r="L16" s="170" t="s">
        <v>1008</v>
      </c>
      <c r="M16" s="170" t="s">
        <v>11</v>
      </c>
      <c r="N16" s="371" t="s">
        <v>1009</v>
      </c>
      <c r="O16" s="853" t="s">
        <v>1010</v>
      </c>
      <c r="P16" s="854"/>
    </row>
    <row r="17" spans="1:16" ht="15.75" customHeight="1">
      <c r="A17" s="772">
        <v>2</v>
      </c>
      <c r="B17" s="835" t="s">
        <v>1023</v>
      </c>
      <c r="C17" s="171">
        <v>1</v>
      </c>
      <c r="D17" s="585" t="s">
        <v>879</v>
      </c>
      <c r="E17" s="838"/>
      <c r="F17" s="839"/>
      <c r="G17" s="585" t="s">
        <v>880</v>
      </c>
      <c r="H17" s="838"/>
      <c r="I17" s="839"/>
      <c r="J17" s="372">
        <v>109.96</v>
      </c>
      <c r="K17" s="14">
        <v>8.3690987124463476E-2</v>
      </c>
      <c r="L17" s="372">
        <v>2.339999999999999</v>
      </c>
      <c r="M17" s="338">
        <v>257.30639999999983</v>
      </c>
      <c r="N17" s="172"/>
      <c r="O17" s="580" t="s">
        <v>700</v>
      </c>
      <c r="P17" s="581"/>
    </row>
    <row r="18" spans="1:16" ht="15.75" customHeight="1">
      <c r="A18" s="777"/>
      <c r="B18" s="836"/>
      <c r="C18" s="171">
        <v>2</v>
      </c>
      <c r="D18" s="585" t="s">
        <v>956</v>
      </c>
      <c r="E18" s="838"/>
      <c r="F18" s="839"/>
      <c r="G18" s="585" t="s">
        <v>1024</v>
      </c>
      <c r="H18" s="838"/>
      <c r="I18" s="839"/>
      <c r="J18" s="372">
        <v>631.87</v>
      </c>
      <c r="K18" s="14">
        <v>0.11111111111111104</v>
      </c>
      <c r="L18" s="372">
        <v>0.30999999999999978</v>
      </c>
      <c r="M18" s="338">
        <v>195.87969999999984</v>
      </c>
      <c r="N18" s="172"/>
      <c r="O18" s="580" t="s">
        <v>700</v>
      </c>
      <c r="P18" s="581"/>
    </row>
    <row r="19" spans="1:16" ht="15.75" customHeight="1">
      <c r="A19" s="777"/>
      <c r="B19" s="836"/>
      <c r="C19" s="171">
        <v>3</v>
      </c>
      <c r="D19" s="585" t="s">
        <v>805</v>
      </c>
      <c r="E19" s="838"/>
      <c r="F19" s="839"/>
      <c r="G19" s="585" t="s">
        <v>811</v>
      </c>
      <c r="H19" s="838"/>
      <c r="I19" s="839"/>
      <c r="J19" s="372">
        <v>730.4</v>
      </c>
      <c r="K19" s="14">
        <v>0.25240847784200388</v>
      </c>
      <c r="L19" s="372">
        <v>0.26200000000000001</v>
      </c>
      <c r="M19" s="338">
        <v>191.3648</v>
      </c>
      <c r="N19" s="172"/>
      <c r="O19" s="580" t="s">
        <v>700</v>
      </c>
      <c r="P19" s="581"/>
    </row>
    <row r="20" spans="1:16" ht="15.75" customHeight="1">
      <c r="A20" s="777"/>
      <c r="B20" s="836"/>
      <c r="C20" s="171">
        <v>4</v>
      </c>
      <c r="D20" s="585">
        <v>0</v>
      </c>
      <c r="E20" s="838"/>
      <c r="F20" s="839"/>
      <c r="G20" s="585">
        <v>0</v>
      </c>
      <c r="H20" s="838"/>
      <c r="I20" s="839"/>
      <c r="J20" s="372">
        <v>0</v>
      </c>
      <c r="K20" s="14">
        <v>0</v>
      </c>
      <c r="L20" s="372">
        <v>0</v>
      </c>
      <c r="M20" s="338">
        <v>0</v>
      </c>
      <c r="N20" s="172"/>
      <c r="O20" s="846"/>
      <c r="P20" s="847"/>
    </row>
    <row r="21" spans="1:16" ht="15.75" customHeight="1" thickBot="1">
      <c r="A21" s="777"/>
      <c r="B21" s="836"/>
      <c r="C21" s="173">
        <v>5</v>
      </c>
      <c r="D21" s="585">
        <v>0</v>
      </c>
      <c r="E21" s="838"/>
      <c r="F21" s="839"/>
      <c r="G21" s="585">
        <v>0</v>
      </c>
      <c r="H21" s="838"/>
      <c r="I21" s="839"/>
      <c r="J21" s="372">
        <v>0</v>
      </c>
      <c r="K21" s="14">
        <v>0</v>
      </c>
      <c r="L21" s="372">
        <v>0</v>
      </c>
      <c r="M21" s="338">
        <v>0</v>
      </c>
      <c r="N21" s="174"/>
      <c r="O21" s="846"/>
      <c r="P21" s="847"/>
    </row>
    <row r="22" spans="1:16" ht="15.75" customHeight="1" thickTop="1" thickBot="1">
      <c r="A22" s="773"/>
      <c r="B22" s="837"/>
      <c r="C22" s="840"/>
      <c r="D22" s="841"/>
      <c r="E22" s="841"/>
      <c r="F22" s="841"/>
      <c r="G22" s="841"/>
      <c r="H22" s="841"/>
      <c r="I22" s="842"/>
      <c r="J22" s="369" t="s">
        <v>1015</v>
      </c>
      <c r="K22" s="246">
        <v>6.2860323590508763E-3</v>
      </c>
      <c r="L22" s="369" t="s">
        <v>1016</v>
      </c>
      <c r="M22" s="248">
        <v>644.55089999999973</v>
      </c>
      <c r="N22" s="832"/>
      <c r="O22" s="833"/>
      <c r="P22" s="834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48" t="s">
        <v>986</v>
      </c>
      <c r="B24" s="849"/>
      <c r="C24" s="584" t="s">
        <v>987</v>
      </c>
      <c r="D24" s="850" t="s">
        <v>12</v>
      </c>
      <c r="E24" s="851"/>
      <c r="F24" s="852"/>
      <c r="G24" s="582" t="s">
        <v>988</v>
      </c>
      <c r="H24" s="583"/>
      <c r="I24" s="584"/>
      <c r="J24" s="170" t="s">
        <v>1006</v>
      </c>
      <c r="K24" s="371" t="s">
        <v>1021</v>
      </c>
      <c r="L24" s="170" t="s">
        <v>1008</v>
      </c>
      <c r="M24" s="170" t="s">
        <v>11</v>
      </c>
      <c r="N24" s="371" t="s">
        <v>1009</v>
      </c>
      <c r="O24" s="853" t="s">
        <v>1010</v>
      </c>
      <c r="P24" s="854"/>
    </row>
    <row r="25" spans="1:16" ht="15.75" customHeight="1">
      <c r="A25" s="772">
        <v>3</v>
      </c>
      <c r="B25" s="835" t="s">
        <v>1025</v>
      </c>
      <c r="C25" s="171">
        <v>1</v>
      </c>
      <c r="D25" s="585" t="s">
        <v>352</v>
      </c>
      <c r="E25" s="838"/>
      <c r="F25" s="839"/>
      <c r="G25" s="585" t="s">
        <v>881</v>
      </c>
      <c r="H25" s="838"/>
      <c r="I25" s="839"/>
      <c r="J25" s="372">
        <v>75.14</v>
      </c>
      <c r="K25" s="14">
        <v>2.1501986253862172E-2</v>
      </c>
      <c r="L25" s="372">
        <v>1.705000000000001</v>
      </c>
      <c r="M25" s="338">
        <v>128.11370000000008</v>
      </c>
      <c r="N25" s="172"/>
      <c r="O25" s="846" t="s">
        <v>793</v>
      </c>
      <c r="P25" s="847"/>
    </row>
    <row r="26" spans="1:16" ht="15.75" customHeight="1">
      <c r="A26" s="777"/>
      <c r="B26" s="836"/>
      <c r="C26" s="171">
        <v>2</v>
      </c>
      <c r="D26" s="585" t="s">
        <v>369</v>
      </c>
      <c r="E26" s="838"/>
      <c r="F26" s="839"/>
      <c r="G26" s="585" t="s">
        <v>923</v>
      </c>
      <c r="H26" s="838"/>
      <c r="I26" s="839"/>
      <c r="J26" s="372">
        <v>418.41</v>
      </c>
      <c r="K26" s="14">
        <v>3.2500293323947091E-2</v>
      </c>
      <c r="L26" s="372">
        <v>0.27700000000000102</v>
      </c>
      <c r="M26" s="338">
        <v>115.89957000000044</v>
      </c>
      <c r="N26" s="172"/>
      <c r="O26" s="846" t="s">
        <v>793</v>
      </c>
      <c r="P26" s="847"/>
    </row>
    <row r="27" spans="1:16" ht="15.75" customHeight="1">
      <c r="A27" s="777"/>
      <c r="B27" s="836"/>
      <c r="C27" s="171">
        <v>3</v>
      </c>
      <c r="D27" s="585" t="s">
        <v>371</v>
      </c>
      <c r="E27" s="838"/>
      <c r="F27" s="839"/>
      <c r="G27" s="585" t="s">
        <v>1005</v>
      </c>
      <c r="H27" s="838"/>
      <c r="I27" s="839"/>
      <c r="J27" s="372">
        <v>95.43</v>
      </c>
      <c r="K27" s="14">
        <v>1.973684210526325E-2</v>
      </c>
      <c r="L27" s="372">
        <v>1.2000000000000055</v>
      </c>
      <c r="M27" s="338">
        <v>114.51600000000053</v>
      </c>
      <c r="N27" s="172"/>
      <c r="O27" s="846"/>
      <c r="P27" s="847"/>
    </row>
    <row r="28" spans="1:16" ht="15.75" customHeight="1">
      <c r="A28" s="777"/>
      <c r="B28" s="836"/>
      <c r="C28" s="171">
        <v>4</v>
      </c>
      <c r="D28" s="585">
        <v>0</v>
      </c>
      <c r="E28" s="838"/>
      <c r="F28" s="839"/>
      <c r="G28" s="585">
        <v>0</v>
      </c>
      <c r="H28" s="838"/>
      <c r="I28" s="839"/>
      <c r="J28" s="372">
        <v>0</v>
      </c>
      <c r="K28" s="14">
        <v>0</v>
      </c>
      <c r="L28" s="372">
        <v>0</v>
      </c>
      <c r="M28" s="338">
        <v>0</v>
      </c>
      <c r="N28" s="172"/>
      <c r="O28" s="846"/>
      <c r="P28" s="847"/>
    </row>
    <row r="29" spans="1:16" ht="15.75" customHeight="1" thickBot="1">
      <c r="A29" s="777"/>
      <c r="B29" s="836"/>
      <c r="C29" s="173">
        <v>5</v>
      </c>
      <c r="D29" s="843">
        <v>0</v>
      </c>
      <c r="E29" s="844"/>
      <c r="F29" s="845"/>
      <c r="G29" s="843">
        <v>0</v>
      </c>
      <c r="H29" s="844"/>
      <c r="I29" s="845"/>
      <c r="J29" s="372">
        <v>0</v>
      </c>
      <c r="K29" s="14">
        <v>0</v>
      </c>
      <c r="L29" s="372">
        <v>0</v>
      </c>
      <c r="M29" s="338">
        <v>0</v>
      </c>
      <c r="N29" s="174"/>
      <c r="O29" s="856"/>
      <c r="P29" s="857"/>
    </row>
    <row r="30" spans="1:16" ht="15.75" customHeight="1" thickTop="1" thickBot="1">
      <c r="A30" s="773"/>
      <c r="B30" s="837"/>
      <c r="C30" s="829"/>
      <c r="D30" s="830"/>
      <c r="E30" s="830"/>
      <c r="F30" s="830"/>
      <c r="G30" s="830"/>
      <c r="H30" s="830"/>
      <c r="I30" s="831"/>
      <c r="J30" s="369" t="s">
        <v>1015</v>
      </c>
      <c r="K30" s="246">
        <v>3.4965843549157965E-3</v>
      </c>
      <c r="L30" s="369" t="s">
        <v>1016</v>
      </c>
      <c r="M30" s="248">
        <v>358.52927000000102</v>
      </c>
      <c r="N30" s="832"/>
      <c r="O30" s="833"/>
      <c r="P30" s="834"/>
    </row>
    <row r="31" spans="1:16" ht="15.75" customHeight="1" thickTop="1"/>
  </sheetData>
  <mergeCells count="82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R40" sqref="R40"/>
    </sheetView>
  </sheetViews>
  <sheetFormatPr defaultColWidth="12.5703125" defaultRowHeight="15.75" customHeight="1"/>
  <cols>
    <col min="1" max="1" width="5.42578125" style="377" customWidth="1"/>
    <col min="2" max="2" width="11.42578125" style="378" customWidth="1"/>
    <col min="3" max="3" width="4" style="379" customWidth="1"/>
    <col min="4" max="17" width="9.5703125" style="377" customWidth="1"/>
    <col min="18" max="16384" width="12.5703125" style="377"/>
  </cols>
  <sheetData>
    <row r="1" spans="1:23" s="183" customFormat="1" ht="15.75" customHeight="1">
      <c r="A1" s="802" t="s">
        <v>703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</row>
    <row r="2" spans="1:23" s="184" customFormat="1" ht="15.75" customHeigh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</row>
    <row r="3" spans="1:23" s="183" customFormat="1" ht="15.75" customHeight="1">
      <c r="A3" s="803" t="s">
        <v>704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185"/>
    </row>
    <row r="4" spans="1:23" s="184" customFormat="1" ht="15.75" customHeight="1">
      <c r="A4" s="803"/>
      <c r="B4" s="803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186"/>
    </row>
    <row r="5" spans="1:23" s="183" customFormat="1" ht="15.75" customHeight="1">
      <c r="A5" s="805" t="s">
        <v>698</v>
      </c>
      <c r="B5" s="808">
        <v>1</v>
      </c>
      <c r="C5" s="808"/>
      <c r="D5" s="808">
        <v>2</v>
      </c>
      <c r="E5" s="808"/>
      <c r="F5" s="808">
        <v>3</v>
      </c>
      <c r="G5" s="808"/>
      <c r="H5" s="879">
        <v>4</v>
      </c>
      <c r="I5" s="879"/>
      <c r="J5" s="879">
        <v>5</v>
      </c>
      <c r="K5" s="879"/>
      <c r="L5" s="879">
        <v>6</v>
      </c>
      <c r="M5" s="879"/>
      <c r="N5" s="879">
        <v>7</v>
      </c>
      <c r="O5" s="879"/>
      <c r="P5" s="808">
        <v>8</v>
      </c>
      <c r="Q5" s="808"/>
    </row>
    <row r="6" spans="1:23" s="183" customFormat="1" ht="15.75" customHeight="1">
      <c r="A6" s="805"/>
      <c r="B6" s="805" t="s">
        <v>705</v>
      </c>
      <c r="C6" s="805"/>
      <c r="D6" s="805" t="s">
        <v>706</v>
      </c>
      <c r="E6" s="805"/>
      <c r="F6" s="805" t="s">
        <v>707</v>
      </c>
      <c r="G6" s="805"/>
      <c r="H6" s="881" t="s">
        <v>708</v>
      </c>
      <c r="I6" s="880"/>
      <c r="J6" s="880" t="s">
        <v>709</v>
      </c>
      <c r="K6" s="880"/>
      <c r="L6" s="880" t="s">
        <v>710</v>
      </c>
      <c r="M6" s="880"/>
      <c r="N6" s="880" t="s">
        <v>711</v>
      </c>
      <c r="O6" s="880"/>
      <c r="P6" s="878" t="s">
        <v>712</v>
      </c>
      <c r="Q6" s="805"/>
    </row>
    <row r="7" spans="1:23" s="183" customFormat="1" ht="15.75" customHeight="1">
      <c r="B7" s="374"/>
      <c r="C7" s="375"/>
    </row>
    <row r="8" spans="1:23" s="376" customFormat="1" ht="15.75" customHeight="1">
      <c r="A8" s="861" t="s">
        <v>986</v>
      </c>
      <c r="B8" s="862"/>
      <c r="C8" s="117" t="s">
        <v>987</v>
      </c>
      <c r="D8" s="863" t="s">
        <v>12</v>
      </c>
      <c r="E8" s="864"/>
      <c r="F8" s="865"/>
      <c r="G8" s="115" t="s">
        <v>988</v>
      </c>
      <c r="H8" s="116"/>
      <c r="I8" s="117"/>
      <c r="J8" s="114" t="s">
        <v>1006</v>
      </c>
      <c r="K8" s="114" t="s">
        <v>1021</v>
      </c>
      <c r="L8" s="114" t="s">
        <v>1008</v>
      </c>
      <c r="M8" s="118" t="s">
        <v>11</v>
      </c>
      <c r="N8" s="371" t="s">
        <v>1009</v>
      </c>
      <c r="O8" s="866" t="s">
        <v>1010</v>
      </c>
      <c r="P8" s="867"/>
      <c r="R8" s="183"/>
      <c r="S8" s="183"/>
      <c r="T8" s="183"/>
      <c r="U8" s="183"/>
      <c r="V8" s="183"/>
      <c r="W8" s="183"/>
    </row>
    <row r="9" spans="1:23" ht="15.75" customHeight="1">
      <c r="A9" s="862">
        <v>4</v>
      </c>
      <c r="B9" s="869" t="s">
        <v>695</v>
      </c>
      <c r="C9" s="112">
        <v>1</v>
      </c>
      <c r="D9" s="585" t="s">
        <v>368</v>
      </c>
      <c r="E9" s="838"/>
      <c r="F9" s="839"/>
      <c r="G9" s="585" t="s">
        <v>807</v>
      </c>
      <c r="H9" s="838"/>
      <c r="I9" s="839"/>
      <c r="J9" s="372">
        <v>432.07</v>
      </c>
      <c r="K9" s="14">
        <v>7.3839662447256933E-3</v>
      </c>
      <c r="L9" s="372">
        <v>0.41999999999999743</v>
      </c>
      <c r="M9" s="338">
        <v>181.46939999999893</v>
      </c>
      <c r="N9" s="4"/>
      <c r="O9" s="846" t="s">
        <v>571</v>
      </c>
      <c r="P9" s="875"/>
      <c r="R9" s="183"/>
      <c r="S9" s="183"/>
      <c r="T9" s="183"/>
      <c r="U9" s="183"/>
      <c r="V9" s="183"/>
      <c r="W9" s="183"/>
    </row>
    <row r="10" spans="1:23" ht="15.75" customHeight="1">
      <c r="A10" s="862"/>
      <c r="B10" s="869"/>
      <c r="C10" s="112">
        <v>2</v>
      </c>
      <c r="D10" s="585" t="s">
        <v>762</v>
      </c>
      <c r="E10" s="838"/>
      <c r="F10" s="839"/>
      <c r="G10" s="585" t="s">
        <v>931</v>
      </c>
      <c r="H10" s="838"/>
      <c r="I10" s="839"/>
      <c r="J10" s="372">
        <v>103.97</v>
      </c>
      <c r="K10" s="14">
        <v>1.7292966174755321E-2</v>
      </c>
      <c r="L10" s="372">
        <v>1.705000000000001</v>
      </c>
      <c r="M10" s="338">
        <v>177.2688500000001</v>
      </c>
      <c r="N10" s="4"/>
      <c r="O10" s="846" t="s">
        <v>571</v>
      </c>
      <c r="P10" s="875"/>
      <c r="R10" s="183"/>
      <c r="S10" s="183"/>
      <c r="T10" s="183"/>
      <c r="U10" s="183"/>
      <c r="V10" s="183"/>
      <c r="W10" s="183"/>
    </row>
    <row r="11" spans="1:23" ht="15.75" customHeight="1">
      <c r="A11" s="862"/>
      <c r="B11" s="869"/>
      <c r="C11" s="112">
        <v>3</v>
      </c>
      <c r="D11" s="585" t="s">
        <v>801</v>
      </c>
      <c r="E11" s="838"/>
      <c r="F11" s="839"/>
      <c r="G11" s="585" t="s">
        <v>919</v>
      </c>
      <c r="H11" s="838"/>
      <c r="I11" s="839"/>
      <c r="J11" s="372">
        <v>77.8</v>
      </c>
      <c r="K11" s="14">
        <v>2.1501110758489407E-2</v>
      </c>
      <c r="L11" s="372">
        <v>2.1680000000000037</v>
      </c>
      <c r="M11" s="338">
        <v>168.67040000000026</v>
      </c>
      <c r="N11" s="4"/>
      <c r="O11" s="846" t="s">
        <v>571</v>
      </c>
      <c r="P11" s="875"/>
      <c r="R11" s="183"/>
      <c r="S11" s="183"/>
      <c r="T11" s="183"/>
      <c r="U11" s="183"/>
      <c r="V11" s="183"/>
      <c r="W11" s="183"/>
    </row>
    <row r="12" spans="1:23" ht="15.75" customHeight="1">
      <c r="A12" s="862"/>
      <c r="B12" s="869"/>
      <c r="C12" s="112">
        <v>4</v>
      </c>
      <c r="D12" s="585" t="s">
        <v>786</v>
      </c>
      <c r="E12" s="838"/>
      <c r="F12" s="839"/>
      <c r="G12" s="585" t="s">
        <v>930</v>
      </c>
      <c r="H12" s="838"/>
      <c r="I12" s="839"/>
      <c r="J12" s="372">
        <v>71.38</v>
      </c>
      <c r="K12" s="14">
        <v>9.0945037564253966E-3</v>
      </c>
      <c r="L12" s="372">
        <v>2.2999999999999829</v>
      </c>
      <c r="M12" s="338">
        <v>164.17399999999878</v>
      </c>
      <c r="N12" s="4"/>
      <c r="O12" s="846" t="s">
        <v>571</v>
      </c>
      <c r="P12" s="875"/>
      <c r="R12" s="183"/>
      <c r="S12" s="183"/>
      <c r="T12" s="183"/>
      <c r="U12" s="183"/>
      <c r="V12" s="183"/>
      <c r="W12" s="183"/>
    </row>
    <row r="13" spans="1:23" ht="15.75" customHeight="1" thickBot="1">
      <c r="A13" s="862"/>
      <c r="B13" s="869"/>
      <c r="C13" s="113">
        <v>5</v>
      </c>
      <c r="D13" s="585" t="s">
        <v>374</v>
      </c>
      <c r="E13" s="838"/>
      <c r="F13" s="839"/>
      <c r="G13" s="585" t="s">
        <v>933</v>
      </c>
      <c r="H13" s="838"/>
      <c r="I13" s="839"/>
      <c r="J13" s="372">
        <v>91.03</v>
      </c>
      <c r="K13" s="14">
        <v>2.0261359549214729E-2</v>
      </c>
      <c r="L13" s="372">
        <v>1.6900000000000004</v>
      </c>
      <c r="M13" s="338">
        <v>153.84070000000006</v>
      </c>
      <c r="N13" s="4"/>
      <c r="O13" s="846" t="s">
        <v>571</v>
      </c>
      <c r="P13" s="875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62"/>
      <c r="B14" s="869"/>
      <c r="C14" s="877"/>
      <c r="D14" s="877"/>
      <c r="E14" s="877"/>
      <c r="F14" s="877"/>
      <c r="G14" s="877"/>
      <c r="H14" s="877"/>
      <c r="I14" s="877"/>
      <c r="J14" s="247" t="s">
        <v>1015</v>
      </c>
      <c r="K14" s="246">
        <v>8.2450564186586119E-3</v>
      </c>
      <c r="L14" s="247" t="s">
        <v>1016</v>
      </c>
      <c r="M14" s="248">
        <v>845.42334999999809</v>
      </c>
      <c r="N14" s="876"/>
      <c r="O14" s="876"/>
      <c r="P14" s="876"/>
      <c r="R14" s="183"/>
      <c r="S14" s="183"/>
      <c r="T14" s="183"/>
      <c r="U14" s="183"/>
      <c r="V14" s="183"/>
      <c r="W14" s="183"/>
    </row>
    <row r="15" spans="1:23" ht="15.75" customHeight="1" thickTop="1">
      <c r="A15" s="579"/>
      <c r="B15" s="111"/>
      <c r="C15" s="109"/>
      <c r="D15" s="579"/>
      <c r="E15" s="579"/>
      <c r="F15" s="579"/>
      <c r="G15" s="579"/>
      <c r="H15" s="579"/>
      <c r="I15" s="579"/>
      <c r="J15" s="579"/>
      <c r="K15" s="579"/>
      <c r="L15" s="579"/>
      <c r="M15" s="579"/>
      <c r="N15" s="579"/>
      <c r="O15" s="579"/>
      <c r="P15" s="579"/>
      <c r="R15" s="183"/>
      <c r="S15" s="183"/>
      <c r="T15" s="183"/>
      <c r="U15" s="183"/>
      <c r="V15" s="183"/>
      <c r="W15" s="183"/>
    </row>
    <row r="16" spans="1:23" ht="15.75" customHeight="1">
      <c r="A16" s="861" t="s">
        <v>986</v>
      </c>
      <c r="B16" s="862"/>
      <c r="C16" s="117" t="s">
        <v>987</v>
      </c>
      <c r="D16" s="863" t="s">
        <v>12</v>
      </c>
      <c r="E16" s="864"/>
      <c r="F16" s="865"/>
      <c r="G16" s="115" t="s">
        <v>988</v>
      </c>
      <c r="H16" s="116"/>
      <c r="I16" s="117"/>
      <c r="J16" s="114" t="s">
        <v>1006</v>
      </c>
      <c r="K16" s="114" t="s">
        <v>1021</v>
      </c>
      <c r="L16" s="114" t="s">
        <v>1008</v>
      </c>
      <c r="M16" s="118" t="s">
        <v>11</v>
      </c>
      <c r="N16" s="371" t="s">
        <v>1009</v>
      </c>
      <c r="O16" s="866" t="s">
        <v>1010</v>
      </c>
      <c r="P16" s="867"/>
      <c r="R16" s="183"/>
      <c r="S16" s="183"/>
      <c r="T16" s="183"/>
      <c r="U16" s="183"/>
      <c r="V16" s="183"/>
      <c r="W16" s="183"/>
    </row>
    <row r="17" spans="1:23" ht="15.75" customHeight="1">
      <c r="A17" s="862">
        <v>5</v>
      </c>
      <c r="B17" s="868" t="s">
        <v>212</v>
      </c>
      <c r="C17" s="112">
        <v>1</v>
      </c>
      <c r="D17" s="585" t="s">
        <v>804</v>
      </c>
      <c r="E17" s="838"/>
      <c r="F17" s="839"/>
      <c r="G17" s="585" t="s">
        <v>926</v>
      </c>
      <c r="H17" s="838"/>
      <c r="I17" s="839"/>
      <c r="J17" s="372">
        <v>260.60000000000002</v>
      </c>
      <c r="K17" s="14">
        <v>6.1873895109015751E-3</v>
      </c>
      <c r="L17" s="372">
        <v>0.83999999999999775</v>
      </c>
      <c r="M17" s="338">
        <v>218.90399999999943</v>
      </c>
      <c r="N17" s="4"/>
      <c r="O17" s="846" t="s">
        <v>713</v>
      </c>
      <c r="P17" s="847"/>
      <c r="R17" s="183"/>
      <c r="S17" s="183"/>
      <c r="T17" s="183"/>
      <c r="U17" s="183"/>
      <c r="V17" s="183"/>
      <c r="W17" s="183"/>
    </row>
    <row r="18" spans="1:23" ht="15.75" customHeight="1">
      <c r="A18" s="862"/>
      <c r="B18" s="869"/>
      <c r="C18" s="112">
        <v>2</v>
      </c>
      <c r="D18" s="585" t="s">
        <v>376</v>
      </c>
      <c r="E18" s="838"/>
      <c r="F18" s="839"/>
      <c r="G18" s="585" t="s">
        <v>396</v>
      </c>
      <c r="H18" s="838"/>
      <c r="I18" s="839"/>
      <c r="J18" s="372">
        <v>420.33</v>
      </c>
      <c r="K18" s="14">
        <v>7.0493454179253231E-3</v>
      </c>
      <c r="L18" s="372">
        <v>0.48999999999998922</v>
      </c>
      <c r="M18" s="338">
        <v>205.96169999999546</v>
      </c>
      <c r="N18" s="4"/>
      <c r="O18" s="846" t="s">
        <v>713</v>
      </c>
      <c r="P18" s="847"/>
      <c r="R18" s="183"/>
      <c r="S18" s="183"/>
      <c r="T18" s="183"/>
      <c r="U18" s="183"/>
      <c r="V18" s="183"/>
      <c r="W18" s="183"/>
    </row>
    <row r="19" spans="1:23" ht="15.75" customHeight="1">
      <c r="A19" s="862"/>
      <c r="B19" s="869"/>
      <c r="C19" s="112">
        <v>3</v>
      </c>
      <c r="D19" s="585" t="s">
        <v>352</v>
      </c>
      <c r="E19" s="838"/>
      <c r="F19" s="839"/>
      <c r="G19" s="585" t="s">
        <v>789</v>
      </c>
      <c r="H19" s="838"/>
      <c r="I19" s="839"/>
      <c r="J19" s="372">
        <v>136.88999999999999</v>
      </c>
      <c r="K19" s="14">
        <v>4.8174561942096097E-3</v>
      </c>
      <c r="L19" s="372">
        <v>1.2240000000000009</v>
      </c>
      <c r="M19" s="338">
        <v>167.55336000000011</v>
      </c>
      <c r="N19" s="4"/>
      <c r="O19" s="846" t="s">
        <v>713</v>
      </c>
      <c r="P19" s="847"/>
      <c r="R19" s="183"/>
      <c r="S19" s="183"/>
      <c r="T19" s="183"/>
      <c r="U19" s="183"/>
      <c r="V19" s="183"/>
      <c r="W19" s="183"/>
    </row>
    <row r="20" spans="1:23" ht="15.75" customHeight="1">
      <c r="A20" s="862"/>
      <c r="B20" s="869"/>
      <c r="C20" s="112">
        <v>4</v>
      </c>
      <c r="D20" s="585" t="s">
        <v>355</v>
      </c>
      <c r="E20" s="838"/>
      <c r="F20" s="839"/>
      <c r="G20" s="585" t="s">
        <v>891</v>
      </c>
      <c r="H20" s="838"/>
      <c r="I20" s="839"/>
      <c r="J20" s="372">
        <v>581.91999999999996</v>
      </c>
      <c r="K20" s="14">
        <v>2.1541194759049549E-2</v>
      </c>
      <c r="L20" s="372">
        <v>0.29100000000000037</v>
      </c>
      <c r="M20" s="338">
        <v>169.33872000000019</v>
      </c>
      <c r="N20" s="4"/>
      <c r="O20" s="846" t="s">
        <v>713</v>
      </c>
      <c r="P20" s="847"/>
      <c r="R20" s="183"/>
      <c r="S20" s="183"/>
      <c r="T20" s="183"/>
      <c r="U20" s="183"/>
      <c r="V20" s="183"/>
      <c r="W20" s="183"/>
    </row>
    <row r="21" spans="1:23" ht="15.75" customHeight="1" thickBot="1">
      <c r="A21" s="862"/>
      <c r="B21" s="869"/>
      <c r="C21" s="113">
        <v>5</v>
      </c>
      <c r="D21" s="585" t="s">
        <v>347</v>
      </c>
      <c r="E21" s="838"/>
      <c r="F21" s="839"/>
      <c r="G21" s="585" t="s">
        <v>917</v>
      </c>
      <c r="H21" s="838"/>
      <c r="I21" s="839"/>
      <c r="J21" s="372">
        <v>272.74</v>
      </c>
      <c r="K21" s="14">
        <v>9.6339113680154395E-3</v>
      </c>
      <c r="L21" s="372">
        <v>0.50000000000000133</v>
      </c>
      <c r="M21" s="338">
        <v>136.37000000000037</v>
      </c>
      <c r="N21" s="4"/>
      <c r="O21" s="846" t="s">
        <v>713</v>
      </c>
      <c r="P21" s="847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62"/>
      <c r="B22" s="869"/>
      <c r="C22" s="870"/>
      <c r="D22" s="870"/>
      <c r="E22" s="870"/>
      <c r="F22" s="870"/>
      <c r="G22" s="870"/>
      <c r="H22" s="870"/>
      <c r="I22" s="871"/>
      <c r="J22" s="119" t="s">
        <v>1015</v>
      </c>
      <c r="K22" s="246">
        <v>8.7590604367203586E-3</v>
      </c>
      <c r="L22" s="119" t="s">
        <v>1016</v>
      </c>
      <c r="M22" s="248">
        <v>898.12777999999548</v>
      </c>
      <c r="N22" s="872"/>
      <c r="O22" s="873"/>
      <c r="P22" s="874"/>
      <c r="R22" s="183"/>
      <c r="S22" s="183"/>
      <c r="T22" s="183"/>
      <c r="U22" s="183"/>
      <c r="V22" s="183"/>
      <c r="W22" s="183"/>
    </row>
    <row r="23" spans="1:23" ht="15.75" customHeight="1" thickTop="1">
      <c r="A23" s="579"/>
      <c r="B23" s="111"/>
      <c r="C23" s="109"/>
      <c r="D23" s="579"/>
      <c r="E23" s="579"/>
      <c r="F23" s="579"/>
      <c r="G23" s="579"/>
      <c r="H23" s="579"/>
      <c r="I23" s="579"/>
      <c r="J23" s="579"/>
      <c r="K23" s="579"/>
      <c r="L23" s="579"/>
      <c r="M23" s="579"/>
      <c r="N23" s="579"/>
      <c r="O23" s="579"/>
      <c r="P23" s="579"/>
      <c r="R23" s="183"/>
      <c r="S23" s="183"/>
      <c r="T23" s="183"/>
      <c r="U23" s="183"/>
      <c r="V23" s="183"/>
      <c r="W23" s="183"/>
    </row>
    <row r="24" spans="1:23" ht="15.75" customHeight="1">
      <c r="A24" s="861" t="s">
        <v>986</v>
      </c>
      <c r="B24" s="862"/>
      <c r="C24" s="117" t="s">
        <v>987</v>
      </c>
      <c r="D24" s="863" t="s">
        <v>12</v>
      </c>
      <c r="E24" s="864"/>
      <c r="F24" s="865"/>
      <c r="G24" s="115" t="s">
        <v>988</v>
      </c>
      <c r="H24" s="116"/>
      <c r="I24" s="117"/>
      <c r="J24" s="114" t="s">
        <v>1006</v>
      </c>
      <c r="K24" s="114" t="s">
        <v>1021</v>
      </c>
      <c r="L24" s="114" t="s">
        <v>1008</v>
      </c>
      <c r="M24" s="118" t="s">
        <v>11</v>
      </c>
      <c r="N24" s="371" t="s">
        <v>1009</v>
      </c>
      <c r="O24" s="866" t="s">
        <v>1010</v>
      </c>
      <c r="P24" s="867"/>
      <c r="R24" s="183"/>
      <c r="S24" s="183"/>
      <c r="T24" s="183"/>
      <c r="U24" s="183"/>
      <c r="V24" s="183"/>
      <c r="W24" s="183"/>
    </row>
    <row r="25" spans="1:23" ht="15.75" customHeight="1">
      <c r="A25" s="862">
        <v>6</v>
      </c>
      <c r="B25" s="868" t="s">
        <v>213</v>
      </c>
      <c r="C25" s="112">
        <v>1</v>
      </c>
      <c r="D25" s="585" t="s">
        <v>878</v>
      </c>
      <c r="E25" s="838"/>
      <c r="F25" s="839"/>
      <c r="G25" s="585" t="s">
        <v>354</v>
      </c>
      <c r="H25" s="838"/>
      <c r="I25" s="839"/>
      <c r="J25" s="372">
        <v>487.6</v>
      </c>
      <c r="K25" s="14">
        <v>6.5486296386126795E-3</v>
      </c>
      <c r="L25" s="372">
        <v>0.48600000000000138</v>
      </c>
      <c r="M25" s="338">
        <v>236.97360000000069</v>
      </c>
      <c r="N25" s="4"/>
      <c r="O25" s="846" t="s">
        <v>1026</v>
      </c>
      <c r="P25" s="875"/>
      <c r="R25" s="183"/>
      <c r="S25" s="183"/>
      <c r="T25" s="183"/>
      <c r="U25" s="183"/>
      <c r="V25" s="183"/>
      <c r="W25" s="183"/>
    </row>
    <row r="26" spans="1:23" ht="15.75" customHeight="1">
      <c r="A26" s="862"/>
      <c r="B26" s="869"/>
      <c r="C26" s="112">
        <v>2</v>
      </c>
      <c r="D26" s="585" t="s">
        <v>877</v>
      </c>
      <c r="E26" s="838"/>
      <c r="F26" s="839"/>
      <c r="G26" s="585" t="s">
        <v>882</v>
      </c>
      <c r="H26" s="838"/>
      <c r="I26" s="839"/>
      <c r="J26" s="372">
        <v>444.88</v>
      </c>
      <c r="K26" s="14">
        <v>2.4865591397849367E-2</v>
      </c>
      <c r="L26" s="372">
        <v>0.44399999999999834</v>
      </c>
      <c r="M26" s="338">
        <v>197.52671999999927</v>
      </c>
      <c r="N26" s="4"/>
      <c r="O26" s="846" t="s">
        <v>1026</v>
      </c>
      <c r="P26" s="875"/>
      <c r="R26" s="183"/>
      <c r="S26" s="183"/>
      <c r="T26" s="183"/>
      <c r="U26" s="183"/>
      <c r="V26" s="183"/>
      <c r="W26" s="183"/>
    </row>
    <row r="27" spans="1:23" ht="15.75" customHeight="1">
      <c r="A27" s="862"/>
      <c r="B27" s="869"/>
      <c r="C27" s="112">
        <v>3</v>
      </c>
      <c r="D27" s="585">
        <v>0</v>
      </c>
      <c r="E27" s="838"/>
      <c r="F27" s="839"/>
      <c r="G27" s="585">
        <v>0</v>
      </c>
      <c r="H27" s="838"/>
      <c r="I27" s="839"/>
      <c r="J27" s="372">
        <v>0</v>
      </c>
      <c r="K27" s="14">
        <v>0</v>
      </c>
      <c r="L27" s="372">
        <v>0</v>
      </c>
      <c r="M27" s="338">
        <v>0</v>
      </c>
      <c r="N27" s="4"/>
      <c r="O27" s="846"/>
      <c r="P27" s="875"/>
      <c r="R27" s="183"/>
      <c r="S27" s="183"/>
      <c r="T27" s="183"/>
      <c r="U27" s="183"/>
      <c r="V27" s="183"/>
      <c r="W27" s="183"/>
    </row>
    <row r="28" spans="1:23" ht="15.75" customHeight="1">
      <c r="A28" s="862"/>
      <c r="B28" s="869"/>
      <c r="C28" s="112">
        <v>4</v>
      </c>
      <c r="D28" s="585">
        <v>0</v>
      </c>
      <c r="E28" s="838"/>
      <c r="F28" s="839"/>
      <c r="G28" s="585">
        <v>0</v>
      </c>
      <c r="H28" s="838"/>
      <c r="I28" s="839"/>
      <c r="J28" s="372">
        <v>0</v>
      </c>
      <c r="K28" s="14">
        <v>0</v>
      </c>
      <c r="L28" s="372">
        <v>0</v>
      </c>
      <c r="M28" s="338">
        <v>0</v>
      </c>
      <c r="N28" s="4"/>
      <c r="O28" s="846"/>
      <c r="P28" s="875"/>
      <c r="R28" s="183"/>
      <c r="S28" s="183"/>
      <c r="T28" s="183"/>
      <c r="U28" s="183"/>
      <c r="V28" s="183"/>
      <c r="W28" s="183"/>
    </row>
    <row r="29" spans="1:23" ht="15.75" customHeight="1" thickBot="1">
      <c r="A29" s="862"/>
      <c r="B29" s="869"/>
      <c r="C29" s="113">
        <v>5</v>
      </c>
      <c r="D29" s="585">
        <v>0</v>
      </c>
      <c r="E29" s="838"/>
      <c r="F29" s="839"/>
      <c r="G29" s="585">
        <v>0</v>
      </c>
      <c r="H29" s="838"/>
      <c r="I29" s="839"/>
      <c r="J29" s="372">
        <v>0</v>
      </c>
      <c r="K29" s="14">
        <v>0</v>
      </c>
      <c r="L29" s="372">
        <v>0</v>
      </c>
      <c r="M29" s="338">
        <v>0</v>
      </c>
      <c r="N29" s="4"/>
      <c r="O29" s="846"/>
      <c r="P29" s="875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62"/>
      <c r="B30" s="869"/>
      <c r="C30" s="870"/>
      <c r="D30" s="870"/>
      <c r="E30" s="870"/>
      <c r="F30" s="870"/>
      <c r="G30" s="870"/>
      <c r="H30" s="870"/>
      <c r="I30" s="871"/>
      <c r="J30" s="119" t="s">
        <v>1015</v>
      </c>
      <c r="K30" s="246">
        <v>4.2374978788144767E-3</v>
      </c>
      <c r="L30" s="119" t="s">
        <v>1016</v>
      </c>
      <c r="M30" s="248">
        <v>434.50031999999999</v>
      </c>
      <c r="N30" s="872"/>
      <c r="O30" s="873"/>
      <c r="P30" s="874"/>
      <c r="R30" s="183"/>
      <c r="S30" s="183"/>
      <c r="T30" s="183"/>
      <c r="U30" s="183"/>
      <c r="V30" s="183"/>
      <c r="W30" s="183"/>
    </row>
    <row r="31" spans="1:23" ht="15.75" customHeight="1" thickTop="1">
      <c r="A31" s="579"/>
      <c r="B31" s="111"/>
      <c r="C31" s="109"/>
      <c r="D31" s="579"/>
      <c r="E31" s="579"/>
      <c r="F31" s="579"/>
      <c r="G31" s="579"/>
      <c r="H31" s="579"/>
      <c r="I31" s="579"/>
      <c r="J31" s="579"/>
      <c r="K31" s="579"/>
      <c r="L31" s="579"/>
      <c r="M31" s="579"/>
      <c r="N31" s="579"/>
      <c r="O31" s="579"/>
      <c r="P31" s="579"/>
      <c r="R31" s="183"/>
      <c r="S31" s="183"/>
      <c r="T31" s="183"/>
      <c r="U31" s="183"/>
      <c r="V31" s="183"/>
      <c r="W31" s="183"/>
    </row>
    <row r="32" spans="1:23" ht="15.75" customHeight="1">
      <c r="A32" s="861" t="s">
        <v>986</v>
      </c>
      <c r="B32" s="862"/>
      <c r="C32" s="117" t="s">
        <v>987</v>
      </c>
      <c r="D32" s="863" t="s">
        <v>12</v>
      </c>
      <c r="E32" s="864"/>
      <c r="F32" s="865"/>
      <c r="G32" s="115" t="s">
        <v>988</v>
      </c>
      <c r="H32" s="116"/>
      <c r="I32" s="117"/>
      <c r="J32" s="114" t="s">
        <v>1006</v>
      </c>
      <c r="K32" s="114" t="s">
        <v>1021</v>
      </c>
      <c r="L32" s="114" t="s">
        <v>1008</v>
      </c>
      <c r="M32" s="118" t="s">
        <v>11</v>
      </c>
      <c r="N32" s="118" t="s">
        <v>13</v>
      </c>
      <c r="O32" s="866" t="s">
        <v>1010</v>
      </c>
      <c r="P32" s="867"/>
      <c r="R32" s="183"/>
      <c r="S32" s="183"/>
      <c r="T32" s="183"/>
      <c r="U32" s="183"/>
      <c r="V32" s="183"/>
      <c r="W32" s="183"/>
    </row>
    <row r="33" spans="1:23" ht="15.75" customHeight="1">
      <c r="A33" s="862">
        <v>7</v>
      </c>
      <c r="B33" s="868" t="s">
        <v>1020</v>
      </c>
      <c r="C33" s="112">
        <v>1</v>
      </c>
      <c r="D33" s="585" t="s">
        <v>908</v>
      </c>
      <c r="E33" s="838"/>
      <c r="F33" s="839"/>
      <c r="G33" s="585" t="s">
        <v>909</v>
      </c>
      <c r="H33" s="838"/>
      <c r="I33" s="839"/>
      <c r="J33" s="372">
        <v>2485</v>
      </c>
      <c r="K33" s="14">
        <v>8.1242957955286986E-3</v>
      </c>
      <c r="L33" s="372">
        <v>6.8500000000000227E-2</v>
      </c>
      <c r="M33" s="338">
        <v>170.22250000000057</v>
      </c>
      <c r="N33" s="4"/>
      <c r="O33" s="846" t="s">
        <v>1027</v>
      </c>
      <c r="P33" s="875"/>
      <c r="R33" s="183"/>
      <c r="S33" s="183"/>
      <c r="T33" s="183"/>
      <c r="U33" s="183"/>
      <c r="V33" s="183"/>
      <c r="W33" s="183"/>
    </row>
    <row r="34" spans="1:23" ht="15.75" customHeight="1">
      <c r="A34" s="862"/>
      <c r="B34" s="869"/>
      <c r="C34" s="112">
        <v>2</v>
      </c>
      <c r="D34" s="585" t="s">
        <v>928</v>
      </c>
      <c r="E34" s="838"/>
      <c r="F34" s="839"/>
      <c r="G34" s="585" t="s">
        <v>929</v>
      </c>
      <c r="H34" s="838"/>
      <c r="I34" s="839"/>
      <c r="J34" s="372">
        <v>1760</v>
      </c>
      <c r="K34" s="14">
        <v>2.7190332326283945E-2</v>
      </c>
      <c r="L34" s="372">
        <v>8.9999999999999858E-2</v>
      </c>
      <c r="M34" s="338">
        <v>158.39999999999975</v>
      </c>
      <c r="N34" s="4"/>
      <c r="O34" s="846" t="s">
        <v>1027</v>
      </c>
      <c r="P34" s="875"/>
      <c r="R34" s="183"/>
      <c r="S34" s="183"/>
      <c r="T34" s="183"/>
      <c r="U34" s="183"/>
      <c r="V34" s="183"/>
      <c r="W34" s="183"/>
    </row>
    <row r="35" spans="1:23" ht="15.75" customHeight="1">
      <c r="A35" s="862"/>
      <c r="B35" s="869"/>
      <c r="C35" s="112">
        <v>3</v>
      </c>
      <c r="D35" s="585" t="s">
        <v>348</v>
      </c>
      <c r="E35" s="838"/>
      <c r="F35" s="839"/>
      <c r="G35" s="585" t="s">
        <v>846</v>
      </c>
      <c r="H35" s="838"/>
      <c r="I35" s="839"/>
      <c r="J35" s="372">
        <v>1760</v>
      </c>
      <c r="K35" s="14">
        <v>4.2701092353525476E-2</v>
      </c>
      <c r="L35" s="372">
        <v>8.6000000000000298E-2</v>
      </c>
      <c r="M35" s="338">
        <v>151.36000000000053</v>
      </c>
      <c r="N35" s="4"/>
      <c r="O35" s="846" t="s">
        <v>1027</v>
      </c>
      <c r="P35" s="875"/>
      <c r="R35" s="183"/>
      <c r="S35" s="183"/>
      <c r="T35" s="183"/>
      <c r="U35" s="183"/>
      <c r="V35" s="183"/>
      <c r="W35" s="183"/>
    </row>
    <row r="36" spans="1:23" ht="15.75" customHeight="1">
      <c r="A36" s="862"/>
      <c r="B36" s="869"/>
      <c r="C36" s="112">
        <v>4</v>
      </c>
      <c r="D36" s="585" t="s">
        <v>961</v>
      </c>
      <c r="E36" s="838"/>
      <c r="F36" s="839"/>
      <c r="G36" s="585" t="s">
        <v>1028</v>
      </c>
      <c r="H36" s="838"/>
      <c r="I36" s="839"/>
      <c r="J36" s="372">
        <v>705</v>
      </c>
      <c r="K36" s="14">
        <v>5.8177117000648626E-3</v>
      </c>
      <c r="L36" s="372">
        <v>0.22500000000000853</v>
      </c>
      <c r="M36" s="338">
        <v>158.62500000000603</v>
      </c>
      <c r="N36" s="4"/>
      <c r="O36" s="846" t="s">
        <v>883</v>
      </c>
      <c r="P36" s="875"/>
      <c r="R36" s="183"/>
      <c r="S36" s="183"/>
      <c r="T36" s="183"/>
      <c r="U36" s="183"/>
      <c r="V36" s="183"/>
      <c r="W36" s="183"/>
    </row>
    <row r="37" spans="1:23" ht="15.75" customHeight="1" thickBot="1">
      <c r="A37" s="862"/>
      <c r="B37" s="869"/>
      <c r="C37" s="113">
        <v>5</v>
      </c>
      <c r="D37" s="585">
        <v>0</v>
      </c>
      <c r="E37" s="838"/>
      <c r="F37" s="839"/>
      <c r="G37" s="585">
        <v>0</v>
      </c>
      <c r="H37" s="838"/>
      <c r="I37" s="839"/>
      <c r="J37" s="372">
        <v>0</v>
      </c>
      <c r="K37" s="14">
        <v>0</v>
      </c>
      <c r="L37" s="372">
        <v>0</v>
      </c>
      <c r="M37" s="338">
        <v>0</v>
      </c>
      <c r="N37" s="4"/>
      <c r="O37" s="846"/>
      <c r="P37" s="875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62"/>
      <c r="B38" s="869"/>
      <c r="C38" s="870"/>
      <c r="D38" s="870"/>
      <c r="E38" s="870"/>
      <c r="F38" s="870"/>
      <c r="G38" s="870"/>
      <c r="H38" s="870"/>
      <c r="I38" s="871"/>
      <c r="J38" s="119" t="s">
        <v>995</v>
      </c>
      <c r="K38" s="246">
        <v>6.2280688922048324E-3</v>
      </c>
      <c r="L38" s="119" t="s">
        <v>996</v>
      </c>
      <c r="M38" s="248">
        <v>638.60750000000689</v>
      </c>
      <c r="N38" s="872"/>
      <c r="O38" s="873"/>
      <c r="P38" s="874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32" sqref="R32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612" t="s">
        <v>204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612"/>
      <c r="P1" s="612"/>
      <c r="Q1" s="612"/>
    </row>
    <row r="2" spans="1:17" s="121" customFormat="1" ht="15.75" customHeight="1">
      <c r="A2" s="612"/>
      <c r="B2" s="612"/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  <c r="O2" s="612"/>
      <c r="P2" s="612"/>
      <c r="Q2" s="612"/>
    </row>
    <row r="3" spans="1:17" ht="15.75" customHeight="1">
      <c r="A3" s="748" t="s">
        <v>215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748"/>
      <c r="O3" s="748"/>
      <c r="P3" s="748"/>
      <c r="Q3" s="748"/>
    </row>
    <row r="4" spans="1:17" s="121" customFormat="1" ht="15.75" customHeight="1">
      <c r="A4" s="887"/>
      <c r="B4" s="887"/>
      <c r="C4" s="887"/>
      <c r="D4" s="887"/>
      <c r="E4" s="887"/>
      <c r="F4" s="887"/>
      <c r="G4" s="887"/>
      <c r="H4" s="887"/>
      <c r="I4" s="887"/>
      <c r="J4" s="887"/>
      <c r="K4" s="887"/>
      <c r="L4" s="887"/>
      <c r="M4" s="887"/>
      <c r="N4" s="887"/>
      <c r="O4" s="887"/>
      <c r="P4" s="887"/>
      <c r="Q4" s="887"/>
    </row>
    <row r="5" spans="1:17" ht="15.75" customHeight="1">
      <c r="A5" s="631" t="s">
        <v>190</v>
      </c>
      <c r="B5" s="855">
        <v>1</v>
      </c>
      <c r="C5" s="855"/>
      <c r="D5" s="855">
        <v>2</v>
      </c>
      <c r="E5" s="855"/>
      <c r="F5" s="855">
        <v>3</v>
      </c>
      <c r="G5" s="855"/>
      <c r="H5" s="855">
        <v>4</v>
      </c>
      <c r="I5" s="855"/>
      <c r="J5" s="855">
        <v>5</v>
      </c>
      <c r="K5" s="855"/>
      <c r="L5" s="855">
        <v>6</v>
      </c>
      <c r="M5" s="855"/>
      <c r="N5" s="855">
        <v>7</v>
      </c>
      <c r="O5" s="855"/>
      <c r="P5" s="859">
        <v>8</v>
      </c>
      <c r="Q5" s="859"/>
    </row>
    <row r="6" spans="1:17" ht="15.75" customHeight="1">
      <c r="A6" s="631"/>
      <c r="B6" s="631" t="s">
        <v>323</v>
      </c>
      <c r="C6" s="631"/>
      <c r="D6" s="631" t="s">
        <v>216</v>
      </c>
      <c r="E6" s="631"/>
      <c r="F6" s="631" t="s">
        <v>164</v>
      </c>
      <c r="G6" s="631"/>
      <c r="H6" s="631" t="s">
        <v>695</v>
      </c>
      <c r="I6" s="631"/>
      <c r="J6" s="631" t="s">
        <v>188</v>
      </c>
      <c r="K6" s="631"/>
      <c r="L6" s="631" t="s">
        <v>165</v>
      </c>
      <c r="M6" s="631"/>
      <c r="N6" s="631" t="s">
        <v>189</v>
      </c>
      <c r="O6" s="631"/>
      <c r="P6" s="860" t="s">
        <v>217</v>
      </c>
      <c r="Q6" s="860"/>
    </row>
    <row r="8" spans="1:17" s="154" customFormat="1" ht="15.75" customHeight="1">
      <c r="A8" s="163" t="s">
        <v>192</v>
      </c>
      <c r="B8" s="180" t="s">
        <v>18</v>
      </c>
      <c r="C8" s="885" t="s">
        <v>12</v>
      </c>
      <c r="D8" s="885"/>
      <c r="E8" s="885"/>
      <c r="F8" s="885" t="s">
        <v>53</v>
      </c>
      <c r="G8" s="885"/>
      <c r="H8" s="885"/>
      <c r="I8" s="180" t="s">
        <v>54</v>
      </c>
      <c r="J8" s="181" t="s">
        <v>19</v>
      </c>
      <c r="K8" s="180" t="s">
        <v>57</v>
      </c>
      <c r="L8" s="180" t="s">
        <v>2</v>
      </c>
      <c r="M8" s="888" t="s">
        <v>50</v>
      </c>
      <c r="N8" s="889"/>
      <c r="O8" s="889"/>
      <c r="P8" s="889"/>
      <c r="Q8" s="889"/>
    </row>
    <row r="9" spans="1:17" ht="15.75" customHeight="1">
      <c r="A9" s="885" t="s">
        <v>191</v>
      </c>
      <c r="B9" s="156">
        <v>1</v>
      </c>
      <c r="C9" s="741"/>
      <c r="D9" s="740"/>
      <c r="E9" s="740"/>
      <c r="F9" s="741"/>
      <c r="G9" s="740"/>
      <c r="H9" s="740"/>
      <c r="I9" s="164"/>
      <c r="J9" s="178"/>
      <c r="K9" s="178"/>
      <c r="L9" s="179">
        <f>K9-J9</f>
        <v>0</v>
      </c>
      <c r="M9" s="741"/>
      <c r="N9" s="741"/>
      <c r="O9" s="741"/>
      <c r="P9" s="741"/>
      <c r="Q9" s="741"/>
    </row>
    <row r="10" spans="1:17" ht="15.75" customHeight="1">
      <c r="A10" s="886"/>
      <c r="B10" s="156">
        <v>2</v>
      </c>
      <c r="C10" s="741"/>
      <c r="D10" s="740"/>
      <c r="E10" s="740"/>
      <c r="F10" s="741"/>
      <c r="G10" s="740"/>
      <c r="H10" s="740"/>
      <c r="I10" s="164"/>
      <c r="J10" s="178"/>
      <c r="K10" s="178"/>
      <c r="L10" s="179">
        <f>K10-J10</f>
        <v>0</v>
      </c>
      <c r="M10" s="741"/>
      <c r="N10" s="741"/>
      <c r="O10" s="741"/>
      <c r="P10" s="741"/>
      <c r="Q10" s="741"/>
    </row>
    <row r="11" spans="1:17" ht="15.75" customHeight="1">
      <c r="A11" s="886"/>
      <c r="B11" s="156">
        <v>3</v>
      </c>
      <c r="C11" s="741"/>
      <c r="D11" s="740"/>
      <c r="E11" s="740"/>
      <c r="F11" s="741"/>
      <c r="G11" s="740"/>
      <c r="H11" s="740"/>
      <c r="I11" s="164"/>
      <c r="J11" s="178"/>
      <c r="K11" s="178"/>
      <c r="L11" s="179">
        <f>K11-J11</f>
        <v>0</v>
      </c>
      <c r="M11" s="741"/>
      <c r="N11" s="741"/>
      <c r="O11" s="741"/>
      <c r="P11" s="741"/>
      <c r="Q11" s="741"/>
    </row>
    <row r="12" spans="1:17" ht="15.75" customHeight="1">
      <c r="A12" s="886"/>
      <c r="B12" s="156">
        <v>4</v>
      </c>
      <c r="C12" s="741"/>
      <c r="D12" s="740"/>
      <c r="E12" s="740"/>
      <c r="F12" s="741"/>
      <c r="G12" s="740"/>
      <c r="H12" s="740"/>
      <c r="I12" s="164"/>
      <c r="J12" s="178"/>
      <c r="K12" s="178"/>
      <c r="L12" s="179">
        <f>K12-J12</f>
        <v>0</v>
      </c>
      <c r="M12" s="741"/>
      <c r="N12" s="741"/>
      <c r="O12" s="741"/>
      <c r="P12" s="741"/>
      <c r="Q12" s="741"/>
    </row>
    <row r="13" spans="1:17" ht="15.75" customHeight="1">
      <c r="A13" s="886"/>
      <c r="B13" s="156">
        <v>5</v>
      </c>
      <c r="C13" s="741"/>
      <c r="D13" s="740"/>
      <c r="E13" s="740"/>
      <c r="F13" s="741"/>
      <c r="G13" s="740"/>
      <c r="H13" s="740"/>
      <c r="I13" s="164"/>
      <c r="J13" s="178"/>
      <c r="K13" s="178"/>
      <c r="L13" s="179">
        <f>K13-J13</f>
        <v>0</v>
      </c>
      <c r="M13" s="741"/>
      <c r="N13" s="741"/>
      <c r="O13" s="741"/>
      <c r="P13" s="741"/>
      <c r="Q13" s="741"/>
    </row>
    <row r="14" spans="1:17" ht="15.75" customHeight="1">
      <c r="A14" s="883"/>
      <c r="B14" s="883"/>
      <c r="C14" s="883"/>
      <c r="D14" s="883"/>
      <c r="E14" s="883"/>
      <c r="F14" s="883"/>
      <c r="G14" s="883"/>
      <c r="H14" s="883"/>
      <c r="I14" s="883"/>
      <c r="J14" s="883"/>
      <c r="K14" s="883"/>
      <c r="L14" s="883"/>
      <c r="M14" s="883"/>
      <c r="N14" s="883"/>
      <c r="O14" s="884"/>
    </row>
    <row r="15" spans="1:17" s="154" customFormat="1" ht="15.75" customHeight="1">
      <c r="A15" s="163" t="s">
        <v>192</v>
      </c>
      <c r="B15" s="163" t="s">
        <v>18</v>
      </c>
      <c r="C15" s="882" t="s">
        <v>12</v>
      </c>
      <c r="D15" s="882"/>
      <c r="E15" s="882"/>
      <c r="F15" s="882" t="s">
        <v>53</v>
      </c>
      <c r="G15" s="882"/>
      <c r="H15" s="882"/>
      <c r="I15" s="163" t="s">
        <v>54</v>
      </c>
      <c r="J15" s="177" t="s">
        <v>19</v>
      </c>
      <c r="K15" s="163" t="s">
        <v>57</v>
      </c>
      <c r="L15" s="163" t="s">
        <v>2</v>
      </c>
      <c r="M15" s="882" t="s">
        <v>50</v>
      </c>
      <c r="N15" s="882"/>
      <c r="O15" s="882"/>
      <c r="P15" s="882"/>
      <c r="Q15" s="882"/>
    </row>
    <row r="16" spans="1:17" ht="15.75" customHeight="1">
      <c r="A16" s="882" t="s">
        <v>193</v>
      </c>
      <c r="B16" s="156">
        <v>1</v>
      </c>
      <c r="C16" s="741"/>
      <c r="D16" s="740"/>
      <c r="E16" s="740"/>
      <c r="F16" s="741"/>
      <c r="G16" s="740"/>
      <c r="H16" s="740"/>
      <c r="I16" s="164"/>
      <c r="J16" s="178"/>
      <c r="K16" s="178"/>
      <c r="L16" s="179">
        <f>K16-J16</f>
        <v>0</v>
      </c>
      <c r="M16" s="741"/>
      <c r="N16" s="741"/>
      <c r="O16" s="741"/>
      <c r="P16" s="741"/>
      <c r="Q16" s="741"/>
    </row>
    <row r="17" spans="1:17" ht="15.75" customHeight="1">
      <c r="A17" s="882"/>
      <c r="B17" s="156">
        <v>2</v>
      </c>
      <c r="C17" s="741"/>
      <c r="D17" s="740"/>
      <c r="E17" s="740"/>
      <c r="F17" s="741"/>
      <c r="G17" s="740"/>
      <c r="H17" s="740"/>
      <c r="I17" s="164"/>
      <c r="J17" s="178"/>
      <c r="K17" s="178"/>
      <c r="L17" s="179">
        <f>K17-J17</f>
        <v>0</v>
      </c>
      <c r="M17" s="741"/>
      <c r="N17" s="741"/>
      <c r="O17" s="741"/>
      <c r="P17" s="741"/>
      <c r="Q17" s="741"/>
    </row>
    <row r="18" spans="1:17" ht="15.75" customHeight="1">
      <c r="A18" s="882"/>
      <c r="B18" s="156">
        <v>3</v>
      </c>
      <c r="C18" s="741"/>
      <c r="D18" s="740"/>
      <c r="E18" s="740"/>
      <c r="F18" s="741"/>
      <c r="G18" s="740"/>
      <c r="H18" s="740"/>
      <c r="I18" s="164"/>
      <c r="J18" s="178"/>
      <c r="K18" s="178"/>
      <c r="L18" s="179">
        <f>K18-J18</f>
        <v>0</v>
      </c>
      <c r="M18" s="741"/>
      <c r="N18" s="741"/>
      <c r="O18" s="741"/>
      <c r="P18" s="741"/>
      <c r="Q18" s="741"/>
    </row>
    <row r="19" spans="1:17" ht="15.75" customHeight="1">
      <c r="A19" s="882"/>
      <c r="B19" s="156">
        <v>4</v>
      </c>
      <c r="C19" s="741"/>
      <c r="D19" s="740"/>
      <c r="E19" s="740"/>
      <c r="F19" s="741"/>
      <c r="G19" s="740"/>
      <c r="H19" s="740"/>
      <c r="I19" s="164"/>
      <c r="J19" s="178"/>
      <c r="K19" s="178"/>
      <c r="L19" s="179">
        <f>K19-J19</f>
        <v>0</v>
      </c>
      <c r="M19" s="741"/>
      <c r="N19" s="741"/>
      <c r="O19" s="741"/>
      <c r="P19" s="741"/>
      <c r="Q19" s="741"/>
    </row>
    <row r="20" spans="1:17" ht="15.75" customHeight="1">
      <c r="A20" s="882"/>
      <c r="B20" s="156">
        <v>5</v>
      </c>
      <c r="C20" s="741"/>
      <c r="D20" s="740"/>
      <c r="E20" s="740"/>
      <c r="F20" s="741"/>
      <c r="G20" s="740"/>
      <c r="H20" s="740"/>
      <c r="I20" s="164"/>
      <c r="J20" s="178"/>
      <c r="K20" s="178"/>
      <c r="L20" s="179">
        <f>K20-J20</f>
        <v>0</v>
      </c>
      <c r="M20" s="741"/>
      <c r="N20" s="741"/>
      <c r="O20" s="741"/>
      <c r="P20" s="741"/>
      <c r="Q20" s="741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F43" sqref="F43"/>
    </sheetView>
  </sheetViews>
  <sheetFormatPr defaultColWidth="8.85546875" defaultRowHeight="16.5"/>
  <cols>
    <col min="1" max="1" width="8.85546875" style="380"/>
    <col min="2" max="2" width="12.42578125" style="380" customWidth="1"/>
    <col min="3" max="3" width="8.85546875" style="380"/>
    <col min="4" max="4" width="11.5703125" style="380" customWidth="1"/>
    <col min="5" max="5" width="39.28515625" style="380" bestFit="1" customWidth="1"/>
    <col min="6" max="6" width="11.42578125" style="380" bestFit="1" customWidth="1"/>
    <col min="7" max="7" width="14.140625" style="380" customWidth="1"/>
    <col min="8" max="8" width="14" style="380" customWidth="1"/>
    <col min="9" max="9" width="16.85546875" style="380" customWidth="1"/>
    <col min="10" max="10" width="14" style="380" customWidth="1"/>
    <col min="11" max="11" width="11.5703125" style="380" bestFit="1" customWidth="1"/>
    <col min="12" max="12" width="13.42578125" style="380" bestFit="1" customWidth="1"/>
    <col min="13" max="13" width="19.140625" style="380" bestFit="1" customWidth="1"/>
    <col min="14" max="14" width="15.28515625" style="380" bestFit="1" customWidth="1"/>
    <col min="15" max="15" width="12.5703125" style="380" bestFit="1" customWidth="1"/>
    <col min="16" max="16" width="9.7109375" style="380" bestFit="1" customWidth="1"/>
    <col min="17" max="17" width="12.140625" style="380" bestFit="1" customWidth="1"/>
    <col min="18" max="18" width="10.7109375" style="380" customWidth="1"/>
    <col min="19" max="19" width="13.42578125" style="380" bestFit="1" customWidth="1"/>
    <col min="20" max="20" width="12.42578125" style="380" bestFit="1" customWidth="1"/>
    <col min="21" max="21" width="25.28515625" style="380" bestFit="1" customWidth="1"/>
    <col min="22" max="23" width="88.28515625" style="380" customWidth="1"/>
    <col min="24" max="24" width="7.42578125" style="380" bestFit="1" customWidth="1"/>
    <col min="25" max="25" width="69.5703125" style="380" bestFit="1" customWidth="1"/>
    <col min="26" max="26" width="11.42578125" style="380" bestFit="1" customWidth="1"/>
    <col min="27" max="27" width="21.5703125" style="380" customWidth="1"/>
    <col min="28" max="28" width="19.42578125" style="380" bestFit="1" customWidth="1"/>
    <col min="29" max="34" width="14.42578125" style="380" customWidth="1"/>
    <col min="35" max="35" width="11.42578125" style="380" bestFit="1" customWidth="1"/>
    <col min="36" max="16384" width="8.85546875" style="380"/>
  </cols>
  <sheetData>
    <row r="2" spans="2:35" ht="41.1" customHeight="1">
      <c r="B2" s="901" t="s">
        <v>714</v>
      </c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  <c r="P2" s="902"/>
      <c r="Q2" s="902"/>
      <c r="R2" s="902"/>
      <c r="S2" s="902"/>
      <c r="T2" s="902"/>
      <c r="U2" s="902"/>
      <c r="V2" s="902"/>
      <c r="W2" s="902"/>
      <c r="X2" s="902"/>
      <c r="Y2" s="902"/>
      <c r="AA2" s="381"/>
      <c r="AB2" s="381"/>
    </row>
    <row r="3" spans="2:35" ht="17.100000000000001" customHeight="1">
      <c r="B3" s="903" t="s">
        <v>715</v>
      </c>
      <c r="C3" s="904"/>
      <c r="D3" s="897" t="s">
        <v>168</v>
      </c>
      <c r="E3" s="897"/>
      <c r="F3" s="897"/>
      <c r="G3" s="897" t="s">
        <v>182</v>
      </c>
      <c r="H3" s="897"/>
      <c r="I3" s="897"/>
      <c r="J3" s="897"/>
      <c r="K3" s="897"/>
      <c r="L3" s="897"/>
      <c r="M3" s="897"/>
      <c r="N3" s="897"/>
      <c r="O3" s="897"/>
      <c r="P3" s="897"/>
      <c r="Q3" s="897"/>
      <c r="R3" s="897"/>
      <c r="S3" s="897"/>
      <c r="T3" s="897" t="s">
        <v>169</v>
      </c>
      <c r="U3" s="909" t="s">
        <v>716</v>
      </c>
      <c r="V3" s="912" t="s">
        <v>717</v>
      </c>
      <c r="W3" s="912" t="s">
        <v>718</v>
      </c>
      <c r="X3" s="915" t="s">
        <v>719</v>
      </c>
      <c r="Y3" s="899" t="s">
        <v>170</v>
      </c>
      <c r="AA3" s="897" t="s">
        <v>720</v>
      </c>
      <c r="AB3" s="897"/>
      <c r="AC3" s="897"/>
      <c r="AD3" s="897"/>
      <c r="AE3" s="897"/>
      <c r="AF3" s="897"/>
      <c r="AG3" s="897"/>
      <c r="AH3" s="897"/>
      <c r="AI3" s="897"/>
    </row>
    <row r="4" spans="2:35" ht="17.100000000000001" customHeight="1">
      <c r="B4" s="905"/>
      <c r="C4" s="906"/>
      <c r="D4" s="898" t="s">
        <v>167</v>
      </c>
      <c r="E4" s="897" t="s">
        <v>171</v>
      </c>
      <c r="F4" s="897"/>
      <c r="G4" s="897" t="s">
        <v>183</v>
      </c>
      <c r="H4" s="897"/>
      <c r="I4" s="897"/>
      <c r="J4" s="897"/>
      <c r="K4" s="897"/>
      <c r="L4" s="897"/>
      <c r="M4" s="897"/>
      <c r="N4" s="897"/>
      <c r="O4" s="897" t="s">
        <v>172</v>
      </c>
      <c r="P4" s="897"/>
      <c r="Q4" s="897"/>
      <c r="R4" s="897"/>
      <c r="S4" s="897"/>
      <c r="T4" s="897"/>
      <c r="U4" s="910"/>
      <c r="V4" s="913"/>
      <c r="W4" s="913"/>
      <c r="X4" s="916"/>
      <c r="Y4" s="899"/>
      <c r="AA4" s="897"/>
      <c r="AB4" s="897"/>
      <c r="AC4" s="897"/>
      <c r="AD4" s="897"/>
      <c r="AE4" s="897"/>
      <c r="AF4" s="897"/>
      <c r="AG4" s="897"/>
      <c r="AH4" s="897"/>
      <c r="AI4" s="897"/>
    </row>
    <row r="5" spans="2:35" ht="17.100000000000001" customHeight="1">
      <c r="B5" s="905"/>
      <c r="C5" s="906"/>
      <c r="D5" s="898"/>
      <c r="E5" s="898" t="s">
        <v>173</v>
      </c>
      <c r="F5" s="899" t="s">
        <v>721</v>
      </c>
      <c r="G5" s="900" t="s">
        <v>184</v>
      </c>
      <c r="H5" s="900"/>
      <c r="I5" s="900"/>
      <c r="J5" s="900"/>
      <c r="K5" s="900"/>
      <c r="L5" s="900"/>
      <c r="M5" s="900"/>
      <c r="N5" s="900"/>
      <c r="O5" s="900" t="s">
        <v>166</v>
      </c>
      <c r="P5" s="900"/>
      <c r="Q5" s="900" t="s">
        <v>174</v>
      </c>
      <c r="R5" s="900"/>
      <c r="S5" s="900"/>
      <c r="T5" s="897"/>
      <c r="U5" s="910"/>
      <c r="V5" s="913"/>
      <c r="W5" s="913"/>
      <c r="X5" s="916"/>
      <c r="Y5" s="899"/>
      <c r="AA5" s="897"/>
      <c r="AB5" s="897"/>
      <c r="AC5" s="897"/>
      <c r="AD5" s="897"/>
      <c r="AE5" s="897"/>
      <c r="AF5" s="897"/>
      <c r="AG5" s="897"/>
      <c r="AH5" s="897"/>
      <c r="AI5" s="897"/>
    </row>
    <row r="6" spans="2:35" ht="38.450000000000003" customHeight="1">
      <c r="B6" s="907"/>
      <c r="C6" s="908"/>
      <c r="D6" s="898"/>
      <c r="E6" s="898"/>
      <c r="F6" s="899"/>
      <c r="G6" s="382" t="s">
        <v>175</v>
      </c>
      <c r="H6" s="382" t="s">
        <v>722</v>
      </c>
      <c r="I6" s="382" t="s">
        <v>723</v>
      </c>
      <c r="J6" s="382" t="s">
        <v>176</v>
      </c>
      <c r="K6" s="382" t="s">
        <v>724</v>
      </c>
      <c r="L6" s="382" t="s">
        <v>177</v>
      </c>
      <c r="M6" s="382" t="s">
        <v>185</v>
      </c>
      <c r="N6" s="382" t="s">
        <v>178</v>
      </c>
      <c r="O6" s="383" t="s">
        <v>179</v>
      </c>
      <c r="P6" s="383" t="s">
        <v>180</v>
      </c>
      <c r="Q6" s="383" t="s">
        <v>179</v>
      </c>
      <c r="R6" s="383" t="s">
        <v>180</v>
      </c>
      <c r="S6" s="382" t="s">
        <v>181</v>
      </c>
      <c r="T6" s="897"/>
      <c r="U6" s="911"/>
      <c r="V6" s="914"/>
      <c r="W6" s="914"/>
      <c r="X6" s="917"/>
      <c r="Y6" s="899"/>
      <c r="AA6" s="224" t="s">
        <v>725</v>
      </c>
      <c r="AB6" s="224" t="s">
        <v>726</v>
      </c>
      <c r="AC6" s="370" t="s">
        <v>727</v>
      </c>
      <c r="AD6" s="370" t="s">
        <v>728</v>
      </c>
      <c r="AE6" s="370" t="s">
        <v>729</v>
      </c>
      <c r="AF6" s="370" t="s">
        <v>730</v>
      </c>
      <c r="AG6" s="370" t="s">
        <v>731</v>
      </c>
      <c r="AH6" s="370" t="s">
        <v>732</v>
      </c>
      <c r="AI6" s="370" t="s">
        <v>733</v>
      </c>
    </row>
    <row r="7" spans="2:35" s="396" customFormat="1" ht="27" customHeight="1">
      <c r="B7" s="890"/>
      <c r="C7" s="891"/>
      <c r="D7" s="384">
        <v>1</v>
      </c>
      <c r="E7" s="385" t="s">
        <v>789</v>
      </c>
      <c r="F7" s="386">
        <v>1437.345</v>
      </c>
      <c r="G7" s="386">
        <v>3083.9100000000008</v>
      </c>
      <c r="H7" s="386">
        <v>3103</v>
      </c>
      <c r="I7" s="387">
        <v>1.0061901936178421</v>
      </c>
      <c r="J7" s="386">
        <v>0</v>
      </c>
      <c r="K7" s="387">
        <v>0</v>
      </c>
      <c r="L7" s="386">
        <v>136.88999999999999</v>
      </c>
      <c r="M7" s="387">
        <v>1.0061901936178421</v>
      </c>
      <c r="N7" s="388">
        <v>2613.2300999998952</v>
      </c>
      <c r="O7" s="386">
        <v>10.5</v>
      </c>
      <c r="P7" s="387">
        <v>3.4047686216523822E-3</v>
      </c>
      <c r="Q7" s="389">
        <v>19.089999999999236</v>
      </c>
      <c r="R7" s="387">
        <v>6.1901936178420354E-3</v>
      </c>
      <c r="S7" s="386">
        <v>2613.2300999998952</v>
      </c>
      <c r="T7" s="397" t="s">
        <v>346</v>
      </c>
      <c r="U7" s="390" t="s">
        <v>212</v>
      </c>
      <c r="V7" s="430" t="s">
        <v>1029</v>
      </c>
      <c r="W7" s="430" t="s">
        <v>796</v>
      </c>
      <c r="X7" s="391">
        <v>1</v>
      </c>
      <c r="Y7" s="392" t="s">
        <v>352</v>
      </c>
      <c r="Z7" s="393" t="s">
        <v>734</v>
      </c>
      <c r="AA7" s="394">
        <f>SUM(X7:X26)</f>
        <v>20</v>
      </c>
      <c r="AB7" s="395">
        <f>SUMIF($U$7:$U$26,TRIM(AB6),$X$7:$X$26)</f>
        <v>0</v>
      </c>
      <c r="AC7" s="395">
        <f>SUMIF($U$7:$U$26,TRIM(AC6),$X$7:$X$26)</f>
        <v>4</v>
      </c>
      <c r="AD7" s="395">
        <f t="shared" ref="AD7:AI7" ca="1" si="0">SUMIF($U$7:$U$9710,TRIM(AD6),$X$7:$X$26)</f>
        <v>2</v>
      </c>
      <c r="AE7" s="395">
        <f t="shared" ca="1" si="0"/>
        <v>4</v>
      </c>
      <c r="AF7" s="395">
        <f t="shared" ca="1" si="0"/>
        <v>5</v>
      </c>
      <c r="AG7" s="395">
        <f t="shared" ca="1" si="0"/>
        <v>0</v>
      </c>
      <c r="AH7" s="395">
        <f t="shared" ca="1" si="0"/>
        <v>1</v>
      </c>
      <c r="AI7" s="395">
        <f t="shared" ca="1" si="0"/>
        <v>0</v>
      </c>
    </row>
    <row r="8" spans="2:35" s="396" customFormat="1" ht="27" customHeight="1">
      <c r="B8" s="892"/>
      <c r="C8" s="893"/>
      <c r="D8" s="384">
        <v>2</v>
      </c>
      <c r="E8" s="385" t="s">
        <v>920</v>
      </c>
      <c r="F8" s="386">
        <v>1422.624</v>
      </c>
      <c r="G8" s="386">
        <v>822.49899999999991</v>
      </c>
      <c r="H8" s="386">
        <v>835.9000000000002</v>
      </c>
      <c r="I8" s="387">
        <v>1.016293028927695</v>
      </c>
      <c r="J8" s="386">
        <v>0</v>
      </c>
      <c r="K8" s="387">
        <v>0</v>
      </c>
      <c r="L8" s="386">
        <v>169.36</v>
      </c>
      <c r="M8" s="387">
        <v>1.016293028927695</v>
      </c>
      <c r="N8" s="388">
        <v>2269.5933600000499</v>
      </c>
      <c r="O8" s="386">
        <v>8.4000000000000021</v>
      </c>
      <c r="P8" s="387">
        <v>1.0212778374198634E-2</v>
      </c>
      <c r="Q8" s="389">
        <v>13.401000000000295</v>
      </c>
      <c r="R8" s="387">
        <v>1.6293028927695106E-2</v>
      </c>
      <c r="S8" s="386">
        <v>2269.5933600000499</v>
      </c>
      <c r="T8" s="397" t="s">
        <v>344</v>
      </c>
      <c r="U8" s="390" t="s">
        <v>1043</v>
      </c>
      <c r="V8" s="430" t="s">
        <v>921</v>
      </c>
      <c r="W8" s="430" t="s">
        <v>922</v>
      </c>
      <c r="X8" s="391">
        <v>1</v>
      </c>
      <c r="Y8" s="392" t="s">
        <v>352</v>
      </c>
      <c r="AA8" s="394"/>
      <c r="AB8" s="398">
        <f>SUMIF($U$7:$U$26,TRIM(AB6),$F$7:$F$26)</f>
        <v>0</v>
      </c>
      <c r="AC8" s="398">
        <f>SUMIF($U$7:$U$26,TRIM(AC6),$F$7:$F$26)</f>
        <v>3347.5150000000003</v>
      </c>
      <c r="AD8" s="398">
        <f t="shared" ref="AD8:AI8" ca="1" si="1">SUMIF($U$7:$U$176,TRIM(AD6),$F$7:$F$26)</f>
        <v>2204.8720000000003</v>
      </c>
      <c r="AE8" s="398">
        <f t="shared" ca="1" si="1"/>
        <v>2796.3250000000003</v>
      </c>
      <c r="AF8" s="398">
        <f t="shared" ca="1" si="1"/>
        <v>4216.7480000000005</v>
      </c>
      <c r="AG8" s="398">
        <f t="shared" ca="1" si="1"/>
        <v>0</v>
      </c>
      <c r="AH8" s="398">
        <f t="shared" ca="1" si="1"/>
        <v>631.87</v>
      </c>
      <c r="AI8" s="398">
        <f t="shared" ca="1" si="1"/>
        <v>0</v>
      </c>
    </row>
    <row r="9" spans="2:35" s="396" customFormat="1" ht="27" customHeight="1">
      <c r="B9" s="892"/>
      <c r="C9" s="893"/>
      <c r="D9" s="384">
        <v>3</v>
      </c>
      <c r="E9" s="385" t="s">
        <v>797</v>
      </c>
      <c r="F9" s="386">
        <v>1311.806</v>
      </c>
      <c r="G9" s="386">
        <v>3169.7089999999998</v>
      </c>
      <c r="H9" s="386">
        <v>3191.6</v>
      </c>
      <c r="I9" s="387">
        <v>1.0069063122198285</v>
      </c>
      <c r="J9" s="386">
        <v>0</v>
      </c>
      <c r="K9" s="387">
        <v>0</v>
      </c>
      <c r="L9" s="386">
        <v>111.17</v>
      </c>
      <c r="M9" s="387">
        <v>1.0069063122198285</v>
      </c>
      <c r="N9" s="388">
        <v>2433.6224700000084</v>
      </c>
      <c r="O9" s="386">
        <v>11.799999999999999</v>
      </c>
      <c r="P9" s="387">
        <v>3.7227392167545979E-3</v>
      </c>
      <c r="Q9" s="389">
        <v>21.891000000000076</v>
      </c>
      <c r="R9" s="387">
        <v>6.9063122198284059E-3</v>
      </c>
      <c r="S9" s="386">
        <v>2433.6224700000084</v>
      </c>
      <c r="T9" s="397" t="s">
        <v>344</v>
      </c>
      <c r="U9" s="390" t="s">
        <v>1043</v>
      </c>
      <c r="V9" s="430" t="s">
        <v>913</v>
      </c>
      <c r="W9" s="430" t="s">
        <v>798</v>
      </c>
      <c r="X9" s="391">
        <v>1</v>
      </c>
      <c r="Y9" s="392" t="s">
        <v>352</v>
      </c>
    </row>
    <row r="10" spans="2:35" s="396" customFormat="1" ht="27" customHeight="1">
      <c r="B10" s="892"/>
      <c r="C10" s="893"/>
      <c r="D10" s="384">
        <v>4</v>
      </c>
      <c r="E10" s="385" t="s">
        <v>1044</v>
      </c>
      <c r="F10" s="386">
        <v>1148.94</v>
      </c>
      <c r="G10" s="386">
        <v>1151.08</v>
      </c>
      <c r="H10" s="386">
        <v>1164.2</v>
      </c>
      <c r="I10" s="387">
        <v>1.0113979914515066</v>
      </c>
      <c r="J10" s="386">
        <v>0.6</v>
      </c>
      <c r="K10" s="387">
        <v>5.2124960906279325E-4</v>
      </c>
      <c r="L10" s="386">
        <v>127.66</v>
      </c>
      <c r="M10" s="387">
        <v>1.0119192410605693</v>
      </c>
      <c r="N10" s="388">
        <v>1674.8992000000151</v>
      </c>
      <c r="O10" s="386">
        <v>9.0000000000000018</v>
      </c>
      <c r="P10" s="387">
        <v>7.8187441359419008E-3</v>
      </c>
      <c r="Q10" s="389">
        <v>13.720000000000027</v>
      </c>
      <c r="R10" s="387">
        <v>1.1919241060569229E-2</v>
      </c>
      <c r="S10" s="386">
        <v>1751.4952000000035</v>
      </c>
      <c r="T10" s="397" t="s">
        <v>344</v>
      </c>
      <c r="U10" s="390" t="s">
        <v>1043</v>
      </c>
      <c r="V10" s="430" t="s">
        <v>1045</v>
      </c>
      <c r="W10" s="430" t="s">
        <v>1046</v>
      </c>
      <c r="X10" s="391">
        <v>1</v>
      </c>
      <c r="Y10" s="392" t="s">
        <v>352</v>
      </c>
    </row>
    <row r="11" spans="2:35" s="396" customFormat="1" ht="27" customHeight="1">
      <c r="B11" s="892"/>
      <c r="C11" s="893"/>
      <c r="D11" s="384">
        <v>5</v>
      </c>
      <c r="E11" s="385" t="s">
        <v>925</v>
      </c>
      <c r="F11" s="386">
        <v>1142.5060000000001</v>
      </c>
      <c r="G11" s="386">
        <v>98.36</v>
      </c>
      <c r="H11" s="386">
        <v>109.80000000000001</v>
      </c>
      <c r="I11" s="387">
        <v>1.1163074420496137</v>
      </c>
      <c r="J11" s="386">
        <v>0</v>
      </c>
      <c r="K11" s="387">
        <v>0</v>
      </c>
      <c r="L11" s="386">
        <v>139.33000000000001</v>
      </c>
      <c r="M11" s="387">
        <v>1.1163074420496137</v>
      </c>
      <c r="N11" s="388">
        <v>1593.9352000000017</v>
      </c>
      <c r="O11" s="386">
        <v>8.1999999999999993</v>
      </c>
      <c r="P11" s="387">
        <v>8.3367222448149647E-2</v>
      </c>
      <c r="Q11" s="389">
        <v>11.440000000000012</v>
      </c>
      <c r="R11" s="387">
        <v>0.11630744204961378</v>
      </c>
      <c r="S11" s="386">
        <v>1593.9352000000017</v>
      </c>
      <c r="T11" s="390" t="s">
        <v>350</v>
      </c>
      <c r="U11" s="390" t="s">
        <v>351</v>
      </c>
      <c r="V11" s="430" t="s">
        <v>1047</v>
      </c>
      <c r="W11" s="430" t="s">
        <v>1048</v>
      </c>
      <c r="X11" s="391">
        <v>1</v>
      </c>
      <c r="Y11" s="392" t="s">
        <v>355</v>
      </c>
    </row>
    <row r="12" spans="2:35" s="396" customFormat="1" ht="27" customHeight="1">
      <c r="B12" s="892"/>
      <c r="C12" s="893"/>
      <c r="D12" s="384">
        <v>6</v>
      </c>
      <c r="E12" s="385" t="s">
        <v>1049</v>
      </c>
      <c r="F12" s="386">
        <v>1140.6219999999998</v>
      </c>
      <c r="G12" s="386">
        <v>223.87199999999999</v>
      </c>
      <c r="H12" s="386">
        <v>237.99999999999997</v>
      </c>
      <c r="I12" s="387">
        <v>1.0631074899942823</v>
      </c>
      <c r="J12" s="386">
        <v>0</v>
      </c>
      <c r="K12" s="387">
        <v>0</v>
      </c>
      <c r="L12" s="386">
        <v>116.39</v>
      </c>
      <c r="M12" s="387">
        <v>1.0631074899942823</v>
      </c>
      <c r="N12" s="388">
        <v>1644.3579199999983</v>
      </c>
      <c r="O12" s="386">
        <v>9.8000000000000007</v>
      </c>
      <c r="P12" s="387">
        <v>4.3775014293882225E-2</v>
      </c>
      <c r="Q12" s="389">
        <v>14.127999999999986</v>
      </c>
      <c r="R12" s="387">
        <v>6.3107489994282381E-2</v>
      </c>
      <c r="S12" s="386">
        <v>1644.3579199999983</v>
      </c>
      <c r="T12" s="390" t="s">
        <v>350</v>
      </c>
      <c r="U12" s="390" t="s">
        <v>395</v>
      </c>
      <c r="V12" s="430" t="s">
        <v>1050</v>
      </c>
      <c r="W12" s="430" t="s">
        <v>1051</v>
      </c>
      <c r="X12" s="391">
        <v>1</v>
      </c>
      <c r="Y12" s="392" t="s">
        <v>954</v>
      </c>
    </row>
    <row r="13" spans="2:35" s="396" customFormat="1" ht="27" customHeight="1">
      <c r="B13" s="892"/>
      <c r="C13" s="893"/>
      <c r="D13" s="384">
        <v>7</v>
      </c>
      <c r="E13" s="385" t="s">
        <v>932</v>
      </c>
      <c r="F13" s="386">
        <v>1064.2500000000002</v>
      </c>
      <c r="G13" s="386">
        <v>1267.5150000000001</v>
      </c>
      <c r="H13" s="386">
        <v>1294.5</v>
      </c>
      <c r="I13" s="387">
        <v>1.0212896888794214</v>
      </c>
      <c r="J13" s="386">
        <v>0</v>
      </c>
      <c r="K13" s="387">
        <v>0</v>
      </c>
      <c r="L13" s="386">
        <v>70.95</v>
      </c>
      <c r="M13" s="387">
        <v>1.0212896888794214</v>
      </c>
      <c r="N13" s="388">
        <v>1914.5857499999929</v>
      </c>
      <c r="O13" s="386">
        <v>15.000000000000002</v>
      </c>
      <c r="P13" s="387">
        <v>1.1834179477165951E-2</v>
      </c>
      <c r="Q13" s="389">
        <v>26.9849999999999</v>
      </c>
      <c r="R13" s="387">
        <v>2.1289688879421464E-2</v>
      </c>
      <c r="S13" s="386">
        <v>1914.5857499999929</v>
      </c>
      <c r="T13" s="390" t="s">
        <v>350</v>
      </c>
      <c r="U13" s="390" t="s">
        <v>395</v>
      </c>
      <c r="V13" s="430" t="s">
        <v>803</v>
      </c>
      <c r="W13" s="430" t="s">
        <v>799</v>
      </c>
      <c r="X13" s="391">
        <v>1</v>
      </c>
      <c r="Y13" s="392" t="s">
        <v>372</v>
      </c>
      <c r="AB13" s="396">
        <v>1</v>
      </c>
      <c r="AC13" s="399" t="s">
        <v>699</v>
      </c>
    </row>
    <row r="14" spans="2:35" s="396" customFormat="1" ht="27" customHeight="1">
      <c r="B14" s="892"/>
      <c r="C14" s="893"/>
      <c r="D14" s="384">
        <v>8</v>
      </c>
      <c r="E14" s="385" t="s">
        <v>1013</v>
      </c>
      <c r="F14" s="386">
        <v>833.63799999999992</v>
      </c>
      <c r="G14" s="386">
        <v>172.32600000000002</v>
      </c>
      <c r="H14" s="386">
        <v>176.2</v>
      </c>
      <c r="I14" s="387">
        <v>1.0224806471455263</v>
      </c>
      <c r="J14" s="386">
        <v>0</v>
      </c>
      <c r="K14" s="387">
        <v>0</v>
      </c>
      <c r="L14" s="386">
        <v>320.63</v>
      </c>
      <c r="M14" s="387">
        <v>1.0224806471455263</v>
      </c>
      <c r="N14" s="388">
        <v>1242.1206199999892</v>
      </c>
      <c r="O14" s="386">
        <v>2.6</v>
      </c>
      <c r="P14" s="387">
        <v>1.5087682648004362E-2</v>
      </c>
      <c r="Q14" s="389">
        <v>3.8739999999999668</v>
      </c>
      <c r="R14" s="387">
        <v>2.2480647145526306E-2</v>
      </c>
      <c r="S14" s="386">
        <v>1242.1206199999892</v>
      </c>
      <c r="T14" s="384" t="s">
        <v>344</v>
      </c>
      <c r="U14" s="390" t="s">
        <v>1043</v>
      </c>
      <c r="V14" s="430" t="s">
        <v>803</v>
      </c>
      <c r="W14" s="430" t="s">
        <v>799</v>
      </c>
      <c r="X14" s="391">
        <v>1</v>
      </c>
      <c r="Y14" s="392" t="s">
        <v>801</v>
      </c>
      <c r="AB14" s="396">
        <v>2</v>
      </c>
      <c r="AC14" s="399" t="s">
        <v>351</v>
      </c>
    </row>
    <row r="15" spans="2:35" s="396" customFormat="1" ht="27" customHeight="1">
      <c r="B15" s="892"/>
      <c r="C15" s="893"/>
      <c r="D15" s="384">
        <v>9</v>
      </c>
      <c r="E15" s="385" t="s">
        <v>880</v>
      </c>
      <c r="F15" s="386">
        <v>791.71199999999999</v>
      </c>
      <c r="G15" s="386">
        <v>224.31</v>
      </c>
      <c r="H15" s="386">
        <v>236.6</v>
      </c>
      <c r="I15" s="387">
        <v>1.0547902456421916</v>
      </c>
      <c r="J15" s="386">
        <v>0</v>
      </c>
      <c r="K15" s="387">
        <v>0</v>
      </c>
      <c r="L15" s="386">
        <v>109.96</v>
      </c>
      <c r="M15" s="387">
        <v>1.0547902456421916</v>
      </c>
      <c r="N15" s="388">
        <v>1351.4083999999991</v>
      </c>
      <c r="O15" s="386">
        <v>7.2000000000000011</v>
      </c>
      <c r="P15" s="387">
        <v>3.2098435201283942E-2</v>
      </c>
      <c r="Q15" s="389">
        <v>12.289999999999992</v>
      </c>
      <c r="R15" s="387">
        <v>5.4790245642191572E-2</v>
      </c>
      <c r="S15" s="386">
        <v>1351.4083999999991</v>
      </c>
      <c r="T15" s="390" t="s">
        <v>350</v>
      </c>
      <c r="U15" s="390" t="s">
        <v>351</v>
      </c>
      <c r="V15" s="430" t="s">
        <v>1052</v>
      </c>
      <c r="W15" s="430" t="s">
        <v>1039</v>
      </c>
      <c r="X15" s="391">
        <v>1</v>
      </c>
      <c r="Y15" s="392" t="s">
        <v>1056</v>
      </c>
      <c r="AB15" s="396">
        <v>3</v>
      </c>
      <c r="AC15" s="399" t="s">
        <v>395</v>
      </c>
    </row>
    <row r="16" spans="2:35" s="396" customFormat="1" ht="27" customHeight="1">
      <c r="B16" s="892"/>
      <c r="C16" s="893"/>
      <c r="D16" s="384">
        <v>10</v>
      </c>
      <c r="E16" s="385" t="s">
        <v>917</v>
      </c>
      <c r="F16" s="386">
        <v>790.94600000000003</v>
      </c>
      <c r="G16" s="386">
        <v>350.42999999999995</v>
      </c>
      <c r="H16" s="386">
        <v>355.2</v>
      </c>
      <c r="I16" s="387">
        <v>1.0136118483006593</v>
      </c>
      <c r="J16" s="386">
        <v>0</v>
      </c>
      <c r="K16" s="387">
        <v>0</v>
      </c>
      <c r="L16" s="386">
        <v>272.74</v>
      </c>
      <c r="M16" s="387">
        <v>1.0136118483006593</v>
      </c>
      <c r="N16" s="388">
        <v>1300.9698000000105</v>
      </c>
      <c r="O16" s="386">
        <v>2.9</v>
      </c>
      <c r="P16" s="387">
        <v>8.2755471848871397E-3</v>
      </c>
      <c r="Q16" s="389">
        <v>4.7700000000000387</v>
      </c>
      <c r="R16" s="387">
        <v>1.3611848300659302E-2</v>
      </c>
      <c r="S16" s="386">
        <v>1300.9698000000105</v>
      </c>
      <c r="T16" s="390" t="s">
        <v>346</v>
      </c>
      <c r="U16" s="390" t="s">
        <v>212</v>
      </c>
      <c r="V16" s="430" t="s">
        <v>1034</v>
      </c>
      <c r="W16" s="430" t="s">
        <v>796</v>
      </c>
      <c r="X16" s="391">
        <v>1</v>
      </c>
      <c r="Y16" s="392" t="s">
        <v>1057</v>
      </c>
      <c r="AB16" s="396">
        <v>4</v>
      </c>
      <c r="AC16" s="399" t="s">
        <v>735</v>
      </c>
    </row>
    <row r="17" spans="2:29" s="396" customFormat="1" ht="27" customHeight="1">
      <c r="B17" s="892"/>
      <c r="C17" s="893"/>
      <c r="D17" s="384">
        <v>11</v>
      </c>
      <c r="E17" s="385" t="s">
        <v>808</v>
      </c>
      <c r="F17" s="386">
        <v>772.39800000000002</v>
      </c>
      <c r="G17" s="386">
        <v>1893.36</v>
      </c>
      <c r="H17" s="386">
        <v>1903.8000000000002</v>
      </c>
      <c r="I17" s="387">
        <v>1.0055140068449742</v>
      </c>
      <c r="J17" s="386">
        <v>0</v>
      </c>
      <c r="K17" s="387">
        <v>0</v>
      </c>
      <c r="L17" s="386">
        <v>117.03</v>
      </c>
      <c r="M17" s="387">
        <v>1.0055140068449742</v>
      </c>
      <c r="N17" s="388">
        <v>1221.793200000033</v>
      </c>
      <c r="O17" s="386">
        <v>6.6000000000000005</v>
      </c>
      <c r="P17" s="387">
        <v>3.4858663962479405E-3</v>
      </c>
      <c r="Q17" s="389">
        <v>10.440000000000282</v>
      </c>
      <c r="R17" s="387">
        <v>5.5140068449741637E-3</v>
      </c>
      <c r="S17" s="386">
        <v>1221.793200000033</v>
      </c>
      <c r="T17" s="390" t="s">
        <v>344</v>
      </c>
      <c r="U17" s="390" t="s">
        <v>695</v>
      </c>
      <c r="V17" s="430" t="s">
        <v>1042</v>
      </c>
      <c r="W17" s="430" t="s">
        <v>798</v>
      </c>
      <c r="X17" s="391">
        <v>1</v>
      </c>
      <c r="Y17" s="392" t="s">
        <v>1058</v>
      </c>
      <c r="AB17" s="396">
        <v>5</v>
      </c>
      <c r="AC17" s="399" t="s">
        <v>212</v>
      </c>
    </row>
    <row r="18" spans="2:29" s="396" customFormat="1" ht="27" customHeight="1">
      <c r="B18" s="892"/>
      <c r="C18" s="893"/>
      <c r="D18" s="384">
        <v>12</v>
      </c>
      <c r="E18" s="385" t="s">
        <v>931</v>
      </c>
      <c r="F18" s="386">
        <v>748.58399999999995</v>
      </c>
      <c r="G18" s="386">
        <v>737.94</v>
      </c>
      <c r="H18" s="386">
        <v>755.4</v>
      </c>
      <c r="I18" s="387">
        <v>1.0236604602000161</v>
      </c>
      <c r="J18" s="386">
        <v>0</v>
      </c>
      <c r="K18" s="387">
        <v>0</v>
      </c>
      <c r="L18" s="386">
        <v>103.97</v>
      </c>
      <c r="M18" s="387">
        <v>1.0236604602000161</v>
      </c>
      <c r="N18" s="388">
        <v>1815.316199999992</v>
      </c>
      <c r="O18" s="386">
        <v>7.2</v>
      </c>
      <c r="P18" s="387">
        <v>9.7568908041304175E-3</v>
      </c>
      <c r="Q18" s="389">
        <v>17.459999999999923</v>
      </c>
      <c r="R18" s="387">
        <v>2.3660460200016154E-2</v>
      </c>
      <c r="S18" s="386">
        <v>1815.316199999992</v>
      </c>
      <c r="T18" s="384" t="s">
        <v>350</v>
      </c>
      <c r="U18" s="390" t="s">
        <v>351</v>
      </c>
      <c r="V18" s="430" t="s">
        <v>1053</v>
      </c>
      <c r="W18" s="430" t="s">
        <v>1051</v>
      </c>
      <c r="X18" s="391">
        <v>1</v>
      </c>
      <c r="Y18" s="392" t="s">
        <v>1059</v>
      </c>
      <c r="AB18" s="396">
        <v>6</v>
      </c>
      <c r="AC18" s="399" t="s">
        <v>213</v>
      </c>
    </row>
    <row r="19" spans="2:29" s="396" customFormat="1" ht="27" customHeight="1">
      <c r="B19" s="892"/>
      <c r="C19" s="893"/>
      <c r="D19" s="384">
        <v>13</v>
      </c>
      <c r="E19" s="385" t="s">
        <v>397</v>
      </c>
      <c r="F19" s="386">
        <v>726.63599999999997</v>
      </c>
      <c r="G19" s="386">
        <v>864.23599999999988</v>
      </c>
      <c r="H19" s="386">
        <v>875</v>
      </c>
      <c r="I19" s="387">
        <v>1.0124549312919158</v>
      </c>
      <c r="J19" s="386">
        <v>0.6</v>
      </c>
      <c r="K19" s="387">
        <v>6.9425481002874227E-4</v>
      </c>
      <c r="L19" s="386">
        <v>127.48</v>
      </c>
      <c r="M19" s="387">
        <v>1.0131491861019446</v>
      </c>
      <c r="N19" s="388">
        <v>1372.1947200000159</v>
      </c>
      <c r="O19" s="386">
        <v>5.7000000000000011</v>
      </c>
      <c r="P19" s="387">
        <v>6.5954206952730529E-3</v>
      </c>
      <c r="Q19" s="389">
        <v>11.364000000000146</v>
      </c>
      <c r="R19" s="387">
        <v>1.3149186101944547E-2</v>
      </c>
      <c r="S19" s="386">
        <v>1448.6827200000187</v>
      </c>
      <c r="T19" s="384" t="s">
        <v>344</v>
      </c>
      <c r="U19" s="390" t="s">
        <v>695</v>
      </c>
      <c r="V19" s="430" t="s">
        <v>1054</v>
      </c>
      <c r="W19" s="430" t="s">
        <v>795</v>
      </c>
      <c r="X19" s="391">
        <v>1</v>
      </c>
      <c r="Y19" s="392" t="s">
        <v>1060</v>
      </c>
      <c r="AB19" s="396">
        <v>7</v>
      </c>
      <c r="AC19" s="399" t="s">
        <v>736</v>
      </c>
    </row>
    <row r="20" spans="2:29" s="396" customFormat="1" ht="27" customHeight="1">
      <c r="B20" s="892"/>
      <c r="C20" s="893"/>
      <c r="D20" s="384">
        <v>14</v>
      </c>
      <c r="E20" s="385" t="s">
        <v>889</v>
      </c>
      <c r="F20" s="386">
        <v>697.60800000000006</v>
      </c>
      <c r="G20" s="386">
        <v>197.34399999999999</v>
      </c>
      <c r="H20" s="386">
        <v>201.6</v>
      </c>
      <c r="I20" s="387">
        <v>1.0215664018161181</v>
      </c>
      <c r="J20" s="386">
        <v>0</v>
      </c>
      <c r="K20" s="387">
        <v>0</v>
      </c>
      <c r="L20" s="386">
        <v>290.67</v>
      </c>
      <c r="M20" s="387">
        <v>1.0215664018161181</v>
      </c>
      <c r="N20" s="388">
        <v>1237.0915200000002</v>
      </c>
      <c r="O20" s="386">
        <v>2.4</v>
      </c>
      <c r="P20" s="387">
        <v>1.2161504783525215E-2</v>
      </c>
      <c r="Q20" s="389">
        <v>4.2560000000000002</v>
      </c>
      <c r="R20" s="387">
        <v>2.1566401816118051E-2</v>
      </c>
      <c r="S20" s="386">
        <v>1237.0915200000002</v>
      </c>
      <c r="T20" s="390" t="s">
        <v>346</v>
      </c>
      <c r="U20" s="390" t="s">
        <v>212</v>
      </c>
      <c r="V20" s="430" t="s">
        <v>1034</v>
      </c>
      <c r="W20" s="430" t="s">
        <v>796</v>
      </c>
      <c r="X20" s="391">
        <v>1</v>
      </c>
      <c r="Y20" s="392" t="s">
        <v>1061</v>
      </c>
      <c r="AB20" s="396">
        <v>8</v>
      </c>
      <c r="AC20" s="400" t="s">
        <v>737</v>
      </c>
    </row>
    <row r="21" spans="2:29" s="396" customFormat="1" ht="27" customHeight="1">
      <c r="B21" s="892"/>
      <c r="C21" s="893"/>
      <c r="D21" s="384">
        <v>15</v>
      </c>
      <c r="E21" s="385" t="s">
        <v>1005</v>
      </c>
      <c r="F21" s="386">
        <v>696.63900000000001</v>
      </c>
      <c r="G21" s="386">
        <v>387.45</v>
      </c>
      <c r="H21" s="386">
        <v>399.7</v>
      </c>
      <c r="I21" s="387">
        <v>1.0316169828364949</v>
      </c>
      <c r="J21" s="386">
        <v>0</v>
      </c>
      <c r="K21" s="387">
        <v>0</v>
      </c>
      <c r="L21" s="386">
        <v>95.43</v>
      </c>
      <c r="M21" s="387">
        <v>1.0316169828364949</v>
      </c>
      <c r="N21" s="388">
        <v>1169.0175000000002</v>
      </c>
      <c r="O21" s="386">
        <v>7.3000000000000007</v>
      </c>
      <c r="P21" s="387">
        <v>1.8841140792360309E-2</v>
      </c>
      <c r="Q21" s="389">
        <v>12.25</v>
      </c>
      <c r="R21" s="387">
        <v>3.1616982836495035E-2</v>
      </c>
      <c r="S21" s="386">
        <v>1169.0175000000002</v>
      </c>
      <c r="T21" s="390" t="s">
        <v>344</v>
      </c>
      <c r="U21" s="390" t="s">
        <v>695</v>
      </c>
      <c r="V21" s="430" t="s">
        <v>1062</v>
      </c>
      <c r="W21" s="430" t="s">
        <v>1063</v>
      </c>
      <c r="X21" s="391">
        <v>1</v>
      </c>
      <c r="Y21" s="392" t="s">
        <v>371</v>
      </c>
      <c r="AC21" s="399"/>
    </row>
    <row r="22" spans="2:29" s="396" customFormat="1" ht="27" customHeight="1">
      <c r="B22" s="892"/>
      <c r="C22" s="893"/>
      <c r="D22" s="384">
        <v>16</v>
      </c>
      <c r="E22" s="385" t="s">
        <v>1017</v>
      </c>
      <c r="F22" s="386">
        <v>670.76099999999997</v>
      </c>
      <c r="G22" s="386">
        <v>351.24000000000007</v>
      </c>
      <c r="H22" s="386">
        <v>358.5</v>
      </c>
      <c r="I22" s="387">
        <v>1.0206696276050562</v>
      </c>
      <c r="J22" s="386">
        <v>0</v>
      </c>
      <c r="K22" s="387">
        <v>0</v>
      </c>
      <c r="L22" s="386">
        <v>136.88999999999999</v>
      </c>
      <c r="M22" s="387">
        <v>1.0206696276050562</v>
      </c>
      <c r="N22" s="388">
        <v>993.82139999999083</v>
      </c>
      <c r="O22" s="386">
        <v>4.9000000000000004</v>
      </c>
      <c r="P22" s="387">
        <v>1.3950575105341076E-2</v>
      </c>
      <c r="Q22" s="389">
        <v>7.2599999999999341</v>
      </c>
      <c r="R22" s="387">
        <v>2.0669627605056182E-2</v>
      </c>
      <c r="S22" s="386">
        <v>993.82139999999083</v>
      </c>
      <c r="T22" s="390" t="s">
        <v>346</v>
      </c>
      <c r="U22" s="390" t="s">
        <v>212</v>
      </c>
      <c r="V22" s="430" t="s">
        <v>1034</v>
      </c>
      <c r="W22" s="430" t="s">
        <v>796</v>
      </c>
      <c r="X22" s="391">
        <v>1</v>
      </c>
      <c r="Y22" s="392" t="s">
        <v>352</v>
      </c>
      <c r="AC22" s="399"/>
    </row>
    <row r="23" spans="2:29" s="396" customFormat="1" ht="27" customHeight="1">
      <c r="B23" s="892"/>
      <c r="C23" s="893"/>
      <c r="D23" s="384">
        <v>17</v>
      </c>
      <c r="E23" s="385" t="s">
        <v>1064</v>
      </c>
      <c r="F23" s="386">
        <v>664.71299999999997</v>
      </c>
      <c r="G23" s="386">
        <v>33.672000000000004</v>
      </c>
      <c r="H23" s="386">
        <v>36.599999999999994</v>
      </c>
      <c r="I23" s="387">
        <v>1.0869565217391302</v>
      </c>
      <c r="J23" s="386">
        <v>0</v>
      </c>
      <c r="K23" s="387">
        <v>0</v>
      </c>
      <c r="L23" s="386">
        <v>316.52999999999997</v>
      </c>
      <c r="M23" s="387">
        <v>1.0869565217391302</v>
      </c>
      <c r="N23" s="388">
        <v>926.79983999999683</v>
      </c>
      <c r="O23" s="386">
        <v>2.1</v>
      </c>
      <c r="P23" s="387">
        <v>6.2366357804704203E-2</v>
      </c>
      <c r="Q23" s="389">
        <v>2.9279999999999902</v>
      </c>
      <c r="R23" s="387">
        <v>8.6956521739130127E-2</v>
      </c>
      <c r="S23" s="386">
        <v>926.79983999999683</v>
      </c>
      <c r="T23" s="390" t="s">
        <v>350</v>
      </c>
      <c r="U23" s="390" t="s">
        <v>351</v>
      </c>
      <c r="V23" s="430" t="s">
        <v>1055</v>
      </c>
      <c r="W23" s="430" t="s">
        <v>1037</v>
      </c>
      <c r="X23" s="391">
        <v>1</v>
      </c>
      <c r="Y23" s="392" t="s">
        <v>958</v>
      </c>
      <c r="AB23" s="401">
        <v>1</v>
      </c>
      <c r="AC23" s="399" t="s">
        <v>350</v>
      </c>
    </row>
    <row r="24" spans="2:29" s="396" customFormat="1" ht="27" customHeight="1">
      <c r="B24" s="892"/>
      <c r="C24" s="893"/>
      <c r="D24" s="384">
        <v>18</v>
      </c>
      <c r="E24" s="385" t="s">
        <v>1065</v>
      </c>
      <c r="F24" s="386">
        <v>631.87</v>
      </c>
      <c r="G24" s="386">
        <v>17.567999999999998</v>
      </c>
      <c r="H24" s="386">
        <v>18.8</v>
      </c>
      <c r="I24" s="387">
        <v>1.0701275045537342</v>
      </c>
      <c r="J24" s="386">
        <v>0.7</v>
      </c>
      <c r="K24" s="387">
        <v>3.9845173041894354E-2</v>
      </c>
      <c r="L24" s="386">
        <v>631.87</v>
      </c>
      <c r="M24" s="387">
        <v>1.1099726775956285</v>
      </c>
      <c r="N24" s="388">
        <v>778.46384000000182</v>
      </c>
      <c r="O24" s="386">
        <v>1</v>
      </c>
      <c r="P24" s="387">
        <v>5.6921675774134796E-2</v>
      </c>
      <c r="Q24" s="389">
        <v>1.9320000000000022</v>
      </c>
      <c r="R24" s="387">
        <v>0.10997267759562855</v>
      </c>
      <c r="S24" s="386">
        <v>1220.7728400000015</v>
      </c>
      <c r="T24" s="390" t="s">
        <v>346</v>
      </c>
      <c r="U24" s="390" t="s">
        <v>736</v>
      </c>
      <c r="V24" s="430" t="s">
        <v>1040</v>
      </c>
      <c r="W24" s="430" t="s">
        <v>1041</v>
      </c>
      <c r="X24" s="391">
        <v>1</v>
      </c>
      <c r="Y24" s="392" t="s">
        <v>1066</v>
      </c>
      <c r="AB24" s="396">
        <v>2</v>
      </c>
      <c r="AC24" s="399" t="s">
        <v>398</v>
      </c>
    </row>
    <row r="25" spans="2:29" s="396" customFormat="1" ht="27" customHeight="1">
      <c r="B25" s="892"/>
      <c r="C25" s="893"/>
      <c r="D25" s="384">
        <v>19</v>
      </c>
      <c r="E25" s="385" t="s">
        <v>1067</v>
      </c>
      <c r="F25" s="386">
        <v>620.08799999999997</v>
      </c>
      <c r="G25" s="386">
        <v>255.13800000000001</v>
      </c>
      <c r="H25" s="386">
        <v>258.5</v>
      </c>
      <c r="I25" s="387">
        <v>1.0131771825443485</v>
      </c>
      <c r="J25" s="386">
        <v>0.3</v>
      </c>
      <c r="K25" s="387">
        <v>1.1758342544034993E-3</v>
      </c>
      <c r="L25" s="386">
        <v>258.37</v>
      </c>
      <c r="M25" s="387">
        <v>1.014353016798752</v>
      </c>
      <c r="N25" s="388">
        <v>868.63993999999866</v>
      </c>
      <c r="O25" s="386">
        <v>2.4000000000000004</v>
      </c>
      <c r="P25" s="387">
        <v>9.4066740352279962E-3</v>
      </c>
      <c r="Q25" s="389">
        <v>3.6620000000000061</v>
      </c>
      <c r="R25" s="387">
        <v>1.4353016798752071E-2</v>
      </c>
      <c r="S25" s="386">
        <v>946.15094000000158</v>
      </c>
      <c r="T25" s="390" t="s">
        <v>346</v>
      </c>
      <c r="U25" s="390" t="s">
        <v>212</v>
      </c>
      <c r="V25" s="430" t="s">
        <v>1034</v>
      </c>
      <c r="W25" s="430" t="s">
        <v>796</v>
      </c>
      <c r="X25" s="391">
        <v>1</v>
      </c>
      <c r="Y25" s="392" t="s">
        <v>1068</v>
      </c>
      <c r="AB25" s="402">
        <v>3</v>
      </c>
      <c r="AC25" s="399" t="s">
        <v>344</v>
      </c>
    </row>
    <row r="26" spans="2:29" s="396" customFormat="1" ht="27" customHeight="1">
      <c r="B26" s="894"/>
      <c r="C26" s="895"/>
      <c r="D26" s="384">
        <v>20</v>
      </c>
      <c r="E26" s="385" t="s">
        <v>1069</v>
      </c>
      <c r="F26" s="386">
        <v>600.65200000000004</v>
      </c>
      <c r="G26" s="386">
        <v>98.111999999999995</v>
      </c>
      <c r="H26" s="386">
        <v>100</v>
      </c>
      <c r="I26" s="387">
        <v>1.0192433137638617</v>
      </c>
      <c r="J26" s="386">
        <v>0.6</v>
      </c>
      <c r="K26" s="387">
        <v>6.1154598825831708E-3</v>
      </c>
      <c r="L26" s="386">
        <v>462.04</v>
      </c>
      <c r="M26" s="387">
        <v>1.0253587736464449</v>
      </c>
      <c r="N26" s="388">
        <v>872.33152000000246</v>
      </c>
      <c r="O26" s="386">
        <v>1.3</v>
      </c>
      <c r="P26" s="387">
        <v>1.3250163078930203E-2</v>
      </c>
      <c r="Q26" s="389">
        <v>2.4879999999999995</v>
      </c>
      <c r="R26" s="387">
        <v>2.5358773646444874E-2</v>
      </c>
      <c r="S26" s="386">
        <v>1149.5555199999999</v>
      </c>
      <c r="T26" s="390" t="s">
        <v>344</v>
      </c>
      <c r="U26" s="390" t="s">
        <v>695</v>
      </c>
      <c r="V26" s="430" t="s">
        <v>1034</v>
      </c>
      <c r="W26" s="430" t="s">
        <v>796</v>
      </c>
      <c r="X26" s="391">
        <v>1</v>
      </c>
      <c r="Y26" s="392" t="s">
        <v>1070</v>
      </c>
      <c r="AB26" s="402">
        <v>4</v>
      </c>
      <c r="AC26" s="399" t="s">
        <v>346</v>
      </c>
    </row>
    <row r="27" spans="2:29" ht="29.45" customHeight="1">
      <c r="C27" s="896"/>
      <c r="AB27" s="396"/>
      <c r="AC27" s="399"/>
    </row>
    <row r="28" spans="2:29">
      <c r="C28" s="896"/>
    </row>
    <row r="29" spans="2:29">
      <c r="C29" s="896"/>
    </row>
    <row r="30" spans="2:29">
      <c r="C30" s="896"/>
    </row>
    <row r="31" spans="2:29">
      <c r="C31" s="896"/>
    </row>
    <row r="32" spans="2:29">
      <c r="C32" s="896"/>
    </row>
    <row r="33" spans="3:3">
      <c r="C33" s="896"/>
    </row>
    <row r="34" spans="3:3">
      <c r="C34" s="896"/>
    </row>
    <row r="35" spans="3:3">
      <c r="C35" s="896"/>
    </row>
    <row r="36" spans="3:3">
      <c r="C36" s="896"/>
    </row>
    <row r="67" ht="14.1" customHeight="1"/>
    <row r="77" ht="14.1" customHeight="1"/>
    <row r="87" ht="14.1" customHeight="1"/>
    <row r="112" spans="26:26">
      <c r="Z112" s="403" t="s">
        <v>738</v>
      </c>
    </row>
    <row r="113" spans="26:26">
      <c r="Z113" s="396" t="s">
        <v>739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E7" sqref="E7:Y26"/>
    </sheetView>
  </sheetViews>
  <sheetFormatPr defaultColWidth="8.85546875" defaultRowHeight="16.5"/>
  <cols>
    <col min="1" max="1" width="8.85546875" style="380"/>
    <col min="2" max="2" width="12.42578125" style="380" customWidth="1"/>
    <col min="3" max="3" width="8.85546875" style="380"/>
    <col min="4" max="4" width="11.5703125" style="380" customWidth="1"/>
    <col min="5" max="5" width="39.28515625" style="380" bestFit="1" customWidth="1"/>
    <col min="6" max="6" width="13.42578125" style="380" bestFit="1" customWidth="1"/>
    <col min="7" max="7" width="14.140625" style="380" customWidth="1"/>
    <col min="8" max="8" width="14" style="380" customWidth="1"/>
    <col min="9" max="9" width="16.85546875" style="380" customWidth="1"/>
    <col min="10" max="10" width="14" style="380" customWidth="1"/>
    <col min="11" max="11" width="11.7109375" style="380" bestFit="1" customWidth="1"/>
    <col min="12" max="12" width="13.42578125" style="380" bestFit="1" customWidth="1"/>
    <col min="13" max="13" width="19.28515625" style="380" bestFit="1" customWidth="1"/>
    <col min="14" max="14" width="15.42578125" style="380" bestFit="1" customWidth="1"/>
    <col min="15" max="15" width="12.7109375" style="380" bestFit="1" customWidth="1"/>
    <col min="16" max="16" width="9.85546875" style="380" bestFit="1" customWidth="1"/>
    <col min="17" max="17" width="12.28515625" style="380" bestFit="1" customWidth="1"/>
    <col min="18" max="18" width="10.7109375" style="380" customWidth="1"/>
    <col min="19" max="19" width="10.7109375" style="380" bestFit="1" customWidth="1"/>
    <col min="20" max="20" width="12.42578125" style="380" bestFit="1" customWidth="1"/>
    <col min="21" max="21" width="25.28515625" style="380" bestFit="1" customWidth="1"/>
    <col min="22" max="23" width="88.28515625" style="380" customWidth="1"/>
    <col min="24" max="24" width="7.42578125" style="380" bestFit="1" customWidth="1"/>
    <col min="25" max="25" width="69.5703125" style="380" bestFit="1" customWidth="1"/>
    <col min="26" max="26" width="11.42578125" style="380" bestFit="1" customWidth="1"/>
    <col min="27" max="27" width="21.5703125" style="380" customWidth="1"/>
    <col min="28" max="28" width="19.42578125" style="380" bestFit="1" customWidth="1"/>
    <col min="29" max="34" width="14.42578125" style="380" customWidth="1"/>
    <col min="35" max="35" width="11.42578125" style="380" bestFit="1" customWidth="1"/>
    <col min="36" max="16384" width="8.85546875" style="380"/>
  </cols>
  <sheetData>
    <row r="2" spans="2:35" ht="41.1" customHeight="1">
      <c r="B2" s="901" t="s">
        <v>740</v>
      </c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  <c r="P2" s="902"/>
      <c r="Q2" s="902"/>
      <c r="R2" s="902"/>
      <c r="S2" s="902"/>
      <c r="T2" s="902"/>
      <c r="U2" s="902"/>
      <c r="V2" s="902"/>
      <c r="W2" s="902"/>
      <c r="X2" s="902"/>
      <c r="Y2" s="902"/>
      <c r="AA2" s="381"/>
      <c r="AB2" s="381"/>
    </row>
    <row r="3" spans="2:35" ht="17.100000000000001" customHeight="1">
      <c r="B3" s="903" t="s">
        <v>715</v>
      </c>
      <c r="C3" s="904"/>
      <c r="D3" s="897" t="s">
        <v>168</v>
      </c>
      <c r="E3" s="897"/>
      <c r="F3" s="897"/>
      <c r="G3" s="897" t="s">
        <v>182</v>
      </c>
      <c r="H3" s="897"/>
      <c r="I3" s="897"/>
      <c r="J3" s="897"/>
      <c r="K3" s="897"/>
      <c r="L3" s="897"/>
      <c r="M3" s="897"/>
      <c r="N3" s="897"/>
      <c r="O3" s="897"/>
      <c r="P3" s="897"/>
      <c r="Q3" s="897"/>
      <c r="R3" s="897"/>
      <c r="S3" s="897"/>
      <c r="T3" s="897" t="s">
        <v>169</v>
      </c>
      <c r="U3" s="909" t="s">
        <v>716</v>
      </c>
      <c r="V3" s="918" t="s">
        <v>741</v>
      </c>
      <c r="W3" s="918" t="s">
        <v>718</v>
      </c>
      <c r="X3" s="915" t="s">
        <v>742</v>
      </c>
      <c r="Y3" s="899" t="s">
        <v>170</v>
      </c>
      <c r="AA3" s="897" t="s">
        <v>743</v>
      </c>
      <c r="AB3" s="897"/>
      <c r="AC3" s="897"/>
      <c r="AD3" s="897"/>
      <c r="AE3" s="897"/>
      <c r="AF3" s="897"/>
      <c r="AG3" s="897"/>
      <c r="AH3" s="897"/>
      <c r="AI3" s="897"/>
    </row>
    <row r="4" spans="2:35" ht="17.100000000000001" customHeight="1">
      <c r="B4" s="905"/>
      <c r="C4" s="906"/>
      <c r="D4" s="898" t="s">
        <v>167</v>
      </c>
      <c r="E4" s="897" t="s">
        <v>171</v>
      </c>
      <c r="F4" s="897"/>
      <c r="G4" s="897" t="s">
        <v>183</v>
      </c>
      <c r="H4" s="897"/>
      <c r="I4" s="897"/>
      <c r="J4" s="897"/>
      <c r="K4" s="897"/>
      <c r="L4" s="897"/>
      <c r="M4" s="897"/>
      <c r="N4" s="897"/>
      <c r="O4" s="897" t="s">
        <v>172</v>
      </c>
      <c r="P4" s="897"/>
      <c r="Q4" s="897"/>
      <c r="R4" s="897"/>
      <c r="S4" s="897"/>
      <c r="T4" s="897"/>
      <c r="U4" s="910"/>
      <c r="V4" s="916"/>
      <c r="W4" s="919"/>
      <c r="X4" s="916"/>
      <c r="Y4" s="899"/>
      <c r="AA4" s="897"/>
      <c r="AB4" s="897"/>
      <c r="AC4" s="897"/>
      <c r="AD4" s="897"/>
      <c r="AE4" s="897"/>
      <c r="AF4" s="897"/>
      <c r="AG4" s="897"/>
      <c r="AH4" s="897"/>
      <c r="AI4" s="897"/>
    </row>
    <row r="5" spans="2:35" ht="17.100000000000001" customHeight="1">
      <c r="B5" s="905"/>
      <c r="C5" s="906"/>
      <c r="D5" s="898"/>
      <c r="E5" s="898" t="s">
        <v>173</v>
      </c>
      <c r="F5" s="899" t="s">
        <v>759</v>
      </c>
      <c r="G5" s="900" t="s">
        <v>184</v>
      </c>
      <c r="H5" s="900"/>
      <c r="I5" s="900"/>
      <c r="J5" s="900"/>
      <c r="K5" s="900"/>
      <c r="L5" s="900"/>
      <c r="M5" s="900"/>
      <c r="N5" s="900"/>
      <c r="O5" s="900" t="s">
        <v>166</v>
      </c>
      <c r="P5" s="900"/>
      <c r="Q5" s="900" t="s">
        <v>174</v>
      </c>
      <c r="R5" s="900"/>
      <c r="S5" s="900"/>
      <c r="T5" s="897"/>
      <c r="U5" s="910"/>
      <c r="V5" s="916"/>
      <c r="W5" s="919"/>
      <c r="X5" s="916"/>
      <c r="Y5" s="899"/>
      <c r="AA5" s="897"/>
      <c r="AB5" s="897"/>
      <c r="AC5" s="897"/>
      <c r="AD5" s="897"/>
      <c r="AE5" s="897"/>
      <c r="AF5" s="897"/>
      <c r="AG5" s="897"/>
      <c r="AH5" s="897"/>
      <c r="AI5" s="897"/>
    </row>
    <row r="6" spans="2:35" ht="38.450000000000003" customHeight="1">
      <c r="B6" s="907"/>
      <c r="C6" s="908"/>
      <c r="D6" s="898"/>
      <c r="E6" s="898"/>
      <c r="F6" s="899"/>
      <c r="G6" s="382" t="s">
        <v>175</v>
      </c>
      <c r="H6" s="382" t="s">
        <v>744</v>
      </c>
      <c r="I6" s="382" t="s">
        <v>745</v>
      </c>
      <c r="J6" s="382" t="s">
        <v>176</v>
      </c>
      <c r="K6" s="382" t="s">
        <v>746</v>
      </c>
      <c r="L6" s="382" t="s">
        <v>177</v>
      </c>
      <c r="M6" s="382" t="s">
        <v>185</v>
      </c>
      <c r="N6" s="382" t="s">
        <v>178</v>
      </c>
      <c r="O6" s="383" t="s">
        <v>179</v>
      </c>
      <c r="P6" s="383" t="s">
        <v>180</v>
      </c>
      <c r="Q6" s="383" t="s">
        <v>179</v>
      </c>
      <c r="R6" s="383" t="s">
        <v>180</v>
      </c>
      <c r="S6" s="382" t="s">
        <v>181</v>
      </c>
      <c r="T6" s="897"/>
      <c r="U6" s="911"/>
      <c r="V6" s="917"/>
      <c r="W6" s="920"/>
      <c r="X6" s="917"/>
      <c r="Y6" s="899"/>
      <c r="AA6" s="224" t="s">
        <v>747</v>
      </c>
      <c r="AB6" s="224" t="s">
        <v>699</v>
      </c>
      <c r="AC6" s="370" t="s">
        <v>748</v>
      </c>
      <c r="AD6" s="370" t="s">
        <v>701</v>
      </c>
      <c r="AE6" s="370" t="s">
        <v>749</v>
      </c>
      <c r="AF6" s="370" t="s">
        <v>750</v>
      </c>
      <c r="AG6" s="370" t="s">
        <v>751</v>
      </c>
      <c r="AH6" s="370" t="s">
        <v>702</v>
      </c>
      <c r="AI6" s="370" t="s">
        <v>752</v>
      </c>
    </row>
    <row r="7" spans="2:35" s="396" customFormat="1" ht="27" customHeight="1">
      <c r="B7" s="890"/>
      <c r="C7" s="891"/>
      <c r="D7" s="384">
        <v>1</v>
      </c>
      <c r="E7" s="385" t="s">
        <v>931</v>
      </c>
      <c r="F7" s="386">
        <v>2981.8596000000066</v>
      </c>
      <c r="G7" s="386">
        <v>1333.92</v>
      </c>
      <c r="H7" s="386">
        <v>1362.6000000000001</v>
      </c>
      <c r="I7" s="387">
        <v>1.0215005397625045</v>
      </c>
      <c r="J7" s="386">
        <v>0</v>
      </c>
      <c r="K7" s="387">
        <v>0</v>
      </c>
      <c r="L7" s="386">
        <v>103.97</v>
      </c>
      <c r="M7" s="387">
        <v>1.0215005397625045</v>
      </c>
      <c r="N7" s="388">
        <v>2981.8596000000066</v>
      </c>
      <c r="O7" s="386">
        <v>13.499999999999998</v>
      </c>
      <c r="P7" s="387">
        <v>1.012054695933789E-2</v>
      </c>
      <c r="Q7" s="386">
        <v>1403.595</v>
      </c>
      <c r="R7" s="389">
        <v>28.680000000000064</v>
      </c>
      <c r="S7" s="387">
        <v>2.1500539762504545E-2</v>
      </c>
      <c r="T7" s="430" t="s">
        <v>344</v>
      </c>
      <c r="U7" s="390" t="s">
        <v>695</v>
      </c>
      <c r="V7" s="430" t="s">
        <v>912</v>
      </c>
      <c r="W7" s="430" t="s">
        <v>795</v>
      </c>
      <c r="X7" s="391">
        <v>1</v>
      </c>
      <c r="Y7" s="392" t="s">
        <v>762</v>
      </c>
      <c r="Z7" s="393" t="s">
        <v>734</v>
      </c>
      <c r="AA7" s="394">
        <f>SUM(X7:X26)</f>
        <v>20</v>
      </c>
      <c r="AB7" s="395">
        <f>SUMIF($U$7:$U$26,TRIM(AB6),$X$7:$X$26)</f>
        <v>0</v>
      </c>
      <c r="AC7" s="395">
        <f>SUMIF($U$7:$U$26,TRIM(AC6),$X$7:$X$26)</f>
        <v>3</v>
      </c>
      <c r="AD7" s="395">
        <f t="shared" ref="AD7:AI7" ca="1" si="0">SUMIF($U$7:$U$9710,TRIM(AD6),$X$7:$X$26)</f>
        <v>1</v>
      </c>
      <c r="AE7" s="395">
        <f t="shared" ca="1" si="0"/>
        <v>9</v>
      </c>
      <c r="AF7" s="395">
        <f t="shared" ca="1" si="0"/>
        <v>4</v>
      </c>
      <c r="AG7" s="395">
        <f t="shared" ca="1" si="0"/>
        <v>2</v>
      </c>
      <c r="AH7" s="395">
        <f t="shared" ca="1" si="0"/>
        <v>1</v>
      </c>
      <c r="AI7" s="395">
        <f t="shared" ca="1" si="0"/>
        <v>0</v>
      </c>
    </row>
    <row r="8" spans="2:35" s="396" customFormat="1" ht="27" customHeight="1">
      <c r="B8" s="892"/>
      <c r="C8" s="893"/>
      <c r="D8" s="384">
        <v>2</v>
      </c>
      <c r="E8" s="385" t="s">
        <v>354</v>
      </c>
      <c r="F8" s="386">
        <v>2628.8492399999982</v>
      </c>
      <c r="G8" s="386">
        <v>665.64599999999996</v>
      </c>
      <c r="H8" s="386">
        <v>670.59999999999991</v>
      </c>
      <c r="I8" s="387">
        <v>1.0074423943056818</v>
      </c>
      <c r="J8" s="386">
        <v>0.2</v>
      </c>
      <c r="K8" s="387">
        <v>3.0046000426653212E-4</v>
      </c>
      <c r="L8" s="386">
        <v>510.06</v>
      </c>
      <c r="M8" s="387">
        <v>1.0077428543099485</v>
      </c>
      <c r="N8" s="388">
        <v>2526.8372399999748</v>
      </c>
      <c r="O8" s="386">
        <v>1.4</v>
      </c>
      <c r="P8" s="387">
        <v>2.1032200298657243E-3</v>
      </c>
      <c r="Q8" s="386">
        <v>691.62399999999991</v>
      </c>
      <c r="R8" s="389">
        <v>5.1539999999999964</v>
      </c>
      <c r="S8" s="387">
        <v>7.7428543099485264E-3</v>
      </c>
      <c r="T8" s="430" t="s">
        <v>346</v>
      </c>
      <c r="U8" s="390" t="s">
        <v>213</v>
      </c>
      <c r="V8" s="430" t="s">
        <v>1029</v>
      </c>
      <c r="W8" s="431" t="s">
        <v>796</v>
      </c>
      <c r="X8" s="391">
        <v>1</v>
      </c>
      <c r="Y8" s="392" t="s">
        <v>1030</v>
      </c>
      <c r="AA8" s="394"/>
      <c r="AB8" s="398">
        <f>SUMIF($U$7:$U$26,TRIM(AB6),$F$7:$F$26)</f>
        <v>0</v>
      </c>
      <c r="AC8" s="398">
        <f>SUMIF($U$7:$U$26,TRIM(AC6),$F$7:$F$26)</f>
        <v>4288.2147999999961</v>
      </c>
      <c r="AD8" s="398">
        <f t="shared" ref="AD8:AI8" ca="1" si="1">SUMIF($U$7:$U$176,TRIM(AD6),$F$7:$F$26)</f>
        <v>1219.8979000000095</v>
      </c>
      <c r="AE8" s="398">
        <f t="shared" ca="1" si="1"/>
        <v>14881.301100000024</v>
      </c>
      <c r="AF8" s="398">
        <f t="shared" ca="1" si="1"/>
        <v>6261.6111399999991</v>
      </c>
      <c r="AG8" s="398">
        <f t="shared" ca="1" si="1"/>
        <v>4684.1948399999874</v>
      </c>
      <c r="AH8" s="398">
        <f t="shared" ca="1" si="1"/>
        <v>1220.7728400000015</v>
      </c>
      <c r="AI8" s="398">
        <f t="shared" ca="1" si="1"/>
        <v>0</v>
      </c>
    </row>
    <row r="9" spans="2:35" s="396" customFormat="1" ht="27" customHeight="1">
      <c r="B9" s="892"/>
      <c r="C9" s="893"/>
      <c r="D9" s="384">
        <v>3</v>
      </c>
      <c r="E9" s="385" t="s">
        <v>396</v>
      </c>
      <c r="F9" s="386">
        <v>2400.0843000000632</v>
      </c>
      <c r="G9" s="386">
        <v>890.18999999999983</v>
      </c>
      <c r="H9" s="386">
        <v>894.1</v>
      </c>
      <c r="I9" s="387">
        <v>1.0043923207405163</v>
      </c>
      <c r="J9" s="386">
        <v>1.8</v>
      </c>
      <c r="K9" s="387">
        <v>2.0220402386007487E-3</v>
      </c>
      <c r="L9" s="386">
        <v>420.33</v>
      </c>
      <c r="M9" s="387">
        <v>1.006414360979117</v>
      </c>
      <c r="N9" s="388">
        <v>1643.4903000000822</v>
      </c>
      <c r="O9" s="386">
        <v>2</v>
      </c>
      <c r="P9" s="387">
        <v>2.2467113762230538E-3</v>
      </c>
      <c r="Q9" s="386">
        <v>840.66</v>
      </c>
      <c r="R9" s="389">
        <v>5.7100000000001501</v>
      </c>
      <c r="S9" s="387">
        <v>6.4143609791169872E-3</v>
      </c>
      <c r="T9" s="501" t="s">
        <v>346</v>
      </c>
      <c r="U9" s="390" t="s">
        <v>212</v>
      </c>
      <c r="V9" s="430" t="s">
        <v>1031</v>
      </c>
      <c r="W9" s="430" t="s">
        <v>796</v>
      </c>
      <c r="X9" s="391">
        <v>1</v>
      </c>
      <c r="Y9" s="392" t="s">
        <v>376</v>
      </c>
    </row>
    <row r="10" spans="2:35" s="396" customFormat="1" ht="27" customHeight="1">
      <c r="B10" s="892"/>
      <c r="C10" s="893"/>
      <c r="D10" s="384">
        <v>4</v>
      </c>
      <c r="E10" s="385" t="s">
        <v>807</v>
      </c>
      <c r="F10" s="386">
        <v>2372.064299999955</v>
      </c>
      <c r="G10" s="386">
        <v>536.61000000000013</v>
      </c>
      <c r="H10" s="386">
        <v>540.20000000000005</v>
      </c>
      <c r="I10" s="387">
        <v>1.0066901474068688</v>
      </c>
      <c r="J10" s="386">
        <v>1.9000000000000001</v>
      </c>
      <c r="K10" s="387">
        <v>3.5407465384543705E-3</v>
      </c>
      <c r="L10" s="386">
        <v>432.07</v>
      </c>
      <c r="M10" s="387">
        <v>1.0102308939453233</v>
      </c>
      <c r="N10" s="388">
        <v>1551.1312999999645</v>
      </c>
      <c r="O10" s="386">
        <v>1.6</v>
      </c>
      <c r="P10" s="387">
        <v>2.9816812955405225E-3</v>
      </c>
      <c r="Q10" s="386">
        <v>691.3119999999999</v>
      </c>
      <c r="R10" s="389">
        <v>5.4899999999998954</v>
      </c>
      <c r="S10" s="387">
        <v>1.0230893945323222E-2</v>
      </c>
      <c r="T10" s="430" t="s">
        <v>344</v>
      </c>
      <c r="U10" s="390" t="s">
        <v>695</v>
      </c>
      <c r="V10" s="430" t="s">
        <v>1031</v>
      </c>
      <c r="W10" s="430" t="s">
        <v>796</v>
      </c>
      <c r="X10" s="391">
        <v>1</v>
      </c>
      <c r="Y10" s="392" t="s">
        <v>368</v>
      </c>
    </row>
    <row r="11" spans="2:35" s="396" customFormat="1" ht="27" customHeight="1">
      <c r="B11" s="892"/>
      <c r="C11" s="893"/>
      <c r="D11" s="384">
        <v>5</v>
      </c>
      <c r="E11" s="385" t="s">
        <v>882</v>
      </c>
      <c r="F11" s="386">
        <v>2055.3455999999892</v>
      </c>
      <c r="G11" s="386">
        <v>241.38000000000002</v>
      </c>
      <c r="H11" s="386">
        <v>246</v>
      </c>
      <c r="I11" s="387">
        <v>1.0191399453144419</v>
      </c>
      <c r="J11" s="386">
        <v>0</v>
      </c>
      <c r="K11" s="387">
        <v>0</v>
      </c>
      <c r="L11" s="386">
        <v>444.88</v>
      </c>
      <c r="M11" s="387">
        <v>1.0191399453144419</v>
      </c>
      <c r="N11" s="388">
        <v>2055.3455999999892</v>
      </c>
      <c r="O11" s="386">
        <v>1.9000000000000001</v>
      </c>
      <c r="P11" s="387">
        <v>7.8714060816969088E-3</v>
      </c>
      <c r="Q11" s="386">
        <v>845.27200000000016</v>
      </c>
      <c r="R11" s="389">
        <v>4.6199999999999761</v>
      </c>
      <c r="S11" s="387">
        <v>1.9139945314441856E-2</v>
      </c>
      <c r="T11" s="430" t="s">
        <v>346</v>
      </c>
      <c r="U11" s="390" t="s">
        <v>213</v>
      </c>
      <c r="V11" s="430" t="s">
        <v>1031</v>
      </c>
      <c r="W11" s="430" t="s">
        <v>796</v>
      </c>
      <c r="X11" s="391">
        <v>1</v>
      </c>
      <c r="Y11" s="392" t="s">
        <v>877</v>
      </c>
    </row>
    <row r="12" spans="2:35" s="396" customFormat="1" ht="27" customHeight="1">
      <c r="B12" s="892"/>
      <c r="C12" s="893"/>
      <c r="D12" s="384">
        <v>6</v>
      </c>
      <c r="E12" s="385" t="s">
        <v>1012</v>
      </c>
      <c r="F12" s="386">
        <v>1650.8606400000078</v>
      </c>
      <c r="G12" s="386">
        <v>603.13599999999997</v>
      </c>
      <c r="H12" s="386">
        <v>610</v>
      </c>
      <c r="I12" s="387">
        <v>1.0113805178268251</v>
      </c>
      <c r="J12" s="386">
        <v>0</v>
      </c>
      <c r="K12" s="387">
        <v>0</v>
      </c>
      <c r="L12" s="386">
        <v>240.51</v>
      </c>
      <c r="M12" s="387">
        <v>1.0113805178268251</v>
      </c>
      <c r="N12" s="388">
        <v>1650.8606400000078</v>
      </c>
      <c r="O12" s="386">
        <v>4</v>
      </c>
      <c r="P12" s="387">
        <v>6.6320033955857387E-3</v>
      </c>
      <c r="Q12" s="386">
        <v>962.04</v>
      </c>
      <c r="R12" s="389">
        <v>6.8640000000000327</v>
      </c>
      <c r="S12" s="387">
        <v>1.1380517826825183E-2</v>
      </c>
      <c r="T12" s="430" t="s">
        <v>344</v>
      </c>
      <c r="U12" s="390" t="s">
        <v>695</v>
      </c>
      <c r="V12" s="430" t="s">
        <v>803</v>
      </c>
      <c r="W12" s="430" t="s">
        <v>799</v>
      </c>
      <c r="X12" s="391">
        <v>1</v>
      </c>
      <c r="Y12" s="392" t="s">
        <v>801</v>
      </c>
    </row>
    <row r="13" spans="2:35" s="396" customFormat="1" ht="27" customHeight="1">
      <c r="B13" s="892"/>
      <c r="C13" s="893"/>
      <c r="D13" s="384">
        <v>7</v>
      </c>
      <c r="E13" s="385" t="s">
        <v>890</v>
      </c>
      <c r="F13" s="386">
        <v>1541.7787500000327</v>
      </c>
      <c r="G13" s="386">
        <v>1810.3249999999998</v>
      </c>
      <c r="H13" s="386">
        <v>1831.7000000000003</v>
      </c>
      <c r="I13" s="387">
        <v>1.0118072721748861</v>
      </c>
      <c r="J13" s="386">
        <v>0</v>
      </c>
      <c r="K13" s="387">
        <v>0</v>
      </c>
      <c r="L13" s="386">
        <v>72.13</v>
      </c>
      <c r="M13" s="387">
        <v>1.0118072721748861</v>
      </c>
      <c r="N13" s="388">
        <v>1541.7787500000327</v>
      </c>
      <c r="O13" s="386">
        <v>13.000000000000002</v>
      </c>
      <c r="P13" s="387">
        <v>7.1810310303398574E-3</v>
      </c>
      <c r="Q13" s="386">
        <v>937.68999999999994</v>
      </c>
      <c r="R13" s="389">
        <v>21.375000000000455</v>
      </c>
      <c r="S13" s="387">
        <v>1.1807272174885978E-2</v>
      </c>
      <c r="T13" s="501" t="s">
        <v>344</v>
      </c>
      <c r="U13" s="390" t="s">
        <v>695</v>
      </c>
      <c r="V13" s="430" t="s">
        <v>912</v>
      </c>
      <c r="W13" s="430" t="s">
        <v>795</v>
      </c>
      <c r="X13" s="391">
        <v>1</v>
      </c>
      <c r="Y13" s="392" t="s">
        <v>787</v>
      </c>
      <c r="AB13" s="396">
        <v>1</v>
      </c>
      <c r="AC13" s="399" t="s">
        <v>699</v>
      </c>
    </row>
    <row r="14" spans="2:35" s="396" customFormat="1" ht="27" customHeight="1">
      <c r="B14" s="892"/>
      <c r="C14" s="893"/>
      <c r="D14" s="384">
        <v>8</v>
      </c>
      <c r="E14" s="385" t="s">
        <v>811</v>
      </c>
      <c r="F14" s="386">
        <v>1539.6832000000004</v>
      </c>
      <c r="G14" s="386">
        <v>13.092000000000001</v>
      </c>
      <c r="H14" s="386">
        <v>13.200000000000001</v>
      </c>
      <c r="I14" s="387">
        <v>1.0082493125572869</v>
      </c>
      <c r="J14" s="386">
        <v>2</v>
      </c>
      <c r="K14" s="387">
        <v>0.15276504735716467</v>
      </c>
      <c r="L14" s="386">
        <v>730.4</v>
      </c>
      <c r="M14" s="387">
        <v>1.1610143599144516</v>
      </c>
      <c r="N14" s="388">
        <v>78.883200000000386</v>
      </c>
      <c r="O14" s="386">
        <v>0.7</v>
      </c>
      <c r="P14" s="387">
        <v>5.3467766575007632E-2</v>
      </c>
      <c r="Q14" s="386">
        <v>511.28000000000009</v>
      </c>
      <c r="R14" s="389">
        <v>2.1080000000000005</v>
      </c>
      <c r="S14" s="387">
        <v>0.16101435991445162</v>
      </c>
      <c r="T14" s="390" t="s">
        <v>350</v>
      </c>
      <c r="U14" s="390" t="s">
        <v>351</v>
      </c>
      <c r="V14" s="430" t="s">
        <v>1032</v>
      </c>
      <c r="W14" s="430" t="s">
        <v>1033</v>
      </c>
      <c r="X14" s="391">
        <v>1</v>
      </c>
      <c r="Y14" s="392" t="s">
        <v>805</v>
      </c>
      <c r="AB14" s="396">
        <v>2</v>
      </c>
      <c r="AC14" s="399" t="s">
        <v>351</v>
      </c>
    </row>
    <row r="15" spans="2:35" s="396" customFormat="1" ht="27" customHeight="1">
      <c r="B15" s="892"/>
      <c r="C15" s="893"/>
      <c r="D15" s="384">
        <v>9</v>
      </c>
      <c r="E15" s="385" t="s">
        <v>926</v>
      </c>
      <c r="F15" s="386">
        <v>1495.8439999999728</v>
      </c>
      <c r="G15" s="386">
        <v>658.56000000000006</v>
      </c>
      <c r="H15" s="386">
        <v>664.3</v>
      </c>
      <c r="I15" s="387">
        <v>1.0087159863945576</v>
      </c>
      <c r="J15" s="386">
        <v>0</v>
      </c>
      <c r="K15" s="387">
        <v>0</v>
      </c>
      <c r="L15" s="386">
        <v>260.60000000000002</v>
      </c>
      <c r="M15" s="387">
        <v>1.0087159863945576</v>
      </c>
      <c r="N15" s="388">
        <v>1495.8439999999728</v>
      </c>
      <c r="O15" s="386">
        <v>2.8</v>
      </c>
      <c r="P15" s="387">
        <v>4.2517006802721084E-3</v>
      </c>
      <c r="Q15" s="386">
        <v>729.68000000000006</v>
      </c>
      <c r="R15" s="389">
        <v>5.7399999999998954</v>
      </c>
      <c r="S15" s="387">
        <v>8.7159863945576628E-3</v>
      </c>
      <c r="T15" s="390" t="s">
        <v>346</v>
      </c>
      <c r="U15" s="390" t="s">
        <v>212</v>
      </c>
      <c r="V15" s="430" t="s">
        <v>1034</v>
      </c>
      <c r="W15" s="430" t="s">
        <v>796</v>
      </c>
      <c r="X15" s="391">
        <v>1</v>
      </c>
      <c r="Y15" s="392" t="s">
        <v>804</v>
      </c>
      <c r="AB15" s="396">
        <v>3</v>
      </c>
      <c r="AC15" s="399" t="s">
        <v>395</v>
      </c>
    </row>
    <row r="16" spans="2:35" s="396" customFormat="1" ht="27" customHeight="1">
      <c r="B16" s="892"/>
      <c r="C16" s="893"/>
      <c r="D16" s="384">
        <v>10</v>
      </c>
      <c r="E16" s="385" t="s">
        <v>920</v>
      </c>
      <c r="F16" s="386">
        <v>1444.1327200000076</v>
      </c>
      <c r="G16" s="386">
        <v>454.07299999999998</v>
      </c>
      <c r="H16" s="386">
        <v>462.6</v>
      </c>
      <c r="I16" s="387">
        <v>1.0187789188082093</v>
      </c>
      <c r="J16" s="386">
        <v>0</v>
      </c>
      <c r="K16" s="387">
        <v>0</v>
      </c>
      <c r="L16" s="386">
        <v>169.36</v>
      </c>
      <c r="M16" s="387">
        <v>1.0187789188082093</v>
      </c>
      <c r="N16" s="388">
        <v>1444.1327200000076</v>
      </c>
      <c r="O16" s="386">
        <v>5.3000000000000007</v>
      </c>
      <c r="P16" s="387">
        <v>1.167213201401537E-2</v>
      </c>
      <c r="Q16" s="386">
        <v>897.60799999999995</v>
      </c>
      <c r="R16" s="389">
        <v>8.5270000000000437</v>
      </c>
      <c r="S16" s="387">
        <v>1.8778918808209349E-2</v>
      </c>
      <c r="T16" s="430" t="s">
        <v>344</v>
      </c>
      <c r="U16" s="390" t="s">
        <v>695</v>
      </c>
      <c r="V16" s="430" t="s">
        <v>921</v>
      </c>
      <c r="W16" s="430" t="s">
        <v>922</v>
      </c>
      <c r="X16" s="391">
        <v>1</v>
      </c>
      <c r="Y16" s="392" t="s">
        <v>352</v>
      </c>
      <c r="AB16" s="396">
        <v>4</v>
      </c>
      <c r="AC16" s="399" t="s">
        <v>735</v>
      </c>
    </row>
    <row r="17" spans="2:29" s="396" customFormat="1" ht="27" customHeight="1">
      <c r="B17" s="892"/>
      <c r="C17" s="893"/>
      <c r="D17" s="384">
        <v>11</v>
      </c>
      <c r="E17" s="385" t="s">
        <v>1035</v>
      </c>
      <c r="F17" s="386">
        <v>1397.1231999999964</v>
      </c>
      <c r="G17" s="386">
        <v>79.56</v>
      </c>
      <c r="H17" s="386">
        <v>82.6</v>
      </c>
      <c r="I17" s="387">
        <v>1.0382101558572145</v>
      </c>
      <c r="J17" s="386">
        <v>0</v>
      </c>
      <c r="K17" s="387">
        <v>0</v>
      </c>
      <c r="L17" s="386">
        <v>459.58</v>
      </c>
      <c r="M17" s="387">
        <v>1.0382101558572145</v>
      </c>
      <c r="N17" s="388">
        <v>1397.1231999999964</v>
      </c>
      <c r="O17" s="386">
        <v>1.5999999999999999</v>
      </c>
      <c r="P17" s="387">
        <v>2.0110608345902461E-2</v>
      </c>
      <c r="Q17" s="386">
        <v>735.32799999999997</v>
      </c>
      <c r="R17" s="389">
        <v>3.039999999999992</v>
      </c>
      <c r="S17" s="387">
        <v>3.821015585721458E-2</v>
      </c>
      <c r="T17" s="390" t="s">
        <v>350</v>
      </c>
      <c r="U17" s="390" t="s">
        <v>351</v>
      </c>
      <c r="V17" s="430" t="s">
        <v>1036</v>
      </c>
      <c r="W17" s="430" t="s">
        <v>1037</v>
      </c>
      <c r="X17" s="391">
        <v>1</v>
      </c>
      <c r="Y17" s="392" t="s">
        <v>876</v>
      </c>
      <c r="AB17" s="396">
        <v>5</v>
      </c>
      <c r="AC17" s="399" t="s">
        <v>212</v>
      </c>
    </row>
    <row r="18" spans="2:29" s="396" customFormat="1" ht="27" customHeight="1">
      <c r="B18" s="892"/>
      <c r="C18" s="893"/>
      <c r="D18" s="384">
        <v>12</v>
      </c>
      <c r="E18" s="385" t="s">
        <v>880</v>
      </c>
      <c r="F18" s="386">
        <v>1351.4083999999991</v>
      </c>
      <c r="G18" s="386">
        <v>224.31</v>
      </c>
      <c r="H18" s="386">
        <v>236.6</v>
      </c>
      <c r="I18" s="387">
        <v>1.0547902456421916</v>
      </c>
      <c r="J18" s="386">
        <v>0</v>
      </c>
      <c r="K18" s="387">
        <v>0</v>
      </c>
      <c r="L18" s="386">
        <v>109.96</v>
      </c>
      <c r="M18" s="387">
        <v>1.0547902456421916</v>
      </c>
      <c r="N18" s="388">
        <v>1351.4083999999991</v>
      </c>
      <c r="O18" s="386">
        <v>7.2000000000000011</v>
      </c>
      <c r="P18" s="387">
        <v>3.2098435201283942E-2</v>
      </c>
      <c r="Q18" s="386">
        <v>791.71199999999999</v>
      </c>
      <c r="R18" s="389">
        <v>12.289999999999992</v>
      </c>
      <c r="S18" s="387">
        <v>5.4790245642191572E-2</v>
      </c>
      <c r="T18" s="390" t="s">
        <v>350</v>
      </c>
      <c r="U18" s="390" t="s">
        <v>351</v>
      </c>
      <c r="V18" s="430" t="s">
        <v>1038</v>
      </c>
      <c r="W18" s="430" t="s">
        <v>1039</v>
      </c>
      <c r="X18" s="391">
        <v>1</v>
      </c>
      <c r="Y18" s="392" t="s">
        <v>879</v>
      </c>
      <c r="AB18" s="396">
        <v>6</v>
      </c>
      <c r="AC18" s="399" t="s">
        <v>213</v>
      </c>
    </row>
    <row r="19" spans="2:29" s="396" customFormat="1" ht="27" customHeight="1">
      <c r="B19" s="892"/>
      <c r="C19" s="893"/>
      <c r="D19" s="384">
        <v>13</v>
      </c>
      <c r="E19" s="385" t="s">
        <v>919</v>
      </c>
      <c r="F19" s="386">
        <v>1277.7871999999893</v>
      </c>
      <c r="G19" s="386">
        <v>787.77600000000007</v>
      </c>
      <c r="H19" s="386">
        <v>804.19999999999993</v>
      </c>
      <c r="I19" s="387">
        <v>1.0208485660898527</v>
      </c>
      <c r="J19" s="386">
        <v>0</v>
      </c>
      <c r="K19" s="387">
        <v>0</v>
      </c>
      <c r="L19" s="386">
        <v>77.8</v>
      </c>
      <c r="M19" s="387">
        <v>1.0208485660898527</v>
      </c>
      <c r="N19" s="388">
        <v>1277.7871999999893</v>
      </c>
      <c r="O19" s="386">
        <v>6.8000000000000007</v>
      </c>
      <c r="P19" s="387">
        <v>8.6318953611178809E-3</v>
      </c>
      <c r="Q19" s="386">
        <v>529.04</v>
      </c>
      <c r="R19" s="389">
        <v>16.423999999999864</v>
      </c>
      <c r="S19" s="387">
        <v>2.084856608985278E-2</v>
      </c>
      <c r="T19" s="390" t="s">
        <v>344</v>
      </c>
      <c r="U19" s="390" t="s">
        <v>695</v>
      </c>
      <c r="V19" s="430" t="s">
        <v>912</v>
      </c>
      <c r="W19" s="430" t="s">
        <v>795</v>
      </c>
      <c r="X19" s="391">
        <v>1</v>
      </c>
      <c r="Y19" s="392" t="s">
        <v>801</v>
      </c>
      <c r="AB19" s="396">
        <v>7</v>
      </c>
      <c r="AC19" s="399" t="s">
        <v>736</v>
      </c>
    </row>
    <row r="20" spans="2:29" s="396" customFormat="1" ht="27" customHeight="1">
      <c r="B20" s="892"/>
      <c r="C20" s="893"/>
      <c r="D20" s="384">
        <v>14</v>
      </c>
      <c r="E20" s="385" t="s">
        <v>789</v>
      </c>
      <c r="F20" s="386">
        <v>1269.2440799999597</v>
      </c>
      <c r="G20" s="386">
        <v>1759.9280000000001</v>
      </c>
      <c r="H20" s="386">
        <v>1769.1999999999998</v>
      </c>
      <c r="I20" s="387">
        <v>1.0052683973435275</v>
      </c>
      <c r="J20" s="386">
        <v>0</v>
      </c>
      <c r="K20" s="387">
        <v>0</v>
      </c>
      <c r="L20" s="386">
        <v>136.88999999999999</v>
      </c>
      <c r="M20" s="387">
        <v>1.0052683973435275</v>
      </c>
      <c r="N20" s="388">
        <v>1269.2440799999597</v>
      </c>
      <c r="O20" s="386">
        <v>4.7</v>
      </c>
      <c r="P20" s="387">
        <v>2.6705637957916461E-3</v>
      </c>
      <c r="Q20" s="386">
        <v>643.38300000000004</v>
      </c>
      <c r="R20" s="389">
        <v>9.2719999999997071</v>
      </c>
      <c r="S20" s="387">
        <v>5.2683973435275235E-3</v>
      </c>
      <c r="T20" s="390" t="s">
        <v>346</v>
      </c>
      <c r="U20" s="390" t="s">
        <v>212</v>
      </c>
      <c r="V20" s="430" t="s">
        <v>1029</v>
      </c>
      <c r="W20" s="430" t="s">
        <v>796</v>
      </c>
      <c r="X20" s="391">
        <v>1</v>
      </c>
      <c r="Y20" s="392" t="s">
        <v>352</v>
      </c>
      <c r="AB20" s="396">
        <v>8</v>
      </c>
      <c r="AC20" s="400" t="s">
        <v>737</v>
      </c>
    </row>
    <row r="21" spans="2:29" s="396" customFormat="1" ht="27" customHeight="1">
      <c r="B21" s="892"/>
      <c r="C21" s="893"/>
      <c r="D21" s="384">
        <v>15</v>
      </c>
      <c r="E21" s="385" t="s">
        <v>930</v>
      </c>
      <c r="F21" s="386">
        <v>1242.0120000000227</v>
      </c>
      <c r="G21" s="386">
        <v>1972.8</v>
      </c>
      <c r="H21" s="386">
        <v>1990.2000000000003</v>
      </c>
      <c r="I21" s="387">
        <v>1.0088199513381997</v>
      </c>
      <c r="J21" s="386">
        <v>0</v>
      </c>
      <c r="K21" s="387">
        <v>0</v>
      </c>
      <c r="L21" s="386">
        <v>71.38</v>
      </c>
      <c r="M21" s="387">
        <v>1.0088199513381997</v>
      </c>
      <c r="N21" s="388">
        <v>1242.0120000000227</v>
      </c>
      <c r="O21" s="386">
        <v>7.7</v>
      </c>
      <c r="P21" s="387">
        <v>3.9030819140308194E-3</v>
      </c>
      <c r="Q21" s="386">
        <v>549.62600000000009</v>
      </c>
      <c r="R21" s="389">
        <v>17.400000000000318</v>
      </c>
      <c r="S21" s="387">
        <v>8.8199513381996743E-3</v>
      </c>
      <c r="T21" s="390" t="s">
        <v>344</v>
      </c>
      <c r="U21" s="390" t="s">
        <v>695</v>
      </c>
      <c r="V21" s="430" t="s">
        <v>912</v>
      </c>
      <c r="W21" s="430" t="s">
        <v>795</v>
      </c>
      <c r="X21" s="391">
        <v>1</v>
      </c>
      <c r="Y21" s="392" t="s">
        <v>786</v>
      </c>
      <c r="AC21" s="399"/>
    </row>
    <row r="22" spans="2:29" s="396" customFormat="1" ht="27" customHeight="1">
      <c r="B22" s="892"/>
      <c r="C22" s="893"/>
      <c r="D22" s="384">
        <v>16</v>
      </c>
      <c r="E22" s="385" t="s">
        <v>1024</v>
      </c>
      <c r="F22" s="386">
        <v>1220.7728400000015</v>
      </c>
      <c r="G22" s="386">
        <v>17.567999999999998</v>
      </c>
      <c r="H22" s="386">
        <v>18.8</v>
      </c>
      <c r="I22" s="387">
        <v>1.0701275045537342</v>
      </c>
      <c r="J22" s="386">
        <v>0.7</v>
      </c>
      <c r="K22" s="387">
        <v>3.9845173041894354E-2</v>
      </c>
      <c r="L22" s="386">
        <v>631.87</v>
      </c>
      <c r="M22" s="387">
        <v>1.1099726775956285</v>
      </c>
      <c r="N22" s="388">
        <v>778.46384000000182</v>
      </c>
      <c r="O22" s="386">
        <v>1</v>
      </c>
      <c r="P22" s="387">
        <v>5.6921675774134796E-2</v>
      </c>
      <c r="Q22" s="386">
        <v>631.87</v>
      </c>
      <c r="R22" s="389">
        <v>1.9320000000000022</v>
      </c>
      <c r="S22" s="387">
        <v>0.10997267759562855</v>
      </c>
      <c r="T22" s="390" t="s">
        <v>346</v>
      </c>
      <c r="U22" s="390" t="s">
        <v>736</v>
      </c>
      <c r="V22" s="430" t="s">
        <v>1040</v>
      </c>
      <c r="W22" s="430" t="s">
        <v>1041</v>
      </c>
      <c r="X22" s="391">
        <v>1</v>
      </c>
      <c r="Y22" s="392" t="s">
        <v>956</v>
      </c>
      <c r="AC22" s="399"/>
    </row>
    <row r="23" spans="2:29" s="396" customFormat="1" ht="27" customHeight="1">
      <c r="B23" s="892"/>
      <c r="C23" s="893"/>
      <c r="D23" s="384">
        <v>17</v>
      </c>
      <c r="E23" s="385" t="s">
        <v>881</v>
      </c>
      <c r="F23" s="386">
        <v>1219.8979000000095</v>
      </c>
      <c r="G23" s="386">
        <v>541.46499999999992</v>
      </c>
      <c r="H23" s="386">
        <v>557.70000000000005</v>
      </c>
      <c r="I23" s="387">
        <v>1.0299834707691173</v>
      </c>
      <c r="J23" s="386">
        <v>0</v>
      </c>
      <c r="K23" s="387">
        <v>0</v>
      </c>
      <c r="L23" s="386">
        <v>75.14</v>
      </c>
      <c r="M23" s="387">
        <v>1.0299834707691173</v>
      </c>
      <c r="N23" s="388">
        <v>1219.8979000000095</v>
      </c>
      <c r="O23" s="386">
        <v>7.6</v>
      </c>
      <c r="P23" s="387">
        <v>1.4035994939654458E-2</v>
      </c>
      <c r="Q23" s="386">
        <v>571.06399999999996</v>
      </c>
      <c r="R23" s="389">
        <v>16.235000000000127</v>
      </c>
      <c r="S23" s="387">
        <v>2.9983470769117358E-2</v>
      </c>
      <c r="T23" s="430" t="s">
        <v>350</v>
      </c>
      <c r="U23" s="390" t="s">
        <v>395</v>
      </c>
      <c r="V23" s="430" t="s">
        <v>803</v>
      </c>
      <c r="W23" s="430" t="s">
        <v>799</v>
      </c>
      <c r="X23" s="391">
        <v>1</v>
      </c>
      <c r="Y23" s="392" t="s">
        <v>352</v>
      </c>
      <c r="AB23" s="401">
        <v>1</v>
      </c>
      <c r="AC23" s="399" t="s">
        <v>350</v>
      </c>
    </row>
    <row r="24" spans="2:29" s="396" customFormat="1" ht="27" customHeight="1">
      <c r="B24" s="892"/>
      <c r="C24" s="893"/>
      <c r="D24" s="384">
        <v>18</v>
      </c>
      <c r="E24" s="385" t="s">
        <v>797</v>
      </c>
      <c r="F24" s="386">
        <v>1218.6455399999988</v>
      </c>
      <c r="G24" s="386">
        <v>1546.038</v>
      </c>
      <c r="H24" s="386">
        <v>1557</v>
      </c>
      <c r="I24" s="387">
        <v>1.0070903819957853</v>
      </c>
      <c r="J24" s="386">
        <v>0</v>
      </c>
      <c r="K24" s="387">
        <v>0</v>
      </c>
      <c r="L24" s="386">
        <v>111.17</v>
      </c>
      <c r="M24" s="387">
        <v>1.0070903819957853</v>
      </c>
      <c r="N24" s="388">
        <v>1218.6455399999988</v>
      </c>
      <c r="O24" s="386">
        <v>6.1000000000000005</v>
      </c>
      <c r="P24" s="387">
        <v>3.9455692550894612E-3</v>
      </c>
      <c r="Q24" s="386">
        <v>678.13699999999994</v>
      </c>
      <c r="R24" s="389">
        <v>10.961999999999989</v>
      </c>
      <c r="S24" s="387">
        <v>7.0903819957853489E-3</v>
      </c>
      <c r="T24" s="430" t="s">
        <v>344</v>
      </c>
      <c r="U24" s="390" t="s">
        <v>695</v>
      </c>
      <c r="V24" s="430" t="s">
        <v>1042</v>
      </c>
      <c r="W24" s="430" t="s">
        <v>798</v>
      </c>
      <c r="X24" s="391">
        <v>1</v>
      </c>
      <c r="Y24" s="392" t="s">
        <v>352</v>
      </c>
      <c r="AB24" s="396">
        <v>2</v>
      </c>
      <c r="AC24" s="399" t="s">
        <v>398</v>
      </c>
    </row>
    <row r="25" spans="2:29" s="396" customFormat="1" ht="27" customHeight="1">
      <c r="B25" s="892"/>
      <c r="C25" s="893"/>
      <c r="D25" s="384">
        <v>19</v>
      </c>
      <c r="E25" s="385" t="s">
        <v>808</v>
      </c>
      <c r="F25" s="386">
        <v>1152.1603500000033</v>
      </c>
      <c r="G25" s="386">
        <v>958.75499999999988</v>
      </c>
      <c r="H25" s="386">
        <v>968.59999999999991</v>
      </c>
      <c r="I25" s="387">
        <v>1.0102685253271169</v>
      </c>
      <c r="J25" s="386">
        <v>0</v>
      </c>
      <c r="K25" s="387">
        <v>0</v>
      </c>
      <c r="L25" s="386">
        <v>117.03</v>
      </c>
      <c r="M25" s="387">
        <v>1.0102685253271169</v>
      </c>
      <c r="N25" s="388">
        <v>1152.1603500000033</v>
      </c>
      <c r="O25" s="386">
        <v>5.6000000000000005</v>
      </c>
      <c r="P25" s="387">
        <v>5.840908261234623E-3</v>
      </c>
      <c r="Q25" s="386">
        <v>655.36800000000005</v>
      </c>
      <c r="R25" s="389">
        <v>9.8450000000000273</v>
      </c>
      <c r="S25" s="387">
        <v>1.0268525327116968E-2</v>
      </c>
      <c r="T25" s="390" t="s">
        <v>344</v>
      </c>
      <c r="U25" s="390" t="s">
        <v>695</v>
      </c>
      <c r="V25" s="430" t="s">
        <v>913</v>
      </c>
      <c r="W25" s="430" t="s">
        <v>798</v>
      </c>
      <c r="X25" s="391">
        <v>1</v>
      </c>
      <c r="Y25" s="392" t="s">
        <v>804</v>
      </c>
      <c r="AB25" s="402">
        <v>3</v>
      </c>
      <c r="AC25" s="399" t="s">
        <v>344</v>
      </c>
    </row>
    <row r="26" spans="2:29" s="396" customFormat="1" ht="27" customHeight="1">
      <c r="B26" s="894"/>
      <c r="C26" s="895"/>
      <c r="D26" s="384">
        <v>20</v>
      </c>
      <c r="E26" s="385" t="s">
        <v>934</v>
      </c>
      <c r="F26" s="386">
        <v>1096.4387600000034</v>
      </c>
      <c r="G26" s="386">
        <v>109.96799999999999</v>
      </c>
      <c r="H26" s="386">
        <v>113.5</v>
      </c>
      <c r="I26" s="387">
        <v>1.0321184344536594</v>
      </c>
      <c r="J26" s="386">
        <v>0</v>
      </c>
      <c r="K26" s="387">
        <v>0</v>
      </c>
      <c r="L26" s="386">
        <v>310.43</v>
      </c>
      <c r="M26" s="387">
        <v>1.0321184344536594</v>
      </c>
      <c r="N26" s="388">
        <v>1096.4387600000034</v>
      </c>
      <c r="O26" s="386">
        <v>2.3000000000000003</v>
      </c>
      <c r="P26" s="387">
        <v>2.0915175323730543E-2</v>
      </c>
      <c r="Q26" s="386">
        <v>713.98900000000003</v>
      </c>
      <c r="R26" s="389">
        <v>3.5320000000000107</v>
      </c>
      <c r="S26" s="387">
        <v>3.2118434453659347E-2</v>
      </c>
      <c r="T26" s="501" t="s">
        <v>346</v>
      </c>
      <c r="U26" s="390" t="s">
        <v>212</v>
      </c>
      <c r="V26" s="430" t="s">
        <v>1034</v>
      </c>
      <c r="W26" s="430" t="s">
        <v>796</v>
      </c>
      <c r="X26" s="391">
        <v>1</v>
      </c>
      <c r="Y26" s="392" t="s">
        <v>345</v>
      </c>
      <c r="AB26" s="402">
        <v>4</v>
      </c>
      <c r="AC26" s="399" t="s">
        <v>346</v>
      </c>
    </row>
    <row r="27" spans="2:29" ht="29.45" customHeight="1">
      <c r="C27" s="896"/>
      <c r="AB27" s="396"/>
      <c r="AC27" s="399"/>
    </row>
    <row r="28" spans="2:29">
      <c r="C28" s="896"/>
    </row>
    <row r="29" spans="2:29">
      <c r="C29" s="896"/>
    </row>
    <row r="30" spans="2:29">
      <c r="C30" s="896"/>
    </row>
    <row r="31" spans="2:29">
      <c r="C31" s="896"/>
    </row>
    <row r="32" spans="2:29">
      <c r="C32" s="896"/>
    </row>
    <row r="33" spans="3:3">
      <c r="C33" s="896"/>
    </row>
    <row r="34" spans="3:3">
      <c r="C34" s="896"/>
    </row>
    <row r="35" spans="3:3">
      <c r="C35" s="896"/>
    </row>
    <row r="36" spans="3:3">
      <c r="C36" s="896"/>
    </row>
    <row r="67" ht="14.1" customHeight="1"/>
    <row r="77" ht="14.1" customHeight="1"/>
    <row r="87" ht="14.1" customHeight="1"/>
    <row r="112" spans="26:26">
      <c r="Z112" s="403" t="s">
        <v>738</v>
      </c>
    </row>
    <row r="113" spans="26:26">
      <c r="Z113" s="396" t="s">
        <v>739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70"/>
  <sheetViews>
    <sheetView zoomScale="70" zoomScaleNormal="70" workbookViewId="0">
      <selection activeCell="L23" sqref="L23"/>
    </sheetView>
  </sheetViews>
  <sheetFormatPr defaultColWidth="8.28515625" defaultRowHeight="15"/>
  <cols>
    <col min="1" max="1" width="18.42578125" style="404" customWidth="1"/>
    <col min="2" max="2" width="21.140625" style="404" bestFit="1" customWidth="1"/>
    <col min="3" max="6" width="14.28515625" style="404" customWidth="1"/>
    <col min="7" max="10" width="18.42578125" style="404" customWidth="1"/>
    <col min="11" max="11" width="17.140625" style="404" bestFit="1" customWidth="1"/>
    <col min="12" max="12" width="16" style="404" customWidth="1"/>
    <col min="13" max="13" width="23.28515625" style="404" bestFit="1" customWidth="1"/>
    <col min="14" max="15" width="13.28515625" style="404" bestFit="1" customWidth="1"/>
    <col min="16" max="16" width="8.28515625" style="404"/>
    <col min="17" max="17" width="12.85546875" style="404" bestFit="1" customWidth="1"/>
    <col min="18" max="16384" width="8.28515625" style="404"/>
  </cols>
  <sheetData>
    <row r="1" spans="1:18" ht="27" customHeight="1">
      <c r="A1" s="921" t="s">
        <v>765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</row>
    <row r="2" spans="1:18" ht="16.5" customHeight="1">
      <c r="A2" s="922" t="s">
        <v>766</v>
      </c>
      <c r="B2" s="922" t="s">
        <v>767</v>
      </c>
      <c r="C2" s="922" t="s">
        <v>768</v>
      </c>
      <c r="D2" s="922" t="s">
        <v>769</v>
      </c>
      <c r="E2" s="922" t="s">
        <v>770</v>
      </c>
      <c r="F2" s="922" t="s">
        <v>771</v>
      </c>
      <c r="G2" s="922" t="s">
        <v>772</v>
      </c>
      <c r="H2" s="922"/>
      <c r="I2" s="922" t="s">
        <v>773</v>
      </c>
      <c r="J2" s="922"/>
      <c r="K2" s="922" t="s">
        <v>774</v>
      </c>
      <c r="L2" s="922"/>
      <c r="M2" s="923" t="s">
        <v>775</v>
      </c>
      <c r="N2" s="923"/>
      <c r="O2" s="923"/>
    </row>
    <row r="3" spans="1:18" ht="37.5" customHeight="1">
      <c r="A3" s="922"/>
      <c r="B3" s="922"/>
      <c r="C3" s="922"/>
      <c r="D3" s="922"/>
      <c r="E3" s="922"/>
      <c r="F3" s="922"/>
      <c r="G3" s="552" t="s">
        <v>776</v>
      </c>
      <c r="H3" s="552" t="s">
        <v>777</v>
      </c>
      <c r="I3" s="552" t="s">
        <v>776</v>
      </c>
      <c r="J3" s="552" t="s">
        <v>777</v>
      </c>
      <c r="K3" s="552" t="s">
        <v>778</v>
      </c>
      <c r="L3" s="552" t="s">
        <v>779</v>
      </c>
      <c r="M3" s="454" t="s">
        <v>780</v>
      </c>
      <c r="N3" s="405" t="s">
        <v>781</v>
      </c>
      <c r="O3" s="405" t="s">
        <v>782</v>
      </c>
    </row>
    <row r="4" spans="1:18" ht="18.75">
      <c r="A4" s="502">
        <v>46082</v>
      </c>
      <c r="B4" s="432">
        <v>7873403</v>
      </c>
      <c r="C4" s="432">
        <v>19055</v>
      </c>
      <c r="D4" s="467">
        <f t="shared" ref="D4:D18" si="0">C4/B4</f>
        <v>2.4201733354687928E-3</v>
      </c>
      <c r="E4" s="433">
        <v>13141.722666341599</v>
      </c>
      <c r="F4" s="409">
        <f t="shared" ref="F4:F15" si="1">E4/B4</f>
        <v>1.6691286685492409E-3</v>
      </c>
      <c r="G4" s="432">
        <v>1749.3900000000003</v>
      </c>
      <c r="H4" s="410">
        <f t="shared" ref="H4:H16" si="2">G4/C4</f>
        <v>9.1807399632642367E-2</v>
      </c>
      <c r="I4" s="411">
        <v>1574.7586099999955</v>
      </c>
      <c r="J4" s="410">
        <f t="shared" ref="J4:J17" si="3">I4/E4</f>
        <v>0.11982893338886583</v>
      </c>
      <c r="K4" s="434">
        <v>3245.5180000000005</v>
      </c>
      <c r="L4" s="435">
        <f t="shared" ref="L4:L40" si="4">K4/C4</f>
        <v>0.17032369456835478</v>
      </c>
      <c r="M4" s="555">
        <f>SUM(B4:B5)</f>
        <v>15610006</v>
      </c>
      <c r="N4" s="556">
        <f>SUM(C4:C5)</f>
        <v>38009</v>
      </c>
      <c r="O4" s="556">
        <f>SUM(E4:E5)</f>
        <v>28180.464998061434</v>
      </c>
    </row>
    <row r="5" spans="1:18" ht="18.75">
      <c r="A5" s="502">
        <f>A4+1</f>
        <v>46083</v>
      </c>
      <c r="B5" s="432">
        <v>7736603</v>
      </c>
      <c r="C5" s="432">
        <v>18954</v>
      </c>
      <c r="D5" s="467">
        <f t="shared" si="0"/>
        <v>2.4499124486547907E-3</v>
      </c>
      <c r="E5" s="433">
        <v>15038.742331719834</v>
      </c>
      <c r="F5" s="409">
        <f t="shared" si="1"/>
        <v>1.9438430964752661E-3</v>
      </c>
      <c r="G5" s="432">
        <v>1353.3689999999999</v>
      </c>
      <c r="H5" s="410">
        <f t="shared" si="2"/>
        <v>7.1402817347261782E-2</v>
      </c>
      <c r="I5" s="411">
        <v>1551.2935699999998</v>
      </c>
      <c r="J5" s="410">
        <f t="shared" si="3"/>
        <v>0.10315314510894966</v>
      </c>
      <c r="K5" s="434">
        <v>3249.6240000000007</v>
      </c>
      <c r="L5" s="435">
        <f t="shared" si="4"/>
        <v>0.17144792655903771</v>
      </c>
      <c r="M5" s="555"/>
      <c r="N5" s="556"/>
      <c r="O5" s="556"/>
    </row>
    <row r="6" spans="1:18" ht="18.75">
      <c r="A6" s="414">
        <f t="shared" ref="A6:A40" si="5">A5+1</f>
        <v>46084</v>
      </c>
      <c r="B6" s="432">
        <v>8673470</v>
      </c>
      <c r="C6" s="432">
        <v>21315</v>
      </c>
      <c r="D6" s="467">
        <f t="shared" si="0"/>
        <v>2.457493944176898E-3</v>
      </c>
      <c r="E6" s="433">
        <v>15814</v>
      </c>
      <c r="F6" s="409">
        <f t="shared" si="1"/>
        <v>1.8232610477698084E-3</v>
      </c>
      <c r="G6" s="432">
        <v>1316</v>
      </c>
      <c r="H6" s="410">
        <f t="shared" si="2"/>
        <v>6.1740558292282428E-2</v>
      </c>
      <c r="I6" s="411">
        <v>1565</v>
      </c>
      <c r="J6" s="410">
        <f t="shared" si="3"/>
        <v>9.8962944226634625E-2</v>
      </c>
      <c r="K6" s="434">
        <v>3487</v>
      </c>
      <c r="L6" s="435">
        <f t="shared" si="4"/>
        <v>0.16359371334740794</v>
      </c>
      <c r="M6" s="555">
        <f>SUM(B6:B12)</f>
        <v>53050901</v>
      </c>
      <c r="N6" s="556">
        <f>SUM(C6:C12)</f>
        <v>129836</v>
      </c>
      <c r="O6" s="556">
        <f>SUM(E6:E12)</f>
        <v>102537</v>
      </c>
    </row>
    <row r="7" spans="1:18" ht="18.75">
      <c r="A7" s="414">
        <f t="shared" si="5"/>
        <v>46085</v>
      </c>
      <c r="B7" s="432">
        <v>7833391</v>
      </c>
      <c r="C7" s="432">
        <v>19208</v>
      </c>
      <c r="D7" s="467">
        <f t="shared" si="0"/>
        <v>2.4520670549957229E-3</v>
      </c>
      <c r="E7" s="433">
        <v>14553</v>
      </c>
      <c r="F7" s="409">
        <f t="shared" si="1"/>
        <v>1.8578161105452288E-3</v>
      </c>
      <c r="G7" s="432">
        <v>1418</v>
      </c>
      <c r="H7" s="410">
        <f t="shared" si="2"/>
        <v>7.3823406913785916E-2</v>
      </c>
      <c r="I7" s="411">
        <v>1554</v>
      </c>
      <c r="J7" s="410">
        <f t="shared" si="3"/>
        <v>0.10678210678210678</v>
      </c>
      <c r="K7" s="434">
        <v>2696</v>
      </c>
      <c r="L7" s="435">
        <f t="shared" si="4"/>
        <v>0.14035818408996251</v>
      </c>
      <c r="M7" s="555"/>
      <c r="N7" s="556"/>
      <c r="O7" s="556"/>
    </row>
    <row r="8" spans="1:18" ht="18.75">
      <c r="A8" s="414">
        <f t="shared" si="5"/>
        <v>46086</v>
      </c>
      <c r="B8" s="432">
        <v>7120934</v>
      </c>
      <c r="C8" s="432">
        <v>17511</v>
      </c>
      <c r="D8" s="467">
        <f t="shared" si="0"/>
        <v>2.459087529809994E-3</v>
      </c>
      <c r="E8" s="433">
        <v>14652</v>
      </c>
      <c r="F8" s="409">
        <f t="shared" si="1"/>
        <v>2.0575952536563322E-3</v>
      </c>
      <c r="G8" s="432">
        <v>1386</v>
      </c>
      <c r="H8" s="410">
        <f t="shared" si="2"/>
        <v>7.9150248415281829E-2</v>
      </c>
      <c r="I8" s="411">
        <v>1530</v>
      </c>
      <c r="J8" s="410">
        <f t="shared" si="3"/>
        <v>0.10442260442260443</v>
      </c>
      <c r="K8" s="434">
        <v>2531</v>
      </c>
      <c r="L8" s="435">
        <f t="shared" si="4"/>
        <v>0.14453771914796415</v>
      </c>
      <c r="M8" s="555"/>
      <c r="N8" s="556"/>
      <c r="O8" s="556"/>
      <c r="P8" s="415"/>
      <c r="Q8" s="415"/>
      <c r="R8" s="415"/>
    </row>
    <row r="9" spans="1:18" ht="18.75">
      <c r="A9" s="414">
        <f t="shared" si="5"/>
        <v>46087</v>
      </c>
      <c r="B9" s="432">
        <v>6319241</v>
      </c>
      <c r="C9" s="432">
        <v>15285</v>
      </c>
      <c r="D9" s="467">
        <f t="shared" si="0"/>
        <v>2.4188031442383667E-3</v>
      </c>
      <c r="E9" s="433">
        <v>13052</v>
      </c>
      <c r="F9" s="409">
        <f t="shared" si="1"/>
        <v>2.0654379220542466E-3</v>
      </c>
      <c r="G9" s="432">
        <v>1317</v>
      </c>
      <c r="H9" s="410">
        <f t="shared" si="2"/>
        <v>8.6162904808635921E-2</v>
      </c>
      <c r="I9" s="411">
        <v>1447</v>
      </c>
      <c r="J9" s="410">
        <f t="shared" si="3"/>
        <v>0.1108642353662274</v>
      </c>
      <c r="K9" s="434">
        <v>2524</v>
      </c>
      <c r="L9" s="435">
        <f t="shared" si="4"/>
        <v>0.16512921164540398</v>
      </c>
      <c r="M9" s="555"/>
      <c r="N9" s="556"/>
      <c r="O9" s="556"/>
    </row>
    <row r="10" spans="1:18" ht="18.75">
      <c r="A10" s="414">
        <f t="shared" si="5"/>
        <v>46088</v>
      </c>
      <c r="B10" s="432">
        <v>6868140</v>
      </c>
      <c r="C10" s="432">
        <v>16881</v>
      </c>
      <c r="D10" s="467">
        <f t="shared" si="0"/>
        <v>2.4578706898811032E-3</v>
      </c>
      <c r="E10" s="433">
        <v>13255</v>
      </c>
      <c r="F10" s="409">
        <f t="shared" si="1"/>
        <v>1.9299257149679534E-3</v>
      </c>
      <c r="G10" s="432">
        <v>1429</v>
      </c>
      <c r="H10" s="410">
        <f t="shared" si="2"/>
        <v>8.4651383211895026E-2</v>
      </c>
      <c r="I10" s="411">
        <v>1373</v>
      </c>
      <c r="J10" s="410">
        <f t="shared" si="3"/>
        <v>0.10358355337608449</v>
      </c>
      <c r="K10" s="434">
        <v>2990</v>
      </c>
      <c r="L10" s="435">
        <f t="shared" si="4"/>
        <v>0.17712220839997631</v>
      </c>
      <c r="M10" s="555"/>
      <c r="N10" s="556"/>
      <c r="O10" s="556"/>
      <c r="P10" s="416"/>
      <c r="Q10" s="416"/>
    </row>
    <row r="11" spans="1:18" ht="18.75">
      <c r="A11" s="414">
        <f t="shared" si="5"/>
        <v>46089</v>
      </c>
      <c r="B11" s="432">
        <v>8317813</v>
      </c>
      <c r="C11" s="432">
        <v>20303</v>
      </c>
      <c r="D11" s="467">
        <f t="shared" si="0"/>
        <v>2.4409060410470877E-3</v>
      </c>
      <c r="E11" s="433">
        <v>15543</v>
      </c>
      <c r="F11" s="409">
        <f t="shared" si="1"/>
        <v>1.8686402303105395E-3</v>
      </c>
      <c r="G11" s="432">
        <v>1332</v>
      </c>
      <c r="H11" s="410">
        <f t="shared" si="2"/>
        <v>6.5606068068758308E-2</v>
      </c>
      <c r="I11" s="411">
        <v>1310</v>
      </c>
      <c r="J11" s="410">
        <f t="shared" si="3"/>
        <v>8.4282313581676635E-2</v>
      </c>
      <c r="K11" s="434">
        <v>3098</v>
      </c>
      <c r="L11" s="435">
        <f t="shared" si="4"/>
        <v>0.15258828744520514</v>
      </c>
      <c r="M11" s="555"/>
      <c r="N11" s="556"/>
      <c r="O11" s="556"/>
    </row>
    <row r="12" spans="1:18" ht="18.75">
      <c r="A12" s="414">
        <f t="shared" si="5"/>
        <v>46090</v>
      </c>
      <c r="B12" s="432">
        <v>7917912</v>
      </c>
      <c r="C12" s="432">
        <v>19333</v>
      </c>
      <c r="D12" s="467">
        <f t="shared" si="0"/>
        <v>2.4416790689262523E-3</v>
      </c>
      <c r="E12" s="433">
        <v>15668</v>
      </c>
      <c r="F12" s="409">
        <f t="shared" si="1"/>
        <v>1.9788045131090117E-3</v>
      </c>
      <c r="G12" s="432">
        <v>1522</v>
      </c>
      <c r="H12" s="410">
        <f t="shared" si="2"/>
        <v>7.8725495267159773E-2</v>
      </c>
      <c r="I12" s="411">
        <v>1544</v>
      </c>
      <c r="J12" s="410">
        <f t="shared" si="3"/>
        <v>9.8544804697472552E-2</v>
      </c>
      <c r="K12" s="434">
        <v>3585</v>
      </c>
      <c r="L12" s="435">
        <f t="shared" si="4"/>
        <v>0.18543423162468317</v>
      </c>
      <c r="M12" s="555"/>
      <c r="N12" s="556"/>
      <c r="O12" s="556"/>
    </row>
    <row r="13" spans="1:18" ht="18.75">
      <c r="A13" s="502">
        <f t="shared" si="5"/>
        <v>46091</v>
      </c>
      <c r="B13" s="432"/>
      <c r="C13" s="432"/>
      <c r="D13" s="467" t="e">
        <f t="shared" si="0"/>
        <v>#DIV/0!</v>
      </c>
      <c r="E13" s="433"/>
      <c r="F13" s="409" t="e">
        <f t="shared" si="1"/>
        <v>#DIV/0!</v>
      </c>
      <c r="G13" s="432"/>
      <c r="H13" s="410" t="e">
        <f t="shared" si="2"/>
        <v>#DIV/0!</v>
      </c>
      <c r="I13" s="411"/>
      <c r="J13" s="410" t="e">
        <f t="shared" si="3"/>
        <v>#DIV/0!</v>
      </c>
      <c r="K13" s="434"/>
      <c r="L13" s="435" t="e">
        <f t="shared" si="4"/>
        <v>#DIV/0!</v>
      </c>
      <c r="M13" s="555">
        <f>SUM(B13:B19)</f>
        <v>0</v>
      </c>
      <c r="N13" s="556">
        <f>SUM(C13:C19)</f>
        <v>0</v>
      </c>
      <c r="O13" s="556">
        <f>SUM(E13:E19)</f>
        <v>0</v>
      </c>
    </row>
    <row r="14" spans="1:18" ht="18.75">
      <c r="A14" s="502">
        <f t="shared" si="5"/>
        <v>46092</v>
      </c>
      <c r="B14" s="432"/>
      <c r="C14" s="432"/>
      <c r="D14" s="467" t="e">
        <f t="shared" si="0"/>
        <v>#DIV/0!</v>
      </c>
      <c r="E14" s="433"/>
      <c r="F14" s="409" t="e">
        <f t="shared" si="1"/>
        <v>#DIV/0!</v>
      </c>
      <c r="G14" s="432"/>
      <c r="H14" s="410" t="e">
        <f t="shared" si="2"/>
        <v>#DIV/0!</v>
      </c>
      <c r="I14" s="411"/>
      <c r="J14" s="410" t="e">
        <f t="shared" si="3"/>
        <v>#DIV/0!</v>
      </c>
      <c r="K14" s="434"/>
      <c r="L14" s="435" t="e">
        <f t="shared" si="4"/>
        <v>#DIV/0!</v>
      </c>
      <c r="M14" s="555"/>
      <c r="N14" s="556"/>
      <c r="O14" s="556"/>
    </row>
    <row r="15" spans="1:18" ht="18.75">
      <c r="A15" s="502">
        <f t="shared" si="5"/>
        <v>46093</v>
      </c>
      <c r="B15" s="432"/>
      <c r="C15" s="432"/>
      <c r="D15" s="467" t="e">
        <f t="shared" si="0"/>
        <v>#DIV/0!</v>
      </c>
      <c r="E15" s="433"/>
      <c r="F15" s="409" t="e">
        <f t="shared" si="1"/>
        <v>#DIV/0!</v>
      </c>
      <c r="G15" s="432"/>
      <c r="H15" s="410" t="e">
        <f t="shared" si="2"/>
        <v>#DIV/0!</v>
      </c>
      <c r="I15" s="411"/>
      <c r="J15" s="410" t="e">
        <f t="shared" si="3"/>
        <v>#DIV/0!</v>
      </c>
      <c r="K15" s="434"/>
      <c r="L15" s="435" t="e">
        <f t="shared" si="4"/>
        <v>#DIV/0!</v>
      </c>
      <c r="M15" s="555"/>
      <c r="N15" s="556"/>
      <c r="O15" s="556"/>
    </row>
    <row r="16" spans="1:18" ht="18.75">
      <c r="A16" s="502">
        <f t="shared" si="5"/>
        <v>46094</v>
      </c>
      <c r="B16" s="432"/>
      <c r="C16" s="432"/>
      <c r="D16" s="467" t="e">
        <f t="shared" si="0"/>
        <v>#DIV/0!</v>
      </c>
      <c r="E16" s="433"/>
      <c r="F16" s="409" t="e">
        <f t="shared" ref="F16:F24" si="6">E16/B16</f>
        <v>#DIV/0!</v>
      </c>
      <c r="G16" s="432"/>
      <c r="H16" s="410" t="e">
        <f t="shared" si="2"/>
        <v>#DIV/0!</v>
      </c>
      <c r="I16" s="411"/>
      <c r="J16" s="410" t="e">
        <f t="shared" si="3"/>
        <v>#DIV/0!</v>
      </c>
      <c r="K16" s="434"/>
      <c r="L16" s="435" t="e">
        <f t="shared" si="4"/>
        <v>#DIV/0!</v>
      </c>
      <c r="M16" s="555"/>
      <c r="N16" s="556"/>
      <c r="O16" s="556"/>
    </row>
    <row r="17" spans="1:15" ht="18.75">
      <c r="A17" s="502">
        <f t="shared" si="5"/>
        <v>46095</v>
      </c>
      <c r="B17" s="432"/>
      <c r="C17" s="432"/>
      <c r="D17" s="467" t="e">
        <f t="shared" si="0"/>
        <v>#DIV/0!</v>
      </c>
      <c r="E17" s="433"/>
      <c r="F17" s="409" t="e">
        <f t="shared" si="6"/>
        <v>#DIV/0!</v>
      </c>
      <c r="G17" s="432"/>
      <c r="H17" s="410" t="e">
        <f t="shared" ref="H17:H24" si="7">G17/C17</f>
        <v>#DIV/0!</v>
      </c>
      <c r="I17" s="411"/>
      <c r="J17" s="410" t="e">
        <f t="shared" si="3"/>
        <v>#DIV/0!</v>
      </c>
      <c r="K17" s="434"/>
      <c r="L17" s="435" t="e">
        <f t="shared" si="4"/>
        <v>#DIV/0!</v>
      </c>
      <c r="M17" s="555"/>
      <c r="N17" s="556"/>
      <c r="O17" s="556"/>
    </row>
    <row r="18" spans="1:15" ht="18.75">
      <c r="A18" s="502">
        <f t="shared" si="5"/>
        <v>46096</v>
      </c>
      <c r="B18" s="432"/>
      <c r="C18" s="432"/>
      <c r="D18" s="467" t="e">
        <f t="shared" si="0"/>
        <v>#DIV/0!</v>
      </c>
      <c r="E18" s="433"/>
      <c r="F18" s="409" t="e">
        <f t="shared" si="6"/>
        <v>#DIV/0!</v>
      </c>
      <c r="G18" s="432"/>
      <c r="H18" s="410" t="e">
        <f t="shared" si="7"/>
        <v>#DIV/0!</v>
      </c>
      <c r="I18" s="411"/>
      <c r="J18" s="410" t="e">
        <f t="shared" ref="J18:J40" si="8">I18/E18</f>
        <v>#DIV/0!</v>
      </c>
      <c r="K18" s="434"/>
      <c r="L18" s="435" t="e">
        <f t="shared" si="4"/>
        <v>#DIV/0!</v>
      </c>
      <c r="M18" s="555"/>
      <c r="N18" s="556"/>
      <c r="O18" s="556"/>
    </row>
    <row r="19" spans="1:15" ht="18.75">
      <c r="A19" s="502">
        <f t="shared" si="5"/>
        <v>46097</v>
      </c>
      <c r="B19" s="432"/>
      <c r="C19" s="432"/>
      <c r="D19" s="467" t="e">
        <f t="shared" ref="D19:D24" si="9">C19/B19</f>
        <v>#DIV/0!</v>
      </c>
      <c r="E19" s="433"/>
      <c r="F19" s="409" t="e">
        <f t="shared" si="6"/>
        <v>#DIV/0!</v>
      </c>
      <c r="G19" s="432"/>
      <c r="H19" s="410" t="e">
        <f t="shared" si="7"/>
        <v>#DIV/0!</v>
      </c>
      <c r="I19" s="411"/>
      <c r="J19" s="410" t="e">
        <f t="shared" si="8"/>
        <v>#DIV/0!</v>
      </c>
      <c r="K19" s="434"/>
      <c r="L19" s="435" t="e">
        <f t="shared" si="4"/>
        <v>#DIV/0!</v>
      </c>
      <c r="M19" s="555"/>
      <c r="N19" s="556"/>
      <c r="O19" s="556"/>
    </row>
    <row r="20" spans="1:15" ht="18.75">
      <c r="A20" s="414">
        <f t="shared" si="5"/>
        <v>46098</v>
      </c>
      <c r="B20" s="432"/>
      <c r="C20" s="432"/>
      <c r="D20" s="467" t="e">
        <f t="shared" si="9"/>
        <v>#DIV/0!</v>
      </c>
      <c r="E20" s="433"/>
      <c r="F20" s="409" t="e">
        <f t="shared" si="6"/>
        <v>#DIV/0!</v>
      </c>
      <c r="G20" s="432"/>
      <c r="H20" s="410" t="e">
        <f t="shared" si="7"/>
        <v>#DIV/0!</v>
      </c>
      <c r="I20" s="411"/>
      <c r="J20" s="410" t="e">
        <f t="shared" si="8"/>
        <v>#DIV/0!</v>
      </c>
      <c r="K20" s="434"/>
      <c r="L20" s="435" t="e">
        <f t="shared" si="4"/>
        <v>#DIV/0!</v>
      </c>
      <c r="M20" s="555">
        <f>SUM(B20:B26)</f>
        <v>0</v>
      </c>
      <c r="N20" s="556">
        <f>SUM(C20:C26)</f>
        <v>0</v>
      </c>
      <c r="O20" s="556">
        <f>SUM(E20:E26)</f>
        <v>0</v>
      </c>
    </row>
    <row r="21" spans="1:15" ht="18.75">
      <c r="A21" s="414">
        <f t="shared" si="5"/>
        <v>46099</v>
      </c>
      <c r="B21" s="432"/>
      <c r="C21" s="432"/>
      <c r="D21" s="467" t="e">
        <f t="shared" si="9"/>
        <v>#DIV/0!</v>
      </c>
      <c r="E21" s="433"/>
      <c r="F21" s="409" t="e">
        <f t="shared" si="6"/>
        <v>#DIV/0!</v>
      </c>
      <c r="G21" s="432"/>
      <c r="H21" s="410" t="e">
        <f t="shared" si="7"/>
        <v>#DIV/0!</v>
      </c>
      <c r="I21" s="411"/>
      <c r="J21" s="410" t="e">
        <f t="shared" si="8"/>
        <v>#DIV/0!</v>
      </c>
      <c r="K21" s="434"/>
      <c r="L21" s="435" t="e">
        <f t="shared" si="4"/>
        <v>#DIV/0!</v>
      </c>
      <c r="M21" s="555"/>
      <c r="N21" s="556"/>
      <c r="O21" s="556"/>
    </row>
    <row r="22" spans="1:15" ht="18.75">
      <c r="A22" s="414">
        <f t="shared" si="5"/>
        <v>46100</v>
      </c>
      <c r="B22" s="432"/>
      <c r="C22" s="432"/>
      <c r="D22" s="467" t="e">
        <f t="shared" si="9"/>
        <v>#DIV/0!</v>
      </c>
      <c r="E22" s="433"/>
      <c r="F22" s="409" t="e">
        <f t="shared" si="6"/>
        <v>#DIV/0!</v>
      </c>
      <c r="G22" s="432"/>
      <c r="H22" s="410" t="e">
        <f t="shared" si="7"/>
        <v>#DIV/0!</v>
      </c>
      <c r="I22" s="411"/>
      <c r="J22" s="410" t="e">
        <f t="shared" si="8"/>
        <v>#DIV/0!</v>
      </c>
      <c r="K22" s="434"/>
      <c r="L22" s="435" t="e">
        <f t="shared" si="4"/>
        <v>#DIV/0!</v>
      </c>
      <c r="M22" s="555"/>
      <c r="N22" s="556"/>
      <c r="O22" s="556"/>
    </row>
    <row r="23" spans="1:15" ht="18.75">
      <c r="A23" s="414">
        <f t="shared" si="5"/>
        <v>46101</v>
      </c>
      <c r="B23" s="432"/>
      <c r="C23" s="432"/>
      <c r="D23" s="467" t="e">
        <f t="shared" si="9"/>
        <v>#DIV/0!</v>
      </c>
      <c r="E23" s="433"/>
      <c r="F23" s="409" t="e">
        <f t="shared" si="6"/>
        <v>#DIV/0!</v>
      </c>
      <c r="G23" s="432"/>
      <c r="H23" s="410" t="e">
        <f t="shared" si="7"/>
        <v>#DIV/0!</v>
      </c>
      <c r="I23" s="411"/>
      <c r="J23" s="410" t="e">
        <f t="shared" si="8"/>
        <v>#DIV/0!</v>
      </c>
      <c r="K23" s="434"/>
      <c r="L23" s="435" t="e">
        <f t="shared" si="4"/>
        <v>#DIV/0!</v>
      </c>
      <c r="M23" s="555"/>
      <c r="N23" s="556"/>
      <c r="O23" s="556"/>
    </row>
    <row r="24" spans="1:15" ht="18.75">
      <c r="A24" s="414">
        <f t="shared" si="5"/>
        <v>46102</v>
      </c>
      <c r="B24" s="432"/>
      <c r="C24" s="432"/>
      <c r="D24" s="467" t="e">
        <f t="shared" si="9"/>
        <v>#DIV/0!</v>
      </c>
      <c r="E24" s="433"/>
      <c r="F24" s="409" t="e">
        <f t="shared" si="6"/>
        <v>#DIV/0!</v>
      </c>
      <c r="G24" s="432"/>
      <c r="H24" s="410" t="e">
        <f t="shared" si="7"/>
        <v>#DIV/0!</v>
      </c>
      <c r="I24" s="411"/>
      <c r="J24" s="410" t="e">
        <f t="shared" si="8"/>
        <v>#DIV/0!</v>
      </c>
      <c r="K24" s="434"/>
      <c r="L24" s="435" t="e">
        <f t="shared" si="4"/>
        <v>#DIV/0!</v>
      </c>
      <c r="M24" s="555"/>
      <c r="N24" s="556"/>
      <c r="O24" s="556"/>
    </row>
    <row r="25" spans="1:15" ht="18.75">
      <c r="A25" s="414">
        <f t="shared" si="5"/>
        <v>46103</v>
      </c>
      <c r="B25" s="432"/>
      <c r="C25" s="432"/>
      <c r="D25" s="467" t="e">
        <f t="shared" ref="D25:D40" si="10">C25/B25</f>
        <v>#DIV/0!</v>
      </c>
      <c r="E25" s="433"/>
      <c r="F25" s="409" t="e">
        <f t="shared" ref="F25:F40" si="11">E25/B25</f>
        <v>#DIV/0!</v>
      </c>
      <c r="G25" s="432"/>
      <c r="H25" s="410" t="e">
        <f t="shared" ref="H25:H40" si="12">G25/C25</f>
        <v>#DIV/0!</v>
      </c>
      <c r="I25" s="411"/>
      <c r="J25" s="410" t="e">
        <f t="shared" ref="J25" si="13">I25/E25</f>
        <v>#DIV/0!</v>
      </c>
      <c r="K25" s="434"/>
      <c r="L25" s="435" t="e">
        <f t="shared" ref="L25" si="14">K25/C25</f>
        <v>#DIV/0!</v>
      </c>
      <c r="M25" s="555"/>
      <c r="N25" s="556"/>
      <c r="O25" s="556"/>
    </row>
    <row r="26" spans="1:15" ht="18.75">
      <c r="A26" s="414">
        <f t="shared" si="5"/>
        <v>46104</v>
      </c>
      <c r="B26" s="432"/>
      <c r="C26" s="432"/>
      <c r="D26" s="467" t="e">
        <f t="shared" si="10"/>
        <v>#DIV/0!</v>
      </c>
      <c r="E26" s="433"/>
      <c r="F26" s="409" t="e">
        <f t="shared" si="11"/>
        <v>#DIV/0!</v>
      </c>
      <c r="G26" s="432"/>
      <c r="H26" s="410" t="e">
        <f t="shared" si="12"/>
        <v>#DIV/0!</v>
      </c>
      <c r="I26" s="411"/>
      <c r="J26" s="410" t="e">
        <f t="shared" si="8"/>
        <v>#DIV/0!</v>
      </c>
      <c r="K26" s="434"/>
      <c r="L26" s="435" t="e">
        <f t="shared" si="4"/>
        <v>#DIV/0!</v>
      </c>
      <c r="M26" s="555"/>
      <c r="N26" s="556"/>
      <c r="O26" s="556"/>
    </row>
    <row r="27" spans="1:15" ht="18.75">
      <c r="A27" s="502">
        <f t="shared" si="5"/>
        <v>46105</v>
      </c>
      <c r="B27" s="432"/>
      <c r="C27" s="432"/>
      <c r="D27" s="467" t="e">
        <f t="shared" si="10"/>
        <v>#DIV/0!</v>
      </c>
      <c r="E27" s="433"/>
      <c r="F27" s="409" t="e">
        <f t="shared" si="11"/>
        <v>#DIV/0!</v>
      </c>
      <c r="G27" s="432"/>
      <c r="H27" s="410" t="e">
        <f t="shared" si="12"/>
        <v>#DIV/0!</v>
      </c>
      <c r="I27" s="411"/>
      <c r="J27" s="410" t="e">
        <f t="shared" si="8"/>
        <v>#DIV/0!</v>
      </c>
      <c r="K27" s="434"/>
      <c r="L27" s="435" t="e">
        <f t="shared" si="4"/>
        <v>#DIV/0!</v>
      </c>
      <c r="M27" s="555">
        <f>SUM(B27:B33)</f>
        <v>0</v>
      </c>
      <c r="N27" s="556">
        <f>SUM(C27:C33)</f>
        <v>0</v>
      </c>
      <c r="O27" s="556">
        <f>SUM(E27:E33)</f>
        <v>0</v>
      </c>
    </row>
    <row r="28" spans="1:15" ht="18.75">
      <c r="A28" s="502">
        <f t="shared" si="5"/>
        <v>46106</v>
      </c>
      <c r="B28" s="432"/>
      <c r="C28" s="432"/>
      <c r="D28" s="467" t="e">
        <f t="shared" si="10"/>
        <v>#DIV/0!</v>
      </c>
      <c r="E28" s="433"/>
      <c r="F28" s="409" t="e">
        <f t="shared" si="11"/>
        <v>#DIV/0!</v>
      </c>
      <c r="G28" s="432"/>
      <c r="H28" s="410" t="e">
        <f t="shared" si="12"/>
        <v>#DIV/0!</v>
      </c>
      <c r="I28" s="411"/>
      <c r="J28" s="410" t="e">
        <f t="shared" si="8"/>
        <v>#DIV/0!</v>
      </c>
      <c r="K28" s="434"/>
      <c r="L28" s="435" t="e">
        <f t="shared" si="4"/>
        <v>#DIV/0!</v>
      </c>
      <c r="M28" s="555"/>
      <c r="N28" s="556"/>
      <c r="O28" s="556"/>
    </row>
    <row r="29" spans="1:15" ht="18.75">
      <c r="A29" s="502">
        <f t="shared" si="5"/>
        <v>46107</v>
      </c>
      <c r="B29" s="432"/>
      <c r="C29" s="432"/>
      <c r="D29" s="467" t="e">
        <f t="shared" si="10"/>
        <v>#DIV/0!</v>
      </c>
      <c r="E29" s="433"/>
      <c r="F29" s="409" t="e">
        <f t="shared" si="11"/>
        <v>#DIV/0!</v>
      </c>
      <c r="G29" s="432"/>
      <c r="H29" s="410" t="e">
        <f t="shared" si="12"/>
        <v>#DIV/0!</v>
      </c>
      <c r="I29" s="411"/>
      <c r="J29" s="410" t="e">
        <f t="shared" si="8"/>
        <v>#DIV/0!</v>
      </c>
      <c r="K29" s="434"/>
      <c r="L29" s="435" t="e">
        <f t="shared" si="4"/>
        <v>#DIV/0!</v>
      </c>
      <c r="M29" s="555"/>
      <c r="N29" s="556"/>
      <c r="O29" s="556"/>
    </row>
    <row r="30" spans="1:15" ht="18.75">
      <c r="A30" s="502">
        <f t="shared" si="5"/>
        <v>46108</v>
      </c>
      <c r="B30" s="432"/>
      <c r="C30" s="432"/>
      <c r="D30" s="467" t="e">
        <f t="shared" si="10"/>
        <v>#DIV/0!</v>
      </c>
      <c r="E30" s="433"/>
      <c r="F30" s="409" t="e">
        <f t="shared" si="11"/>
        <v>#DIV/0!</v>
      </c>
      <c r="G30" s="432"/>
      <c r="H30" s="410" t="e">
        <f t="shared" si="12"/>
        <v>#DIV/0!</v>
      </c>
      <c r="I30" s="411"/>
      <c r="J30" s="410" t="e">
        <f t="shared" si="8"/>
        <v>#DIV/0!</v>
      </c>
      <c r="K30" s="434"/>
      <c r="L30" s="435" t="e">
        <f t="shared" si="4"/>
        <v>#DIV/0!</v>
      </c>
      <c r="M30" s="555"/>
      <c r="N30" s="556"/>
      <c r="O30" s="556"/>
    </row>
    <row r="31" spans="1:15" ht="18.75">
      <c r="A31" s="502">
        <f t="shared" si="5"/>
        <v>46109</v>
      </c>
      <c r="B31" s="432"/>
      <c r="C31" s="432"/>
      <c r="D31" s="467" t="e">
        <f t="shared" si="10"/>
        <v>#DIV/0!</v>
      </c>
      <c r="E31" s="433"/>
      <c r="F31" s="409" t="e">
        <f t="shared" si="11"/>
        <v>#DIV/0!</v>
      </c>
      <c r="G31" s="432"/>
      <c r="H31" s="410" t="e">
        <f t="shared" si="12"/>
        <v>#DIV/0!</v>
      </c>
      <c r="I31" s="411"/>
      <c r="J31" s="410" t="e">
        <f t="shared" si="8"/>
        <v>#DIV/0!</v>
      </c>
      <c r="K31" s="434"/>
      <c r="L31" s="435" t="e">
        <f t="shared" si="4"/>
        <v>#DIV/0!</v>
      </c>
      <c r="M31" s="555"/>
      <c r="N31" s="556"/>
      <c r="O31" s="556"/>
    </row>
    <row r="32" spans="1:15" ht="18.75">
      <c r="A32" s="502">
        <f t="shared" si="5"/>
        <v>46110</v>
      </c>
      <c r="B32" s="432"/>
      <c r="C32" s="432"/>
      <c r="D32" s="467" t="e">
        <f t="shared" si="10"/>
        <v>#DIV/0!</v>
      </c>
      <c r="E32" s="433"/>
      <c r="F32" s="409" t="e">
        <f t="shared" si="11"/>
        <v>#DIV/0!</v>
      </c>
      <c r="G32" s="432"/>
      <c r="H32" s="410" t="e">
        <f t="shared" si="12"/>
        <v>#DIV/0!</v>
      </c>
      <c r="I32" s="411"/>
      <c r="J32" s="410" t="e">
        <f t="shared" si="8"/>
        <v>#DIV/0!</v>
      </c>
      <c r="K32" s="434"/>
      <c r="L32" s="435" t="e">
        <f t="shared" si="4"/>
        <v>#DIV/0!</v>
      </c>
      <c r="M32" s="555"/>
      <c r="N32" s="556"/>
      <c r="O32" s="556"/>
    </row>
    <row r="33" spans="1:15" ht="18.75">
      <c r="A33" s="502">
        <f t="shared" si="5"/>
        <v>46111</v>
      </c>
      <c r="B33" s="432"/>
      <c r="C33" s="432"/>
      <c r="D33" s="467" t="e">
        <f t="shared" si="10"/>
        <v>#DIV/0!</v>
      </c>
      <c r="E33" s="433"/>
      <c r="F33" s="409" t="e">
        <f t="shared" si="11"/>
        <v>#DIV/0!</v>
      </c>
      <c r="G33" s="432"/>
      <c r="H33" s="410" t="e">
        <f t="shared" si="12"/>
        <v>#DIV/0!</v>
      </c>
      <c r="I33" s="411"/>
      <c r="J33" s="410" t="e">
        <f t="shared" si="8"/>
        <v>#DIV/0!</v>
      </c>
      <c r="K33" s="434"/>
      <c r="L33" s="435" t="e">
        <f t="shared" si="4"/>
        <v>#DIV/0!</v>
      </c>
      <c r="M33" s="555"/>
      <c r="N33" s="556"/>
      <c r="O33" s="556"/>
    </row>
    <row r="34" spans="1:15" ht="18.75">
      <c r="A34" s="414">
        <f t="shared" si="5"/>
        <v>46112</v>
      </c>
      <c r="B34" s="432"/>
      <c r="C34" s="432"/>
      <c r="D34" s="467" t="e">
        <f t="shared" ref="D34:D35" si="15">C34/B34</f>
        <v>#DIV/0!</v>
      </c>
      <c r="E34" s="433"/>
      <c r="F34" s="409" t="e">
        <f t="shared" ref="F34:F35" si="16">E34/B34</f>
        <v>#DIV/0!</v>
      </c>
      <c r="G34" s="432"/>
      <c r="H34" s="410" t="e">
        <f t="shared" ref="H34:H35" si="17">G34/C34</f>
        <v>#DIV/0!</v>
      </c>
      <c r="I34" s="411"/>
      <c r="J34" s="410" t="e">
        <f t="shared" ref="J34:J35" si="18">I34/E34</f>
        <v>#DIV/0!</v>
      </c>
      <c r="K34" s="434"/>
      <c r="L34" s="435" t="e">
        <f t="shared" ref="L34:L35" si="19">K34/C34</f>
        <v>#DIV/0!</v>
      </c>
      <c r="M34" s="555">
        <f>SUM(B34:B40)</f>
        <v>0</v>
      </c>
      <c r="N34" s="556">
        <f>SUM(C34:C40)</f>
        <v>0</v>
      </c>
      <c r="O34" s="556">
        <f>SUM(E34:E40)</f>
        <v>0</v>
      </c>
    </row>
    <row r="35" spans="1:15" ht="18.75">
      <c r="A35" s="414">
        <f t="shared" si="5"/>
        <v>46113</v>
      </c>
      <c r="B35" s="432"/>
      <c r="C35" s="432"/>
      <c r="D35" s="467" t="e">
        <f t="shared" si="15"/>
        <v>#DIV/0!</v>
      </c>
      <c r="E35" s="433"/>
      <c r="F35" s="409" t="e">
        <f t="shared" si="16"/>
        <v>#DIV/0!</v>
      </c>
      <c r="G35" s="432"/>
      <c r="H35" s="410" t="e">
        <f t="shared" si="17"/>
        <v>#DIV/0!</v>
      </c>
      <c r="I35" s="411"/>
      <c r="J35" s="410" t="e">
        <f t="shared" si="18"/>
        <v>#DIV/0!</v>
      </c>
      <c r="K35" s="434"/>
      <c r="L35" s="435" t="e">
        <f t="shared" si="19"/>
        <v>#DIV/0!</v>
      </c>
      <c r="M35" s="555"/>
      <c r="N35" s="556"/>
      <c r="O35" s="556"/>
    </row>
    <row r="36" spans="1:15" ht="18.75">
      <c r="A36" s="414">
        <f t="shared" si="5"/>
        <v>46114</v>
      </c>
      <c r="B36" s="432"/>
      <c r="C36" s="432"/>
      <c r="D36" s="467" t="e">
        <f t="shared" si="10"/>
        <v>#DIV/0!</v>
      </c>
      <c r="E36" s="433"/>
      <c r="F36" s="409" t="e">
        <f t="shared" si="11"/>
        <v>#DIV/0!</v>
      </c>
      <c r="G36" s="432"/>
      <c r="H36" s="410" t="e">
        <f t="shared" si="12"/>
        <v>#DIV/0!</v>
      </c>
      <c r="I36" s="411"/>
      <c r="J36" s="410" t="e">
        <f t="shared" si="8"/>
        <v>#DIV/0!</v>
      </c>
      <c r="K36" s="434"/>
      <c r="L36" s="435" t="e">
        <f t="shared" si="4"/>
        <v>#DIV/0!</v>
      </c>
      <c r="M36" s="555"/>
      <c r="N36" s="556"/>
      <c r="O36" s="556"/>
    </row>
    <row r="37" spans="1:15" ht="18.75">
      <c r="A37" s="414">
        <f t="shared" si="5"/>
        <v>46115</v>
      </c>
      <c r="B37" s="432"/>
      <c r="C37" s="432"/>
      <c r="D37" s="467" t="e">
        <f t="shared" si="10"/>
        <v>#DIV/0!</v>
      </c>
      <c r="E37" s="433"/>
      <c r="F37" s="409" t="e">
        <f t="shared" si="11"/>
        <v>#DIV/0!</v>
      </c>
      <c r="G37" s="432"/>
      <c r="H37" s="410" t="e">
        <f t="shared" si="12"/>
        <v>#DIV/0!</v>
      </c>
      <c r="I37" s="411"/>
      <c r="J37" s="410" t="e">
        <f t="shared" si="8"/>
        <v>#DIV/0!</v>
      </c>
      <c r="K37" s="434"/>
      <c r="L37" s="435" t="e">
        <f t="shared" si="4"/>
        <v>#DIV/0!</v>
      </c>
      <c r="M37" s="555"/>
      <c r="N37" s="556"/>
      <c r="O37" s="556"/>
    </row>
    <row r="38" spans="1:15" ht="18.75">
      <c r="A38" s="414">
        <f t="shared" si="5"/>
        <v>46116</v>
      </c>
      <c r="B38" s="432"/>
      <c r="C38" s="432"/>
      <c r="D38" s="467" t="e">
        <f t="shared" si="10"/>
        <v>#DIV/0!</v>
      </c>
      <c r="E38" s="433"/>
      <c r="F38" s="409" t="e">
        <f t="shared" si="11"/>
        <v>#DIV/0!</v>
      </c>
      <c r="G38" s="432"/>
      <c r="H38" s="410" t="e">
        <f t="shared" si="12"/>
        <v>#DIV/0!</v>
      </c>
      <c r="I38" s="411"/>
      <c r="J38" s="410" t="e">
        <f t="shared" si="8"/>
        <v>#DIV/0!</v>
      </c>
      <c r="K38" s="434"/>
      <c r="L38" s="435" t="e">
        <f t="shared" si="4"/>
        <v>#DIV/0!</v>
      </c>
      <c r="M38" s="555"/>
      <c r="N38" s="556"/>
      <c r="O38" s="556"/>
    </row>
    <row r="39" spans="1:15" ht="18.75">
      <c r="A39" s="414">
        <f t="shared" si="5"/>
        <v>46117</v>
      </c>
      <c r="B39" s="432"/>
      <c r="C39" s="432"/>
      <c r="D39" s="467" t="e">
        <f t="shared" si="10"/>
        <v>#DIV/0!</v>
      </c>
      <c r="E39" s="433"/>
      <c r="F39" s="409" t="e">
        <f t="shared" si="11"/>
        <v>#DIV/0!</v>
      </c>
      <c r="G39" s="432"/>
      <c r="H39" s="410" t="e">
        <f t="shared" si="12"/>
        <v>#DIV/0!</v>
      </c>
      <c r="I39" s="411"/>
      <c r="J39" s="410" t="e">
        <f t="shared" si="8"/>
        <v>#DIV/0!</v>
      </c>
      <c r="K39" s="434"/>
      <c r="L39" s="435" t="e">
        <f t="shared" si="4"/>
        <v>#DIV/0!</v>
      </c>
      <c r="M39" s="555"/>
      <c r="N39" s="556"/>
      <c r="O39" s="556"/>
    </row>
    <row r="40" spans="1:15" ht="19.5" thickBot="1">
      <c r="A40" s="414">
        <f t="shared" si="5"/>
        <v>46118</v>
      </c>
      <c r="B40" s="470"/>
      <c r="C40" s="470"/>
      <c r="D40" s="471" t="e">
        <f t="shared" si="10"/>
        <v>#DIV/0!</v>
      </c>
      <c r="E40" s="472"/>
      <c r="F40" s="460" t="e">
        <f t="shared" si="11"/>
        <v>#DIV/0!</v>
      </c>
      <c r="G40" s="470"/>
      <c r="H40" s="461" t="e">
        <f t="shared" si="12"/>
        <v>#DIV/0!</v>
      </c>
      <c r="I40" s="462"/>
      <c r="J40" s="461" t="e">
        <f t="shared" si="8"/>
        <v>#DIV/0!</v>
      </c>
      <c r="K40" s="473"/>
      <c r="L40" s="474" t="e">
        <f t="shared" si="4"/>
        <v>#DIV/0!</v>
      </c>
      <c r="M40" s="555"/>
      <c r="N40" s="556"/>
      <c r="O40" s="556"/>
    </row>
    <row r="41" spans="1:15" ht="18.75">
      <c r="A41" s="414" t="s">
        <v>783</v>
      </c>
      <c r="B41" s="406">
        <f>AVERAGE(B4:B40)</f>
        <v>7628989.666666667</v>
      </c>
      <c r="C41" s="406">
        <f>AVERAGE(C4:C40)</f>
        <v>18649.444444444445</v>
      </c>
      <c r="D41" s="407">
        <f t="shared" ref="D41:D42" si="20">C41/B41</f>
        <v>2.4445497057008002E-3</v>
      </c>
      <c r="E41" s="408">
        <f>AVERAGE(E4:E40)</f>
        <v>14524.162777562382</v>
      </c>
      <c r="F41" s="419">
        <f t="shared" ref="F41" si="21">E41/B41</f>
        <v>1.9038120920549656E-3</v>
      </c>
      <c r="G41" s="406">
        <f>AVERAGE(G4:G40)</f>
        <v>1424.751</v>
      </c>
      <c r="H41" s="420">
        <f t="shared" ref="H41:H42" si="22">G41/C41</f>
        <v>7.6396431231195439E-2</v>
      </c>
      <c r="I41" s="457">
        <f>AVERAGE(I4:I40)</f>
        <v>1494.3391311111106</v>
      </c>
      <c r="J41" s="420">
        <f t="shared" ref="J41:J42" si="23">I41/E41</f>
        <v>0.10288642133780247</v>
      </c>
      <c r="K41" s="412">
        <f>AVERAGE(K4:K40)</f>
        <v>3045.126888888889</v>
      </c>
      <c r="L41" s="413">
        <f t="shared" ref="L41:L42" si="24">K41/C41</f>
        <v>0.16328244511305073</v>
      </c>
      <c r="M41" s="557"/>
      <c r="N41" s="558"/>
      <c r="O41" s="558"/>
    </row>
    <row r="42" spans="1:15" ht="18.75">
      <c r="A42" s="414" t="s">
        <v>784</v>
      </c>
      <c r="B42" s="406">
        <f>SUM(B4:B40)</f>
        <v>68660907</v>
      </c>
      <c r="C42" s="406">
        <f>SUM(C4:C40)</f>
        <v>167845</v>
      </c>
      <c r="D42" s="407">
        <f t="shared" si="20"/>
        <v>2.4445497057008002E-3</v>
      </c>
      <c r="E42" s="406">
        <f>SUM(E4:E40)</f>
        <v>130717.46499806143</v>
      </c>
      <c r="F42" s="419">
        <f>E42/B42</f>
        <v>1.9038120920549656E-3</v>
      </c>
      <c r="G42" s="406">
        <f>SUM(G4:G40)</f>
        <v>12822.759</v>
      </c>
      <c r="H42" s="420">
        <f t="shared" si="22"/>
        <v>7.6396431231195452E-2</v>
      </c>
      <c r="I42" s="406">
        <f>SUM(I4:I40)</f>
        <v>13449.052179999995</v>
      </c>
      <c r="J42" s="420">
        <f t="shared" si="23"/>
        <v>0.10288642133780247</v>
      </c>
      <c r="K42" s="406">
        <f>SUM(K4:K40)</f>
        <v>27406.142</v>
      </c>
      <c r="L42" s="413">
        <f t="shared" si="24"/>
        <v>0.16328244511305073</v>
      </c>
      <c r="M42" s="413"/>
      <c r="N42" s="417"/>
      <c r="O42" s="418"/>
    </row>
    <row r="43" spans="1:15" ht="18.75">
      <c r="A43" s="421"/>
      <c r="B43" s="421"/>
      <c r="C43" s="421"/>
      <c r="D43" s="421"/>
      <c r="E43" s="421"/>
      <c r="F43" s="421"/>
      <c r="G43" s="421"/>
      <c r="H43" s="421"/>
      <c r="I43" s="421"/>
      <c r="J43" s="421"/>
      <c r="K43" s="421"/>
      <c r="L43" s="421"/>
      <c r="M43" s="421"/>
    </row>
    <row r="44" spans="1:15" ht="18.75">
      <c r="A44" s="421"/>
      <c r="B44" s="421"/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</row>
    <row r="45" spans="1:15" ht="18.75">
      <c r="A45" s="421"/>
      <c r="B45" s="421"/>
      <c r="C45" s="421"/>
      <c r="D45" s="421"/>
      <c r="E45" s="421"/>
      <c r="F45" s="421"/>
      <c r="G45" s="421"/>
      <c r="H45" s="421"/>
      <c r="I45" s="421"/>
      <c r="J45" s="421"/>
      <c r="K45" s="421"/>
      <c r="L45" s="421"/>
      <c r="M45" s="421"/>
    </row>
    <row r="46" spans="1:15" ht="18.75">
      <c r="A46" s="421"/>
      <c r="B46" s="421"/>
      <c r="C46" s="421"/>
      <c r="D46" s="421"/>
      <c r="E46" s="421"/>
      <c r="F46" s="421"/>
      <c r="G46" s="421"/>
      <c r="H46" s="421"/>
      <c r="I46" s="421"/>
      <c r="J46" s="421"/>
      <c r="K46" s="421"/>
      <c r="L46" s="421"/>
      <c r="M46" s="421"/>
    </row>
    <row r="47" spans="1:15" ht="18.75">
      <c r="A47" s="421"/>
      <c r="B47" s="421"/>
      <c r="C47" s="421"/>
      <c r="D47" s="421"/>
      <c r="E47" s="421"/>
      <c r="F47" s="421"/>
      <c r="G47" s="421"/>
      <c r="H47" s="421"/>
      <c r="I47" s="421"/>
      <c r="J47" s="421"/>
      <c r="K47" s="421"/>
      <c r="L47" s="421"/>
      <c r="M47" s="421"/>
    </row>
    <row r="48" spans="1:15" ht="18.75">
      <c r="A48" s="421"/>
      <c r="B48" s="421"/>
      <c r="C48" s="421"/>
      <c r="D48" s="421"/>
      <c r="E48" s="421"/>
      <c r="F48" s="421"/>
      <c r="G48" s="421"/>
      <c r="H48" s="421"/>
      <c r="I48" s="421"/>
      <c r="J48" s="421"/>
      <c r="K48" s="421"/>
      <c r="L48" s="421"/>
      <c r="M48" s="421"/>
    </row>
    <row r="49" spans="1:13" ht="18.75">
      <c r="A49" s="421"/>
      <c r="B49" s="421"/>
      <c r="C49" s="421"/>
      <c r="D49" s="421"/>
      <c r="E49" s="421"/>
      <c r="F49" s="421"/>
      <c r="G49" s="421"/>
      <c r="H49" s="421"/>
      <c r="I49" s="421"/>
      <c r="J49" s="421"/>
      <c r="K49" s="421"/>
      <c r="L49" s="421"/>
      <c r="M49" s="421"/>
    </row>
    <row r="50" spans="1:13" ht="18.75">
      <c r="A50" s="421"/>
      <c r="B50" s="421"/>
      <c r="C50" s="421"/>
      <c r="D50" s="421"/>
      <c r="E50" s="421"/>
      <c r="F50" s="421"/>
      <c r="G50" s="421"/>
      <c r="H50" s="421"/>
      <c r="I50" s="421"/>
      <c r="J50" s="421"/>
      <c r="K50" s="421"/>
      <c r="L50" s="421"/>
      <c r="M50" s="421"/>
    </row>
    <row r="51" spans="1:13" ht="18.75">
      <c r="A51" s="421"/>
      <c r="B51" s="421"/>
      <c r="C51" s="421"/>
      <c r="D51" s="421"/>
      <c r="E51" s="421"/>
      <c r="F51" s="421"/>
      <c r="G51" s="421"/>
      <c r="H51" s="421"/>
      <c r="I51" s="421"/>
      <c r="J51" s="421"/>
      <c r="K51" s="421"/>
      <c r="L51" s="421"/>
      <c r="M51" s="421"/>
    </row>
    <row r="52" spans="1:13" ht="18.75">
      <c r="A52" s="421"/>
      <c r="B52" s="421"/>
      <c r="C52" s="421"/>
      <c r="D52" s="421"/>
      <c r="E52" s="421"/>
      <c r="F52" s="421"/>
      <c r="G52" s="421"/>
      <c r="H52" s="421"/>
      <c r="I52" s="421"/>
      <c r="J52" s="421"/>
      <c r="K52" s="421"/>
      <c r="L52" s="421"/>
      <c r="M52" s="421"/>
    </row>
    <row r="53" spans="1:13" ht="18.75">
      <c r="A53" s="421"/>
      <c r="B53" s="421"/>
      <c r="C53" s="421"/>
      <c r="D53" s="421"/>
      <c r="E53" s="421"/>
      <c r="F53" s="421"/>
      <c r="G53" s="421"/>
      <c r="H53" s="421"/>
      <c r="I53" s="421"/>
      <c r="J53" s="421"/>
      <c r="K53" s="421"/>
      <c r="L53" s="421"/>
      <c r="M53" s="421"/>
    </row>
    <row r="54" spans="1:13" ht="18.75">
      <c r="A54" s="421"/>
      <c r="B54" s="421"/>
      <c r="C54" s="421"/>
      <c r="D54" s="421"/>
      <c r="E54" s="421"/>
      <c r="F54" s="421"/>
      <c r="G54" s="421"/>
      <c r="H54" s="421"/>
      <c r="I54" s="421"/>
      <c r="J54" s="421"/>
      <c r="K54" s="421"/>
      <c r="L54" s="421"/>
      <c r="M54" s="421"/>
    </row>
    <row r="55" spans="1:13" ht="18.75">
      <c r="A55" s="421"/>
      <c r="B55" s="421"/>
      <c r="C55" s="421"/>
      <c r="D55" s="421"/>
      <c r="E55" s="421"/>
      <c r="F55" s="421"/>
      <c r="G55" s="421"/>
      <c r="H55" s="421"/>
      <c r="I55" s="421"/>
      <c r="J55" s="421"/>
      <c r="K55" s="421"/>
      <c r="L55" s="421"/>
      <c r="M55" s="421"/>
    </row>
    <row r="56" spans="1:13" ht="18.75">
      <c r="A56" s="421"/>
      <c r="B56" s="421"/>
      <c r="C56" s="421"/>
      <c r="D56" s="421"/>
      <c r="E56" s="421"/>
      <c r="F56" s="421"/>
      <c r="G56" s="421"/>
      <c r="H56" s="421"/>
      <c r="I56" s="421"/>
      <c r="J56" s="421"/>
      <c r="K56" s="421"/>
      <c r="L56" s="421"/>
      <c r="M56" s="421"/>
    </row>
    <row r="57" spans="1:13" ht="18.75">
      <c r="A57" s="421"/>
      <c r="B57" s="421"/>
      <c r="C57" s="421"/>
      <c r="D57" s="421"/>
      <c r="E57" s="421"/>
      <c r="F57" s="421"/>
      <c r="G57" s="421"/>
      <c r="H57" s="421"/>
      <c r="I57" s="421"/>
      <c r="J57" s="421"/>
      <c r="K57" s="421"/>
      <c r="L57" s="421"/>
      <c r="M57" s="421"/>
    </row>
    <row r="58" spans="1:13" ht="18.75">
      <c r="A58" s="421"/>
      <c r="B58" s="421"/>
      <c r="C58" s="421"/>
      <c r="D58" s="421"/>
      <c r="E58" s="421"/>
      <c r="F58" s="421"/>
      <c r="G58" s="421"/>
      <c r="H58" s="421"/>
      <c r="I58" s="421"/>
      <c r="J58" s="421"/>
      <c r="K58" s="421"/>
      <c r="L58" s="421"/>
      <c r="M58" s="421"/>
    </row>
    <row r="59" spans="1:13" ht="18.75">
      <c r="A59" s="421"/>
      <c r="B59" s="421"/>
      <c r="C59" s="421"/>
      <c r="D59" s="421"/>
      <c r="E59" s="421"/>
      <c r="F59" s="421"/>
      <c r="G59" s="421"/>
      <c r="H59" s="421"/>
      <c r="I59" s="421"/>
      <c r="J59" s="421"/>
      <c r="K59" s="421"/>
      <c r="L59" s="421"/>
      <c r="M59" s="421"/>
    </row>
    <row r="60" spans="1:13" ht="18.75">
      <c r="A60" s="421"/>
      <c r="B60" s="421"/>
      <c r="C60" s="421"/>
      <c r="D60" s="421"/>
      <c r="E60" s="421"/>
      <c r="F60" s="421"/>
      <c r="G60" s="421"/>
      <c r="H60" s="421"/>
      <c r="I60" s="421"/>
      <c r="J60" s="421"/>
      <c r="K60" s="421"/>
      <c r="L60" s="421"/>
      <c r="M60" s="421"/>
    </row>
    <row r="61" spans="1:13" ht="18.75">
      <c r="A61" s="421"/>
      <c r="B61" s="421"/>
      <c r="C61" s="421"/>
      <c r="D61" s="421"/>
      <c r="E61" s="421"/>
      <c r="F61" s="421"/>
      <c r="G61" s="421"/>
      <c r="H61" s="421"/>
      <c r="I61" s="421"/>
      <c r="J61" s="421"/>
      <c r="K61" s="421"/>
      <c r="L61" s="421"/>
      <c r="M61" s="421"/>
    </row>
    <row r="62" spans="1:13" ht="18.75">
      <c r="A62" s="421"/>
      <c r="B62" s="421"/>
      <c r="C62" s="421"/>
      <c r="D62" s="421"/>
      <c r="E62" s="421"/>
      <c r="F62" s="421"/>
      <c r="G62" s="421"/>
      <c r="H62" s="421"/>
      <c r="I62" s="421"/>
      <c r="J62" s="421"/>
      <c r="K62" s="421"/>
      <c r="L62" s="421"/>
      <c r="M62" s="421"/>
    </row>
    <row r="63" spans="1:13" ht="18.75">
      <c r="A63" s="421"/>
      <c r="B63" s="421"/>
      <c r="C63" s="421"/>
      <c r="D63" s="421"/>
      <c r="E63" s="421"/>
      <c r="F63" s="421"/>
      <c r="G63" s="421"/>
      <c r="H63" s="421"/>
      <c r="I63" s="421"/>
      <c r="J63" s="421"/>
      <c r="K63" s="421"/>
      <c r="L63" s="421"/>
      <c r="M63" s="421"/>
    </row>
    <row r="64" spans="1:13" ht="18.75">
      <c r="A64" s="421"/>
      <c r="B64" s="421"/>
      <c r="C64" s="421"/>
      <c r="D64" s="421"/>
      <c r="E64" s="421"/>
      <c r="F64" s="421"/>
      <c r="G64" s="421"/>
      <c r="H64" s="421"/>
      <c r="I64" s="421"/>
      <c r="J64" s="421"/>
      <c r="K64" s="421"/>
      <c r="L64" s="421"/>
      <c r="M64" s="421"/>
    </row>
    <row r="65" spans="1:13" ht="18.75">
      <c r="A65" s="421"/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1"/>
      <c r="M65" s="421"/>
    </row>
    <row r="66" spans="1:13" ht="18.75">
      <c r="A66" s="421"/>
      <c r="B66" s="421"/>
      <c r="C66" s="421"/>
      <c r="D66" s="421"/>
      <c r="E66" s="421"/>
      <c r="F66" s="421"/>
      <c r="G66" s="421"/>
      <c r="H66" s="421"/>
      <c r="I66" s="421"/>
      <c r="J66" s="421"/>
      <c r="K66" s="421"/>
      <c r="L66" s="421"/>
      <c r="M66" s="421"/>
    </row>
    <row r="67" spans="1:13" ht="18.75">
      <c r="A67" s="421"/>
      <c r="B67" s="421"/>
      <c r="C67" s="421"/>
      <c r="D67" s="421"/>
      <c r="E67" s="421"/>
      <c r="F67" s="421"/>
      <c r="G67" s="421"/>
      <c r="H67" s="421"/>
      <c r="I67" s="421"/>
      <c r="J67" s="421"/>
      <c r="K67" s="421"/>
      <c r="L67" s="421"/>
      <c r="M67" s="421"/>
    </row>
    <row r="68" spans="1:13" ht="18.75">
      <c r="A68" s="421"/>
      <c r="B68" s="421"/>
      <c r="C68" s="421"/>
      <c r="D68" s="421"/>
      <c r="E68" s="421"/>
      <c r="F68" s="421"/>
      <c r="G68" s="421"/>
      <c r="H68" s="421"/>
      <c r="I68" s="421"/>
      <c r="J68" s="421"/>
      <c r="K68" s="421"/>
      <c r="L68" s="421"/>
      <c r="M68" s="421"/>
    </row>
    <row r="69" spans="1:13" ht="18.75">
      <c r="A69" s="421"/>
      <c r="B69" s="421"/>
      <c r="C69" s="421"/>
      <c r="D69" s="421"/>
      <c r="E69" s="421"/>
      <c r="F69" s="421"/>
      <c r="G69" s="421"/>
      <c r="H69" s="421"/>
      <c r="I69" s="421"/>
      <c r="J69" s="421"/>
      <c r="K69" s="421"/>
      <c r="L69" s="421"/>
      <c r="M69" s="421"/>
    </row>
    <row r="70" spans="1:13" ht="18.75">
      <c r="A70" s="421"/>
      <c r="B70" s="421"/>
      <c r="C70" s="421"/>
      <c r="D70" s="421"/>
      <c r="E70" s="421"/>
      <c r="F70" s="421"/>
      <c r="G70" s="421"/>
      <c r="H70" s="421"/>
      <c r="I70" s="421"/>
      <c r="J70" s="421"/>
      <c r="K70" s="421"/>
      <c r="L70" s="421"/>
      <c r="M70" s="421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41:J42 H41:H42">
    <cfRule type="cellIs" dxfId="50" priority="171" operator="greaterThan">
      <formula>0.16</formula>
    </cfRule>
  </conditionalFormatting>
  <conditionalFormatting sqref="L42:M42 L41">
    <cfRule type="cellIs" dxfId="49" priority="169" operator="greaterThan">
      <formula>0.15</formula>
    </cfRule>
  </conditionalFormatting>
  <conditionalFormatting sqref="D41:D42">
    <cfRule type="cellIs" dxfId="48" priority="170" operator="greaterThan">
      <formula>0.0025</formula>
    </cfRule>
  </conditionalFormatting>
  <conditionalFormatting sqref="D25:D30">
    <cfRule type="cellIs" dxfId="47" priority="65" operator="greaterThan">
      <formula>0.0025</formula>
    </cfRule>
  </conditionalFormatting>
  <conditionalFormatting sqref="J25:J30">
    <cfRule type="cellIs" dxfId="46" priority="63" operator="greaterThan">
      <formula>0.16</formula>
    </cfRule>
  </conditionalFormatting>
  <conditionalFormatting sqref="L31">
    <cfRule type="cellIs" dxfId="45" priority="58" operator="greaterThan">
      <formula>0.15</formula>
    </cfRule>
  </conditionalFormatting>
  <conditionalFormatting sqref="H31">
    <cfRule type="cellIs" dxfId="44" priority="60" operator="greaterThan">
      <formula>0.16</formula>
    </cfRule>
  </conditionalFormatting>
  <conditionalFormatting sqref="H25:H30">
    <cfRule type="cellIs" dxfId="43" priority="64" operator="greaterThan">
      <formula>0.16</formula>
    </cfRule>
  </conditionalFormatting>
  <conditionalFormatting sqref="L25:L30">
    <cfRule type="cellIs" dxfId="42" priority="62" operator="greaterThan">
      <formula>0.15</formula>
    </cfRule>
  </conditionalFormatting>
  <conditionalFormatting sqref="D31">
    <cfRule type="cellIs" dxfId="41" priority="61" operator="greaterThan">
      <formula>0.0025</formula>
    </cfRule>
  </conditionalFormatting>
  <conditionalFormatting sqref="J31">
    <cfRule type="cellIs" dxfId="40" priority="59" operator="greaterThan">
      <formula>0.16</formula>
    </cfRule>
  </conditionalFormatting>
  <conditionalFormatting sqref="H32:H33 H36:H39">
    <cfRule type="cellIs" dxfId="39" priority="47" operator="greaterThan">
      <formula>0.16</formula>
    </cfRule>
  </conditionalFormatting>
  <conditionalFormatting sqref="L32:L33 L36:L39">
    <cfRule type="cellIs" dxfId="38" priority="45" operator="greaterThan">
      <formula>0.15</formula>
    </cfRule>
  </conditionalFormatting>
  <conditionalFormatting sqref="D32:D33 D36:D39">
    <cfRule type="cellIs" dxfId="37" priority="48" operator="greaterThan">
      <formula>0.0025</formula>
    </cfRule>
  </conditionalFormatting>
  <conditionalFormatting sqref="J32:J33 J36:J39">
    <cfRule type="cellIs" dxfId="36" priority="46" operator="greaterThan">
      <formula>0.16</formula>
    </cfRule>
  </conditionalFormatting>
  <conditionalFormatting sqref="H40">
    <cfRule type="cellIs" dxfId="35" priority="43" operator="greaterThan">
      <formula>0.16</formula>
    </cfRule>
  </conditionalFormatting>
  <conditionalFormatting sqref="L40">
    <cfRule type="cellIs" dxfId="34" priority="41" operator="greaterThan">
      <formula>0.15</formula>
    </cfRule>
  </conditionalFormatting>
  <conditionalFormatting sqref="D40">
    <cfRule type="cellIs" dxfId="33" priority="44" operator="greaterThan">
      <formula>0.0025</formula>
    </cfRule>
  </conditionalFormatting>
  <conditionalFormatting sqref="J40">
    <cfRule type="cellIs" dxfId="32" priority="42" operator="greaterThan">
      <formula>0.16</formula>
    </cfRule>
  </conditionalFormatting>
  <conditionalFormatting sqref="L24">
    <cfRule type="cellIs" dxfId="31" priority="9" operator="greaterThan">
      <formula>0.15</formula>
    </cfRule>
  </conditionalFormatting>
  <conditionalFormatting sqref="H6:H9">
    <cfRule type="cellIs" dxfId="30" priority="31" operator="greaterThan">
      <formula>0.16</formula>
    </cfRule>
  </conditionalFormatting>
  <conditionalFormatting sqref="L6:L9">
    <cfRule type="cellIs" dxfId="29" priority="29" operator="greaterThan">
      <formula>0.15</formula>
    </cfRule>
  </conditionalFormatting>
  <conditionalFormatting sqref="D6:D9">
    <cfRule type="cellIs" dxfId="28" priority="32" operator="greaterThan">
      <formula>0.0025</formula>
    </cfRule>
  </conditionalFormatting>
  <conditionalFormatting sqref="J6:J9">
    <cfRule type="cellIs" dxfId="27" priority="30" operator="greaterThan">
      <formula>0.16</formula>
    </cfRule>
  </conditionalFormatting>
  <conditionalFormatting sqref="H10">
    <cfRule type="cellIs" dxfId="26" priority="27" operator="greaterThan">
      <formula>0.16</formula>
    </cfRule>
  </conditionalFormatting>
  <conditionalFormatting sqref="L10">
    <cfRule type="cellIs" dxfId="25" priority="25" operator="greaterThan">
      <formula>0.15</formula>
    </cfRule>
  </conditionalFormatting>
  <conditionalFormatting sqref="D10">
    <cfRule type="cellIs" dxfId="24" priority="28" operator="greaterThan">
      <formula>0.0025</formula>
    </cfRule>
  </conditionalFormatting>
  <conditionalFormatting sqref="J10">
    <cfRule type="cellIs" dxfId="23" priority="26" operator="greaterThan">
      <formula>0.16</formula>
    </cfRule>
  </conditionalFormatting>
  <conditionalFormatting sqref="H11:H16">
    <cfRule type="cellIs" dxfId="22" priority="23" operator="greaterThan">
      <formula>0.16</formula>
    </cfRule>
  </conditionalFormatting>
  <conditionalFormatting sqref="L11:L16">
    <cfRule type="cellIs" dxfId="21" priority="21" operator="greaterThan">
      <formula>0.15</formula>
    </cfRule>
  </conditionalFormatting>
  <conditionalFormatting sqref="D11:D16">
    <cfRule type="cellIs" dxfId="20" priority="24" operator="greaterThan">
      <formula>0.0025</formula>
    </cfRule>
  </conditionalFormatting>
  <conditionalFormatting sqref="J11:J16">
    <cfRule type="cellIs" dxfId="19" priority="22" operator="greaterThan">
      <formula>0.16</formula>
    </cfRule>
  </conditionalFormatting>
  <conditionalFormatting sqref="H17">
    <cfRule type="cellIs" dxfId="18" priority="19" operator="greaterThan">
      <formula>0.16</formula>
    </cfRule>
  </conditionalFormatting>
  <conditionalFormatting sqref="L4:L21">
    <cfRule type="cellIs" dxfId="17" priority="17" operator="greaterThan">
      <formula>0.15</formula>
    </cfRule>
  </conditionalFormatting>
  <conditionalFormatting sqref="D17">
    <cfRule type="cellIs" dxfId="16" priority="20" operator="greaterThan">
      <formula>0.0025</formula>
    </cfRule>
  </conditionalFormatting>
  <conditionalFormatting sqref="J17">
    <cfRule type="cellIs" dxfId="15" priority="18" operator="greaterThan">
      <formula>0.16</formula>
    </cfRule>
  </conditionalFormatting>
  <conditionalFormatting sqref="H18:H23">
    <cfRule type="cellIs" dxfId="14" priority="15" operator="greaterThan">
      <formula>0.16</formula>
    </cfRule>
  </conditionalFormatting>
  <conditionalFormatting sqref="L18:L23">
    <cfRule type="cellIs" dxfId="13" priority="13" operator="greaterThan">
      <formula>0.15</formula>
    </cfRule>
  </conditionalFormatting>
  <conditionalFormatting sqref="D18:D23">
    <cfRule type="cellIs" dxfId="12" priority="16" operator="greaterThan">
      <formula>0.0025</formula>
    </cfRule>
  </conditionalFormatting>
  <conditionalFormatting sqref="J18:J23">
    <cfRule type="cellIs" dxfId="11" priority="14" operator="greaterThan">
      <formula>0.16</formula>
    </cfRule>
  </conditionalFormatting>
  <conditionalFormatting sqref="H24">
    <cfRule type="cellIs" dxfId="10" priority="11" operator="greaterThan">
      <formula>0.16</formula>
    </cfRule>
  </conditionalFormatting>
  <conditionalFormatting sqref="D24">
    <cfRule type="cellIs" dxfId="9" priority="12" operator="greaterThan">
      <formula>0.0025</formula>
    </cfRule>
  </conditionalFormatting>
  <conditionalFormatting sqref="J24">
    <cfRule type="cellIs" dxfId="8" priority="10" operator="greaterThan">
      <formula>0.16</formula>
    </cfRule>
  </conditionalFormatting>
  <conditionalFormatting sqref="H4:H16">
    <cfRule type="cellIs" dxfId="7" priority="7" operator="greaterThan">
      <formula>0.16</formula>
    </cfRule>
  </conditionalFormatting>
  <conditionalFormatting sqref="L4:L21">
    <cfRule type="cellIs" dxfId="6" priority="5" operator="greaterThan">
      <formula>0.15</formula>
    </cfRule>
  </conditionalFormatting>
  <conditionalFormatting sqref="D4:D18">
    <cfRule type="cellIs" dxfId="5" priority="8" operator="greaterThan">
      <formula>0.0025</formula>
    </cfRule>
  </conditionalFormatting>
  <conditionalFormatting sqref="J4:J17">
    <cfRule type="cellIs" dxfId="4" priority="6" operator="greaterThan">
      <formula>0.16</formula>
    </cfRule>
  </conditionalFormatting>
  <conditionalFormatting sqref="H34:H35">
    <cfRule type="cellIs" dxfId="3" priority="3" operator="greaterThan">
      <formula>0.16</formula>
    </cfRule>
  </conditionalFormatting>
  <conditionalFormatting sqref="L34:L35">
    <cfRule type="cellIs" dxfId="2" priority="1" operator="greaterThan">
      <formula>0.15</formula>
    </cfRule>
  </conditionalFormatting>
  <conditionalFormatting sqref="D34:D35">
    <cfRule type="cellIs" dxfId="1" priority="4" operator="greaterThan">
      <formula>0.0025</formula>
    </cfRule>
  </conditionalFormatting>
  <conditionalFormatting sqref="J34:J35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9"/>
    <col min="3" max="3" width="14" style="209" bestFit="1" customWidth="1"/>
    <col min="4" max="4" width="0.28515625" style="209" customWidth="1"/>
    <col min="5" max="5" width="8.7109375" style="209"/>
    <col min="6" max="6" width="16.28515625" style="209" bestFit="1" customWidth="1"/>
    <col min="7" max="16384" width="8.7109375" style="209"/>
  </cols>
  <sheetData>
    <row r="2" spans="2:7" ht="15.75">
      <c r="B2" s="924" t="s">
        <v>252</v>
      </c>
      <c r="C2" s="924"/>
      <c r="D2" s="924"/>
      <c r="E2" s="924"/>
      <c r="F2" s="924"/>
    </row>
    <row r="3" spans="2:7" ht="1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5">
      <c r="B20" s="212" t="s">
        <v>316</v>
      </c>
      <c r="C20" s="212" t="s">
        <v>317</v>
      </c>
      <c r="D20" s="211"/>
      <c r="G20" s="211"/>
    </row>
    <row r="21" spans="2:7" ht="15">
      <c r="D21" s="211"/>
      <c r="G21" s="211"/>
    </row>
    <row r="22" spans="2:7" ht="15">
      <c r="D22" s="211"/>
      <c r="G22" s="211"/>
    </row>
    <row r="23" spans="2:7" ht="1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2026-03-12T05:44:58Z</dcterms:modified>
</cp:coreProperties>
</file>